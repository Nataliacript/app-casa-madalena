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 Before Season" sheetId="1" r:id="rId4"/>
    <sheet state="visible" name="Obra cash flow 1" sheetId="2" r:id="rId5"/>
    <sheet state="visible" name="Obra cash flow" sheetId="3" r:id="rId6"/>
    <sheet state="visible" name="Receptor" sheetId="4" r:id="rId7"/>
    <sheet state="visible" name="Receptor by pay" sheetId="5" r:id="rId8"/>
    <sheet state="visible" name="Analysis OUT by pay" sheetId="6" r:id="rId9"/>
    <sheet state="visible" name="Analysis OUT" sheetId="7" r:id="rId10"/>
    <sheet state="visible" name="Final Result by pay" sheetId="8" r:id="rId11"/>
    <sheet state="visible" name="Final Result" sheetId="9" r:id="rId12"/>
    <sheet state="visible" name="05" sheetId="10" r:id="rId13"/>
    <sheet state="visible" name="06" sheetId="11" r:id="rId14"/>
    <sheet state="visible" name="07" sheetId="12" r:id="rId15"/>
    <sheet state="visible" name="08" sheetId="13" r:id="rId16"/>
    <sheet state="visible" name="09" sheetId="14" r:id="rId17"/>
    <sheet state="visible" name="09-2025" sheetId="15" r:id="rId18"/>
    <sheet state="visible" name="08-2025" sheetId="16" r:id="rId19"/>
    <sheet state="visible" name="Monthly cash flow" sheetId="17" r:id="rId20"/>
    <sheet state="hidden" name="Daily cash flow 07-2026" sheetId="18" r:id="rId21"/>
    <sheet state="hidden" name="Daily cash flow 09-2026" sheetId="19" r:id="rId22"/>
    <sheet state="hidden" name="Daily cash flow 08-2026" sheetId="20" r:id="rId23"/>
    <sheet state="hidden" name="Daily cash flow 05-2026" sheetId="21" r:id="rId24"/>
    <sheet state="hidden" name="Daily cash flow 06-2026" sheetId="22" r:id="rId25"/>
    <sheet state="visible" name="Dados" sheetId="23" r:id="rId26"/>
    <sheet state="visible" name="FF" sheetId="24" r:id="rId27"/>
    <sheet state="visible" name="Extra" sheetId="25" r:id="rId28"/>
    <sheet state="visible" name="CloudBed" sheetId="26" r:id="rId29"/>
    <sheet state="hidden" name="Routine" sheetId="27" r:id="rId30"/>
    <sheet state="visible" name="Lista 2" sheetId="28" r:id="rId31"/>
    <sheet state="visible" name="Lista" sheetId="29" r:id="rId32"/>
  </sheets>
  <definedNames>
    <definedName hidden="1" localSheetId="22" name="_xlnm._FilterDatabase">Dados!$A$1:$AH$1851</definedName>
    <definedName hidden="1" localSheetId="23" name="_xlnm._FilterDatabase">FF!$A$1:$Z$994</definedName>
    <definedName hidden="1" localSheetId="24" name="_xlnm._FilterDatabase">Extra!$A$1:$Z$1172</definedName>
    <definedName hidden="1" localSheetId="25" name="_xlnm._FilterDatabase">CloudBed!$A$1:$AA$3255</definedName>
    <definedName hidden="1" localSheetId="26" name="_xlnm._FilterDatabase">Routine!$A$9:$D$938</definedName>
    <definedName hidden="1" localSheetId="28" name="_xlnm._FilterDatabase">Lista!$A$1:$Z$1026</definedName>
    <definedName hidden="1" localSheetId="22" name="Z_A3F5C711_E5E2_4717_8B1F_961A380C636C_.wvu.FilterData">Dados!$A$1:$U$1774</definedName>
  </definedNames>
  <calcPr/>
  <customWorkbookViews>
    <customWorkbookView activeSheetId="0" maximized="1" windowHeight="0" windowWidth="0" guid="{A3F5C711-E5E2-4717-8B1F-961A380C636C}" name="Filtro 1"/>
  </customWorkbookViews>
  <extLst>
    <ext uri="GoogleSheetsCustomDataVersion2">
      <go:sheetsCustomData xmlns:go="http://customooxmlschemas.google.com/" r:id="rId33" roundtripDataChecksum="fkHdNKGiV5R6XGpqqRQ27Qa1uEXi6ae/1+YBVVFupx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6">
      <text>
        <t xml:space="preserve">======
ID#AAACGhTVVkM
    (2026-09-04 08:03:36)
quando tiver diferença, vai em Lista e cria a função =VLOOKUP(C82;'Cópia de Out this year'!B:B;1;false)</t>
      </text>
    </comment>
  </commentList>
  <extLst>
    <ext uri="GoogleSheetsCustomDataVersion2">
      <go:sheetsCustomData xmlns:go="http://customooxmlschemas.google.com/" r:id="rId1" roundtripDataSignature="AMtx7mgPFNF4Uf+hY5yODTVTmVosbuMVx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7">
      <text>
        <t xml:space="preserve">======
ID#AAACGhTVVkk
    (2026-09-04 08:03:36)
quando tiver diferença, vai em Lista e cria a função =VLOOKUP(C82;'Cópia de Out this year'!B:B;1;false)</t>
      </text>
    </comment>
  </commentList>
  <extLst>
    <ext uri="GoogleSheetsCustomDataVersion2">
      <go:sheetsCustomData xmlns:go="http://customooxmlschemas.google.com/" r:id="rId1" roundtripDataSignature="AMtx7mhQbw/GAd7PpHpX2N/vtYybxLnjt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8">
      <text>
        <t xml:space="preserve">======
ID#AAACGhTVVkY
    (2026-09-04 08:03:36)
comecou a temporada com 
72 mil (temporadas passadas + carro do pai)
17.827 (temporada 7)</t>
      </text>
    </comment>
    <comment authorId="0" ref="G50">
      <text>
        <t xml:space="preserve">======
ID#AAACGhTVVkg
tc={1e3c737c-c776-4d12-83f4-dc5cce449cbb}    (2026-09-04 08:03:36)
[Threaded comment]
 Your version of Excel allows you to read this threaded comment; however, any edits to it will get removed if the file is opened in a newer version of Excel. Learn more: https://go.microsoft.com/fwlink/?linkid=870924
Comment:
	diferença por que recebemos em Pounds</t>
      </text>
    </comment>
    <comment authorId="0" ref="G64">
      <text>
        <t xml:space="preserve">======
ID#AAACGhTVVkU
tc={d7649979-02a7-4258-9d2f-1bffbee314ef}    (2026-09-04 08:03:36)
[Threaded comment]
 Your version of Excel allows you to read this threaded comment; however, any edits to it will get removed if the file is opened in a newer version of Excel. Learn more: https://go.microsoft.com/fwlink/?linkid=870924
Comment:
	diferença por que recebemos em Pounds</t>
      </text>
    </comment>
    <comment authorId="0" ref="H15">
      <text>
        <t xml:space="preserve">======
ID#AAACGhTVVkc
tc={f4c3582d-1229-4c07-8405-5fc9977bbd01}    (2026-09-04 08:03:36)
[Threaded comment]
 Your version of Excel allows you to read this threaded comment; however, any edits to it will get removed if the file is opened in a newer version of Excel. Learn more: https://go.microsoft.com/fwlink/?linkid=870924
Comment:
	Warley Leandro dos Anjos</t>
      </text>
    </comment>
  </commentList>
  <extLst>
    <ext uri="GoogleSheetsCustomDataVersion2">
      <go:sheetsCustomData xmlns:go="http://customooxmlschemas.google.com/" r:id="rId1" roundtripDataSignature="AMtx7mh3O2uv1jPLufBQ2dy4qplLX4uJu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90">
      <text>
        <t xml:space="preserve">======
ID#AAACGhTVVko
    (2026-09-04 08:03:36)
mudei do dia 22 para 27
pq chefinho me falou que no paypal recebeu em 27</t>
      </text>
    </comment>
  </commentList>
  <extLst>
    <ext uri="GoogleSheetsCustomDataVersion2">
      <go:sheetsCustomData xmlns:go="http://customooxmlschemas.google.com/" r:id="rId1" roundtripDataSignature="AMtx7mhzbQ/JPPW2AErkyCUMEAl9OxlBFw=="/>
    </ext>
  </extLst>
</comments>
</file>

<file path=xl/sharedStrings.xml><?xml version="1.0" encoding="utf-8"?>
<sst xmlns="http://schemas.openxmlformats.org/spreadsheetml/2006/main" count="13476" uniqueCount="3084">
  <si>
    <t>From</t>
  </si>
  <si>
    <t>10k1</t>
  </si>
  <si>
    <t>Bank</t>
  </si>
  <si>
    <t>10k2</t>
  </si>
  <si>
    <t>10k3</t>
  </si>
  <si>
    <t>Drop Box</t>
  </si>
  <si>
    <t>Total</t>
  </si>
  <si>
    <t>5k4</t>
  </si>
  <si>
    <t>5k5</t>
  </si>
  <si>
    <t>Opening</t>
  </si>
  <si>
    <t>5k6</t>
  </si>
  <si>
    <t>Receptor</t>
  </si>
  <si>
    <t>Revolut</t>
  </si>
  <si>
    <t>AdrianMoney</t>
  </si>
  <si>
    <t>MoneyBox</t>
  </si>
  <si>
    <t>Coluna M</t>
  </si>
  <si>
    <t>Drop10.000-01/01/2026</t>
  </si>
  <si>
    <t>Drop10.000-20/02/2026</t>
  </si>
  <si>
    <t>Drop10.000-28/02/2026</t>
  </si>
  <si>
    <t>Drop5.000-01/05/2026</t>
  </si>
  <si>
    <t>Drop5.000-01/06/2026</t>
  </si>
  <si>
    <t>Drop5.000-01/09/2026</t>
  </si>
  <si>
    <t>Obra-Cafe</t>
  </si>
  <si>
    <t>Date</t>
  </si>
  <si>
    <t>Cafe/food-Cafe</t>
  </si>
  <si>
    <t>Furnitures-Cafe</t>
  </si>
  <si>
    <t>Maodeobra-Cafe</t>
  </si>
  <si>
    <t>Material/Tools-Cafe</t>
  </si>
  <si>
    <t>Project/Admin-Cafe</t>
  </si>
  <si>
    <t>Uber/ Transporte-Cafe</t>
  </si>
  <si>
    <t>Total OUT</t>
  </si>
  <si>
    <t>Ano</t>
  </si>
  <si>
    <t>Contabilidade</t>
  </si>
  <si>
    <t>By Check in / No commission</t>
  </si>
  <si>
    <t>Adrien</t>
  </si>
  <si>
    <t>TOTAL</t>
  </si>
  <si>
    <t>Booking</t>
  </si>
  <si>
    <t>NOSInternet</t>
  </si>
  <si>
    <t>Fees</t>
  </si>
  <si>
    <t>Aggema</t>
  </si>
  <si>
    <t>EnergiaEDP</t>
  </si>
  <si>
    <t>ÁguaFAGAR</t>
  </si>
  <si>
    <t>CFE</t>
  </si>
  <si>
    <t>Invest</t>
  </si>
  <si>
    <t>Seg.Soc.</t>
  </si>
  <si>
    <t>IVA</t>
  </si>
  <si>
    <t>HW</t>
  </si>
  <si>
    <t>UberCopter</t>
  </si>
  <si>
    <t>others-marketing</t>
  </si>
  <si>
    <t>Cloudbeds</t>
  </si>
  <si>
    <t>By Payment/ No commission</t>
  </si>
  <si>
    <t>Airbnb</t>
  </si>
  <si>
    <t>Final</t>
  </si>
  <si>
    <t>Final for reals</t>
  </si>
  <si>
    <t>Difference</t>
  </si>
  <si>
    <t>Website</t>
  </si>
  <si>
    <t>TotalOTA</t>
  </si>
  <si>
    <t>Walk-In</t>
  </si>
  <si>
    <t>Friends &amp; Family</t>
  </si>
  <si>
    <t>TotalWalk</t>
  </si>
  <si>
    <t>Friends &amp; Family from the paper</t>
  </si>
  <si>
    <t>CityTax</t>
  </si>
  <si>
    <t>TotalAcomodation</t>
  </si>
  <si>
    <t>Acomodation + CT</t>
  </si>
  <si>
    <t>Total com CT</t>
  </si>
  <si>
    <t>Lastyear(planilha2025)</t>
  </si>
  <si>
    <t>PELA DATA DO PAGAMENTO</t>
  </si>
  <si>
    <t>CATEGORIA</t>
  </si>
  <si>
    <t>PRODUTO</t>
  </si>
  <si>
    <t>%comparação</t>
  </si>
  <si>
    <t>TOTAL2026</t>
  </si>
  <si>
    <t>Jan</t>
  </si>
  <si>
    <t>Fev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</si>
  <si>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</si>
  <si>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</si>
  <si>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</si>
  <si>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</si>
  <si>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</si>
  <si>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</si>
  <si>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</si>
  <si>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</si>
  <si>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</si>
  <si>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Dez</t>
  </si>
  <si>
    <t>Aqua Lab Water Test</t>
  </si>
  <si>
    <t>Receptor by event</t>
  </si>
  <si>
    <t>Number of Guest cloudbed</t>
  </si>
  <si>
    <t>Number of Beds</t>
  </si>
  <si>
    <t>FF</t>
  </si>
  <si>
    <t>Diferença</t>
  </si>
  <si>
    <t>Number of Beds Total</t>
  </si>
  <si>
    <t>Gas inspection</t>
  </si>
  <si>
    <t>Occupancy Rate</t>
  </si>
  <si>
    <t>Last Year</t>
  </si>
  <si>
    <t>Average Price</t>
  </si>
  <si>
    <t>INTERPREV-Fiscalisacao</t>
  </si>
  <si>
    <t>Average Price Total</t>
  </si>
  <si>
    <t>Bed Cost by nights</t>
  </si>
  <si>
    <t>Bed Cost if full</t>
  </si>
  <si>
    <t>INTERPREV-Segurancaesaude</t>
  </si>
  <si>
    <t>PELA DATA DO EVENTO</t>
  </si>
  <si>
    <t>License</t>
  </si>
  <si>
    <t>SOPFOGO-Extinctores</t>
  </si>
  <si>
    <t>Year</t>
  </si>
  <si>
    <t>Final Result Total by Cash flow</t>
  </si>
  <si>
    <t>SOPFOGO-Manutencao Central Incendio</t>
  </si>
  <si>
    <t>SPA</t>
  </si>
  <si>
    <t>Annualidad-Fixa</t>
  </si>
  <si>
    <t>Desinfection</t>
  </si>
  <si>
    <t>Refund</t>
  </si>
  <si>
    <t>Diverso – bed bug</t>
  </si>
  <si>
    <t>Extra</t>
  </si>
  <si>
    <t>laundry</t>
  </si>
  <si>
    <t>Total Input</t>
  </si>
  <si>
    <t>Input by event</t>
  </si>
  <si>
    <t>Weapons</t>
  </si>
  <si>
    <t>BREAK HEAVEN</t>
  </si>
  <si>
    <t>UNNECESSARY without Obra</t>
  </si>
  <si>
    <t>Final Result Total by Event</t>
  </si>
  <si>
    <t>bedbugsprotocol</t>
  </si>
  <si>
    <t>Result</t>
  </si>
  <si>
    <t>Result by event</t>
  </si>
  <si>
    <t>Airbnb cancelation</t>
  </si>
  <si>
    <t>DespesasPessoas</t>
  </si>
  <si>
    <t>FinalResult</t>
  </si>
  <si>
    <t>Obra 2026</t>
  </si>
  <si>
    <t>Airbnb comission</t>
  </si>
  <si>
    <t>Obra 2027</t>
  </si>
  <si>
    <t>New Result</t>
  </si>
  <si>
    <t>Booking Other taxs</t>
  </si>
  <si>
    <t>referente 2025 pago 2026</t>
  </si>
  <si>
    <t>Booking Payment commision</t>
  </si>
  <si>
    <t>Commission</t>
  </si>
  <si>
    <t>Aliguer TPEREDUNICRE MENSAL</t>
  </si>
  <si>
    <t>Madalena8-BPI</t>
  </si>
  <si>
    <t>Paylink</t>
  </si>
  <si>
    <t>Obra season</t>
  </si>
  <si>
    <t>Bpi</t>
  </si>
  <si>
    <t>Banana</t>
  </si>
  <si>
    <t>Butter</t>
  </si>
  <si>
    <t>Cacao</t>
  </si>
  <si>
    <t>Canela</t>
  </si>
  <si>
    <t>*</t>
  </si>
  <si>
    <t>Break Even</t>
  </si>
  <si>
    <t>Mensalidades</t>
  </si>
  <si>
    <t>(+)Accommodation + Extras + CT</t>
  </si>
  <si>
    <t>Beer</t>
  </si>
  <si>
    <t>Coffee</t>
  </si>
  <si>
    <t>(-)Break Even</t>
  </si>
  <si>
    <t>Bike</t>
  </si>
  <si>
    <t>(-)Unnecessary</t>
  </si>
  <si>
    <t>Luggage</t>
  </si>
  <si>
    <t>Café da manhã</t>
  </si>
  <si>
    <t>(=)Result</t>
  </si>
  <si>
    <t>Others</t>
  </si>
  <si>
    <t>Cleaning</t>
  </si>
  <si>
    <t>Laundry</t>
  </si>
  <si>
    <t>Impostos</t>
  </si>
  <si>
    <t>Despesas do Patrimônio</t>
  </si>
  <si>
    <t>Car rental</t>
  </si>
  <si>
    <t>Coffee filter</t>
  </si>
  <si>
    <t>Insurance</t>
  </si>
  <si>
    <t>Gaz</t>
  </si>
  <si>
    <t>(+)Obra</t>
  </si>
  <si>
    <t>Lollipop</t>
  </si>
  <si>
    <t>Marketing</t>
  </si>
  <si>
    <t>(+)Despesas pessoais</t>
  </si>
  <si>
    <t>Animares</t>
  </si>
  <si>
    <t>Mensalidade-Fixa</t>
  </si>
  <si>
    <t>Spotify</t>
  </si>
  <si>
    <t xml:space="preserve">(=)Total </t>
  </si>
  <si>
    <t>Shower</t>
  </si>
  <si>
    <t>Shot</t>
  </si>
  <si>
    <t>Papel Pack</t>
  </si>
  <si>
    <t>Flakes</t>
  </si>
  <si>
    <t>Analysis</t>
  </si>
  <si>
    <t>Papelaria</t>
  </si>
  <si>
    <t>Number of beds</t>
  </si>
  <si>
    <t>Transporte</t>
  </si>
  <si>
    <t>Wages</t>
  </si>
  <si>
    <t>Bed Sold</t>
  </si>
  <si>
    <t>Bed Cost</t>
  </si>
  <si>
    <t>Flour</t>
  </si>
  <si>
    <t>Fruits</t>
  </si>
  <si>
    <t>Gas-Café da manhã</t>
  </si>
  <si>
    <t>Jam</t>
  </si>
  <si>
    <t>Milk</t>
  </si>
  <si>
    <t>Muesli</t>
  </si>
  <si>
    <t>Oil</t>
  </si>
  <si>
    <t>Peanut butter</t>
  </si>
  <si>
    <t>pepper</t>
  </si>
  <si>
    <t>Salt</t>
  </si>
  <si>
    <t>Sugar</t>
  </si>
  <si>
    <t>Tea</t>
  </si>
  <si>
    <t>Vegan</t>
  </si>
  <si>
    <t>Beer L</t>
  </si>
  <si>
    <t>Beer S</t>
  </si>
  <si>
    <t>Cider</t>
  </si>
  <si>
    <t>Cafédamanhã</t>
  </si>
  <si>
    <t>Coca cola</t>
  </si>
  <si>
    <t>Hammock</t>
  </si>
  <si>
    <t>jar - extra coins</t>
  </si>
  <si>
    <t>Mada8</t>
  </si>
  <si>
    <t>mensalidade-Fixa</t>
  </si>
  <si>
    <t>Postcard</t>
  </si>
  <si>
    <t>Bleach Toilet</t>
  </si>
  <si>
    <t>PapelPack</t>
  </si>
  <si>
    <t>Redbull</t>
  </si>
  <si>
    <t>Last Year (2024)</t>
  </si>
  <si>
    <t>Staff Beer L</t>
  </si>
  <si>
    <t>Staff GreenWine</t>
  </si>
  <si>
    <t>Staff Shot</t>
  </si>
  <si>
    <t>Staff Beer S</t>
  </si>
  <si>
    <t>Staff Cola</t>
  </si>
  <si>
    <t>Staff Redbull</t>
  </si>
  <si>
    <t>Staff Water</t>
  </si>
  <si>
    <t>Water</t>
  </si>
  <si>
    <t>Wine</t>
  </si>
  <si>
    <t>Animaris monthly</t>
  </si>
  <si>
    <t>Type</t>
  </si>
  <si>
    <t>Month</t>
  </si>
  <si>
    <t>Cifi</t>
  </si>
  <si>
    <t>Opening balance</t>
  </si>
  <si>
    <t>Deposit Drop</t>
  </si>
  <si>
    <t>Day</t>
  </si>
  <si>
    <t>Begin</t>
  </si>
  <si>
    <t>CT</t>
  </si>
  <si>
    <t>Accomodation</t>
  </si>
  <si>
    <t>OUT</t>
  </si>
  <si>
    <t>End</t>
  </si>
  <si>
    <t>Real</t>
  </si>
  <si>
    <t>Dishwash Liquid</t>
  </si>
  <si>
    <t>Diverso-Cleaning</t>
  </si>
  <si>
    <t>Booking CT</t>
  </si>
  <si>
    <t>Glass Cleaner</t>
  </si>
  <si>
    <t>Airbnb CT</t>
  </si>
  <si>
    <t>Mistolin</t>
  </si>
  <si>
    <t>Mop</t>
  </si>
  <si>
    <t>Credit Card CT</t>
  </si>
  <si>
    <t>Credit Card</t>
  </si>
  <si>
    <t>saco10l</t>
  </si>
  <si>
    <t>Output</t>
  </si>
  <si>
    <t>Softner</t>
  </si>
  <si>
    <t>Final balance</t>
  </si>
  <si>
    <t>Sponges</t>
  </si>
  <si>
    <t>Bankstatement</t>
  </si>
  <si>
    <t>Money Box</t>
  </si>
  <si>
    <t>Ttrash bag 50l</t>
  </si>
  <si>
    <t>Cloudbed CT</t>
  </si>
  <si>
    <t>Washing Powder</t>
  </si>
  <si>
    <t>Cloudbed</t>
  </si>
  <si>
    <t>Imi10</t>
  </si>
  <si>
    <t>Total IN</t>
  </si>
  <si>
    <t>Imi8</t>
  </si>
  <si>
    <t>Drop</t>
  </si>
  <si>
    <t>Imi</t>
  </si>
  <si>
    <t>IRS</t>
  </si>
  <si>
    <t>INPI</t>
  </si>
  <si>
    <t>Extras</t>
  </si>
  <si>
    <t>Auto</t>
  </si>
  <si>
    <t>Real IN</t>
  </si>
  <si>
    <t>Out</t>
  </si>
  <si>
    <t>Madalena8</t>
  </si>
  <si>
    <t>Paypal</t>
  </si>
  <si>
    <t>Res.Civ.Hostel</t>
  </si>
  <si>
    <t>Madalena10</t>
  </si>
  <si>
    <t>Season</t>
  </si>
  <si>
    <t>From MB to Drop</t>
  </si>
  <si>
    <t>Administracao</t>
  </si>
  <si>
    <t>Obra</t>
  </si>
  <si>
    <t>Output obra</t>
  </si>
  <si>
    <t>Others-marketing</t>
  </si>
  <si>
    <t>Realammount</t>
  </si>
  <si>
    <t>From Adrian Money to Drop</t>
  </si>
  <si>
    <t>Drop obra</t>
  </si>
  <si>
    <t>Adrien Money</t>
  </si>
  <si>
    <t>Input</t>
  </si>
  <si>
    <t>Real ammount</t>
  </si>
  <si>
    <t>Diversos Papel Pack</t>
  </si>
  <si>
    <t>Acomodation</t>
  </si>
  <si>
    <t>Gloves</t>
  </si>
  <si>
    <t>Handsoap</t>
  </si>
  <si>
    <t>Iva-PapelPack</t>
  </si>
  <si>
    <t>Saldo Paypal</t>
  </si>
  <si>
    <t>Paypal IN</t>
  </si>
  <si>
    <t>diferença</t>
  </si>
  <si>
    <t>KitchenRoll</t>
  </si>
  <si>
    <t>Increase in equity</t>
  </si>
  <si>
    <t>IN</t>
  </si>
  <si>
    <t>Sunset Floor Cleaner</t>
  </si>
  <si>
    <t>Drops</t>
  </si>
  <si>
    <t>Toalha de mao</t>
  </si>
  <si>
    <t>Toiletpaper</t>
  </si>
  <si>
    <t>Trashbag 120l</t>
  </si>
  <si>
    <t>Trashbag Toilet</t>
  </si>
  <si>
    <t>Caneta</t>
  </si>
  <si>
    <t>Design</t>
  </si>
  <si>
    <t>Diversos-Papelaria</t>
  </si>
  <si>
    <t>Ink</t>
  </si>
  <si>
    <t>Lápis</t>
  </si>
  <si>
    <t>Multicopias</t>
  </si>
  <si>
    <t>Plastificaçao</t>
  </si>
  <si>
    <t>2x2x2</t>
  </si>
  <si>
    <t>barShift</t>
  </si>
  <si>
    <t>Clarita-wages</t>
  </si>
  <si>
    <t>Dinner</t>
  </si>
  <si>
    <t>Excel</t>
  </si>
  <si>
    <t>Food Staff</t>
  </si>
  <si>
    <t>Manager</t>
  </si>
  <si>
    <t>Marta-wages</t>
  </si>
  <si>
    <t>Night shift</t>
  </si>
  <si>
    <t>Pancakes</t>
  </si>
  <si>
    <t>Reception Shift</t>
  </si>
  <si>
    <t>Bus</t>
  </si>
  <si>
    <t>Key</t>
  </si>
  <si>
    <t>Other</t>
  </si>
  <si>
    <t>Dryer</t>
  </si>
  <si>
    <t>Rubber</t>
  </si>
  <si>
    <t>correia</t>
  </si>
  <si>
    <t>travao</t>
  </si>
  <si>
    <t>FROM?</t>
  </si>
  <si>
    <t>DAY</t>
  </si>
  <si>
    <t>MONTH</t>
  </si>
  <si>
    <t>YEAR</t>
  </si>
  <si>
    <t>subtituicao</t>
  </si>
  <si>
    <t>Month???</t>
  </si>
  <si>
    <t>AMOUNT</t>
  </si>
  <si>
    <t>Archtect</t>
  </si>
  <si>
    <t>topographo</t>
  </si>
  <si>
    <t xml:space="preserve">LAWYER administration project 40 </t>
  </si>
  <si>
    <t>Chain saw Brico</t>
  </si>
  <si>
    <t>topografo 2and prestacao tvessa madalena10</t>
  </si>
  <si>
    <t>Drop5000</t>
  </si>
  <si>
    <t>Fixing</t>
  </si>
  <si>
    <t>amazon martelo berbequim demolidor</t>
  </si>
  <si>
    <t>Despesas Pessoais</t>
  </si>
  <si>
    <t>decatlhon</t>
  </si>
  <si>
    <t>spa anniversia nathalie</t>
  </si>
  <si>
    <t>deporte village</t>
  </si>
  <si>
    <t>car rental aniversario nathalie</t>
  </si>
  <si>
    <t>flor aniversário nathalie</t>
  </si>
  <si>
    <t>bakery bremhen</t>
  </si>
  <si>
    <t>restau nath</t>
  </si>
  <si>
    <t>MaodeObra-Cafe</t>
  </si>
  <si>
    <t xml:space="preserve">ropa obra bandit </t>
  </si>
  <si>
    <t xml:space="preserve"> lidl ropa obra bandit 7</t>
  </si>
  <si>
    <t>mascara</t>
  </si>
  <si>
    <t>Apple Cider</t>
  </si>
  <si>
    <t>wages bandi 1 obra</t>
  </si>
  <si>
    <t>wages ricardo 1 obra</t>
  </si>
  <si>
    <t>vaccum and light new dorm</t>
  </si>
  <si>
    <t>chalet food with Bandi</t>
  </si>
  <si>
    <t>noveocare</t>
  </si>
  <si>
    <t>propolis celeiro</t>
  </si>
  <si>
    <t xml:space="preserve"> 2ndo pagamento architeto</t>
  </si>
  <si>
    <t>Alcohol</t>
  </si>
  <si>
    <t>Sorin</t>
  </si>
  <si>
    <t xml:space="preserve">Metalfarense Plumbing </t>
  </si>
  <si>
    <t>bandit</t>
  </si>
  <si>
    <t>ricardo</t>
  </si>
  <si>
    <t>Henrique</t>
  </si>
  <si>
    <t>natalia</t>
  </si>
  <si>
    <t>reembolso H&amp;M</t>
  </si>
  <si>
    <t>Fruit Cider</t>
  </si>
  <si>
    <t>bandi</t>
  </si>
  <si>
    <t>antonio construction Parte 1</t>
  </si>
  <si>
    <t>montalgave termoacumulador</t>
  </si>
  <si>
    <t>moreis cable</t>
  </si>
  <si>
    <t>maxmat</t>
  </si>
  <si>
    <t>etabli cafe 1 parte</t>
  </si>
  <si>
    <t>credito reembolso ikea</t>
  </si>
  <si>
    <t>food lisboa</t>
  </si>
  <si>
    <t>Fruits bar</t>
  </si>
  <si>
    <t>true inox kitchen 1 parte</t>
  </si>
  <si>
    <t>etabli 2 parte</t>
  </si>
  <si>
    <t>guido warner wood</t>
  </si>
  <si>
    <t>luzpadia spot</t>
  </si>
  <si>
    <t>silicone</t>
  </si>
  <si>
    <t>metalfarense</t>
  </si>
  <si>
    <t>chain saw ink amazon</t>
  </si>
  <si>
    <t>bricommarche</t>
  </si>
  <si>
    <t>Cachaça</t>
  </si>
  <si>
    <t>sorin</t>
  </si>
  <si>
    <t>construction 2nd part antonio</t>
  </si>
  <si>
    <t>norticor microciment</t>
  </si>
  <si>
    <t>victor drogueira</t>
  </si>
  <si>
    <t>henrique briaues ciment</t>
  </si>
  <si>
    <t>osaka</t>
  </si>
  <si>
    <t>Ice tea</t>
  </si>
  <si>
    <t>binance</t>
  </si>
  <si>
    <t>poste bar</t>
  </si>
  <si>
    <t>INVEST</t>
  </si>
  <si>
    <t>zellige mosaic</t>
  </si>
  <si>
    <t>bitget</t>
  </si>
  <si>
    <t>marmistoi</t>
  </si>
  <si>
    <t>ingenero 1rst part</t>
  </si>
  <si>
    <t>leroy merlun</t>
  </si>
  <si>
    <t>Coca</t>
  </si>
  <si>
    <t>betoneira henrique</t>
  </si>
  <si>
    <t>aparafusadora lidl</t>
  </si>
  <si>
    <t>glass temu</t>
  </si>
  <si>
    <t>serpapintp</t>
  </si>
  <si>
    <t>doctor ori</t>
  </si>
  <si>
    <t>materiel moreis electricidad</t>
  </si>
  <si>
    <t>norticor microcimento</t>
  </si>
  <si>
    <t>water</t>
  </si>
  <si>
    <t>mercearia antiga 1900 santa comba dao</t>
  </si>
  <si>
    <t>materiel sand e tijolo</t>
  </si>
  <si>
    <t>lampada e luz</t>
  </si>
  <si>
    <t>car rental</t>
  </si>
  <si>
    <t>gaz</t>
  </si>
  <si>
    <t>Red Bull</t>
  </si>
  <si>
    <t>portagem</t>
  </si>
  <si>
    <t>ricado</t>
  </si>
  <si>
    <t>Sprite</t>
  </si>
  <si>
    <t>iva 2025 12t</t>
  </si>
  <si>
    <t>thorman light</t>
  </si>
  <si>
    <t>henrique tiolo, pedras, cal, cimwento...</t>
  </si>
  <si>
    <t>henrique tijolo, pedras cal, ...</t>
  </si>
  <si>
    <t>Furniture</t>
  </si>
  <si>
    <t>antonio third and last part</t>
  </si>
  <si>
    <t>certidao permanente</t>
  </si>
  <si>
    <t>joao 10 days</t>
  </si>
  <si>
    <t>baltazar e nascimento</t>
  </si>
  <si>
    <t>bandit flight ticket</t>
  </si>
  <si>
    <t>Ice cube – Bar</t>
  </si>
  <si>
    <t>botequim saturday team</t>
  </si>
  <si>
    <t>antonio areia cimento e lixo</t>
  </si>
  <si>
    <t>lidl</t>
  </si>
  <si>
    <t>oelho</t>
  </si>
  <si>
    <t>snipes</t>
  </si>
  <si>
    <t>outlet</t>
  </si>
  <si>
    <t>marcos azulejos</t>
  </si>
  <si>
    <t>robbilac paint</t>
  </si>
  <si>
    <t>hm</t>
  </si>
  <si>
    <t>vidrossonoba primer pagamento 50 por cento</t>
  </si>
  <si>
    <t>Bar Liquor</t>
  </si>
  <si>
    <t>Badi - 3 weeks paid, current week and 2 weeks in advance</t>
  </si>
  <si>
    <t>Sangria</t>
  </si>
  <si>
    <t>joao</t>
  </si>
  <si>
    <t>europontal areia</t>
  </si>
  <si>
    <t>brico marche cola</t>
  </si>
  <si>
    <t>drogueria sao luis</t>
  </si>
  <si>
    <t>brico marche cemento</t>
  </si>
  <si>
    <t>Mapfre</t>
  </si>
  <si>
    <t>mapfre</t>
  </si>
  <si>
    <t>drogueria vitor</t>
  </si>
  <si>
    <t>spar food</t>
  </si>
  <si>
    <t>zara</t>
  </si>
  <si>
    <t>urgencia hpa</t>
  </si>
  <si>
    <t>Verso3</t>
  </si>
  <si>
    <t>oftalmologia</t>
  </si>
  <si>
    <t>botequim saturday ricardo</t>
  </si>
  <si>
    <t>botequim</t>
  </si>
  <si>
    <t>robialac paint door</t>
  </si>
  <si>
    <t>farmacie</t>
  </si>
  <si>
    <t>Liqueur</t>
  </si>
  <si>
    <t>superpinto</t>
  </si>
  <si>
    <t>caixa fusivel electrinfaro</t>
  </si>
  <si>
    <t>electrinfaro caixa terra</t>
  </si>
  <si>
    <t>food pingo doce</t>
  </si>
  <si>
    <t>placa le routard</t>
  </si>
  <si>
    <t xml:space="preserve">UBER EATS HELP.UBER.CO     </t>
  </si>
  <si>
    <t>o tosta faro beach food</t>
  </si>
  <si>
    <t>Verso5</t>
  </si>
  <si>
    <t>leroy merlun tools</t>
  </si>
  <si>
    <t>material henrique</t>
  </si>
  <si>
    <t>cafe ivan</t>
  </si>
  <si>
    <t>coelho food</t>
  </si>
  <si>
    <t>cafe starbuck</t>
  </si>
  <si>
    <t>Bar Rooftop</t>
  </si>
  <si>
    <t>cafe vanilla</t>
  </si>
  <si>
    <t>Green Wine</t>
  </si>
  <si>
    <t>Service Date</t>
  </si>
  <si>
    <t>person</t>
  </si>
  <si>
    <t>Credits</t>
  </si>
  <si>
    <t>Transaction Description</t>
  </si>
  <si>
    <t>Payment ID</t>
  </si>
  <si>
    <t>bed</t>
  </si>
  <si>
    <t>Primary Guest Full Name</t>
  </si>
  <si>
    <t>Check-In Date</t>
  </si>
  <si>
    <t>Check-Out Date</t>
  </si>
  <si>
    <t>incendio moreis</t>
  </si>
  <si>
    <t>nights</t>
  </si>
  <si>
    <t>beds</t>
  </si>
  <si>
    <t>price per bed</t>
  </si>
  <si>
    <t>ricardo and team botequim</t>
  </si>
  <si>
    <t>chao de pedra marmistoi second part</t>
  </si>
  <si>
    <t>Claudio</t>
  </si>
  <si>
    <t>cardoso baixada electrica</t>
  </si>
  <si>
    <t>tiles bathroom</t>
  </si>
  <si>
    <t>Vinho tinto</t>
  </si>
  <si>
    <t>adri food osaka</t>
  </si>
  <si>
    <t>cafe brico.</t>
  </si>
  <si>
    <t>From Bpi to Revolut</t>
  </si>
  <si>
    <t>Anna Inmisch</t>
  </si>
  <si>
    <t>adri pocket money to revolut</t>
  </si>
  <si>
    <t>Jean Phillipe</t>
  </si>
  <si>
    <t>train to lagoa</t>
  </si>
  <si>
    <t>Rajae</t>
  </si>
  <si>
    <t>bricomarche</t>
  </si>
  <si>
    <t>material ricardo</t>
  </si>
  <si>
    <t>Rent Adri</t>
  </si>
  <si>
    <t>Renda Adrien</t>
  </si>
  <si>
    <t>Whasah</t>
  </si>
  <si>
    <t>Renda caucao</t>
  </si>
  <si>
    <t>Jean White</t>
  </si>
  <si>
    <t>Walter</t>
  </si>
  <si>
    <t>Austauir</t>
  </si>
  <si>
    <t>food coelho</t>
  </si>
  <si>
    <t>Javier</t>
  </si>
  <si>
    <t>Beer 1L</t>
  </si>
  <si>
    <t>Marren</t>
  </si>
  <si>
    <t>Maser</t>
  </si>
  <si>
    <t>Michael</t>
  </si>
  <si>
    <t>online isolant batheroom</t>
  </si>
  <si>
    <t>food botequim</t>
  </si>
  <si>
    <t>Nabil</t>
  </si>
  <si>
    <t>Wujia</t>
  </si>
  <si>
    <t>Carla Everad</t>
  </si>
  <si>
    <t>Flage</t>
  </si>
  <si>
    <t>Magdalena</t>
  </si>
  <si>
    <t>Juluis</t>
  </si>
  <si>
    <t>Huston</t>
  </si>
  <si>
    <t>Trarieux</t>
  </si>
  <si>
    <t>Gauthier</t>
  </si>
  <si>
    <t>Jordan</t>
  </si>
  <si>
    <t>Lucas</t>
  </si>
  <si>
    <t>Lyla</t>
  </si>
  <si>
    <t>Bar</t>
  </si>
  <si>
    <t>Abel</t>
  </si>
  <si>
    <t>Jennifer</t>
  </si>
  <si>
    <t>Marie</t>
  </si>
  <si>
    <t>anabela contabilidade</t>
  </si>
  <si>
    <t>Victoria</t>
  </si>
  <si>
    <t>Dario</t>
  </si>
  <si>
    <t>food with nathalie bombay palace</t>
  </si>
  <si>
    <t>Camille</t>
  </si>
  <si>
    <t>morais electricity</t>
  </si>
  <si>
    <t>decathlon buildong cloths</t>
  </si>
  <si>
    <t>Callum</t>
  </si>
  <si>
    <t>Brico marche</t>
  </si>
  <si>
    <t>paint  white</t>
  </si>
  <si>
    <t>Henri Li</t>
  </si>
  <si>
    <t>macdo</t>
  </si>
  <si>
    <t>Kejan</t>
  </si>
  <si>
    <t>Sebastian</t>
  </si>
  <si>
    <t>Limao</t>
  </si>
  <si>
    <t>Sara</t>
  </si>
  <si>
    <t>linkedin</t>
  </si>
  <si>
    <t>Abde</t>
  </si>
  <si>
    <t>Lars</t>
  </si>
  <si>
    <t>teresa</t>
  </si>
  <si>
    <t>Bandit</t>
  </si>
  <si>
    <t>Calors</t>
  </si>
  <si>
    <t>nene microcimento</t>
  </si>
  <si>
    <t>Andrze</t>
  </si>
  <si>
    <t>coelho</t>
  </si>
  <si>
    <t>beer spar</t>
  </si>
  <si>
    <t>Jochen</t>
  </si>
  <si>
    <t>Kiddo</t>
  </si>
  <si>
    <t>Mint</t>
  </si>
  <si>
    <t>Oguz</t>
  </si>
  <si>
    <t>material brico marche</t>
  </si>
  <si>
    <t>Mose</t>
  </si>
  <si>
    <t>glass bullions romania</t>
  </si>
  <si>
    <t>Joeker</t>
  </si>
  <si>
    <t>Alexandra</t>
  </si>
  <si>
    <t>marcos azulehos</t>
  </si>
  <si>
    <t>brico</t>
  </si>
  <si>
    <t>Olivia</t>
  </si>
  <si>
    <t>plaster tecfina</t>
  </si>
  <si>
    <t>Matuii</t>
  </si>
  <si>
    <t>fresh mix</t>
  </si>
  <si>
    <t>architecte 3 renda</t>
  </si>
  <si>
    <t>Rhum</t>
  </si>
  <si>
    <t>Sarra</t>
  </si>
  <si>
    <t>Kellian</t>
  </si>
  <si>
    <t>Matvi</t>
  </si>
  <si>
    <t>Julian</t>
  </si>
  <si>
    <t>Outros</t>
  </si>
  <si>
    <t>mabalgarve silicone noir</t>
  </si>
  <si>
    <t>Matvii</t>
  </si>
  <si>
    <t>mabalgarve</t>
  </si>
  <si>
    <t>drogueria sao pedro paint</t>
  </si>
  <si>
    <t>Snacks</t>
  </si>
  <si>
    <t>amazon paint tank e housse madalena</t>
  </si>
  <si>
    <t>King</t>
  </si>
  <si>
    <t>Finn</t>
  </si>
  <si>
    <t>botequim ricardo</t>
  </si>
  <si>
    <t>Ramon</t>
  </si>
  <si>
    <t>best deal</t>
  </si>
  <si>
    <t>mudanca furniture</t>
  </si>
  <si>
    <t>Raby</t>
  </si>
  <si>
    <t>Hammack</t>
  </si>
  <si>
    <t>rede roof top</t>
  </si>
  <si>
    <t>Clie</t>
  </si>
  <si>
    <t>furnitures ikea</t>
  </si>
  <si>
    <t>SodaWater</t>
  </si>
  <si>
    <t>Isabel</t>
  </si>
  <si>
    <t>maison du monde</t>
  </si>
  <si>
    <t>James W</t>
  </si>
  <si>
    <t>food annicversario ricardo</t>
  </si>
  <si>
    <t>autorisation police</t>
  </si>
  <si>
    <t>Rylee</t>
  </si>
  <si>
    <t>bricomarc he</t>
  </si>
  <si>
    <t>Scott B</t>
  </si>
  <si>
    <t>Diego</t>
  </si>
  <si>
    <t>Caixas de armazenagem - Fatura 06-1</t>
  </si>
  <si>
    <t>Adrien Others</t>
  </si>
  <si>
    <t>Yana</t>
  </si>
  <si>
    <t>Caixas e produtos de limpeza</t>
  </si>
  <si>
    <t>Denys</t>
  </si>
  <si>
    <t>Bar-Mojito</t>
  </si>
  <si>
    <t>Georgia</t>
  </si>
  <si>
    <t>Ana</t>
  </si>
  <si>
    <t>Kilian</t>
  </si>
  <si>
    <t>4   .  X2 veces.     ** i need to coinfirm with my accounting talita, i got 3 payment form them, in total this month. not normal</t>
  </si>
  <si>
    <t>Hostel furnitures</t>
  </si>
  <si>
    <t>Lais</t>
  </si>
  <si>
    <t>General</t>
  </si>
  <si>
    <t>Frigideiras + esfregona + pa+ copo</t>
  </si>
  <si>
    <t>Jyoti</t>
  </si>
  <si>
    <t>LIDL 30/04</t>
  </si>
  <si>
    <t>Aida</t>
  </si>
  <si>
    <t>Aldi 534494</t>
  </si>
  <si>
    <t>Aldi 534489</t>
  </si>
  <si>
    <t>Gardon</t>
  </si>
  <si>
    <t>Aldi 534493</t>
  </si>
  <si>
    <t>Mia</t>
  </si>
  <si>
    <t>Aldi 534491</t>
  </si>
  <si>
    <t>Pills</t>
  </si>
  <si>
    <t>Electromenager</t>
  </si>
  <si>
    <t>Lampadas</t>
  </si>
  <si>
    <t>Aldi 534495</t>
  </si>
  <si>
    <t>food pingo</t>
  </si>
  <si>
    <t>Anna S</t>
  </si>
  <si>
    <t>Phoebe</t>
  </si>
  <si>
    <t>ChillPills</t>
  </si>
  <si>
    <t>Amarguinha</t>
  </si>
  <si>
    <t>???</t>
  </si>
  <si>
    <t>Aldi 534490</t>
  </si>
  <si>
    <t>Aldi 534492</t>
  </si>
  <si>
    <t>Adrien others</t>
  </si>
  <si>
    <t>Karen</t>
  </si>
  <si>
    <t>Cesca Chalis</t>
  </si>
  <si>
    <t>Beirao</t>
  </si>
  <si>
    <t>Mikei</t>
  </si>
  <si>
    <t>vidrossonoba 2 payment</t>
  </si>
  <si>
    <t>wages joao</t>
  </si>
  <si>
    <t>Katie</t>
  </si>
  <si>
    <t>moreis and carlos</t>
  </si>
  <si>
    <t>Koen - hammock</t>
  </si>
  <si>
    <t>ricarddo</t>
  </si>
  <si>
    <t>Arley</t>
  </si>
  <si>
    <t>David</t>
  </si>
  <si>
    <t>nathalie /</t>
  </si>
  <si>
    <t>Melanie R.</t>
  </si>
  <si>
    <t>tecfima plaster</t>
  </si>
  <si>
    <t>Ginha</t>
  </si>
  <si>
    <t>Tobyas</t>
  </si>
  <si>
    <t>wages bandit</t>
  </si>
  <si>
    <t>Pia H. - hammock</t>
  </si>
  <si>
    <t>Pastas e cadernos</t>
  </si>
  <si>
    <t>Alexander C.</t>
  </si>
  <si>
    <t>Bedroom</t>
  </si>
  <si>
    <t>Lençois</t>
  </si>
  <si>
    <t>Afonso G.</t>
  </si>
  <si>
    <t>Anthony H. - hammock</t>
  </si>
  <si>
    <t>lampadas</t>
  </si>
  <si>
    <t>Umash S. - hammock</t>
  </si>
  <si>
    <t>Primark</t>
  </si>
  <si>
    <t>lençois</t>
  </si>
  <si>
    <t>Alexander C. hammack</t>
  </si>
  <si>
    <t>Maciera</t>
  </si>
  <si>
    <t>Josh B. - hammock</t>
  </si>
  <si>
    <t>Kiddo &amp; Friends - hammock</t>
  </si>
  <si>
    <t>Papelpack 04/05/2026</t>
  </si>
  <si>
    <t>Maksym M.</t>
  </si>
  <si>
    <t>Niel C. - hammock</t>
  </si>
  <si>
    <t>Bryan - hammock</t>
  </si>
  <si>
    <t>marmistoi pedra chao</t>
  </si>
  <si>
    <t>Gwen - hammock</t>
  </si>
  <si>
    <t>mosafil tiles</t>
  </si>
  <si>
    <t>Jakob N.</t>
  </si>
  <si>
    <t>Maksym M. - hammock</t>
  </si>
  <si>
    <t>Medronho</t>
  </si>
  <si>
    <t>Bryan</t>
  </si>
  <si>
    <t>Copias e impressao</t>
  </si>
  <si>
    <t>Alexandre - hammock</t>
  </si>
  <si>
    <t>Faty</t>
  </si>
  <si>
    <t>Tip for Moving company</t>
  </si>
  <si>
    <t>Riona</t>
  </si>
  <si>
    <t>Rachael D.</t>
  </si>
  <si>
    <t>Gaby K. - hammock</t>
  </si>
  <si>
    <t>Xabi</t>
  </si>
  <si>
    <t>Sebastien</t>
  </si>
  <si>
    <t>Annika S.</t>
  </si>
  <si>
    <t>mat eletrico morais</t>
  </si>
  <si>
    <t>Jessica A.</t>
  </si>
  <si>
    <t>João</t>
  </si>
  <si>
    <t>PateldeNata</t>
  </si>
  <si>
    <t>Malie P</t>
  </si>
  <si>
    <t>Christina H.</t>
  </si>
  <si>
    <t>Daniel T. - hammock</t>
  </si>
  <si>
    <t>Bandi</t>
  </si>
  <si>
    <t>Viet N. - hammock</t>
  </si>
  <si>
    <t>Extintor license</t>
  </si>
  <si>
    <t>Viet N.</t>
  </si>
  <si>
    <t>Melanie S.</t>
  </si>
  <si>
    <t>Jak H.</t>
  </si>
  <si>
    <t>Marcin H.</t>
  </si>
  <si>
    <t>Last year</t>
  </si>
  <si>
    <t>Marcin H. - hammock</t>
  </si>
  <si>
    <t>Aperol</t>
  </si>
  <si>
    <t>batedoras pancakes</t>
  </si>
  <si>
    <t>Warley</t>
  </si>
  <si>
    <t>Miel G. M.</t>
  </si>
  <si>
    <t>Claudia W.</t>
  </si>
  <si>
    <t>Drogaria São Luiz</t>
  </si>
  <si>
    <t>Zack Byrd</t>
  </si>
  <si>
    <t>Theresa Goetz</t>
  </si>
  <si>
    <t>Ricardo</t>
  </si>
  <si>
    <t>Koen</t>
  </si>
  <si>
    <t>natália</t>
  </si>
  <si>
    <t>Mike</t>
  </si>
  <si>
    <t>Electronfaro</t>
  </si>
  <si>
    <t>Portwine</t>
  </si>
  <si>
    <t>Gabrielle W.</t>
  </si>
  <si>
    <t>Aliona K.</t>
  </si>
  <si>
    <t>Grace M.</t>
  </si>
  <si>
    <t>Laura F.</t>
  </si>
  <si>
    <t>Aldi 543878</t>
  </si>
  <si>
    <t>Alexandra B.</t>
  </si>
  <si>
    <t>Nicola Riede</t>
  </si>
  <si>
    <t>Raffaela</t>
  </si>
  <si>
    <t>Gallileu M. Araujo</t>
  </si>
  <si>
    <t>Antoine F.</t>
  </si>
  <si>
    <t>Azzedline T.</t>
  </si>
  <si>
    <t>Nihan O.</t>
  </si>
  <si>
    <t>Svenja K.</t>
  </si>
  <si>
    <t>Marta P.</t>
  </si>
  <si>
    <t>Kristian M.</t>
  </si>
  <si>
    <t>Liquor Bar</t>
  </si>
  <si>
    <t>Mustapha</t>
  </si>
  <si>
    <t>Valerie C.</t>
  </si>
  <si>
    <t>Laura Hempe</t>
  </si>
  <si>
    <t>Zackary Byrd</t>
  </si>
  <si>
    <t>Hanna Dane</t>
  </si>
  <si>
    <t>Arnaud</t>
  </si>
  <si>
    <t>Delphine G.</t>
  </si>
  <si>
    <t>Julia K.</t>
  </si>
  <si>
    <t>Moreais</t>
  </si>
  <si>
    <t>Briony Kenyon</t>
  </si>
  <si>
    <t>Asan P.</t>
  </si>
  <si>
    <t>Sophie P</t>
  </si>
  <si>
    <t>Justine Gaillet</t>
  </si>
  <si>
    <t>Bricomarche</t>
  </si>
  <si>
    <t>Raya A.</t>
  </si>
  <si>
    <t>Kirsten B.</t>
  </si>
  <si>
    <t>Bedroom"Blankets"</t>
  </si>
  <si>
    <t>Brigette R.</t>
  </si>
  <si>
    <t>Manon T.</t>
  </si>
  <si>
    <t>Furniture cafe zara</t>
  </si>
  <si>
    <t>Rooftop</t>
  </si>
  <si>
    <t>Aqualab</t>
  </si>
  <si>
    <t>Plants</t>
  </si>
  <si>
    <t>refund</t>
  </si>
  <si>
    <t>refundo insurance</t>
  </si>
  <si>
    <t>Animares commission</t>
  </si>
  <si>
    <t>Tereza</t>
  </si>
  <si>
    <t>Bathroom</t>
  </si>
  <si>
    <t>Moraies</t>
  </si>
  <si>
    <t>Justin Bieber</t>
  </si>
  <si>
    <t>Lidl 4139</t>
  </si>
  <si>
    <t>PapelPack 5037</t>
  </si>
  <si>
    <t>TECFIMA LDA</t>
  </si>
  <si>
    <t>Kitchen</t>
  </si>
  <si>
    <t>land to nasser</t>
  </si>
  <si>
    <t>Lidl 56486</t>
  </si>
  <si>
    <t>electromenager</t>
  </si>
  <si>
    <t>miguel teto falso</t>
  </si>
  <si>
    <t>Leo</t>
  </si>
  <si>
    <t>drop justin bieber</t>
  </si>
  <si>
    <t>tereza</t>
  </si>
  <si>
    <t>drop guest book</t>
  </si>
  <si>
    <t>morais materiais</t>
  </si>
  <si>
    <t>Staff</t>
  </si>
  <si>
    <t>Rainy</t>
  </si>
  <si>
    <t>day</t>
  </si>
  <si>
    <t>mês ref</t>
  </si>
  <si>
    <t>year</t>
  </si>
  <si>
    <t>Product</t>
  </si>
  <si>
    <t>Amount</t>
  </si>
  <si>
    <t>Unitary value</t>
  </si>
  <si>
    <t xml:space="preserve"> BRICOMARCHE FARO    8000-429 FA</t>
  </si>
  <si>
    <t>Where?</t>
  </si>
  <si>
    <t>description</t>
  </si>
  <si>
    <t>ano ref</t>
  </si>
  <si>
    <t xml:space="preserve">Lampadaeluz.pt Hapert          </t>
  </si>
  <si>
    <t>Esponja salva-unhas</t>
  </si>
  <si>
    <t>Bedroom"Sheets"</t>
  </si>
  <si>
    <t>city tax may2026</t>
  </si>
  <si>
    <t>Beautifel Rose</t>
  </si>
  <si>
    <t>Refund Bianca</t>
  </si>
  <si>
    <t>loja kik sheets</t>
  </si>
  <si>
    <t>Lidl 40030</t>
  </si>
  <si>
    <t>mama</t>
  </si>
  <si>
    <t>light cafe</t>
  </si>
  <si>
    <t>LOJA TINTAS KORSUL  S B MESSINE</t>
  </si>
  <si>
    <t>3 LOJA TINTAS KORSUL  S B MESSINE</t>
  </si>
  <si>
    <t xml:space="preserve"> FOLHAS IRRESISTIVEISNIF 5180558</t>
  </si>
  <si>
    <t>Pretty</t>
  </si>
  <si>
    <t>Alejandro</t>
  </si>
  <si>
    <t>Greece</t>
  </si>
  <si>
    <t>azuleijos rui</t>
  </si>
  <si>
    <t>nathalie</t>
  </si>
  <si>
    <t>leo</t>
  </si>
  <si>
    <t>Bounce</t>
  </si>
  <si>
    <t>bandit bonus</t>
  </si>
  <si>
    <t>dominique</t>
  </si>
  <si>
    <t>Smoothies</t>
  </si>
  <si>
    <t>Joao</t>
  </si>
  <si>
    <t>MaodeObraSeason8</t>
  </si>
  <si>
    <t>Teresa</t>
  </si>
  <si>
    <t>Nathalie</t>
  </si>
  <si>
    <t>material/tools"Season8"</t>
  </si>
  <si>
    <t>Brico</t>
  </si>
  <si>
    <t>furniture"Season8"</t>
  </si>
  <si>
    <t>verniz</t>
  </si>
  <si>
    <t>Obra-"Season8"</t>
  </si>
  <si>
    <t>ArchitectProject</t>
  </si>
  <si>
    <t>TheProject50</t>
  </si>
  <si>
    <t>BBQfood</t>
  </si>
  <si>
    <t>pay to Natalia</t>
  </si>
  <si>
    <t>relatorio unico</t>
  </si>
  <si>
    <t xml:space="preserve"> Contract Dominique et Leo 60 euros each</t>
  </si>
  <si>
    <t>decoration</t>
  </si>
  <si>
    <t>emprestimo Nasser</t>
  </si>
  <si>
    <t>BBQParty</t>
  </si>
  <si>
    <t>food</t>
  </si>
  <si>
    <t>shine</t>
  </si>
  <si>
    <t>01-08-2026, "DANCINGMAN"</t>
  </si>
  <si>
    <t>Nathalie consultoria com a contadora</t>
  </si>
  <si>
    <t>August 2026</t>
  </si>
  <si>
    <t>2026-08-01, PINGO DOCE</t>
  </si>
  <si>
    <t>BarStools Holland</t>
  </si>
  <si>
    <t>Reembolso Nathalie consultoria com a contadora</t>
  </si>
  <si>
    <t>03-08-2026, "LAVIDA LOCA"</t>
  </si>
  <si>
    <t>Nos</t>
  </si>
  <si>
    <t>korsul 5k5</t>
  </si>
  <si>
    <t>04-08-2026, "NOT THE END"</t>
  </si>
  <si>
    <t>DinnerNight</t>
  </si>
  <si>
    <t>Avenda Adri</t>
  </si>
  <si>
    <t>04-08-2026, KEY COPY</t>
  </si>
  <si>
    <t>04-08-2026, LIDL</t>
  </si>
  <si>
    <t>04-08-2026, MULTICOPIAS</t>
  </si>
  <si>
    <t>UNNECESSARY</t>
  </si>
  <si>
    <t>05-08-2026, "TERAPIN"</t>
  </si>
  <si>
    <t>06-08-2026, ALDI</t>
  </si>
  <si>
    <t>Ajuste</t>
  </si>
  <si>
    <t>Bpi fees</t>
  </si>
  <si>
    <t>07-08-2026, UBER-BANDI SHOPPING</t>
  </si>
  <si>
    <t>09-08-2026, "RING OF FIRE"</t>
  </si>
  <si>
    <t>09-08-2026, TERESA WAGES</t>
  </si>
  <si>
    <t>Van</t>
  </si>
  <si>
    <t>09-08-2026, BANDITO BONUS-MAY</t>
  </si>
  <si>
    <t>10-08-2026, 2/2 DROP, "MORE MONEY"</t>
  </si>
  <si>
    <t>lollipop</t>
  </si>
  <si>
    <t>10-08-2026, 1/2 DROP, "SKATEBOARD"</t>
  </si>
  <si>
    <t>miguel 5k5</t>
  </si>
  <si>
    <t>3 beers</t>
  </si>
  <si>
    <t>Edp Cafe</t>
  </si>
  <si>
    <t>11-08-2026, CARPET CHINESE SHOP</t>
  </si>
  <si>
    <t>15 beers</t>
  </si>
  <si>
    <t>12-08-2026, "ECLIPSE"</t>
  </si>
  <si>
    <t>Manual v2</t>
  </si>
  <si>
    <t>Noveocare</t>
  </si>
  <si>
    <t>Lollipop 1</t>
  </si>
  <si>
    <t>12-08-2026, AUCHAN, POWDER SUGAR</t>
  </si>
  <si>
    <t>luggage store</t>
  </si>
  <si>
    <t>beers 28</t>
  </si>
  <si>
    <t>teresa Wages shift missing</t>
  </si>
  <si>
    <t>14-08-2026, "BETTER NOW"</t>
  </si>
  <si>
    <t>edp</t>
  </si>
  <si>
    <t>14-08-2026, DRYER *BB-SITUATION*</t>
  </si>
  <si>
    <t>15-08-2026, "GLORIA"</t>
  </si>
  <si>
    <t>Luggage store</t>
  </si>
  <si>
    <t>15-08-2026, FRUITS</t>
  </si>
  <si>
    <t>City Tax July 2026</t>
  </si>
  <si>
    <t>Teresa Wages</t>
  </si>
  <si>
    <t>Beer 7</t>
  </si>
  <si>
    <t>Beer 5</t>
  </si>
  <si>
    <t>16-08-2026, ALDI</t>
  </si>
  <si>
    <t>Laundry 1</t>
  </si>
  <si>
    <t>Beer 18</t>
  </si>
  <si>
    <t>Beer 6</t>
  </si>
  <si>
    <t>work &amp; shower</t>
  </si>
  <si>
    <t>Beer 3</t>
  </si>
  <si>
    <t>17-08-2026, "THRILLER"</t>
  </si>
  <si>
    <t>v</t>
  </si>
  <si>
    <t>Beer 16</t>
  </si>
  <si>
    <t>ricardo 5k5</t>
  </si>
  <si>
    <t>Beer 21</t>
  </si>
  <si>
    <t>Paint Korsul</t>
  </si>
  <si>
    <t>17-08-2026, FRUITS</t>
  </si>
  <si>
    <t>18-08-2026, "DOGDAYS"</t>
  </si>
  <si>
    <t>papelpack</t>
  </si>
  <si>
    <t>Luggage 4</t>
  </si>
  <si>
    <t>Rui Azulejos</t>
  </si>
  <si>
    <t>Laundry 2</t>
  </si>
  <si>
    <t>18-08-2026, FRUITS</t>
  </si>
  <si>
    <t>cleaning fee - puke</t>
  </si>
  <si>
    <t>19-08-2026, "SALTED CARAMEL ICECREAM"</t>
  </si>
  <si>
    <t>19-08-2026, FRUITS</t>
  </si>
  <si>
    <t>Beer 8</t>
  </si>
  <si>
    <t>irs</t>
  </si>
  <si>
    <t>Teresa wages 
from 500 salted caramel ice cream drop</t>
  </si>
  <si>
    <t>21-08-2026, CONTINENTE</t>
  </si>
  <si>
    <t>21-08-2026, LIDL</t>
  </si>
  <si>
    <t>Beer 1</t>
  </si>
  <si>
    <t>21-08-2026, HIPERFARO, ENVELOPES</t>
  </si>
  <si>
    <t>23-08-2026, SPAR, 2X ETHIL ALCOHOL</t>
  </si>
  <si>
    <t>Beer 11</t>
  </si>
  <si>
    <t>21-08-2026, SPAR</t>
  </si>
  <si>
    <t>22-08-2026, "PINA COLADA"</t>
  </si>
  <si>
    <t>Jar</t>
  </si>
  <si>
    <t>Change to Adrien Office</t>
  </si>
  <si>
    <t>Beer 4</t>
  </si>
  <si>
    <t>Ikea</t>
  </si>
  <si>
    <t>Miguel from 5k5</t>
  </si>
  <si>
    <t>25-08-2026, "THE SHOW MUST GO ON"</t>
  </si>
  <si>
    <t>SS</t>
  </si>
  <si>
    <t>Leo Wages August</t>
  </si>
  <si>
    <t>Dominique August Wages 2026</t>
  </si>
  <si>
    <t>Fagar</t>
  </si>
  <si>
    <t>27-08-2026, " VENICE QUEEN "</t>
  </si>
  <si>
    <t>28-08-2026, SPAR</t>
  </si>
  <si>
    <t>29-08-2026, "REDBONE"</t>
  </si>
  <si>
    <t>baltazar from 5k5</t>
  </si>
  <si>
    <t>Tools Sergio roques</t>
  </si>
  <si>
    <t>29-08-2026, SPAR</t>
  </si>
  <si>
    <t>Bandit wages 1640 wages monthly &amp; 260 bonus august</t>
  </si>
  <si>
    <t>Teresa from drop Redbones</t>
  </si>
  <si>
    <t>Beer 2</t>
  </si>
  <si>
    <t>Leo Bonus 150 from drop Venice Queen</t>
  </si>
  <si>
    <t>House shine Agosto 2026</t>
  </si>
  <si>
    <t>Lollipop 2</t>
  </si>
  <si>
    <t>Drop 'Mi salad fingers'</t>
  </si>
  <si>
    <t>Beer 12</t>
  </si>
  <si>
    <t>Hayden training</t>
  </si>
  <si>
    <t>Beer 13</t>
  </si>
  <si>
    <t>Avanca Setembro Anabela</t>
  </si>
  <si>
    <t xml:space="preserve">Nathalie gave me money for the food shopping </t>
  </si>
  <si>
    <t>0.5</t>
  </si>
  <si>
    <t>no</t>
  </si>
  <si>
    <t>banana</t>
  </si>
  <si>
    <t>64.2</t>
  </si>
  <si>
    <t>2.99</t>
  </si>
  <si>
    <t>Pingo Doce</t>
  </si>
  <si>
    <t>02/09 Pingo Doce</t>
  </si>
  <si>
    <t>Animaris comission</t>
  </si>
  <si>
    <t>1.49</t>
  </si>
  <si>
    <t>Soya milk</t>
  </si>
  <si>
    <t>Spar 02.09</t>
  </si>
  <si>
    <t>12.64</t>
  </si>
  <si>
    <t>Mabalgarve</t>
  </si>
  <si>
    <t>0.94</t>
  </si>
  <si>
    <t>Drop Box Box Box</t>
  </si>
  <si>
    <t>"Rock DJ" 03.09</t>
  </si>
  <si>
    <t>30.78</t>
  </si>
  <si>
    <t>Indeed</t>
  </si>
  <si>
    <t>VIVA</t>
  </si>
  <si>
    <t>Mugs, Viva, 03.09</t>
  </si>
  <si>
    <t>"Envvelope"
04.09</t>
  </si>
  <si>
    <t>1 luggage, 28/09/2026</t>
  </si>
  <si>
    <t>1.65</t>
  </si>
  <si>
    <t>milk - soya milk
Lidl - 04.2026</t>
  </si>
  <si>
    <t>27.19</t>
  </si>
  <si>
    <t>Amazon</t>
  </si>
  <si>
    <t>Amazon order, pipe for the vacuumer.
04.09.</t>
  </si>
  <si>
    <t>1.99</t>
  </si>
  <si>
    <t>beer 2</t>
  </si>
  <si>
    <t>0.79</t>
  </si>
  <si>
    <t>1.79</t>
  </si>
  <si>
    <t>2 beers. 17.09.2026</t>
  </si>
  <si>
    <t>"LaLALA Land"</t>
  </si>
  <si>
    <t>2 beers, 19/09/2026</t>
  </si>
  <si>
    <t>Teresa 06/09
Natalie night</t>
  </si>
  <si>
    <t>Dominique extra shift</t>
  </si>
  <si>
    <t>1 luggage, 19/09/2026</t>
  </si>
  <si>
    <t>246.04</t>
  </si>
  <si>
    <t>Allianz</t>
  </si>
  <si>
    <t>beer 3</t>
  </si>
  <si>
    <t>From MB to Adrien Money</t>
  </si>
  <si>
    <t>s</t>
  </si>
  <si>
    <t>Nathalie 2 shifts 12 hrs (1 day shift and 1 night shift) and 1 shift 4 hrs,</t>
  </si>
  <si>
    <t>2.79</t>
  </si>
  <si>
    <t>Aldi</t>
  </si>
  <si>
    <t>Aldi, 07.09.2026</t>
  </si>
  <si>
    <t>0.86</t>
  </si>
  <si>
    <t>3.49</t>
  </si>
  <si>
    <t>chinese, tampa sanita</t>
  </si>
  <si>
    <t>Refund - Animaris</t>
  </si>
  <si>
    <t>Refund Animaris for Younes, 08.09.2026</t>
  </si>
  <si>
    <t>3 beers, 25.09.2026</t>
  </si>
  <si>
    <t>5.19</t>
  </si>
  <si>
    <t>3 beers, 27.09.2026</t>
  </si>
  <si>
    <t>bpi fees</t>
  </si>
  <si>
    <t>1.93</t>
  </si>
  <si>
    <t>Fruits Spar</t>
  </si>
  <si>
    <t>Spar, Fruits, 08.09.2026</t>
  </si>
  <si>
    <t>renda</t>
  </si>
  <si>
    <t>"Problem no problem"</t>
  </si>
  <si>
    <t>Drop Box Box Box, "Problem no problem", 09.09.2026</t>
  </si>
  <si>
    <t>Beer dominique</t>
  </si>
  <si>
    <t>191.99</t>
  </si>
  <si>
    <t>4 beers, 24.09.2026</t>
  </si>
  <si>
    <t>24.51</t>
  </si>
  <si>
    <t>tecfima</t>
  </si>
  <si>
    <t>beer 5</t>
  </si>
  <si>
    <t>Spar, Fruits, 09.09.2026</t>
  </si>
  <si>
    <t>Drop Box Box Box, "I need a dollar"</t>
  </si>
  <si>
    <t>Drop Box Box Box, "I need a dollar" 10.09.2026</t>
  </si>
  <si>
    <t>From Drop to Adrien Money</t>
  </si>
  <si>
    <t>0.24</t>
  </si>
  <si>
    <t>Spar, Fruits, 10.09.2026</t>
  </si>
  <si>
    <t>88.59</t>
  </si>
  <si>
    <t>edp madalena 8</t>
  </si>
  <si>
    <t>5 beers, 26.09.2026</t>
  </si>
  <si>
    <t>2.95</t>
  </si>
  <si>
    <t>Lidl</t>
  </si>
  <si>
    <t>Lidl, cafe, 11.09.2026</t>
  </si>
  <si>
    <t>2 luggages, 26.09.2026</t>
  </si>
  <si>
    <t>Adjust</t>
  </si>
  <si>
    <t>3.97</t>
  </si>
  <si>
    <t>5 beers, 28/09/2026</t>
  </si>
  <si>
    <t>Auchan</t>
  </si>
  <si>
    <t>Auchan, Ginja, 12.09.2026</t>
  </si>
  <si>
    <t>0.92</t>
  </si>
  <si>
    <t>Spar</t>
  </si>
  <si>
    <t>Spar, Fruits/flour, 12.09.2026</t>
  </si>
  <si>
    <t>beer 6</t>
  </si>
  <si>
    <t>6 beers, 16/09/2026</t>
  </si>
  <si>
    <t>77.19</t>
  </si>
  <si>
    <t>Leroy Merlun</t>
  </si>
  <si>
    <t>1.59</t>
  </si>
  <si>
    <t>7 beers, 21/09/2026</t>
  </si>
  <si>
    <t>Drop Box Box Box, "Good Food"</t>
  </si>
  <si>
    <t>Drop Box Box Box, "Good Food", 14.09.2026</t>
  </si>
  <si>
    <t>7 beers, 22/09/2026</t>
  </si>
  <si>
    <t>edp august</t>
  </si>
  <si>
    <t>Chill Pills</t>
  </si>
  <si>
    <t>7 beers, 29/09/2026</t>
  </si>
  <si>
    <t>3.72</t>
  </si>
  <si>
    <t>Auchan - Chocolate for Ginja</t>
  </si>
  <si>
    <t>Auchan - Chocolate for Ginja, 14.09.2026</t>
  </si>
  <si>
    <t>7 beers, 30.09.2026</t>
  </si>
  <si>
    <t>2 luggages, 30.09.2026</t>
  </si>
  <si>
    <t>ricardo pret 5k5</t>
  </si>
  <si>
    <t>Tips transporter Stool 5k5</t>
  </si>
  <si>
    <t>Drop Box Box Box "Portugal"</t>
  </si>
  <si>
    <t>Drop Box Box Box - "Portugal" 16/09/2026</t>
  </si>
  <si>
    <t>74.4</t>
  </si>
  <si>
    <t>Papelpack</t>
  </si>
  <si>
    <t>61.8</t>
  </si>
  <si>
    <t>1 laundry, 30.09.2026</t>
  </si>
  <si>
    <t>44.39</t>
  </si>
  <si>
    <t>8 beers, 20/09/2026</t>
  </si>
  <si>
    <t>a</t>
  </si>
  <si>
    <t>42.8</t>
  </si>
  <si>
    <t>8 beers, 23/09/2026</t>
  </si>
  <si>
    <t>4.75</t>
  </si>
  <si>
    <t>10.29</t>
  </si>
  <si>
    <t>Lidl shopping, 17/09/2026</t>
  </si>
  <si>
    <t>5.29</t>
  </si>
  <si>
    <t>0.89</t>
  </si>
  <si>
    <t>2.18</t>
  </si>
  <si>
    <t>412.05</t>
  </si>
  <si>
    <t>Pousa pe latao cafe</t>
  </si>
  <si>
    <t>103.08</t>
  </si>
  <si>
    <t>Frame Moldiber</t>
  </si>
  <si>
    <t>4 luggages, 25.09.2026</t>
  </si>
  <si>
    <t>Drop Box Box Box - "Big Kahoona Burger"</t>
  </si>
  <si>
    <t>Drop Box Box Box " Big Kahoona Burger" 18/09/2026</t>
  </si>
  <si>
    <t>Auchan / Band-Aids</t>
  </si>
  <si>
    <t>Auchan shopping, 18.09.2026</t>
  </si>
  <si>
    <t>Beer 7, 15.09.2026</t>
  </si>
  <si>
    <t>Drop Box Box Box "Kids"</t>
  </si>
  <si>
    <t>Drop Box Box Box "Kids", 19/09/2026</t>
  </si>
  <si>
    <t>Beer 14</t>
  </si>
  <si>
    <t>Moreis/ Carlos 1000 5k5. and 500 1k6</t>
  </si>
  <si>
    <t>Beer 26</t>
  </si>
  <si>
    <t>moreis Matos</t>
  </si>
  <si>
    <t>beer 15</t>
  </si>
  <si>
    <t>Teresa from Drop Box Box Box</t>
  </si>
  <si>
    <t>Beer 15</t>
  </si>
  <si>
    <t>Farmers Market</t>
  </si>
  <si>
    <t>Banana from Farmers Market</t>
  </si>
  <si>
    <t>2 laundry, 17/09/2026</t>
  </si>
  <si>
    <t>Drop Box Box Box "Glorious"</t>
  </si>
  <si>
    <t>Drop Box Box Box " Glorious " 21/09/2026</t>
  </si>
  <si>
    <t>2 guest laundries, 27.09.2026</t>
  </si>
  <si>
    <t>379.28</t>
  </si>
  <si>
    <t>Social Security</t>
  </si>
  <si>
    <t>16 beers, 18/09/2026</t>
  </si>
  <si>
    <t>1.39</t>
  </si>
  <si>
    <t>Spar - Bananas</t>
  </si>
  <si>
    <t>Spar, Bananas, 21/09/2026</t>
  </si>
  <si>
    <t>beer 17</t>
  </si>
  <si>
    <t>Beer 22</t>
  </si>
  <si>
    <t>299.24</t>
  </si>
  <si>
    <t>Switches</t>
  </si>
  <si>
    <t>laundry 3</t>
  </si>
  <si>
    <t>From Paypal to Revolut</t>
  </si>
  <si>
    <t>Auchan Fruits</t>
  </si>
  <si>
    <t>Fruits, Auchan, 22/09/2026</t>
  </si>
  <si>
    <t>Animaris comission-september, 30.09.2026</t>
  </si>
  <si>
    <t>Drop Box Box Box " Bling - Bling "</t>
  </si>
  <si>
    <t>Drop Box Box Box " Bling-Bling ", 23/09/2026</t>
  </si>
  <si>
    <t>Lidl shopping, 23/09/2026</t>
  </si>
  <si>
    <t>Spar shopping, 23/09/2026</t>
  </si>
  <si>
    <t>Drop Box Box Box "Mr. Wallace"</t>
  </si>
  <si>
    <t>Drop Box Box Box. "Mr.Wallace" 24/09/2026</t>
  </si>
  <si>
    <t>Gas</t>
  </si>
  <si>
    <t>Gas, 24/09/2026</t>
  </si>
  <si>
    <t>0.66</t>
  </si>
  <si>
    <t>Bananas</t>
  </si>
  <si>
    <t>Bananas, 25//09/2026</t>
  </si>
  <si>
    <t>drop "Rusty Spoons"</t>
  </si>
  <si>
    <t>Drop Box Box Box, "Rusty SPoons", 27/09/2026</t>
  </si>
  <si>
    <t>Wages - Teresa</t>
  </si>
  <si>
    <t>Wages, Teresa, 27/09/2026</t>
  </si>
  <si>
    <t>669.65</t>
  </si>
  <si>
    <t>fagar</t>
  </si>
  <si>
    <t>1.19</t>
  </si>
  <si>
    <t>Spar shopping, 28/09/2026</t>
  </si>
  <si>
    <t>4.15</t>
  </si>
  <si>
    <t>0.6</t>
  </si>
  <si>
    <t>27.95</t>
  </si>
  <si>
    <t>Dominique</t>
  </si>
  <si>
    <t>Drop Box Box Box ' Riptide'</t>
  </si>
  <si>
    <t>Drop Box Box Box ' Riptide ' 30.09.2026</t>
  </si>
  <si>
    <t>Bonus Hugh season Dominique 250</t>
  </si>
  <si>
    <t>key deposit</t>
  </si>
  <si>
    <t>SEF-book, 30/09/2026</t>
  </si>
  <si>
    <t>House Shine</t>
  </si>
  <si>
    <t>Bandit wages and bonus</t>
  </si>
  <si>
    <t>Hayden Wages Sept 2026</t>
  </si>
  <si>
    <t>GLORIOUS SAMKELISIWE MQADI</t>
  </si>
  <si>
    <t>CATEGORY 3</t>
  </si>
  <si>
    <t>TOTAL sem DROP</t>
  </si>
  <si>
    <t>TOTAL DADOS</t>
  </si>
  <si>
    <t>Noé</t>
  </si>
  <si>
    <t>Guest Full Name</t>
  </si>
  <si>
    <t>Reference</t>
  </si>
  <si>
    <t>dia</t>
  </si>
  <si>
    <t>mes</t>
  </si>
  <si>
    <t>ano</t>
  </si>
  <si>
    <t>dia1</t>
  </si>
  <si>
    <t>mes1</t>
  </si>
  <si>
    <t>ano1</t>
  </si>
  <si>
    <t>Source</t>
  </si>
  <si>
    <t>Status</t>
  </si>
  <si>
    <t>Adults</t>
  </si>
  <si>
    <t>Nights</t>
  </si>
  <si>
    <t>CT Payment Date</t>
  </si>
  <si>
    <t>dia2</t>
  </si>
  <si>
    <t>mes2</t>
  </si>
  <si>
    <t>ano2</t>
  </si>
  <si>
    <t>CT Payment Method</t>
  </si>
  <si>
    <t>Acc Payment Date</t>
  </si>
  <si>
    <t>dia3</t>
  </si>
  <si>
    <t>mes3</t>
  </si>
  <si>
    <t>ano3</t>
  </si>
  <si>
    <t>Acc Payment Method</t>
  </si>
  <si>
    <t>Alexander Peskin</t>
  </si>
  <si>
    <t>HM3RPFSCJD</t>
  </si>
  <si>
    <t>OK</t>
  </si>
  <si>
    <t>Amy Yinhui Tong</t>
  </si>
  <si>
    <t>HM34MCZQDX</t>
  </si>
  <si>
    <t>Annabelle Seidel</t>
  </si>
  <si>
    <t>HMBYMW49YZ</t>
  </si>
  <si>
    <t>ANNIE STEINFELD</t>
  </si>
  <si>
    <t>HMCQ4FSFQ5</t>
  </si>
  <si>
    <t>Aykut Cenk</t>
  </si>
  <si>
    <t>HMYQPZNRQ9</t>
  </si>
  <si>
    <t>Caroline Lanner</t>
  </si>
  <si>
    <t>HMQB8ZSTRM</t>
  </si>
  <si>
    <t>Charlotte Lovell</t>
  </si>
  <si>
    <t>HMNRZXME3H</t>
  </si>
  <si>
    <t>Chloe Leigh Mark</t>
  </si>
  <si>
    <t>HMW5FT8M4S</t>
  </si>
  <si>
    <t>Eileen Krueger</t>
  </si>
  <si>
    <t>HMS2C59FKZ</t>
  </si>
  <si>
    <t>Elsa Osenat</t>
  </si>
  <si>
    <t>HMHQPYYTBJ</t>
  </si>
  <si>
    <t>Hannah Specht</t>
  </si>
  <si>
    <t>HM8PDA3TWR</t>
  </si>
  <si>
    <t>Iris Van Schayck</t>
  </si>
  <si>
    <t>HM5KPRYHXA</t>
  </si>
  <si>
    <t>Ismail Moussabbib</t>
  </si>
  <si>
    <t>HMR3M5FXPM</t>
  </si>
  <si>
    <t>Jade Christine Lacaille</t>
  </si>
  <si>
    <t>HMCCJTZEBW</t>
  </si>
  <si>
    <t>James Barnes</t>
  </si>
  <si>
    <t>HMJT2RCRWW</t>
  </si>
  <si>
    <t>Jean-Philippe Gakwaya</t>
  </si>
  <si>
    <t>HM8Y5PTE4S</t>
  </si>
  <si>
    <t>Jessica Sooth</t>
  </si>
  <si>
    <t>HMBMYN3B5S</t>
  </si>
  <si>
    <t>Joan Viergever</t>
  </si>
  <si>
    <t>HMQQAPD54W</t>
  </si>
  <si>
    <t>Johan Richard</t>
  </si>
  <si>
    <t>HMWC352NBW</t>
  </si>
  <si>
    <t>Jonathan Berkun</t>
  </si>
  <si>
    <t>HMEY9YSHAD</t>
  </si>
  <si>
    <t>Karolina Urbaniak</t>
  </si>
  <si>
    <t>HMWPYQNNRP</t>
  </si>
  <si>
    <t>Laura Fluture</t>
  </si>
  <si>
    <t>HM8MJ95YDD</t>
  </si>
  <si>
    <t>Laura Kyburz</t>
  </si>
  <si>
    <t>HMWK3AEQ9P</t>
  </si>
  <si>
    <t>Léa Le Gall</t>
  </si>
  <si>
    <t>HMCNBRCKZ5</t>
  </si>
  <si>
    <t>Luca Antonia Mehling</t>
  </si>
  <si>
    <t>HMPTAAN543</t>
  </si>
  <si>
    <t>Mahmoud Awaz Kamal</t>
  </si>
  <si>
    <t>HM4EAP5YWA</t>
  </si>
  <si>
    <t>Maria Kondratieva</t>
  </si>
  <si>
    <t>HM59XAQFAM</t>
  </si>
  <si>
    <t>Marion Alvarez</t>
  </si>
  <si>
    <t>HMJKFMBCFQ</t>
  </si>
  <si>
    <t>Martin Mcleod Cross</t>
  </si>
  <si>
    <t>HMX2KDZERF</t>
  </si>
  <si>
    <t>Meike Lucia Frai</t>
  </si>
  <si>
    <t>HM2588QCN4</t>
  </si>
  <si>
    <t>HMQBQZH9HN</t>
  </si>
  <si>
    <t>Michael Dugan</t>
  </si>
  <si>
    <t>HMC3XRP8ZX</t>
  </si>
  <si>
    <t>Noreen Valerie Seidel</t>
  </si>
  <si>
    <t>HMK94ZNFWN</t>
  </si>
  <si>
    <t>Paula Gaile</t>
  </si>
  <si>
    <t>HM8AHA8PZE</t>
  </si>
  <si>
    <t>Pedro de Oliveira Milagres</t>
  </si>
  <si>
    <t>HMP8AQR58B</t>
  </si>
  <si>
    <t>Pierre Yves Le Guern</t>
  </si>
  <si>
    <t>HMAWJTDSRR</t>
  </si>
  <si>
    <t>Piotr Dębski</t>
  </si>
  <si>
    <t>HMRXEHXJF8</t>
  </si>
  <si>
    <t>Raj Panchal</t>
  </si>
  <si>
    <t>HM823H5D4J</t>
  </si>
  <si>
    <t>Samuel Legg</t>
  </si>
  <si>
    <t>HMK8Q84D98</t>
  </si>
  <si>
    <t>Sarah Imhoff</t>
  </si>
  <si>
    <t>HMDFCKKY2Q</t>
  </si>
  <si>
    <t>Sarah Knickel</t>
  </si>
  <si>
    <t>HMA98EW235</t>
  </si>
  <si>
    <t>Sarah Muders</t>
  </si>
  <si>
    <t>HMC4N4JTP8</t>
  </si>
  <si>
    <t>Sofia Stonehouse</t>
  </si>
  <si>
    <t>HMPJESEAPE</t>
  </si>
  <si>
    <t>Tabea Brenner</t>
  </si>
  <si>
    <t>HMME23BAPT</t>
  </si>
  <si>
    <t>Tanja Bächtiger</t>
  </si>
  <si>
    <t>HMBZBFFDCD</t>
  </si>
  <si>
    <t>Tim Kozinowski</t>
  </si>
  <si>
    <t>HM2R9W8HYN</t>
  </si>
  <si>
    <t>Valentin Lancereau</t>
  </si>
  <si>
    <t>HM4WBNZEB5</t>
  </si>
  <si>
    <t>Valery Sokha</t>
  </si>
  <si>
    <t>HM92PTKMZ9</t>
  </si>
  <si>
    <t>Varshitha Katti</t>
  </si>
  <si>
    <t>HM5FYB93AF</t>
  </si>
  <si>
    <t>Cancelled</t>
  </si>
  <si>
    <t>Clémence Quezel-Ambrunaz</t>
  </si>
  <si>
    <t>HMEX8Z88ZT</t>
  </si>
  <si>
    <t>GAELLE DELEURENCE</t>
  </si>
  <si>
    <t>HMCZJ3FSFB</t>
  </si>
  <si>
    <t>Janna-Iman Ababsa</t>
  </si>
  <si>
    <t>HMECNTQJBE</t>
  </si>
  <si>
    <t>Li Jiaxin</t>
  </si>
  <si>
    <t>HM9A2B2NWZ</t>
  </si>
  <si>
    <t>Rasul Mahir</t>
  </si>
  <si>
    <t>HMFXEMHWWF</t>
  </si>
  <si>
    <t>SARAH K</t>
  </si>
  <si>
    <t>HMWT5AWBFT</t>
  </si>
  <si>
    <t>Tejas Krishna Shankar</t>
  </si>
  <si>
    <t>HM8FJQNZSK</t>
  </si>
  <si>
    <t>Thomas Overs</t>
  </si>
  <si>
    <t>HM8H3NBRRE</t>
  </si>
  <si>
    <t>赵浪 ZHAO</t>
  </si>
  <si>
    <t>HMBJ28R2KB</t>
  </si>
  <si>
    <t>ALEX LIENING</t>
  </si>
  <si>
    <t>HMBNW5DSD5</t>
  </si>
  <si>
    <t>ALFIE O'CONNOR</t>
  </si>
  <si>
    <t>HM8A9KPRHE</t>
  </si>
  <si>
    <t>ALINE KAYUMBA</t>
  </si>
  <si>
    <t>HM44NMKFTR</t>
  </si>
  <si>
    <t>AMELIA STEWART</t>
  </si>
  <si>
    <t>HMDFZ94WEN</t>
  </si>
  <si>
    <t>AMÉLIE KÜHNEL</t>
  </si>
  <si>
    <t>HMFRDFX8Y4</t>
  </si>
  <si>
    <t>AUDRÉE LACOUR</t>
  </si>
  <si>
    <t>HMXP5HM8WK</t>
  </si>
  <si>
    <t>CAMILA CARDENAS</t>
  </si>
  <si>
    <t>HMDK9EPQEF</t>
  </si>
  <si>
    <t>CAMILLE PONCET</t>
  </si>
  <si>
    <t>HMS55MAJDA</t>
  </si>
  <si>
    <t>CARMELA DIZON</t>
  </si>
  <si>
    <t>HMYYF8AXQR</t>
  </si>
  <si>
    <t>DEBS BARHAM</t>
  </si>
  <si>
    <t>HMMPMAT49D</t>
  </si>
  <si>
    <t>EINAR SUNDIN</t>
  </si>
  <si>
    <t>HMYPQPFAQ2</t>
  </si>
  <si>
    <t>EMELINE-LEALA LAURENS</t>
  </si>
  <si>
    <t>HMAHNAMAKS</t>
  </si>
  <si>
    <t>EMILIE DOLATA</t>
  </si>
  <si>
    <t>HMDBTHBR9Z</t>
  </si>
  <si>
    <t>EMILY DELROY</t>
  </si>
  <si>
    <t>HMY9TSTCYT</t>
  </si>
  <si>
    <t>FRANTIŠEK GIČ</t>
  </si>
  <si>
    <t>HMKPAPBHJM</t>
  </si>
  <si>
    <t>INES BUSCHER</t>
  </si>
  <si>
    <t>HMRADEP3Q5</t>
  </si>
  <si>
    <t>HMXR5MX2KF</t>
  </si>
  <si>
    <t>IONA HENDERSON</t>
  </si>
  <si>
    <t>HM44YCH3BQ</t>
  </si>
  <si>
    <t>IRINA</t>
  </si>
  <si>
    <t>HMDDEHAFTR</t>
  </si>
  <si>
    <t>JACOB COOK</t>
  </si>
  <si>
    <t>HMTAHQPPE2</t>
  </si>
  <si>
    <t>JARON MEIER</t>
  </si>
  <si>
    <t>HMFH8WX45W</t>
  </si>
  <si>
    <t>JEANNE BEAUGET</t>
  </si>
  <si>
    <t>HMBNABBWS5</t>
  </si>
  <si>
    <t>JENS LANDER</t>
  </si>
  <si>
    <t>HMHACW4CEW</t>
  </si>
  <si>
    <t>JOHANNIE BONIN</t>
  </si>
  <si>
    <t>HM8H8SWTEX</t>
  </si>
  <si>
    <t>JOHN BATAC</t>
  </si>
  <si>
    <t>HMBZJT3B9E</t>
  </si>
  <si>
    <t>KATHERINE BECKMAN</t>
  </si>
  <si>
    <t>HMJ84PQB4Q</t>
  </si>
  <si>
    <t>KEVIN A'HEARN</t>
  </si>
  <si>
    <t>HMRPCZRAFS</t>
  </si>
  <si>
    <t>KIRSTY VENTER</t>
  </si>
  <si>
    <t>HMWZSCBQ5A</t>
  </si>
  <si>
    <t>LAURA WIEDEMANN</t>
  </si>
  <si>
    <t>HM22ZQ3HKY</t>
  </si>
  <si>
    <t>LIAM</t>
  </si>
  <si>
    <t>HMHTYM9PH5</t>
  </si>
  <si>
    <t>LORENA GEBHARD</t>
  </si>
  <si>
    <t>HMJMBPM32P</t>
  </si>
  <si>
    <t>LOUISE KALB</t>
  </si>
  <si>
    <t>HM5E5SQPEQ</t>
  </si>
  <si>
    <t>LUITGARD HAENSEL</t>
  </si>
  <si>
    <t>HMWFCDEA88</t>
  </si>
  <si>
    <t>MADDISON NICOLE</t>
  </si>
  <si>
    <t>HMEZFRMCAN</t>
  </si>
  <si>
    <t>MAGGIE GONG</t>
  </si>
  <si>
    <t>HM8XMJCDTT</t>
  </si>
  <si>
    <t>MAGGIE MCNABB</t>
  </si>
  <si>
    <t>HMQNRFQTFY</t>
  </si>
  <si>
    <t>MARC SOUTH</t>
  </si>
  <si>
    <t>HMZHS2WWTW</t>
  </si>
  <si>
    <t>MARIA ISABEL SANCHEZ RUIZ</t>
  </si>
  <si>
    <t>HM2NMNPR5Z</t>
  </si>
  <si>
    <t>MARIE ABELSEN</t>
  </si>
  <si>
    <t>HM4DCYN29E</t>
  </si>
  <si>
    <t>MARLEEN HEISS</t>
  </si>
  <si>
    <t>HMYXWP4YN4</t>
  </si>
  <si>
    <t>NADINE KRAUSE</t>
  </si>
  <si>
    <t>HM58DDE52W</t>
  </si>
  <si>
    <t>NEVA THOMAS</t>
  </si>
  <si>
    <t>HMRWX8THAW</t>
  </si>
  <si>
    <t>PEDRO PATIÑO</t>
  </si>
  <si>
    <t>HMHWZSKR32</t>
  </si>
  <si>
    <t>RACHEL BISHOP</t>
  </si>
  <si>
    <t>HMXJWSHYBH</t>
  </si>
  <si>
    <t>RAFAELLE COHEN</t>
  </si>
  <si>
    <t>HMQZTQKTN8</t>
  </si>
  <si>
    <t>ROBERTO OJEDA</t>
  </si>
  <si>
    <t>HMMKMZMPJB</t>
  </si>
  <si>
    <t>SRISHTY RAHMAN</t>
  </si>
  <si>
    <t>HMETRMCD8Y</t>
  </si>
  <si>
    <t>TOBY</t>
  </si>
  <si>
    <t>HMD38RKDKN</t>
  </si>
  <si>
    <t>TOMITA PAURA</t>
  </si>
  <si>
    <t>HMEFT34WQD</t>
  </si>
  <si>
    <t>VALERIO ZANICOTTI</t>
  </si>
  <si>
    <t>HMF28NRW39</t>
  </si>
  <si>
    <t>VIRGINIA GARNER</t>
  </si>
  <si>
    <t>HMEY8MXHEE</t>
  </si>
  <si>
    <t>WIKTORIA NOWOGRODZKA</t>
  </si>
  <si>
    <t>HMWYPQMB4B</t>
  </si>
  <si>
    <t>ZACK NORTH</t>
  </si>
  <si>
    <t>HM3EDPJZ8Y</t>
  </si>
  <si>
    <t>ZIKUAN ZHAO</t>
  </si>
  <si>
    <t>HMYZ4MHFT9</t>
  </si>
  <si>
    <t>ANIKA KRIEGER</t>
  </si>
  <si>
    <t>HMEPF8T5Y4</t>
  </si>
  <si>
    <t>ALEXANDRE BARATA</t>
  </si>
  <si>
    <t>HMPQ2EDPZ5</t>
  </si>
  <si>
    <t>GRACIE MADDEN</t>
  </si>
  <si>
    <t>HMZRPWJT8K</t>
  </si>
  <si>
    <t>NIMMI OOMMEN</t>
  </si>
  <si>
    <t>HM2BRT5BRP</t>
  </si>
  <si>
    <t>ADNAN ALLOUSH</t>
  </si>
  <si>
    <t>HM3HWJKNM9</t>
  </si>
  <si>
    <t>ANTARA KHAUND</t>
  </si>
  <si>
    <t>HM3XRRY5EB</t>
  </si>
  <si>
    <t>SITASHMA THAPA</t>
  </si>
  <si>
    <t>HM58C88WS4</t>
  </si>
  <si>
    <t>NATHALIE TORFS</t>
  </si>
  <si>
    <t>HM58EE2C3W</t>
  </si>
  <si>
    <t>GRANT PANARESE</t>
  </si>
  <si>
    <t>HM5EJR3FNF</t>
  </si>
  <si>
    <t>ROMAN GEIGER</t>
  </si>
  <si>
    <t>HM5HRP4DEB</t>
  </si>
  <si>
    <t>JO BROWN</t>
  </si>
  <si>
    <t>HM5MNX28SN</t>
  </si>
  <si>
    <t>JAMES BOATWRIGHT</t>
  </si>
  <si>
    <t>HM5XQKZDBN</t>
  </si>
  <si>
    <t>ERIKA LEON</t>
  </si>
  <si>
    <t>HM8NQWZBW8</t>
  </si>
  <si>
    <t>CESCA CHALLIS</t>
  </si>
  <si>
    <t>HM8ZNXYMPZ</t>
  </si>
  <si>
    <t>JAMIE HURLEY</t>
  </si>
  <si>
    <t>HM93NXXR8P</t>
  </si>
  <si>
    <t>WARLEY LEANDRO</t>
  </si>
  <si>
    <t>HM948KZRRA</t>
  </si>
  <si>
    <t>JACK SO</t>
  </si>
  <si>
    <t>HMA32AB3XH</t>
  </si>
  <si>
    <t>STEFAN BALOI</t>
  </si>
  <si>
    <t>HMDDZESRTX</t>
  </si>
  <si>
    <t>HAILEY WANG</t>
  </si>
  <si>
    <t>HMDHPDYXAF</t>
  </si>
  <si>
    <t>KARLY HRESKO</t>
  </si>
  <si>
    <t>HMEASJ882D</t>
  </si>
  <si>
    <t>No Show</t>
  </si>
  <si>
    <t>JOAKIM BERG</t>
  </si>
  <si>
    <t>HMEBFPD843</t>
  </si>
  <si>
    <t>AYMANE AZIZ</t>
  </si>
  <si>
    <t>HMFCYJ8Y93</t>
  </si>
  <si>
    <t>ANDREAS OLIVER FAHLSTRÖM</t>
  </si>
  <si>
    <t>HMFDPRMAMY</t>
  </si>
  <si>
    <t>SALLY SPALDING</t>
  </si>
  <si>
    <t>HMFJKYHZAM</t>
  </si>
  <si>
    <t>CLÉMENCE TALOU</t>
  </si>
  <si>
    <t>HMH8XMFKJ8</t>
  </si>
  <si>
    <t>LISA MARIE HAAK</t>
  </si>
  <si>
    <t>HMHX5HWHNZ</t>
  </si>
  <si>
    <t>CONSTANZE BOCK</t>
  </si>
  <si>
    <t>HMK4KMK4BQ</t>
  </si>
  <si>
    <t>ARELY DIAZ</t>
  </si>
  <si>
    <t>HMKJNS392H</t>
  </si>
  <si>
    <t>LYDIA KALANZIS</t>
  </si>
  <si>
    <t>HMMJBCTPNP</t>
  </si>
  <si>
    <t>HAZEL BARLOW</t>
  </si>
  <si>
    <t>HMNX3ABKPN</t>
  </si>
  <si>
    <t>HMPB5BXM3B</t>
  </si>
  <si>
    <t>EVE BATTS</t>
  </si>
  <si>
    <t>HMQ8SXDQK2</t>
  </si>
  <si>
    <t>PLUTTO BEATZ</t>
  </si>
  <si>
    <t>HMQNS4Z82Z</t>
  </si>
  <si>
    <t>LAURA-MARIE PRIEWE</t>
  </si>
  <si>
    <t>HMRMCW3ZM8</t>
  </si>
  <si>
    <t>STOYAN LAZAROV</t>
  </si>
  <si>
    <t>HMSHSE2TBM</t>
  </si>
  <si>
    <t>IRINA CRITON</t>
  </si>
  <si>
    <t>HMTFYQHT5J</t>
  </si>
  <si>
    <t>FINN PANZNER</t>
  </si>
  <si>
    <t>HMWQR88FYE</t>
  </si>
  <si>
    <t>SHAUN MEW</t>
  </si>
  <si>
    <t>HMXQK5XKT5</t>
  </si>
  <si>
    <t>KATJA KUZNETSOVA</t>
  </si>
  <si>
    <t>HMYKPJJ53F</t>
  </si>
  <si>
    <t>JASON MOLLETT</t>
  </si>
  <si>
    <t>HMZXP4WWDP</t>
  </si>
  <si>
    <t>ADHUVAID HARIKESAN</t>
  </si>
  <si>
    <t>CANCELLED</t>
  </si>
  <si>
    <t>Adrian Erdmann</t>
  </si>
  <si>
    <t>Agnes Barros</t>
  </si>
  <si>
    <t>Aleksandra Bakastova</t>
  </si>
  <si>
    <t>vv</t>
  </si>
  <si>
    <t>Aleksei Konõšev</t>
  </si>
  <si>
    <t>Alexandre Neghina</t>
  </si>
  <si>
    <t>Alisa Vysotina</t>
  </si>
  <si>
    <t>Alvaro Castillo</t>
  </si>
  <si>
    <t>Alžběta Čumrdová</t>
  </si>
  <si>
    <t>andre antunes</t>
  </si>
  <si>
    <t>Andrea PRIMICERI</t>
  </si>
  <si>
    <t>Andrew Palacios</t>
  </si>
  <si>
    <t>Anisse Dahny</t>
  </si>
  <si>
    <t>Anke Weber</t>
  </si>
  <si>
    <t>Anna Malesevic</t>
  </si>
  <si>
    <t>Novo passp a passo</t>
  </si>
  <si>
    <t>Salvo em Google Drive / casa da madalena / Rotina mensal apartir 09-2026</t>
  </si>
  <si>
    <t>Anna Steinmetz</t>
  </si>
  <si>
    <t>Solicitado</t>
  </si>
  <si>
    <t>ok</t>
  </si>
  <si>
    <t>Feito</t>
  </si>
  <si>
    <t>Armin Schafflützel</t>
  </si>
  <si>
    <t xml:space="preserve">(pela data do check in) reservations from cloudbed </t>
  </si>
  <si>
    <t>Audrey Bastin</t>
  </si>
  <si>
    <t xml:space="preserve">keep the clomns (check last month) </t>
  </si>
  <si>
    <t>change style for days</t>
  </si>
  <si>
    <t>remove cancel</t>
  </si>
  <si>
    <t>Repport / Payments / Payment Ledger
 = n. reserva + data do pagamento + valor acomodação + valor city + como foi pago (bank, cash, card)</t>
  </si>
  <si>
    <t>Battal Kalan</t>
  </si>
  <si>
    <t>https://hotels.cloudbeds.com/connect/9727#/insights/cloudbeds-reports/payment-ledger-72</t>
  </si>
  <si>
    <t>Batuhan Özyurt</t>
  </si>
  <si>
    <t>Brooke O’Carroll</t>
  </si>
  <si>
    <t>Carla Everard</t>
  </si>
  <si>
    <t>Carolin Kerscher</t>
  </si>
  <si>
    <t>Céline Geerts</t>
  </si>
  <si>
    <t>Christina Schulat</t>
  </si>
  <si>
    <t>Christopher Schröder</t>
  </si>
  <si>
    <t>Clara Schnittert</t>
  </si>
  <si>
    <t>Cnockaert Florence</t>
  </si>
  <si>
    <t>Cornelia Pfau</t>
  </si>
  <si>
    <t>Craig Bonnington</t>
  </si>
  <si>
    <t>Dana Parisová</t>
  </si>
  <si>
    <t>Daniela Schelbert</t>
  </si>
  <si>
    <t>Deedee Coremans</t>
  </si>
  <si>
    <t>Dino Rušinović</t>
  </si>
  <si>
    <t>Dorien Mellaerts</t>
  </si>
  <si>
    <t>Eduardo Jr Serrano</t>
  </si>
  <si>
    <t>ELENA pulgar</t>
  </si>
  <si>
    <t>Emma Castagné</t>
  </si>
  <si>
    <t>mudar . para  ,</t>
  </si>
  <si>
    <t>Eva Bienefeld</t>
  </si>
  <si>
    <t>verificar se ledge e reservation tem o mesmo numero de reservas</t>
  </si>
  <si>
    <t>vincular ledge + reservations from cloudbed - colocar coluna data pagamento + credito (room e CT separados) do ledge em reservations</t>
  </si>
  <si>
    <t>Fabien Vasseur</t>
  </si>
  <si>
    <t>Felicia Helmlinger</t>
  </si>
  <si>
    <r>
      <rPr>
        <color rgb="FF1155CC"/>
        <u/>
      </rPr>
      <t>booking.com</t>
    </r>
    <r>
      <rPr/>
      <t xml:space="preserve"> = reservations + PDF do financeiro</t>
    </r>
  </si>
  <si>
    <t>filter transaction date = filter 1 month before and a few days after</t>
  </si>
  <si>
    <t>deixa só check in no mês que estou trabalhando</t>
  </si>
  <si>
    <t>excluir VOID (negativos) (filtrar nomes duplicados)</t>
  </si>
  <si>
    <t>https://account.booking.com/sign-in?op_token=EgVvYXV0aCL8AgoUNlo3Mm9IT2QzNk5uN3prM3BpcmgSCWF1dGhvcml6ZRoaaHR0cHM6Ly9hZG1pbi5ib29raW5nLmNvbS8qgwJ7ImF1dGhfYXR0ZW1wdF9pZCI6ImQ5MDJjY2VhLTg3YjItNGI1Yi1hOGJiLWU4NTgxMDIzY2I4MSIsInBhZ2UiOiIvaG90ZWwvaG90ZWxhZG1pbi9leHRyYW5ldF9uZy9tYW5hZ2UvaG9tZS5odG1sP21vYmlsZV9leHRyYW5ldD0mdXRtX21lZGl1bT1nb190b19leHRyYW5ldF9saW5rJnV0bV90ZXJtPWFkbWluX2xvZ2luJmhvdGVsX2lkPTIwNTk3NjkmdXRtX2NhbXBhaWduPXRvcF9uYXZpZ2F0aW9uJmxhbmc9eGImdXRtX3NvdXJjZT1wYXJ0bmVyX2h1YiJ9MitwcDRKeTZLMWdPelJpSm4tZFdFNXJkUWtXYnpDbE5PeDVnX0x5YXpkQ1VvOgRTMjU2QgRjb2RlKhMwm83QgKHyJzoAQgBY0JDogIgz</t>
  </si>
  <si>
    <t>Fleur Goedkoop</t>
  </si>
  <si>
    <t>Frank Kettenhofen</t>
  </si>
  <si>
    <t>2059769 ---&gt; Summer#2025</t>
  </si>
  <si>
    <t>vai ter guests que já está no schedule</t>
  </si>
  <si>
    <t>Payments -&gt; Payout Report V2- &gt; conferir se cartão de crédito está de acordo com banco</t>
  </si>
  <si>
    <t>Friederike Zeller</t>
  </si>
  <si>
    <t>airbnb = vou hospedar = ganhos</t>
  </si>
  <si>
    <t>casamadalenafaro@gmail.com</t>
  </si>
  <si>
    <t>followthehearts2024</t>
  </si>
  <si>
    <t>cancelado no cloud mas recebeu do airbnb?</t>
  </si>
  <si>
    <t>2 linhas com mesmo codigo de reserva no airbnb?</t>
  </si>
  <si>
    <t>só colocar no oficial o que caiu no banco no mês</t>
  </si>
  <si>
    <t>valor = banco</t>
  </si>
  <si>
    <t>ganhos brutos = cloud</t>
  </si>
  <si>
    <t>hostel world = bookings = Advanced Search = por data check in</t>
  </si>
  <si>
    <t>card = paylink = Payout Report no cloudbed</t>
  </si>
  <si>
    <t>HW + booking + Airbnb = nome + n. reservar + data check in + data check out + valor acomodação</t>
  </si>
  <si>
    <t>paylink + booking + airbnb =  devo lançar despesas em DADOS. Categoaia BPI para paylink e airbnb</t>
  </si>
  <si>
    <t>colar tudo no schedule do google sheets mas data de pagamento do airbnb e booking não preencher</t>
  </si>
  <si>
    <t>data pagamento booking e airbnb preencher de acordo com bank</t>
  </si>
  <si>
    <t>GAYATRI SHASHIKANT KULKARNI</t>
  </si>
  <si>
    <t>colunas ocultas foram preenchidas</t>
  </si>
  <si>
    <r>
      <rPr>
        <color rgb="FF1155CC"/>
        <u/>
      </rPr>
      <t>https://www.airbnb.com.br/users/profile</t>
    </r>
    <r>
      <rPr/>
      <t xml:space="preserve"> no internet explore</t>
    </r>
  </si>
  <si>
    <t>Giulia Cavallo</t>
  </si>
  <si>
    <t>visualizar todas pagas</t>
  </si>
  <si>
    <t>airbnb bate com banco?</t>
  </si>
  <si>
    <t>https://inbox.hostelworld.com/</t>
  </si>
  <si>
    <t>Giulia Meloni</t>
  </si>
  <si>
    <t>Helena Kotthaus</t>
  </si>
  <si>
    <t>272754 / manager</t>
  </si>
  <si>
    <t>thelemonloversclub2025_</t>
  </si>
  <si>
    <r>
      <rPr>
        <color rgb="FF1155CC"/>
        <u/>
      </rPr>
      <t>booking.com</t>
    </r>
    <r>
      <rPr/>
      <t xml:space="preserve"> bate com banco?</t>
    </r>
  </si>
  <si>
    <t>colar no schedule Family&amp;Friends</t>
  </si>
  <si>
    <t>Hirt Lukas</t>
  </si>
  <si>
    <t xml:space="preserve">bank = conferir com extrato - </t>
  </si>
  <si>
    <t>cash = conferir cash flow. is accomodation anete igual accomodation schedule?</t>
  </si>
  <si>
    <t>Isabel Brunner</t>
  </si>
  <si>
    <t>Jemma Packwood</t>
  </si>
  <si>
    <t>conferir monthy todas as categorias</t>
  </si>
  <si>
    <t>conferir final result</t>
  </si>
  <si>
    <t>Jhon Quitian</t>
  </si>
  <si>
    <t>conferir  receptor</t>
  </si>
  <si>
    <t>Jolien De Baere</t>
  </si>
  <si>
    <t>Jonathan Treloar</t>
  </si>
  <si>
    <t>Julien Vitse</t>
  </si>
  <si>
    <t>Julius Klemkow</t>
  </si>
  <si>
    <t>Kai Chiu Lam</t>
  </si>
  <si>
    <t>Kai katrin Jungnickel</t>
  </si>
  <si>
    <t>Katharina Tippmann</t>
  </si>
  <si>
    <t>Kawkab Jordana</t>
  </si>
  <si>
    <t>Kayley Smith</t>
  </si>
  <si>
    <t>Kelly Raines</t>
  </si>
  <si>
    <t>Khandelwal Niharika</t>
  </si>
  <si>
    <t>Kiara Hörbelt</t>
  </si>
  <si>
    <t>Laura Petschke</t>
  </si>
  <si>
    <t>Laura Piraino</t>
  </si>
  <si>
    <t>Lenka Blašková</t>
  </si>
  <si>
    <t>Lennard Bolick</t>
  </si>
  <si>
    <t>Lola Millet</t>
  </si>
  <si>
    <t>Detalhe</t>
  </si>
  <si>
    <t>MAGALI BERUARD</t>
  </si>
  <si>
    <t>Payment</t>
  </si>
  <si>
    <t>ProductExtras</t>
  </si>
  <si>
    <t>Magdalena Jankowska</t>
  </si>
  <si>
    <t>BeerSocial</t>
  </si>
  <si>
    <t>Extra Money</t>
  </si>
  <si>
    <t>Paypal Adrian</t>
  </si>
  <si>
    <t>Bank2</t>
  </si>
  <si>
    <t>Manon Rey</t>
  </si>
  <si>
    <t>Breakfast</t>
  </si>
  <si>
    <t>Mojito</t>
  </si>
  <si>
    <t>Surfboard</t>
  </si>
  <si>
    <t>Xtour</t>
  </si>
  <si>
    <t>Marcel Koss</t>
  </si>
  <si>
    <t>BBQ</t>
  </si>
  <si>
    <t>Wineglass</t>
  </si>
  <si>
    <t>Bar 2024</t>
  </si>
  <si>
    <t>Marcela Fonseca</t>
  </si>
  <si>
    <t>Maria Ledentsova</t>
  </si>
  <si>
    <t>Maria Melgarejo</t>
  </si>
  <si>
    <t>Marie-laure HERREROS</t>
  </si>
  <si>
    <t>Marisa Butter</t>
  </si>
  <si>
    <t>Mauricio Mendez</t>
  </si>
  <si>
    <t>Merle Sandkühler</t>
  </si>
  <si>
    <t>Michael Marren</t>
  </si>
  <si>
    <t>Michèle Bleser</t>
  </si>
  <si>
    <t>Mohamed Zaki Zerouali Omari</t>
  </si>
  <si>
    <t>Monika Kellnerová</t>
  </si>
  <si>
    <t>Nagy Julia</t>
  </si>
  <si>
    <t>Nasser Tachmamadi</t>
  </si>
  <si>
    <t>Niklas Rausch</t>
  </si>
  <si>
    <t>Noemi Roldan</t>
  </si>
  <si>
    <t>Pauline Zimmermann</t>
  </si>
  <si>
    <t>Pawel Golab</t>
  </si>
  <si>
    <t>ralph coombs</t>
  </si>
  <si>
    <t>Ralph Yap</t>
  </si>
  <si>
    <t>Raphaël Honorez</t>
  </si>
  <si>
    <t>Rebecca May</t>
  </si>
  <si>
    <t>Rob Melton</t>
  </si>
  <si>
    <t>Ryan Heydon</t>
  </si>
  <si>
    <t>Sophia Moore</t>
  </si>
  <si>
    <t>Stan Linker</t>
  </si>
  <si>
    <t>Stefan Martens</t>
  </si>
  <si>
    <t>Szilvia Rados</t>
  </si>
  <si>
    <t>Veronika Trojanová</t>
  </si>
  <si>
    <t>William Burton</t>
  </si>
  <si>
    <t>Yana Rodà</t>
  </si>
  <si>
    <t>Ying Ling CHEN</t>
  </si>
  <si>
    <t>Žan Mihelič</t>
  </si>
  <si>
    <t>KENZA BENLAKHAL</t>
  </si>
  <si>
    <t>MARWEN MOUSSA</t>
  </si>
  <si>
    <t>MAXIME BLANCHET</t>
  </si>
  <si>
    <t>NO_SHOW</t>
  </si>
  <si>
    <t xml:space="preserve"> </t>
  </si>
  <si>
    <t>ADA TAMMINEN</t>
  </si>
  <si>
    <t>ADIL LAAMIRI</t>
  </si>
  <si>
    <t>ALEJANDRA NETT</t>
  </si>
  <si>
    <t>ALEXANDRA BOEREE</t>
  </si>
  <si>
    <t>ALEXANDRA HÄMEENVAARA</t>
  </si>
  <si>
    <t>ALEXANDRA KRAHULÍKOVÁ</t>
  </si>
  <si>
    <t>ALEXANDRA ŠILEROVÁ</t>
  </si>
  <si>
    <t>PUT BY MARTA</t>
  </si>
  <si>
    <t>ALEXIANE LE COHU</t>
  </si>
  <si>
    <t>ALICE-STEFANA MOLDOVAN</t>
  </si>
  <si>
    <t>to correct/clarify</t>
  </si>
  <si>
    <t>AMIT MAJITHIA</t>
  </si>
  <si>
    <t>ANDREAS TIPLT</t>
  </si>
  <si>
    <t>ANDRZEJ BILMON</t>
  </si>
  <si>
    <t>ANJALI RAJENDRAKUMAR SHENOI</t>
  </si>
  <si>
    <t>icecube</t>
  </si>
  <si>
    <t>ANNA STEINMETZ</t>
  </si>
  <si>
    <t>ASSOCIAÇÃO ALDEIAS DE CRIANÇAS SOS DE PORTUGAL</t>
  </si>
  <si>
    <t>BENJAMIN MONEY</t>
  </si>
  <si>
    <t>BETHANY DE LA HAYE</t>
  </si>
  <si>
    <t>CAITLIN MCKECHIE</t>
  </si>
  <si>
    <t>CALLUM PEARSON</t>
  </si>
  <si>
    <t>CATHERINE READER</t>
  </si>
  <si>
    <t>CHANTAL PRICE</t>
  </si>
  <si>
    <t>CHARLOTTE BODDIEN</t>
  </si>
  <si>
    <t>CLAUDIA KRAAM</t>
  </si>
  <si>
    <t>CLÁUDIA MARTINS</t>
  </si>
  <si>
    <t>CLÔDELLE PROVOST</t>
  </si>
  <si>
    <t>DEB PYE</t>
  </si>
  <si>
    <t>DEVANSH SHARMA</t>
  </si>
  <si>
    <t>ELISA BELOTTI</t>
  </si>
  <si>
    <t>ELISE TINGLEY</t>
  </si>
  <si>
    <t>EMIL THOMAS RYDEMALM</t>
  </si>
  <si>
    <t>EMMA ROBSON</t>
  </si>
  <si>
    <t>EVIE AMBROSE</t>
  </si>
  <si>
    <t>GAËLLE CLERGEAU</t>
  </si>
  <si>
    <t>GAËLLE DE OLIVEIRA RODRIGUES</t>
  </si>
  <si>
    <t>GINTS BARANOVSKIS</t>
  </si>
  <si>
    <t>GUST ALAERTS</t>
  </si>
  <si>
    <t>HAAKON CAVELL</t>
  </si>
  <si>
    <t>HELENE NRECAJ</t>
  </si>
  <si>
    <t>IRMA GROP</t>
  </si>
  <si>
    <t>JAHNEE WILKS</t>
  </si>
  <si>
    <t>JESSICA GROSCHKE</t>
  </si>
  <si>
    <t>JIAQI LI</t>
  </si>
  <si>
    <t>JOÃO COSTA</t>
  </si>
  <si>
    <t>JOHAN RINTALA</t>
  </si>
  <si>
    <t>JOHANNA HOFER</t>
  </si>
  <si>
    <t>JOHNNY HIGGINBOTHAM</t>
  </si>
  <si>
    <t>JONAS RUPP</t>
  </si>
  <si>
    <t>JUAN CARLOS CASTRO CUEVA</t>
  </si>
  <si>
    <t>JUAN CEPEDA AFANADOR</t>
  </si>
  <si>
    <t>JŪRATĖ GRINCEVIČIŪTĖ</t>
  </si>
  <si>
    <t>JUTTA LEITNER</t>
  </si>
  <si>
    <t>KIM FECHNER</t>
  </si>
  <si>
    <t>Food</t>
  </si>
  <si>
    <t>KIRSTIN HARTMANN</t>
  </si>
  <si>
    <t>Adrien drop</t>
  </si>
  <si>
    <t>LAURÉLINE TEMPLON</t>
  </si>
  <si>
    <t>LEE ZHING YI</t>
  </si>
  <si>
    <t>LEITZ SARAH</t>
  </si>
  <si>
    <t>From Adrian Money to Money Box</t>
  </si>
  <si>
    <t>LENA COETS</t>
  </si>
  <si>
    <t>LEONARDO BREDA</t>
  </si>
  <si>
    <t>LQG GUI</t>
  </si>
  <si>
    <t>LUCERO INSENSÉ</t>
  </si>
  <si>
    <t>LUISA BENKESER</t>
  </si>
  <si>
    <t>MAHOKA KUROYANAGI</t>
  </si>
  <si>
    <t>MANON ARISTIDINI</t>
  </si>
  <si>
    <t>MAREIKE MÜLLER</t>
  </si>
  <si>
    <t>MARK DAVIDSON</t>
  </si>
  <si>
    <t>MARTA MERLUZZI</t>
  </si>
  <si>
    <t>MAYBRITT HESS</t>
  </si>
  <si>
    <t>MOHAMED ZAKI ZEROUALI OMARI</t>
  </si>
  <si>
    <t>MOHAMMAD WAZWAZ</t>
  </si>
  <si>
    <t>NATALIE WILLIAMS</t>
  </si>
  <si>
    <t>NATALLIA ZAHAYEUSKAYA</t>
  </si>
  <si>
    <t>NIAMH MCCOMBE</t>
  </si>
  <si>
    <t>NIKOLA TOLJIC</t>
  </si>
  <si>
    <t>NIKOLAOS PAVLIDIS</t>
  </si>
  <si>
    <t>NOE IWATA</t>
  </si>
  <si>
    <t>NORINA DEUERLING</t>
  </si>
  <si>
    <t>NUNO OLIVEIRA</t>
  </si>
  <si>
    <t>OPHELIE GRIFFOND</t>
  </si>
  <si>
    <t>PASAN MOHOTTI</t>
  </si>
  <si>
    <t>PAVLA FENDRICHOVÁ</t>
  </si>
  <si>
    <t>venda camas beliche</t>
  </si>
  <si>
    <t>PEGGY MAPORISA</t>
  </si>
  <si>
    <t>PHILIP ULLRICH</t>
  </si>
  <si>
    <t>PHILIPPE KRINGER</t>
  </si>
  <si>
    <t>PRAMATH MURTHY</t>
  </si>
  <si>
    <t>RHIAN ASHTON-JONES</t>
  </si>
  <si>
    <t>RUINING YANG</t>
  </si>
  <si>
    <t>SABER KAYGUSUZ</t>
  </si>
  <si>
    <t>SABINE GASTON</t>
  </si>
  <si>
    <t>SAHITHYA KUMAR</t>
  </si>
  <si>
    <t>SAMANTHA WEBSTER</t>
  </si>
  <si>
    <t>SANDRINE NOTARIO</t>
  </si>
  <si>
    <t>SARAHJOYCE GOUTEUX</t>
  </si>
  <si>
    <t>SEBASTIAN GULLBRANDSON</t>
  </si>
  <si>
    <t>SEBASTIAN VRETHAMMAR</t>
  </si>
  <si>
    <t>SEOWON CHOI</t>
  </si>
  <si>
    <t>SHARMA ISHA</t>
  </si>
  <si>
    <t>SOLÈNE LARABI</t>
  </si>
  <si>
    <t>Pastel de Nata</t>
  </si>
  <si>
    <t>Port Wine</t>
  </si>
  <si>
    <t>SOPHIE RICHARD</t>
  </si>
  <si>
    <t>STELLA DAHL</t>
  </si>
  <si>
    <t>TABEA HUMMEL</t>
  </si>
  <si>
    <t>VANEETA MAHTANI</t>
  </si>
  <si>
    <t>VICTORIA GROLAUX</t>
  </si>
  <si>
    <t>VICTORIA INGRASSIA</t>
  </si>
  <si>
    <t>VIVIEN TOTH</t>
  </si>
  <si>
    <t>YANNIG DETHY</t>
  </si>
  <si>
    <t>YAQOOB ALI</t>
  </si>
  <si>
    <t>ZE WEN</t>
  </si>
  <si>
    <t>ZHONG RUI</t>
  </si>
  <si>
    <t>ZIA ZUCKER</t>
  </si>
  <si>
    <t>SARINA TONELLI</t>
  </si>
  <si>
    <t>CHECKED OUT</t>
  </si>
  <si>
    <t>ABDUL MOBEEN JAHEESH</t>
  </si>
  <si>
    <t>COREY SMITH</t>
  </si>
  <si>
    <t>"NomeoftheProject"</t>
  </si>
  <si>
    <t>MaodeObra"NomeoftheProject"</t>
  </si>
  <si>
    <t>MUHAMMAD ASMAIL NABIZADA</t>
  </si>
  <si>
    <t>MARIANNE MESSEMER</t>
  </si>
  <si>
    <t>Materiel"NomeoftheProject"</t>
  </si>
  <si>
    <t>Tools"NomeoftheProject"</t>
  </si>
  <si>
    <t>Obra-"2025"</t>
  </si>
  <si>
    <t>Agua"2025"</t>
  </si>
  <si>
    <t>EVA ZACHMANN</t>
  </si>
  <si>
    <t>Eletricidade"2025"</t>
  </si>
  <si>
    <t>HEENA MOHAMMED</t>
  </si>
  <si>
    <t>Furnitures2025"</t>
  </si>
  <si>
    <t>Incêncio"2025"</t>
  </si>
  <si>
    <t>Mao-de-obra"2025"</t>
  </si>
  <si>
    <t>Material"2025"</t>
  </si>
  <si>
    <t>MARZENA LISOWSKA</t>
  </si>
  <si>
    <t>Tools"2025"</t>
  </si>
  <si>
    <t>BESIM BOSTANCI</t>
  </si>
  <si>
    <t>Obra-"2026"</t>
  </si>
  <si>
    <t>Building/Construction/Company"2026"</t>
  </si>
  <si>
    <t>Cafe/food"2026"</t>
  </si>
  <si>
    <t>BRYAN RODRIGUEZ</t>
  </si>
  <si>
    <t>Furnitures2026"</t>
  </si>
  <si>
    <t>DAGMAR LOVETINSKA</t>
  </si>
  <si>
    <t>Incêncio"2026"</t>
  </si>
  <si>
    <t>JOSE EDUARDO DINIS DANTAS</t>
  </si>
  <si>
    <t>Mao-de-obra"2026"</t>
  </si>
  <si>
    <t>MANDY MCARTHUR</t>
  </si>
  <si>
    <t>Material"2026"</t>
  </si>
  <si>
    <t>SOFIA CIPOLATTI</t>
  </si>
  <si>
    <t>Material/Tools"2026"</t>
  </si>
  <si>
    <t>ABDELLAH BOU ISELMANE</t>
  </si>
  <si>
    <t>Project/Admin"2026"</t>
  </si>
  <si>
    <t>AITBAY SANZHAR</t>
  </si>
  <si>
    <t>Tools"2026"</t>
  </si>
  <si>
    <t>KAROLINE KAMM</t>
  </si>
  <si>
    <t>Uber/ Transporte"2026"</t>
  </si>
  <si>
    <t>CHUN YU JAY LAM</t>
  </si>
  <si>
    <t>Obra-"Beds"</t>
  </si>
  <si>
    <t>Bunkbeds</t>
  </si>
  <si>
    <t>Obra-"FavelaRecycling"</t>
  </si>
  <si>
    <t>furnitures"FavelaRecycling"</t>
  </si>
  <si>
    <t>THOMAS BARLOW</t>
  </si>
  <si>
    <t>Material"FavelaRecycling"</t>
  </si>
  <si>
    <t>JULIE DECUYPER</t>
  </si>
  <si>
    <t>Obra-"NomedoProject"</t>
  </si>
  <si>
    <t>Furnitures"NomedoProject"</t>
  </si>
  <si>
    <t>NINA ROLLAND</t>
  </si>
  <si>
    <t>MaodeObra"NomedoProject"</t>
  </si>
  <si>
    <t>NICOLAS CAICEDO</t>
  </si>
  <si>
    <t>material"NomedoProject"</t>
  </si>
  <si>
    <t>MADELEINE MÜLLER</t>
  </si>
  <si>
    <t>Obra-"Project Cafe"</t>
  </si>
  <si>
    <t>Furnitures"Project Cafe"</t>
  </si>
  <si>
    <t>EKATERINA KUZNETSOVA</t>
  </si>
  <si>
    <t>MaodeObra"Project Cafe"</t>
  </si>
  <si>
    <t>JAKUB DANEK</t>
  </si>
  <si>
    <t>material"Project Cafe"</t>
  </si>
  <si>
    <t>MIKEL VADILLO AZULA</t>
  </si>
  <si>
    <t>Obra-"RoofTop"</t>
  </si>
  <si>
    <t>Furniture"RoofTop"</t>
  </si>
  <si>
    <t>TIAGO PEREIRA</t>
  </si>
  <si>
    <t>MaodeObra"RoofTop"</t>
  </si>
  <si>
    <t>MARTIN DUDAY</t>
  </si>
  <si>
    <t>Tools"RoofTop"</t>
  </si>
  <si>
    <t>ANTHONY HARKINS</t>
  </si>
  <si>
    <t>MARVIN MEIER</t>
  </si>
  <si>
    <t>ALBIA BEGUM</t>
  </si>
  <si>
    <t>MARIA LETIZIA TURI</t>
  </si>
  <si>
    <t>DAVID KERSCHBAUM</t>
  </si>
  <si>
    <t>YOUNES LAFRID</t>
  </si>
  <si>
    <t>GEORGINA MILLINER</t>
  </si>
  <si>
    <t>MIKHAIL SUKHAREV</t>
  </si>
  <si>
    <t>LYDIE DESRIAC</t>
  </si>
  <si>
    <t>CARINE NIJENHUIS</t>
  </si>
  <si>
    <t>AUXI BERRY</t>
  </si>
  <si>
    <t>DANIEL SUCENA</t>
  </si>
  <si>
    <t>OLIVER GROGONO</t>
  </si>
  <si>
    <t>DEBORAH WELLER</t>
  </si>
  <si>
    <t>LAURA BÖCK</t>
  </si>
  <si>
    <t>ANNA SIWIŃSKA</t>
  </si>
  <si>
    <t>ANTÔNIO &amp;AMP; LÚCIA LTD ANTÔNIO &amp;AMP; LÚCIA LTD</t>
  </si>
  <si>
    <t>JAN POHLMANN</t>
  </si>
  <si>
    <t>ANALLY MONTIEL</t>
  </si>
  <si>
    <t>CARVALHO DIRKAS</t>
  </si>
  <si>
    <t>GOURDON CHRISTOPHE</t>
  </si>
  <si>
    <t>ANDRES MARTINEZ SANCHEZ</t>
  </si>
  <si>
    <t>EDYTA KUCHARSKA</t>
  </si>
  <si>
    <t>CĂTĂLIN-FLORIN ROMAN</t>
  </si>
  <si>
    <t>FABIAN SCHNEIDER</t>
  </si>
  <si>
    <t>SIMON MULIER</t>
  </si>
  <si>
    <t>shopping</t>
  </si>
  <si>
    <t>Bag</t>
  </si>
  <si>
    <t>HELDER, CAMPOS</t>
  </si>
  <si>
    <t>The Project 50</t>
  </si>
  <si>
    <t>Architect Project</t>
  </si>
  <si>
    <t>NINA HILDEBRANDT</t>
  </si>
  <si>
    <t>KRISTIYAN DOCHEV</t>
  </si>
  <si>
    <t>JESSICA BAUERNFEIND</t>
  </si>
  <si>
    <t>ALIDA REINSCH</t>
  </si>
  <si>
    <t>STACEY LAMBERT</t>
  </si>
  <si>
    <t>GUILLERMO ORTEGA</t>
  </si>
  <si>
    <t>SOPHIE STOCKWELL</t>
  </si>
  <si>
    <t>JOACHIM-KHITAB ABDALLAH</t>
  </si>
  <si>
    <t>JUAN ANOLING VAN MEERBEECK</t>
  </si>
  <si>
    <t>NOAH RICHARDSON-BOYLAN</t>
  </si>
  <si>
    <t>HAMZA EL ASSRI</t>
  </si>
  <si>
    <t>LUKA TUNJIC</t>
  </si>
  <si>
    <t>OLIVIA LOPEZ HERNANDEZ</t>
  </si>
  <si>
    <t>JOHANNA NOGLI</t>
  </si>
  <si>
    <t>MARTIN KOTTMAIR</t>
  </si>
  <si>
    <t>LAWTON BALLBACH</t>
  </si>
  <si>
    <t>DOUGLAS BASTOS DE ARAUJO CAMPELO</t>
  </si>
  <si>
    <t>ANNA RAWE</t>
  </si>
  <si>
    <t>STEFAN KRUG</t>
  </si>
  <si>
    <t>CHRISTINA LEON</t>
  </si>
  <si>
    <t>GLEIBE SILVA</t>
  </si>
  <si>
    <t>VALESCA MADEIRA</t>
  </si>
  <si>
    <t>GIULIA MELONI</t>
  </si>
  <si>
    <t>RODRIGO SIMÕES FREITAS</t>
  </si>
  <si>
    <t>SABRINA PETERS</t>
  </si>
  <si>
    <t>SAMUEL MICHAEL WALTERS</t>
  </si>
  <si>
    <t>MARCO SPORTELLI</t>
  </si>
  <si>
    <t>VLADIMIR Y</t>
  </si>
  <si>
    <t>SANDRA BOIX TORRENTE</t>
  </si>
  <si>
    <t>MARZENA STUDZIZBA</t>
  </si>
  <si>
    <t>SARAH KIEFABER</t>
  </si>
  <si>
    <t>EMER CREMIN</t>
  </si>
  <si>
    <t>LÓPEZ EDWARD</t>
  </si>
  <si>
    <t>RADEK KRNAC</t>
  </si>
  <si>
    <t>MACARENA CARAMELO</t>
  </si>
  <si>
    <t>MARA SCHARLACH</t>
  </si>
  <si>
    <t>KAREN MALEGO</t>
  </si>
  <si>
    <t>JESSICA AMOH</t>
  </si>
  <si>
    <t>VANESSA MÜLLER</t>
  </si>
  <si>
    <t>SHEDIKA WILLIAMS</t>
  </si>
  <si>
    <t>JIRI BUDIK</t>
  </si>
  <si>
    <t>OMAR HUSSAIN</t>
  </si>
  <si>
    <t>ELLIE DOWSE</t>
  </si>
  <si>
    <t>ISABEL GÓMEZ MÉNDEZ</t>
  </si>
  <si>
    <t>MUSALLIM AFANDIYEV</t>
  </si>
  <si>
    <t>WILLIAM ANDRES HINCAPIE</t>
  </si>
  <si>
    <t>LEA SCHÄDLICH</t>
  </si>
  <si>
    <t>STEINER OLIVER</t>
  </si>
  <si>
    <t>LENA FABER</t>
  </si>
  <si>
    <t>JESS DAMEN</t>
  </si>
  <si>
    <t>GRETA PAN</t>
  </si>
  <si>
    <t>SIAMEN SORKIN</t>
  </si>
  <si>
    <t>MATHIS L&amp;#39;HÉRAULT</t>
  </si>
  <si>
    <t>GOMEZ SANCHEZ DIEGO</t>
  </si>
  <si>
    <t>DAVID SCHNEIDER</t>
  </si>
  <si>
    <t>Sebastian Gullbrandson</t>
  </si>
  <si>
    <t>Checked Out</t>
  </si>
  <si>
    <t>Victoria Emelianenko</t>
  </si>
  <si>
    <t>Benedito Barai</t>
  </si>
  <si>
    <t>Fernanda Mayer</t>
  </si>
  <si>
    <t>Addisson Baker</t>
  </si>
  <si>
    <t>272754-577482561</t>
  </si>
  <si>
    <t>Aniela Florence Nahajski</t>
  </si>
  <si>
    <t>272754-577474305</t>
  </si>
  <si>
    <t>Anke Abbink</t>
  </si>
  <si>
    <t>272754-577183797</t>
  </si>
  <si>
    <t>August Ganchiff</t>
  </si>
  <si>
    <t>272754-577566383</t>
  </si>
  <si>
    <t>Benoit Coppens</t>
  </si>
  <si>
    <t>272754-577254623</t>
  </si>
  <si>
    <t>Chloe Rose Antonen</t>
  </si>
  <si>
    <t>272754-576600696</t>
  </si>
  <si>
    <t>David Zweekhorst</t>
  </si>
  <si>
    <t>272754-577203193</t>
  </si>
  <si>
    <t>Err:508</t>
  </si>
  <si>
    <t>272754-577541403</t>
  </si>
  <si>
    <t>Grégoire Gilly</t>
  </si>
  <si>
    <t>272754-577099633</t>
  </si>
  <si>
    <t>Hanne Taorana Gabryella Lystrup</t>
  </si>
  <si>
    <t>272754-577295375</t>
  </si>
  <si>
    <t>Holly McLeod</t>
  </si>
  <si>
    <t>272754-577606044</t>
  </si>
  <si>
    <t>Jean-Luc THIPLOUSE</t>
  </si>
  <si>
    <t>272754-574474061</t>
  </si>
  <si>
    <t>Jennifer Julia Lisca</t>
  </si>
  <si>
    <t>272754-577695050</t>
  </si>
  <si>
    <t>Josiah Robert Sprague</t>
  </si>
  <si>
    <t>272754-577716950</t>
  </si>
  <si>
    <t>Lea Klarner</t>
  </si>
  <si>
    <t>272754-577281002</t>
  </si>
  <si>
    <t>Lee Suyoung</t>
  </si>
  <si>
    <t>272754-576613584</t>
  </si>
  <si>
    <t>Lisa Czuchin</t>
  </si>
  <si>
    <t>272754-577426048</t>
  </si>
  <si>
    <t>Lucy Hazell</t>
  </si>
  <si>
    <t>272754-576299099</t>
  </si>
  <si>
    <t>Manan Vinod Papdiwala</t>
  </si>
  <si>
    <t>272754-574655468</t>
  </si>
  <si>
    <t>Maximilian Wißmüller</t>
  </si>
  <si>
    <t>272754-577252674</t>
  </si>
  <si>
    <t>Morgan Victoria Kuntz</t>
  </si>
  <si>
    <t>272754-577601092</t>
  </si>
  <si>
    <t>Neha Preethi Swaminathan</t>
  </si>
  <si>
    <t>272754-576140945</t>
  </si>
  <si>
    <t>Nicci Hong Wei-en</t>
  </si>
  <si>
    <t>272754-577064357</t>
  </si>
  <si>
    <t>Nicole Kaiser</t>
  </si>
  <si>
    <t>272754-575596430</t>
  </si>
  <si>
    <t>Philip Ralph Palmer</t>
  </si>
  <si>
    <t>272754-577390793</t>
  </si>
  <si>
    <t>Philipp Strobl</t>
  </si>
  <si>
    <t>272754-577423377</t>
  </si>
  <si>
    <t>Roxane Delangle</t>
  </si>
  <si>
    <t>272754-576622952</t>
  </si>
  <si>
    <t>Theresa Hube</t>
  </si>
  <si>
    <t>272754-577293686</t>
  </si>
  <si>
    <t>AIMEE SUN-THOMPSON</t>
  </si>
  <si>
    <t>272754-578029039</t>
  </si>
  <si>
    <t>ALEXANDER ROSENBERGER</t>
  </si>
  <si>
    <t>272754-578152245</t>
  </si>
  <si>
    <t>ALEXANDRA RACK</t>
  </si>
  <si>
    <t>272754-578174645</t>
  </si>
  <si>
    <t>ALLISON WILSON</t>
  </si>
  <si>
    <t>272754-578404557</t>
  </si>
  <si>
    <t>ANTONIA SAUER</t>
  </si>
  <si>
    <t>272754-578176501</t>
  </si>
  <si>
    <t>ASHLEY CAMMISH</t>
  </si>
  <si>
    <t>272754-577872195</t>
  </si>
  <si>
    <t>AXEL MERLE</t>
  </si>
  <si>
    <t>272754-577867638</t>
  </si>
  <si>
    <t>272754-578195272</t>
  </si>
  <si>
    <t>CARLOS VILA</t>
  </si>
  <si>
    <t>272754-578270153</t>
  </si>
  <si>
    <t>CAROLINA PESTANA</t>
  </si>
  <si>
    <t>272754-578186078</t>
  </si>
  <si>
    <t>CAROLINE DE ARAUJO SANTOS</t>
  </si>
  <si>
    <t>272754-578241864</t>
  </si>
  <si>
    <t>CATHERINE ELIZABETH SIM</t>
  </si>
  <si>
    <t>272754-577910275</t>
  </si>
  <si>
    <t>CHANCE DOUGLASS</t>
  </si>
  <si>
    <t>272754-577148309</t>
  </si>
  <si>
    <t>CHARM ROSALIE BLAIR LEYSHON</t>
  </si>
  <si>
    <t>272754-577886386</t>
  </si>
  <si>
    <t>CHYLEE KEDDIE</t>
  </si>
  <si>
    <t>272754-578385727</t>
  </si>
  <si>
    <t>CLAIRE MULLEN</t>
  </si>
  <si>
    <t>272754-575262496</t>
  </si>
  <si>
    <t>CRAIG HAMER</t>
  </si>
  <si>
    <t>272754-578302205</t>
  </si>
  <si>
    <t>DAVID DELS</t>
  </si>
  <si>
    <t>272754-577695326</t>
  </si>
  <si>
    <t>DILYS JONES</t>
  </si>
  <si>
    <t>272754-578298147</t>
  </si>
  <si>
    <t>ED LUMSDEN</t>
  </si>
  <si>
    <t>272754-578103919</t>
  </si>
  <si>
    <t>EMILY DE KONING</t>
  </si>
  <si>
    <t>272754-578115967</t>
  </si>
  <si>
    <t>FAITH HARDS</t>
  </si>
  <si>
    <t>272754-577380466</t>
  </si>
  <si>
    <t>FLAVIA CHITIC FOLDI</t>
  </si>
  <si>
    <t>272754-578141801</t>
  </si>
  <si>
    <t>FLORE MAES</t>
  </si>
  <si>
    <t>272754-578339660</t>
  </si>
  <si>
    <t>HANNAH TINDALL</t>
  </si>
  <si>
    <t>272754-578430628</t>
  </si>
  <si>
    <t>HAYDEN WINSLOW</t>
  </si>
  <si>
    <t>272754-578054300</t>
  </si>
  <si>
    <t>HENRI LICTEVOUT</t>
  </si>
  <si>
    <t>272754-578216466</t>
  </si>
  <si>
    <t>HENRY ROBERT ASHER BAINBRIDGE</t>
  </si>
  <si>
    <t>272754-578304477</t>
  </si>
  <si>
    <t>IMOGEN GODSMAN-LEE</t>
  </si>
  <si>
    <t>272754-577950730</t>
  </si>
  <si>
    <t>INDIA EVANS</t>
  </si>
  <si>
    <t>272754-578300835</t>
  </si>
  <si>
    <t>ISAAC WNUK</t>
  </si>
  <si>
    <t>272754-578040838</t>
  </si>
  <si>
    <t>ISABELLE HARDING</t>
  </si>
  <si>
    <t>272754-577723776</t>
  </si>
  <si>
    <t>ISABELLE LANE</t>
  </si>
  <si>
    <t>272754-577864467</t>
  </si>
  <si>
    <t>JAIDA WANG</t>
  </si>
  <si>
    <t>272754-578145870</t>
  </si>
  <si>
    <t>JAYESH NAHAR</t>
  </si>
  <si>
    <t>272754-577639459</t>
  </si>
  <si>
    <t>JORA DECLERCK</t>
  </si>
  <si>
    <t>272754-578257224</t>
  </si>
  <si>
    <t>JULIA PAGNUSSATT CECCHELE</t>
  </si>
  <si>
    <t>272754-575852425</t>
  </si>
  <si>
    <t>JULIAN ACKERMANN</t>
  </si>
  <si>
    <t>272754-578220354</t>
  </si>
  <si>
    <t>JULIAN DUBOIS</t>
  </si>
  <si>
    <t>272754-577393653</t>
  </si>
  <si>
    <t>KANOA LESHER</t>
  </si>
  <si>
    <t>272754-577908146</t>
  </si>
  <si>
    <t>KATE BAILIE</t>
  </si>
  <si>
    <t>272754-577279241</t>
  </si>
  <si>
    <t>KATHLEEN TONG</t>
  </si>
  <si>
    <t>272754-577728251</t>
  </si>
  <si>
    <t>KIRSI AIKASARRIO</t>
  </si>
  <si>
    <t>272754-577883018</t>
  </si>
  <si>
    <t>KIRSTY LAWLOR</t>
  </si>
  <si>
    <t>272754-578031966</t>
  </si>
  <si>
    <t>KLAAS WILLEM BOERSMA</t>
  </si>
  <si>
    <t>272754-578221416</t>
  </si>
  <si>
    <t>KRISTIN SCHLEHOFER</t>
  </si>
  <si>
    <t>272754-576991920</t>
  </si>
  <si>
    <t>KYLA HARRY</t>
  </si>
  <si>
    <t>272754-578033238</t>
  </si>
  <si>
    <t>LEA DUFNER</t>
  </si>
  <si>
    <t>272754-577560376</t>
  </si>
  <si>
    <t>LEONIE CARLA EGER</t>
  </si>
  <si>
    <t>272754-577904280</t>
  </si>
  <si>
    <t>LEWIS JAMES JOHN CASSAP</t>
  </si>
  <si>
    <t>272754-577980411</t>
  </si>
  <si>
    <t>LINA MAINZ</t>
  </si>
  <si>
    <t>272754-578237645</t>
  </si>
  <si>
    <t>LINDSAY CROFT</t>
  </si>
  <si>
    <t>272754-578182293</t>
  </si>
  <si>
    <t>LISA SCHIEDEL</t>
  </si>
  <si>
    <t>272754-578412707</t>
  </si>
  <si>
    <t>MARCO SICKER</t>
  </si>
  <si>
    <t>272754-578307095</t>
  </si>
  <si>
    <t>MARILOU GOHIER</t>
  </si>
  <si>
    <t>272754-577799554</t>
  </si>
  <si>
    <t>MARIUS KÜBLER</t>
  </si>
  <si>
    <t>272754-578416159</t>
  </si>
  <si>
    <t>MAXIM CHAUVETTE</t>
  </si>
  <si>
    <t>272754-575630652</t>
  </si>
  <si>
    <t>MEGAN GAVAN</t>
  </si>
  <si>
    <t>272754-577885692</t>
  </si>
  <si>
    <t>NOAH KOLLY</t>
  </si>
  <si>
    <t>272754-577908256</t>
  </si>
  <si>
    <t>PIA HANNES</t>
  </si>
  <si>
    <t>272754-578368214</t>
  </si>
  <si>
    <t>RACHEL JINA</t>
  </si>
  <si>
    <t>272754-576280738</t>
  </si>
  <si>
    <t>ROSIE SMITH</t>
  </si>
  <si>
    <t>272754-577255771</t>
  </si>
  <si>
    <t>RUBY ABBOTT</t>
  </si>
  <si>
    <t>272754-578146504</t>
  </si>
  <si>
    <t>SARA ISAN</t>
  </si>
  <si>
    <t>272754-578323426</t>
  </si>
  <si>
    <t>SARAH ANNE COLE</t>
  </si>
  <si>
    <t>272754-575799394</t>
  </si>
  <si>
    <t>SCUVÉE LUCAS</t>
  </si>
  <si>
    <t>272754-578199526</t>
  </si>
  <si>
    <t>SHANA DAVENPORT</t>
  </si>
  <si>
    <t>272754-578159374</t>
  </si>
  <si>
    <t>SIDDHANT JUYAL</t>
  </si>
  <si>
    <t>272754-578342062</t>
  </si>
  <si>
    <t>SORIYA SOM</t>
  </si>
  <si>
    <t>272754-578293170</t>
  </si>
  <si>
    <t>THOMAS GARCIA</t>
  </si>
  <si>
    <t>272754-577916551</t>
  </si>
  <si>
    <t>THOMAS VIGIER</t>
  </si>
  <si>
    <t>272754-578006210</t>
  </si>
  <si>
    <t>TOM VAN SAMANG</t>
  </si>
  <si>
    <t>272754-578123913</t>
  </si>
  <si>
    <t>VICTOR RADICE</t>
  </si>
  <si>
    <t>272754-578133726</t>
  </si>
  <si>
    <t>Antony Kelleher</t>
  </si>
  <si>
    <t>ANNIKA SCHAPPACHER</t>
  </si>
  <si>
    <t>272754-578487399</t>
  </si>
  <si>
    <t>TOMAS MUINHOS RIVEIRO</t>
  </si>
  <si>
    <t>272754-578379844</t>
  </si>
  <si>
    <t>RUBY HOWARD</t>
  </si>
  <si>
    <t>272754-578340200</t>
  </si>
  <si>
    <t>LISANDRO ARIAS</t>
  </si>
  <si>
    <t>272754-578519151</t>
  </si>
  <si>
    <t>HAMZA AIT LACHGUER</t>
  </si>
  <si>
    <t>272754-578544163</t>
  </si>
  <si>
    <t>LINE NEUMAYR</t>
  </si>
  <si>
    <t>272754-578480608</t>
  </si>
  <si>
    <t>YAEL SCHOENBAUM</t>
  </si>
  <si>
    <t>272754-578531551</t>
  </si>
  <si>
    <t>JASMINA BELARBI</t>
  </si>
  <si>
    <t>272754-578542309</t>
  </si>
  <si>
    <t>JAMES WATERS</t>
  </si>
  <si>
    <t>272754-578582362</t>
  </si>
  <si>
    <t>TRYGVE GRANVIKEN</t>
  </si>
  <si>
    <t>272754-578464149</t>
  </si>
  <si>
    <t>TOMAS MUINHOS</t>
  </si>
  <si>
    <t>272754-578517137</t>
  </si>
  <si>
    <t>BO VAN DE WEGHE</t>
  </si>
  <si>
    <t>272754-578549240</t>
  </si>
  <si>
    <t>CAITLIN TAYLOR</t>
  </si>
  <si>
    <t>272754-578555088</t>
  </si>
  <si>
    <t>RYLEE COOPER</t>
  </si>
  <si>
    <t>272754-578564593</t>
  </si>
  <si>
    <t>SCOTT BELL</t>
  </si>
  <si>
    <t>272754-578574206</t>
  </si>
  <si>
    <t>GEORGIA BECKER</t>
  </si>
  <si>
    <t>272754-578433252</t>
  </si>
  <si>
    <t>PAIGE JANELLE COX</t>
  </si>
  <si>
    <t>272754-578444457</t>
  </si>
  <si>
    <t>MARIA JIMENEZ LOPEZ</t>
  </si>
  <si>
    <t>272754-578464709</t>
  </si>
  <si>
    <t>ZIYING ZHANG</t>
  </si>
  <si>
    <t>272754-578518114</t>
  </si>
  <si>
    <t>LUCY MCMANUS</t>
  </si>
  <si>
    <t>272754-578579834</t>
  </si>
  <si>
    <t>RUBY HOUSMAN-WILKINSON</t>
  </si>
  <si>
    <t>272754-578523553</t>
  </si>
  <si>
    <t>VANESSA ALCALA</t>
  </si>
  <si>
    <t>272754-578499322</t>
  </si>
  <si>
    <t>272754-578444910</t>
  </si>
  <si>
    <t>272754-578550121</t>
  </si>
  <si>
    <t>272754-578567509</t>
  </si>
  <si>
    <t>ALEJANDRO CRESPO</t>
  </si>
  <si>
    <t>272754-578502382</t>
  </si>
  <si>
    <t>MAYA CAPP</t>
  </si>
  <si>
    <t>272754-578603182</t>
  </si>
  <si>
    <t>GEORGI BAJENARU</t>
  </si>
  <si>
    <t>272754-578625317</t>
  </si>
  <si>
    <t>HARRIET EADES</t>
  </si>
  <si>
    <t>272754-578383170</t>
  </si>
  <si>
    <t>GABRIEL ROGER GAGNE</t>
  </si>
  <si>
    <t>272754-578664337</t>
  </si>
  <si>
    <t>PAUL EGAN</t>
  </si>
  <si>
    <t>272754-578691728</t>
  </si>
  <si>
    <t>DINA JAN RIYAZI</t>
  </si>
  <si>
    <t>272754-578343848</t>
  </si>
  <si>
    <t>NIKLAS VOGELER</t>
  </si>
  <si>
    <t>272754-578433645</t>
  </si>
  <si>
    <t>ISABELLA GREGORY</t>
  </si>
  <si>
    <t>272754-578711311</t>
  </si>
  <si>
    <t>IDO GUR HARUSH</t>
  </si>
  <si>
    <t>272754-578726723</t>
  </si>
  <si>
    <t>TAHYA SLAVEN</t>
  </si>
  <si>
    <t>272754-578732602</t>
  </si>
  <si>
    <t>JACK MIZZI</t>
  </si>
  <si>
    <t>272754-578643287</t>
  </si>
  <si>
    <t>GIRARDINI ALIX</t>
  </si>
  <si>
    <t>272754-578466776</t>
  </si>
  <si>
    <t>TALLULAH MORRIS</t>
  </si>
  <si>
    <t>272754-578690900</t>
  </si>
  <si>
    <t>CAROLINE CUILLIERE</t>
  </si>
  <si>
    <t>272754-578365822</t>
  </si>
  <si>
    <t>LUNA WALLUM</t>
  </si>
  <si>
    <t>272754-578767238</t>
  </si>
  <si>
    <t>TINA RICHTER</t>
  </si>
  <si>
    <t>272754-578776951</t>
  </si>
  <si>
    <t>FRANK SCHAEFER</t>
  </si>
  <si>
    <t>272754-578712584</t>
  </si>
  <si>
    <t>ARUZHAN YUSSUP</t>
  </si>
  <si>
    <t>272754-578813496</t>
  </si>
  <si>
    <t>JULIA KLAR</t>
  </si>
  <si>
    <t>272754-578732886</t>
  </si>
  <si>
    <t>MIRIAM ABUSIDO</t>
  </si>
  <si>
    <t>272754-578487060</t>
  </si>
  <si>
    <t>272754-578813336</t>
  </si>
  <si>
    <t>PETER ESPOSITO</t>
  </si>
  <si>
    <t>272754-578798149</t>
  </si>
  <si>
    <t>PHOEBE VAN EKER</t>
  </si>
  <si>
    <t>272754-578764805</t>
  </si>
  <si>
    <t>KATIE EDGELEY</t>
  </si>
  <si>
    <t>272754-578811756</t>
  </si>
  <si>
    <t>TASMAN BERRY</t>
  </si>
  <si>
    <t>272754-578754579</t>
  </si>
  <si>
    <t>FREDERICK HOPKINS</t>
  </si>
  <si>
    <t>272754-578544308</t>
  </si>
  <si>
    <t>TONI LOCKE</t>
  </si>
  <si>
    <t>272754-578825632</t>
  </si>
  <si>
    <t>TESSA SKEWES</t>
  </si>
  <si>
    <t>272754-578890252</t>
  </si>
  <si>
    <t>FANNY MUSIL</t>
  </si>
  <si>
    <t>272754-578564989</t>
  </si>
  <si>
    <t>ALIYYAH KHAN</t>
  </si>
  <si>
    <t>272754-578900466</t>
  </si>
  <si>
    <t>DENNIS SCHLENDER</t>
  </si>
  <si>
    <t>272754-578704969</t>
  </si>
  <si>
    <t>ESHANI AVASTHI</t>
  </si>
  <si>
    <t>272754-578128528</t>
  </si>
  <si>
    <t>NATALIE KELLEWAY</t>
  </si>
  <si>
    <t>272754-578768203</t>
  </si>
  <si>
    <t>JENNA BUCHWACH</t>
  </si>
  <si>
    <t>272754-578933978</t>
  </si>
  <si>
    <t>ROSE CHALFIN-WAKELEY</t>
  </si>
  <si>
    <t>272754-578406041</t>
  </si>
  <si>
    <t>AMY WILLIAMS</t>
  </si>
  <si>
    <t>272754-578869980</t>
  </si>
  <si>
    <t>HANNAH PEASE</t>
  </si>
  <si>
    <t>272754-578893531</t>
  </si>
  <si>
    <t>272754-578898463</t>
  </si>
  <si>
    <t>MATTHEW BOTTA</t>
  </si>
  <si>
    <t>272754-578778532</t>
  </si>
  <si>
    <t>JESSIE JO</t>
  </si>
  <si>
    <t>272754-578747928</t>
  </si>
  <si>
    <t>NABIL MIHOUB</t>
  </si>
  <si>
    <t>272754-578911444</t>
  </si>
  <si>
    <t>JASMINKA KÖHLER</t>
  </si>
  <si>
    <t>272754-578834831</t>
  </si>
  <si>
    <t>FOUAD BELFQIH</t>
  </si>
  <si>
    <t>272754-578976351</t>
  </si>
  <si>
    <t>ALICE DAVID</t>
  </si>
  <si>
    <t>272754-578240712</t>
  </si>
  <si>
    <t>HAYDEN BARTER</t>
  </si>
  <si>
    <t>272754-578630879</t>
  </si>
  <si>
    <t>EMIL LINDEN-PERLIS</t>
  </si>
  <si>
    <t>272754-578914960</t>
  </si>
  <si>
    <t>AMELIE AFFARIAN</t>
  </si>
  <si>
    <t>272754-578797825</t>
  </si>
  <si>
    <t>272754-579073017</t>
  </si>
  <si>
    <t>OLIVIA MAE BROMLEY</t>
  </si>
  <si>
    <t>272754-578752701</t>
  </si>
  <si>
    <t>OMAR MANSOUR</t>
  </si>
  <si>
    <t>272754-578960692</t>
  </si>
  <si>
    <t>TAREK TURKI</t>
  </si>
  <si>
    <t>272754-578880377</t>
  </si>
  <si>
    <t>KATIE DONOVAN</t>
  </si>
  <si>
    <t>272754-579113775</t>
  </si>
  <si>
    <t>ANTOINE CALAMBE</t>
  </si>
  <si>
    <t>272754-578528598</t>
  </si>
  <si>
    <t>RUTH KELLEHER</t>
  </si>
  <si>
    <t>272754-575675828</t>
  </si>
  <si>
    <t>CELINA ELISABETH MARIA MARTENS</t>
  </si>
  <si>
    <t>272754-578436903</t>
  </si>
  <si>
    <t>LOUIS SPENDER</t>
  </si>
  <si>
    <t>272754-578688868</t>
  </si>
  <si>
    <t>MARIE-EVE FRASER</t>
  </si>
  <si>
    <t>272754-578798362</t>
  </si>
  <si>
    <t>ALEXIS COWBOURNE</t>
  </si>
  <si>
    <t>272754-578788710</t>
  </si>
  <si>
    <t>JOSSO CORALIE</t>
  </si>
  <si>
    <t>272754-578836791</t>
  </si>
  <si>
    <t>GERARD GIBB</t>
  </si>
  <si>
    <t>272754-578862661</t>
  </si>
  <si>
    <t>JAKE BUCKLEY</t>
  </si>
  <si>
    <t>272754-578757844</t>
  </si>
  <si>
    <t>ANNIKA ENEVOLDSEN</t>
  </si>
  <si>
    <t>272754-578834089</t>
  </si>
  <si>
    <t>EVIE HARDY</t>
  </si>
  <si>
    <t>272754-578972696</t>
  </si>
  <si>
    <t>272754-579079785</t>
  </si>
  <si>
    <t>SAMUEL O&amp;#39;HANRAHAN</t>
  </si>
  <si>
    <t>272754-578321356</t>
  </si>
  <si>
    <t>GARY MAHON</t>
  </si>
  <si>
    <t>272754-578755343</t>
  </si>
  <si>
    <t>LOTFI JAI</t>
  </si>
  <si>
    <t>272754-578837070</t>
  </si>
  <si>
    <t>Bianca Visekruna</t>
  </si>
  <si>
    <t>Website/Credit Card Engine</t>
  </si>
  <si>
    <t>REGAN SMITH</t>
  </si>
  <si>
    <t>272754-578746679</t>
  </si>
  <si>
    <t>HANNAH MATILDA THOMPSON</t>
  </si>
  <si>
    <t>272754-578485831</t>
  </si>
  <si>
    <t>TRISHA GRUTERS</t>
  </si>
  <si>
    <t>272754-578791862</t>
  </si>
  <si>
    <t>Abel Filipe Goncalves da Costa Sambo</t>
  </si>
  <si>
    <t>Ellen Simoens</t>
  </si>
  <si>
    <t>Karlijn Groen</t>
  </si>
  <si>
    <t>Floriane Jonas</t>
  </si>
  <si>
    <t>Naren Jayapal</t>
  </si>
  <si>
    <t>Whelan Eu Kiat Goh</t>
  </si>
  <si>
    <t>Rachel Dellevar</t>
  </si>
  <si>
    <t>Paul Cantwell</t>
  </si>
  <si>
    <t>In-House</t>
  </si>
  <si>
    <t>Claudia Waite</t>
  </si>
  <si>
    <t>RYAN BERKVENS</t>
  </si>
  <si>
    <t>TAO SUN</t>
  </si>
  <si>
    <t>KEVIN HIEN MINH THIEDE</t>
  </si>
  <si>
    <t>LIMA RENATO</t>
  </si>
  <si>
    <t>COETZEE KIRSTEN</t>
  </si>
  <si>
    <t>TOM KOCKLER</t>
  </si>
  <si>
    <t>HMM2APERHP</t>
  </si>
  <si>
    <t>EVELYN HOPE</t>
  </si>
  <si>
    <t>HMM9YW35RN</t>
  </si>
  <si>
    <t>OSCAR HUNT</t>
  </si>
  <si>
    <t>HMTPJH2RYA</t>
  </si>
  <si>
    <t>LEONID PRYMAK</t>
  </si>
  <si>
    <t>HMQTJHFK5N</t>
  </si>
  <si>
    <t>ELLA LEDERLE</t>
  </si>
  <si>
    <t>272754-578482398</t>
  </si>
  <si>
    <t>FABIAN JOHNSEN</t>
  </si>
  <si>
    <t>272754-579291322</t>
  </si>
  <si>
    <t>BARNEY MELLOR</t>
  </si>
  <si>
    <t>VIRGINIA REILLY</t>
  </si>
  <si>
    <t>FRANK LEWANDOWSKI</t>
  </si>
  <si>
    <t>HMRZX3TSD9</t>
  </si>
  <si>
    <t>JULIE RAMSAY</t>
  </si>
  <si>
    <t>272754-579500923</t>
  </si>
  <si>
    <t>CAROLINE JESSEN</t>
  </si>
  <si>
    <t>GOPINATH PERUMAL</t>
  </si>
  <si>
    <t>RESENDE E SILVA BEATRIZ ALEXANDRA</t>
  </si>
  <si>
    <t>NO SHOW</t>
  </si>
  <si>
    <t>KIMBERLY STENCEL</t>
  </si>
  <si>
    <t>SYLVIA BOURDIN</t>
  </si>
  <si>
    <t>HMHARAY84P</t>
  </si>
  <si>
    <t>MARIA MOLL</t>
  </si>
  <si>
    <t>HM9JPHQZKA</t>
  </si>
  <si>
    <t>JULIANN JACOBI</t>
  </si>
  <si>
    <t>HMKKYXE3CT</t>
  </si>
  <si>
    <t>TITUS IOAN BOCIOC</t>
  </si>
  <si>
    <t>JASMIN GRANT</t>
  </si>
  <si>
    <t>LEONARDO CAMPOS</t>
  </si>
  <si>
    <t>MICHAŁ GRUCA</t>
  </si>
  <si>
    <t>JULIETTE DENIS</t>
  </si>
  <si>
    <t>ANA RITA MENDES RODRIGUES</t>
  </si>
  <si>
    <t>CHRISTIAN KRACH</t>
  </si>
  <si>
    <t>YANNIS XOFAKIS</t>
  </si>
  <si>
    <t>LUCIE QUEMENEUR</t>
  </si>
  <si>
    <t>FLORA SALEH</t>
  </si>
  <si>
    <t>VASILEIOS KATSOULIS</t>
  </si>
  <si>
    <t>ANITA PAOLA COLOMBO</t>
  </si>
  <si>
    <t>JENS DYBDAL</t>
  </si>
  <si>
    <t>MONICA MOSLEY</t>
  </si>
  <si>
    <t>CYRIL MOSER</t>
  </si>
  <si>
    <t>PIA HOFMANN</t>
  </si>
  <si>
    <t>MARIA GARCIA RODRIGUEZ</t>
  </si>
  <si>
    <t>MCKENNA AMY</t>
  </si>
  <si>
    <t>LUIS BERRIZBEITIA</t>
  </si>
  <si>
    <t>GABRIELA GUBENCO</t>
  </si>
  <si>
    <t>DIANA MANNEH</t>
  </si>
  <si>
    <t>DAVID VANRAES</t>
  </si>
  <si>
    <t>JULE AFFLERBACH</t>
  </si>
  <si>
    <t>SARAH DAHMA</t>
  </si>
  <si>
    <t>ANGEL RUIZ</t>
  </si>
  <si>
    <t>NELE STONIES</t>
  </si>
  <si>
    <t>SANDEEP SINGH BHATIA</t>
  </si>
  <si>
    <t>MAYA HAGE</t>
  </si>
  <si>
    <t>VERONICA OLUBAYO</t>
  </si>
  <si>
    <t>SANTO FATY</t>
  </si>
  <si>
    <t>ELENA DEMINA</t>
  </si>
  <si>
    <t>LENA SCHWEIGER</t>
  </si>
  <si>
    <t>SIMON LEASON</t>
  </si>
  <si>
    <t>NATALIA SADOVSKAIA</t>
  </si>
  <si>
    <t>JOSEF MANLUTAC</t>
  </si>
  <si>
    <t>JO RICHARDSON</t>
  </si>
  <si>
    <t>PAULA BRAGA</t>
  </si>
  <si>
    <t>TAHA KANANI</t>
  </si>
  <si>
    <t>ADAM STONE</t>
  </si>
  <si>
    <t>VICTOR FRANCEY</t>
  </si>
  <si>
    <t>HMDEPQTJYE</t>
  </si>
  <si>
    <t>SOPHIE PLOMER</t>
  </si>
  <si>
    <t>HMMQJDTNQ4</t>
  </si>
  <si>
    <t>JULIE CROMBOIS</t>
  </si>
  <si>
    <t>HMQ52Y453P</t>
  </si>
  <si>
    <t>JEAN JACQUES KOUAKOU</t>
  </si>
  <si>
    <t>HMQ9ZXPXN3</t>
  </si>
  <si>
    <t>MATHIEU TREMBLAY</t>
  </si>
  <si>
    <t>HMCNRB2K8Z</t>
  </si>
  <si>
    <t>MARAM SLITIN</t>
  </si>
  <si>
    <t>HMPCYRQJS4</t>
  </si>
  <si>
    <t>PAOLA BORDINI</t>
  </si>
  <si>
    <t>HMWXHEPB2W</t>
  </si>
  <si>
    <t>ALEXANDRA RIENECKER</t>
  </si>
  <si>
    <t>HMXNHTMKRX</t>
  </si>
  <si>
    <t>VANESSA ALMEIDA</t>
  </si>
  <si>
    <t>272754-579613307</t>
  </si>
  <si>
    <t>SARAH OLADELE</t>
  </si>
  <si>
    <t>272754-578754460</t>
  </si>
  <si>
    <t>RENATO CAVASSANA</t>
  </si>
  <si>
    <t>272754-578854876</t>
  </si>
  <si>
    <t>JADE ABROOK</t>
  </si>
  <si>
    <t>272754-578945122</t>
  </si>
  <si>
    <t>CHELSEA GUARDIOLA</t>
  </si>
  <si>
    <t>272754-579113159</t>
  </si>
  <si>
    <t>BREANA HURST</t>
  </si>
  <si>
    <t>272754-579341569</t>
  </si>
  <si>
    <t>MADISON FRANCIS</t>
  </si>
  <si>
    <t>272754-579207952</t>
  </si>
  <si>
    <t>DINAH SOPHIE PIESLINGER</t>
  </si>
  <si>
    <t>272754-579133530</t>
  </si>
  <si>
    <t>ZIHOU ZHANG</t>
  </si>
  <si>
    <t>272754-579161640</t>
  </si>
  <si>
    <t>ALICE FRANCIS-FREEMAN</t>
  </si>
  <si>
    <t>272754-579146653</t>
  </si>
  <si>
    <t>LOTTE HEIJT</t>
  </si>
  <si>
    <t>272754-579269604</t>
  </si>
  <si>
    <t>BECCA COOKSLEY</t>
  </si>
  <si>
    <t>272754-579342011</t>
  </si>
  <si>
    <t>MEREL BEZEMER</t>
  </si>
  <si>
    <t>272754-579343976</t>
  </si>
  <si>
    <t>NEIL O&amp;#39;DWYER</t>
  </si>
  <si>
    <t>272754-579354518</t>
  </si>
  <si>
    <t>LUKE OWEN</t>
  </si>
  <si>
    <t>272754-579344290</t>
  </si>
  <si>
    <t>TAHLIA CROSS</t>
  </si>
  <si>
    <t>272754-579479504</t>
  </si>
  <si>
    <t>RAEVEN BRANCH</t>
  </si>
  <si>
    <t>272754-579345012</t>
  </si>
  <si>
    <t>LUISA PEITZMANN</t>
  </si>
  <si>
    <t>272754-579353353</t>
  </si>
  <si>
    <t>MYKA PARÉ</t>
  </si>
  <si>
    <t>272754-579532357</t>
  </si>
  <si>
    <t>JENNY MÜHLBAUER</t>
  </si>
  <si>
    <t>272754-579635044</t>
  </si>
  <si>
    <t>JULIAN FRICK</t>
  </si>
  <si>
    <t>272754-579417814</t>
  </si>
  <si>
    <t>WINNIE GOERITZ</t>
  </si>
  <si>
    <t>272754-579412840</t>
  </si>
  <si>
    <t>ANNA PALMER</t>
  </si>
  <si>
    <t>272754-579499873</t>
  </si>
  <si>
    <t>KIRSTY SHORE</t>
  </si>
  <si>
    <t>HMHZTJ4J3D</t>
  </si>
  <si>
    <t>MICHELE GREGORI</t>
  </si>
  <si>
    <t>SHAHUL L</t>
  </si>
  <si>
    <t>272754-579688950</t>
  </si>
  <si>
    <t>MOTOYAMA FUMINO</t>
  </si>
  <si>
    <t>GABRIELA KUPIS</t>
  </si>
  <si>
    <t>272754-579208316</t>
  </si>
  <si>
    <t>NADINE NAIDOO</t>
  </si>
  <si>
    <t>LISA KAMPFER</t>
  </si>
  <si>
    <t>AMELIE SAM</t>
  </si>
  <si>
    <t>HMHDXPQ24C</t>
  </si>
  <si>
    <t>NADIIM D</t>
  </si>
  <si>
    <t>272754-579202001</t>
  </si>
  <si>
    <t>GWENAËLLE BOUCHET</t>
  </si>
  <si>
    <t>MICHELLE L, DI LAURO</t>
  </si>
  <si>
    <t>RAFFAELA ALBISETTI</t>
  </si>
  <si>
    <t>SAM SENIOR</t>
  </si>
  <si>
    <t>LISA ANTPÖHLER</t>
  </si>
  <si>
    <t>272754-579493681</t>
  </si>
  <si>
    <t>BEN STEINEKE</t>
  </si>
  <si>
    <t>272754-579090733</t>
  </si>
  <si>
    <t>UMASHANKAR SRIDHAR</t>
  </si>
  <si>
    <t>272754-579100581</t>
  </si>
  <si>
    <t>LUKE WHITE</t>
  </si>
  <si>
    <t>272754-579293825</t>
  </si>
  <si>
    <t>ELEONORE MAIO</t>
  </si>
  <si>
    <t>THIBAUD LAURENT</t>
  </si>
  <si>
    <t>LUIS BELL</t>
  </si>
  <si>
    <t>RIONA ASHWORTH OCALLAGHAN</t>
  </si>
  <si>
    <t>ZACKARY BYRD</t>
  </si>
  <si>
    <t>272754-579725084</t>
  </si>
  <si>
    <t>ABI LEVERETT</t>
  </si>
  <si>
    <t>272754-579282325</t>
  </si>
  <si>
    <t>SOPHIA BACHMANN</t>
  </si>
  <si>
    <t>HM3WHSXZAW</t>
  </si>
  <si>
    <t>NEESHA JASWAL</t>
  </si>
  <si>
    <t>JAK HEADLEY</t>
  </si>
  <si>
    <t>AOIFE MCAULIFFE</t>
  </si>
  <si>
    <t>ISABELLA HERZOG</t>
  </si>
  <si>
    <t>IVAN DI NARDO</t>
  </si>
  <si>
    <t>RENAUD ROEHRICH-GASCON</t>
  </si>
  <si>
    <t>ELISA DE MURI</t>
  </si>
  <si>
    <t>LIGIA MONTERROSO</t>
  </si>
  <si>
    <t>LORENZO CHIURCHIONI</t>
  </si>
  <si>
    <t>LEO MELLOR-ATKINSON</t>
  </si>
  <si>
    <t>EMILIE DELVOYE</t>
  </si>
  <si>
    <t>YOHAN ROUBY</t>
  </si>
  <si>
    <t>ŁUCJA GAJĘCKA</t>
  </si>
  <si>
    <t>MAROUN FEGHALI</t>
  </si>
  <si>
    <t>PIOTR SOBCZYK</t>
  </si>
  <si>
    <t>JOSHUA BERINSON</t>
  </si>
  <si>
    <t>MARCO ANTONIO BASTOS DO NASCIMENTO</t>
  </si>
  <si>
    <t>NOÉMI SZILAGYI</t>
  </si>
  <si>
    <t>DAWN MCEVOY</t>
  </si>
  <si>
    <t>BHOJWANI SAMRIDH</t>
  </si>
  <si>
    <t>MICHAEL SMITH</t>
  </si>
  <si>
    <t>MELANIE SCHUMM</t>
  </si>
  <si>
    <t>MARCO FERRARA</t>
  </si>
  <si>
    <t>MUKINA MALUNGO</t>
  </si>
  <si>
    <t>MARIA BOURGALI</t>
  </si>
  <si>
    <t>HM9PJB4MRQ</t>
  </si>
  <si>
    <t>JADEN SEWELL</t>
  </si>
  <si>
    <t>HMBD4EFS4M</t>
  </si>
  <si>
    <t>SARAH JANE</t>
  </si>
  <si>
    <t>HMNJZNHHZQ</t>
  </si>
  <si>
    <t>AMIRA CHAIRI EL BROUZI EL MORABET</t>
  </si>
  <si>
    <t>HMTYECE3HM</t>
  </si>
  <si>
    <t>BRYAN GUAMAN</t>
  </si>
  <si>
    <t>HMWFXFSDM3</t>
  </si>
  <si>
    <t>JAMIE STANLEY</t>
  </si>
  <si>
    <t>HMWHMZ89RB</t>
  </si>
  <si>
    <t>VIET NGUYEN</t>
  </si>
  <si>
    <t>HMYFDW92Z2</t>
  </si>
  <si>
    <t>MATTHIAS REICHENBACH</t>
  </si>
  <si>
    <t>HMAZYMZY3B</t>
  </si>
  <si>
    <t>TY RICHARDS</t>
  </si>
  <si>
    <t>HMBD5KFTFD</t>
  </si>
  <si>
    <t>SHARON SAHI</t>
  </si>
  <si>
    <t>HMQHEQ5YNA</t>
  </si>
  <si>
    <t>THOMAS MCNALLY</t>
  </si>
  <si>
    <t>HMX2245M35</t>
  </si>
  <si>
    <t>ASMAE KHALLA</t>
  </si>
  <si>
    <t>HMQEQZEEX4</t>
  </si>
  <si>
    <t>AZÉNOR CHALMEL</t>
  </si>
  <si>
    <t>HMJ25SPB8E</t>
  </si>
  <si>
    <t>MELDA AKBULUT</t>
  </si>
  <si>
    <t>HMPAY8NWAF</t>
  </si>
  <si>
    <t>IGNACIA MARTÍN MORENO</t>
  </si>
  <si>
    <t>HMTNKSAS3Q</t>
  </si>
  <si>
    <t>MATTHIEU ROLLAND</t>
  </si>
  <si>
    <t>HMBWF3SEBC</t>
  </si>
  <si>
    <t>PAULINE VOGELMANN</t>
  </si>
  <si>
    <t>HMA3M2NRJR</t>
  </si>
  <si>
    <t>HMMPZCPXPQ</t>
  </si>
  <si>
    <t>HENNA HAKANEN</t>
  </si>
  <si>
    <t>HMN5BWA9WP</t>
  </si>
  <si>
    <t>HMRX95ZH3Q</t>
  </si>
  <si>
    <t>NUNO PINTO</t>
  </si>
  <si>
    <t>HM5HRHWCAE</t>
  </si>
  <si>
    <t>JESSICA STICHA</t>
  </si>
  <si>
    <t>272754-579382473</t>
  </si>
  <si>
    <t>STUART JONES</t>
  </si>
  <si>
    <t>272754-579164938</t>
  </si>
  <si>
    <t>ANTJE LIES DE VRIES</t>
  </si>
  <si>
    <t>272754-578878006</t>
  </si>
  <si>
    <t>ALISA MILCIC</t>
  </si>
  <si>
    <t>272754-578863326</t>
  </si>
  <si>
    <t>CHETIN ERHAN ALI</t>
  </si>
  <si>
    <t>272754-579067273</t>
  </si>
  <si>
    <t>SHRIIVARSHINI PRIYAA</t>
  </si>
  <si>
    <t>272754-578955918</t>
  </si>
  <si>
    <t>ALASTAIR DRYE</t>
  </si>
  <si>
    <t>272754-579310946</t>
  </si>
  <si>
    <t>KIRAN LUCAS</t>
  </si>
  <si>
    <t>272754-579331722</t>
  </si>
  <si>
    <t>ALEENA JOHNEY</t>
  </si>
  <si>
    <t>272754-578959255</t>
  </si>
  <si>
    <t>MAELISE AUDE LAETITIA DJEDJE</t>
  </si>
  <si>
    <t>272754-579057520</t>
  </si>
  <si>
    <t>DYLAN APPADOO</t>
  </si>
  <si>
    <t>272754-578812707</t>
  </si>
  <si>
    <t>NICOLE KUMAR</t>
  </si>
  <si>
    <t>272754-579194381</t>
  </si>
  <si>
    <t>DANIEL TULLY</t>
  </si>
  <si>
    <t>272754-579247535</t>
  </si>
  <si>
    <t>JIAYING ZHANG</t>
  </si>
  <si>
    <t>272754-579280159</t>
  </si>
  <si>
    <t>JOANA EDELMANN</t>
  </si>
  <si>
    <t>272754-579312507</t>
  </si>
  <si>
    <t>AMELIE AMMON</t>
  </si>
  <si>
    <t>272754-579217966</t>
  </si>
  <si>
    <t>LIAM MCKELVEY</t>
  </si>
  <si>
    <t>272754-579652814</t>
  </si>
  <si>
    <t>RACHEL MUELLER</t>
  </si>
  <si>
    <t>272754-578800014</t>
  </si>
  <si>
    <t>MIKHAEL BELAIS</t>
  </si>
  <si>
    <t>HM2AEY25HC</t>
  </si>
  <si>
    <t>JOANNA GOMOLA</t>
  </si>
  <si>
    <t>ANNABEL GOOSSENS</t>
  </si>
  <si>
    <t>272754-579547020</t>
  </si>
  <si>
    <t>KAVIN SELVAN</t>
  </si>
  <si>
    <t>YULISSA VAZQUEZ</t>
  </si>
  <si>
    <t>HMRT4APWH3</t>
  </si>
  <si>
    <t>JORDAN PETERSON</t>
  </si>
  <si>
    <t>272754-579306713</t>
  </si>
  <si>
    <t>GWENN HARKIN</t>
  </si>
  <si>
    <t>272754-578957763</t>
  </si>
  <si>
    <t>MARTIN HARTIG</t>
  </si>
  <si>
    <t>272754-578605219</t>
  </si>
  <si>
    <t>RACHAEL CHARMAN</t>
  </si>
  <si>
    <t>NEIL CHAABOUNI</t>
  </si>
  <si>
    <t>DEAN MENDES</t>
  </si>
  <si>
    <t>ABHAY VIRK</t>
  </si>
  <si>
    <t>272754-579465376</t>
  </si>
  <si>
    <t>ARMANDO LUCE</t>
  </si>
  <si>
    <t>MATHILDE STETTNER</t>
  </si>
  <si>
    <t>ARMANI QUARRINGTON-GRAY</t>
  </si>
  <si>
    <t>EVA STAUBER</t>
  </si>
  <si>
    <t>HMKD4JQ4DD</t>
  </si>
  <si>
    <t>HARUN RASHIED</t>
  </si>
  <si>
    <t>HMWWPSBRBM</t>
  </si>
  <si>
    <t>TRISTON VIGARIO</t>
  </si>
  <si>
    <t>HMZ2YPFWD4</t>
  </si>
  <si>
    <t>MOHAMED FARAH</t>
  </si>
  <si>
    <t>272754-579361968</t>
  </si>
  <si>
    <t>KRISTINA STOJANOVIC</t>
  </si>
  <si>
    <t>272754-579122269</t>
  </si>
  <si>
    <t>JACK HOOPER</t>
  </si>
  <si>
    <t>272754-579123633</t>
  </si>
  <si>
    <t>IGOR MITRYAKOV</t>
  </si>
  <si>
    <t>HM5Z8M9SEW</t>
  </si>
  <si>
    <t>JULIAN KONOPELSKI</t>
  </si>
  <si>
    <t>EVELIEN FIERS</t>
  </si>
  <si>
    <t>JONAS LANG</t>
  </si>
  <si>
    <t>SANDRA DIPPERT</t>
  </si>
  <si>
    <t>LEA MITTNER</t>
  </si>
  <si>
    <t>HMEK3NZJTQ</t>
  </si>
  <si>
    <t>TWAN CHRISTIAAN HOFLAND</t>
  </si>
  <si>
    <t>HM2PQ9K4DA</t>
  </si>
  <si>
    <t>JAKOB NOVOTNÝ</t>
  </si>
  <si>
    <t>HMDJRKKJSW</t>
  </si>
  <si>
    <t>BASIA CIESLIK</t>
  </si>
  <si>
    <t>HMQWEAQYAK</t>
  </si>
  <si>
    <t>HOSEOK YOO</t>
  </si>
  <si>
    <t>272754-578779233</t>
  </si>
  <si>
    <t>TAHLIA LEE RIESSEN</t>
  </si>
  <si>
    <t>272754-578426572</t>
  </si>
  <si>
    <t>SEBASTIAN HOLLSTEIN</t>
  </si>
  <si>
    <t>ANDRÉ SERRANO</t>
  </si>
  <si>
    <t>CAVALLIN LUIGI</t>
  </si>
  <si>
    <t>LUCY BEGIER</t>
  </si>
  <si>
    <t>ALICE SANNA</t>
  </si>
  <si>
    <t>MICHAEL WÖRNDLE</t>
  </si>
  <si>
    <t>TIM RICHTER</t>
  </si>
  <si>
    <t>HANNIA TAHIR</t>
  </si>
  <si>
    <t>MARIO</t>
  </si>
  <si>
    <t>HMKWPNXW3R</t>
  </si>
  <si>
    <t>ALIVIA J COSTA</t>
  </si>
  <si>
    <t>272754-578057137</t>
  </si>
  <si>
    <t>JOSEF PODEBRADSKY</t>
  </si>
  <si>
    <t>LUNA DJOUROFF</t>
  </si>
  <si>
    <t>272754-579827169</t>
  </si>
  <si>
    <t>STANISLAW POLOCZEK</t>
  </si>
  <si>
    <t>TAMÁS FAZEKAS</t>
  </si>
  <si>
    <t>THERESA GÖTZ</t>
  </si>
  <si>
    <t>272754-579782050</t>
  </si>
  <si>
    <t>ADNAN BOUCHAMMA</t>
  </si>
  <si>
    <t>AIDAN WONG</t>
  </si>
  <si>
    <t>ALA AGRICI</t>
  </si>
  <si>
    <t>ALEXANDRA BRENNAN</t>
  </si>
  <si>
    <t>ADARA KORKA</t>
  </si>
  <si>
    <t>272754-579638356</t>
  </si>
  <si>
    <t>ALEIX CORTADA</t>
  </si>
  <si>
    <t>272754-578426182</t>
  </si>
  <si>
    <t>AMY NEVEU</t>
  </si>
  <si>
    <t>HMZXJFHXJP</t>
  </si>
  <si>
    <t>ANDREA LITRICO</t>
  </si>
  <si>
    <t>HMWZREYS59</t>
  </si>
  <si>
    <t>ÁNGEL BENAVENTE SERRA</t>
  </si>
  <si>
    <t>HMQDX2K2Q8</t>
  </si>
  <si>
    <t>ANGELES PAEZ</t>
  </si>
  <si>
    <t>ANTOINE FAYET</t>
  </si>
  <si>
    <t>ARINA CAZAN</t>
  </si>
  <si>
    <t>ARMAND RUTGERS</t>
  </si>
  <si>
    <t>ALEXA ANDERSON</t>
  </si>
  <si>
    <t>272754-579213426</t>
  </si>
  <si>
    <t>AVE LEFFETTE</t>
  </si>
  <si>
    <t>HMQEN4KCA2</t>
  </si>
  <si>
    <t>BATIGNANI ALICE</t>
  </si>
  <si>
    <t>BRINGEDAL ANDREA</t>
  </si>
  <si>
    <t>ALEXANDER PHILOKYPROU</t>
  </si>
  <si>
    <t>272754-579942381</t>
  </si>
  <si>
    <t>CAROLINA NOEL AGUIRRE</t>
  </si>
  <si>
    <t>ALG DZZ</t>
  </si>
  <si>
    <t>272754-580059803</t>
  </si>
  <si>
    <t>ALIONA KUTS</t>
  </si>
  <si>
    <t>272754-580071340</t>
  </si>
  <si>
    <t>CHRISTIAN EDER</t>
  </si>
  <si>
    <t>HMJJKNFEQX</t>
  </si>
  <si>
    <t>CHRISTINE SCHELL</t>
  </si>
  <si>
    <t>ALLIE NEUMANN</t>
  </si>
  <si>
    <t>272754-579998958</t>
  </si>
  <si>
    <t>CLÉMENT MARTINEZ</t>
  </si>
  <si>
    <t>CORINNE NOYER</t>
  </si>
  <si>
    <t>COURTNEY ZUIDEMA</t>
  </si>
  <si>
    <t>AMANDA MOLONEY</t>
  </si>
  <si>
    <t>272754-579972029</t>
  </si>
  <si>
    <t>EDGAR SACLAG</t>
  </si>
  <si>
    <t>EIRIK BRENDHOLEN</t>
  </si>
  <si>
    <t>ELE UPHUES</t>
  </si>
  <si>
    <t>HMQ8EC9H9R</t>
  </si>
  <si>
    <t>ELENA RAM</t>
  </si>
  <si>
    <t>ELIA GALLOU</t>
  </si>
  <si>
    <t>AMY W</t>
  </si>
  <si>
    <t>272754-579808105</t>
  </si>
  <si>
    <t>ANJA BIECHTELER</t>
  </si>
  <si>
    <t>272754-580262928</t>
  </si>
  <si>
    <t>ARNAUD DUCOUDRÉ</t>
  </si>
  <si>
    <t>272754-580156739</t>
  </si>
  <si>
    <t>ERDAL TAS</t>
  </si>
  <si>
    <t>BENJAMIN CONLON</t>
  </si>
  <si>
    <t>272754-579713528</t>
  </si>
  <si>
    <t>BENOIT CAPELLE</t>
  </si>
  <si>
    <t>272754-579634857</t>
  </si>
  <si>
    <t>FABIAN SCHEURER</t>
  </si>
  <si>
    <t>BIERMANN BERND</t>
  </si>
  <si>
    <t>272754-579725551</t>
  </si>
  <si>
    <t>FLORIAN AUGENTHALER</t>
  </si>
  <si>
    <t>FLORIAN VAN KOOY</t>
  </si>
  <si>
    <t>BRIONY KENYON</t>
  </si>
  <si>
    <t>272754-579811291</t>
  </si>
  <si>
    <t>BRUNO FERYN</t>
  </si>
  <si>
    <t>272754-579741872</t>
  </si>
  <si>
    <t>CATHERINE COOPER</t>
  </si>
  <si>
    <t>272754-578040058</t>
  </si>
  <si>
    <t>GUILHERME FAZAN</t>
  </si>
  <si>
    <t>HMABKMH85A</t>
  </si>
  <si>
    <t>HENDRIKA SMITS</t>
  </si>
  <si>
    <t>HIRO NAGASHIMA</t>
  </si>
  <si>
    <t>ISABELA DA COSTA VALLARELLI</t>
  </si>
  <si>
    <t>JACOB OLEARY</t>
  </si>
  <si>
    <t>JAKE PERKIN</t>
  </si>
  <si>
    <t>JANE TULLY</t>
  </si>
  <si>
    <t>JOANNA MĄDRAWSKA</t>
  </si>
  <si>
    <t>JOÃO DELOLLO</t>
  </si>
  <si>
    <t>JOHANNA WINKELMANN</t>
  </si>
  <si>
    <t>HMSY4T9EAS</t>
  </si>
  <si>
    <t>JOHN MCALLISTER</t>
  </si>
  <si>
    <t>JULIA HERINGER</t>
  </si>
  <si>
    <t>KAREEM ABDUL-JABBAR</t>
  </si>
  <si>
    <t>KEERTHANA VADAKKEDATH RADHAKRISHNAN</t>
  </si>
  <si>
    <t>CELINE CADIELI</t>
  </si>
  <si>
    <t>272754-579525111</t>
  </si>
  <si>
    <t>Kirsten Brand</t>
  </si>
  <si>
    <t>KWAN HONG KIM</t>
  </si>
  <si>
    <t>KYLEIGH MERGLER</t>
  </si>
  <si>
    <t>LARA BROSS</t>
  </si>
  <si>
    <t>CHADIA MARIA VAN RINSUM</t>
  </si>
  <si>
    <t>272754-575528389</t>
  </si>
  <si>
    <t>CHARLENE TURCZYK</t>
  </si>
  <si>
    <t>272754-578603273</t>
  </si>
  <si>
    <t>LENA HÖHNE</t>
  </si>
  <si>
    <t>LINDA CHAYA</t>
  </si>
  <si>
    <t>LINKEVYCH YEVA</t>
  </si>
  <si>
    <t>CHERISE ROOS</t>
  </si>
  <si>
    <t>272754-580134887</t>
  </si>
  <si>
    <t>LOLA PAPON</t>
  </si>
  <si>
    <t>LORENZO TOSCHI</t>
  </si>
  <si>
    <t>272754-580089344</t>
  </si>
  <si>
    <t>ŁUKASZ FAŁAT</t>
  </si>
  <si>
    <t>MARCELA SCHNITMAN</t>
  </si>
  <si>
    <t>MARIE DAVID</t>
  </si>
  <si>
    <t>MARTA CODATO</t>
  </si>
  <si>
    <t>MARTA PANFILOVA</t>
  </si>
  <si>
    <t>MATHILDE CALOMME</t>
  </si>
  <si>
    <t>MAURO GONCALVES</t>
  </si>
  <si>
    <t>MEHDI BOUAMAINE</t>
  </si>
  <si>
    <t>MELISSA BESCH</t>
  </si>
  <si>
    <t>CHRIS MITCHELL</t>
  </si>
  <si>
    <t>272754-578326399</t>
  </si>
  <si>
    <t>MICHAEL MOSES</t>
  </si>
  <si>
    <t>MICHEL CUCAK</t>
  </si>
  <si>
    <t>CLAIRE THOMPSON</t>
  </si>
  <si>
    <t>272754-579725421</t>
  </si>
  <si>
    <t>CORINNE BERNET</t>
  </si>
  <si>
    <t>272754-579309978</t>
  </si>
  <si>
    <t>MJ CRUZ</t>
  </si>
  <si>
    <t>HMYJF3WKSA</t>
  </si>
  <si>
    <t>DANICA SHEWARD</t>
  </si>
  <si>
    <t>272754-579592654</t>
  </si>
  <si>
    <t>NICK LOEWE</t>
  </si>
  <si>
    <t>DELPHINE GOSSELIN</t>
  </si>
  <si>
    <t>272754-579778376</t>
  </si>
  <si>
    <t>NICOLE ANYANGO</t>
  </si>
  <si>
    <t>NICOLE JACKMAN</t>
  </si>
  <si>
    <t>HMFQN5PQEP</t>
  </si>
  <si>
    <t>NIKLAS SCHLANGENOTTO</t>
  </si>
  <si>
    <t>PATRICK MCKENNA</t>
  </si>
  <si>
    <t>PATRYCJA KOLODZIEJCZYK</t>
  </si>
  <si>
    <t>PEIQI RAN</t>
  </si>
  <si>
    <t>PIEDAD DEL CID</t>
  </si>
  <si>
    <t>PRATIKA TALEGAONKAR</t>
  </si>
  <si>
    <t>RACHEL BALDWIN</t>
  </si>
  <si>
    <t>RALUCA BUCUR</t>
  </si>
  <si>
    <t>RAMONA LANG</t>
  </si>
  <si>
    <t>DENNIS TRAN</t>
  </si>
  <si>
    <t>272754-578199122</t>
  </si>
  <si>
    <t>REBECCA BROUARD</t>
  </si>
  <si>
    <t>HMSP5NE4FW</t>
  </si>
  <si>
    <t>REGINE MEYER</t>
  </si>
  <si>
    <t>HMAW82FKFA</t>
  </si>
  <si>
    <t>RIK KNOWLES</t>
  </si>
  <si>
    <t>RUSSELL FOLEY</t>
  </si>
  <si>
    <t>ELISA SCHNEIDER</t>
  </si>
  <si>
    <t>272754-579801239</t>
  </si>
  <si>
    <t>SERHAT KARABOYA</t>
  </si>
  <si>
    <t>ELISABETH NEGELE</t>
  </si>
  <si>
    <t>272754-579986989</t>
  </si>
  <si>
    <t>SIOBHAN GRICE</t>
  </si>
  <si>
    <t>SONJA STREB</t>
  </si>
  <si>
    <t>SOPHIA MARIA MALIKA TERGUI</t>
  </si>
  <si>
    <t>HMJKC9N2RN</t>
  </si>
  <si>
    <t>STANISLAS CHAUDUN</t>
  </si>
  <si>
    <t>TAMARA VILLALON VILLALON</t>
  </si>
  <si>
    <t>TINA SVÄRDH</t>
  </si>
  <si>
    <t>EMILIE DOUCET</t>
  </si>
  <si>
    <t>272754-579597469</t>
  </si>
  <si>
    <t>TUULI</t>
  </si>
  <si>
    <t>HMMAKC4KH5</t>
  </si>
  <si>
    <t>VALÉRIE TERRISSE</t>
  </si>
  <si>
    <t>VARINA WALENDA</t>
  </si>
  <si>
    <t>EMILY RHUMAN</t>
  </si>
  <si>
    <t>272754-579893076</t>
  </si>
  <si>
    <t>AHMED MESSIOUI</t>
  </si>
  <si>
    <t>ETHAN HOLLAS</t>
  </si>
  <si>
    <t>272754-580091196</t>
  </si>
  <si>
    <t>ALEXANDRA FRÖBEL</t>
  </si>
  <si>
    <t>AMIT KOUL</t>
  </si>
  <si>
    <t>EVA BRUNNINGER</t>
  </si>
  <si>
    <t>272754-579732294</t>
  </si>
  <si>
    <t>ANDREW WIDE</t>
  </si>
  <si>
    <t>ANGELA WORTHINGTON</t>
  </si>
  <si>
    <t>ANNA BOYKE</t>
  </si>
  <si>
    <t>ANNA WENCEL</t>
  </si>
  <si>
    <t>ANNABELLE HICKMAN</t>
  </si>
  <si>
    <t>HMJZTZPC9C</t>
  </si>
  <si>
    <t>ANNEMIE BOUSSAUW</t>
  </si>
  <si>
    <t>APRILIA TANIA TESALONIKA</t>
  </si>
  <si>
    <t>FELIX STEENECK</t>
  </si>
  <si>
    <t>272754-579493474</t>
  </si>
  <si>
    <t>FLORMARINA FLORMARINA</t>
  </si>
  <si>
    <t>272754-580131045</t>
  </si>
  <si>
    <t>GABRIELLE H WHITE</t>
  </si>
  <si>
    <t>272754-580131068</t>
  </si>
  <si>
    <t>GEORGE ASPINSHAW</t>
  </si>
  <si>
    <t>272754-579352641</t>
  </si>
  <si>
    <t>CINTHIA FIORE</t>
  </si>
  <si>
    <t>HM44NFZCPS</t>
  </si>
  <si>
    <t>CORINNE MONTMEAT</t>
  </si>
  <si>
    <t>DANIEL BROWN</t>
  </si>
  <si>
    <t>GEORGE OAKES</t>
  </si>
  <si>
    <t>272754-580106053</t>
  </si>
  <si>
    <t>GRACE MCINTYRE</t>
  </si>
  <si>
    <t>272754-580129526</t>
  </si>
  <si>
    <t>ELENA RAZAFIMANDANONA</t>
  </si>
  <si>
    <t>HM5J2DQYZC</t>
  </si>
  <si>
    <t>ELIANA MARIN PINTO</t>
  </si>
  <si>
    <t>ELVIRA VACARU</t>
  </si>
  <si>
    <t>GRACE THISTLETHWAYTE</t>
  </si>
  <si>
    <t>272754-579699191</t>
  </si>
  <si>
    <t>EMMA BOWMAN</t>
  </si>
  <si>
    <t>HMPH4AJX48</t>
  </si>
  <si>
    <t>ENIS SHALA</t>
  </si>
  <si>
    <t>HMCTT5NNAZ</t>
  </si>
  <si>
    <t>GIORGIA PELLIZZARO</t>
  </si>
  <si>
    <t>HARRY HONNER-HOUNSLOW</t>
  </si>
  <si>
    <t>272754-579762476</t>
  </si>
  <si>
    <t>HAYLEY ZIZI</t>
  </si>
  <si>
    <t>HENRI VAN VERSENDAAL</t>
  </si>
  <si>
    <t>HEUSER MICHAEL</t>
  </si>
  <si>
    <t>IAGGO CALIARI</t>
  </si>
  <si>
    <t>HM2BBNTBTF</t>
  </si>
  <si>
    <t>IASINSKAIA ANNA</t>
  </si>
  <si>
    <t>HOWARD LI</t>
  </si>
  <si>
    <t>272754-579446930</t>
  </si>
  <si>
    <t>JOAO PAULO XAVIER LOPES</t>
  </si>
  <si>
    <t>JASMIN KRÜGER</t>
  </si>
  <si>
    <t>272754-579403699</t>
  </si>
  <si>
    <t>JULIA KRUG</t>
  </si>
  <si>
    <t>KAROLÍNA MARŠÍČKOVÁ</t>
  </si>
  <si>
    <t>JOANNE BENNETT</t>
  </si>
  <si>
    <t>272754-579018896</t>
  </si>
  <si>
    <t>JOHANNA UHL</t>
  </si>
  <si>
    <t>272754-579671169</t>
  </si>
  <si>
    <t>KATIA LUNA</t>
  </si>
  <si>
    <t>KAELE MACEDO</t>
  </si>
  <si>
    <t>272754-579613331</t>
  </si>
  <si>
    <t>LÉA VICTORIEN</t>
  </si>
  <si>
    <t>HMXNYDBXZQ</t>
  </si>
  <si>
    <t>LENA PIONTEK</t>
  </si>
  <si>
    <t>HMH5EAQK5B</t>
  </si>
  <si>
    <t>KASTRIOT DAJAKAJ</t>
  </si>
  <si>
    <t>272754-579746325</t>
  </si>
  <si>
    <t>LIBOR KUNDRATA</t>
  </si>
  <si>
    <t>LIDIANE MARÇAL DOS SANTOS</t>
  </si>
  <si>
    <t>KATE DE BOMFORD</t>
  </si>
  <si>
    <t>272754-579745399</t>
  </si>
  <si>
    <t>KEVIN KÖLLE</t>
  </si>
  <si>
    <t>272754-579591668</t>
  </si>
  <si>
    <t>MARCIN KURAS</t>
  </si>
  <si>
    <t>MAREIKE JANSEN</t>
  </si>
  <si>
    <t>MAROS HREBIK</t>
  </si>
  <si>
    <t>MELISSA MEYER</t>
  </si>
  <si>
    <t>HMSJ2DHRK5</t>
  </si>
  <si>
    <t>KIRSTY DE HALDEVANG</t>
  </si>
  <si>
    <t>272754-579261013</t>
  </si>
  <si>
    <t>METTE HOUBORG</t>
  </si>
  <si>
    <t>HMM2MY2Q2Q</t>
  </si>
  <si>
    <t>MILENA GALLE</t>
  </si>
  <si>
    <t>MIRTIL BERR</t>
  </si>
  <si>
    <t>NATHAN SMOLA</t>
  </si>
  <si>
    <t>NAZARII BORDIUK</t>
  </si>
  <si>
    <t>NILS BERGEN</t>
  </si>
  <si>
    <t>PATRICIA BARCIELA</t>
  </si>
  <si>
    <t>PHOEBE RALPH</t>
  </si>
  <si>
    <t>HMPCCD8D8Y</t>
  </si>
  <si>
    <t>RAYA ALEXANDER</t>
  </si>
  <si>
    <t>HMSXATKWS8</t>
  </si>
  <si>
    <t>REBEKA SZLOBODA</t>
  </si>
  <si>
    <t>ROBERT PIKMETS</t>
  </si>
  <si>
    <t>ROXANE CHAVERONDIER</t>
  </si>
  <si>
    <t>HMSTYBN8TA</t>
  </si>
  <si>
    <t>SAMUEL NUNES</t>
  </si>
  <si>
    <t>HMKQWWNNNC</t>
  </si>
  <si>
    <t>KRISTIAN MILODANOVIC</t>
  </si>
  <si>
    <t>272754-578265011</t>
  </si>
  <si>
    <t>SIMRAN KAUR</t>
  </si>
  <si>
    <t>SOL FERNANDEZ</t>
  </si>
  <si>
    <t>SOPHIA MÜNSTER</t>
  </si>
  <si>
    <t>HM8MNPN49Q</t>
  </si>
  <si>
    <t>SVENJA HAAS</t>
  </si>
  <si>
    <t>HMRTA98XH2</t>
  </si>
  <si>
    <t>SVENJA KINKEL</t>
  </si>
  <si>
    <t>KYRA ZIMMER</t>
  </si>
  <si>
    <t>272754-579724905</t>
  </si>
  <si>
    <t>VIOLETA PACHABUT</t>
  </si>
  <si>
    <t>HMK4ZRMZF3</t>
  </si>
  <si>
    <t>LARISSA OTT</t>
  </si>
  <si>
    <t>272754-579170056</t>
  </si>
  <si>
    <t>ALEXEY GERBOVOY</t>
  </si>
  <si>
    <t>LAURA B</t>
  </si>
  <si>
    <t>272754-579883676</t>
  </si>
  <si>
    <t>ANN-MARIE KARPENKO</t>
  </si>
  <si>
    <t>HMP2YXDYEM</t>
  </si>
  <si>
    <t>AXEL POITRAL</t>
  </si>
  <si>
    <t>LAURA SCHREIBER</t>
  </si>
  <si>
    <t>272754-578619755</t>
  </si>
  <si>
    <t>BRIGITTE RAYNAL</t>
  </si>
  <si>
    <t>LAYLA DE VRIES</t>
  </si>
  <si>
    <t>272754-580124528</t>
  </si>
  <si>
    <t>LIAM BUSH</t>
  </si>
  <si>
    <t>272754-579213413</t>
  </si>
  <si>
    <t>CLARA SCHNEIDER</t>
  </si>
  <si>
    <t>CLÉMENCE BOUX</t>
  </si>
  <si>
    <t>LOGAN GEISSLER</t>
  </si>
  <si>
    <t>272754-580251380</t>
  </si>
  <si>
    <t>DEAN PARKER</t>
  </si>
  <si>
    <t>FATEMEH SHARAFI</t>
  </si>
  <si>
    <t>HM3CHSHYE5</t>
  </si>
  <si>
    <t>LUCA SCHÖNFELD</t>
  </si>
  <si>
    <t>272754-580115233</t>
  </si>
  <si>
    <t>HANNAH DONE</t>
  </si>
  <si>
    <t>LUKE TURNER</t>
  </si>
  <si>
    <t>272754-578878066</t>
  </si>
  <si>
    <t>JAMES MACLEOD</t>
  </si>
  <si>
    <t>MARÃ­LIA DAL BEM GRIZZO</t>
  </si>
  <si>
    <t>272754-579753368</t>
  </si>
  <si>
    <t>JORDAN ARTHURS</t>
  </si>
  <si>
    <t>JULIA TIEDEMANN</t>
  </si>
  <si>
    <t>MERLE-ANNA TEFKE</t>
  </si>
  <si>
    <t>272754-580029471</t>
  </si>
  <si>
    <t>KIRSTEN NYDAM</t>
  </si>
  <si>
    <t>HMFFSBJRPD</t>
  </si>
  <si>
    <t>MERMI ANGÈLE</t>
  </si>
  <si>
    <t>272754-580049152</t>
  </si>
  <si>
    <t>MICHIEL VANDERWEGEN</t>
  </si>
  <si>
    <t>272754-579597449</t>
  </si>
  <si>
    <t>LAURA HEMPE</t>
  </si>
  <si>
    <t>HMFWAPZ8NA</t>
  </si>
  <si>
    <t>LEONIE KOSTER</t>
  </si>
  <si>
    <t>LUCY GREENER</t>
  </si>
  <si>
    <t>LYNSEY NUNRO</t>
  </si>
  <si>
    <t>HMFJH8E59T</t>
  </si>
  <si>
    <t>MARINA PFABIGAN</t>
  </si>
  <si>
    <t>MATHILDE MOREAU</t>
  </si>
  <si>
    <t>NIHAN OZCAN</t>
  </si>
  <si>
    <t>RACHEL LIESKE</t>
  </si>
  <si>
    <t>RAOUL RIVIER</t>
  </si>
  <si>
    <t>SAMANTA KRUKELE</t>
  </si>
  <si>
    <t>SELINA GÄRTNER</t>
  </si>
  <si>
    <t>SIEGFRIED ROSTEK</t>
  </si>
  <si>
    <t>HMBJZ4ARHS</t>
  </si>
  <si>
    <t>TOM HEYER</t>
  </si>
  <si>
    <t>VERONICA SCHENGEL</t>
  </si>
  <si>
    <t>華瑩 吳</t>
  </si>
  <si>
    <t>HMEWAQCMP3</t>
  </si>
  <si>
    <t>MIKE SCHWERT</t>
  </si>
  <si>
    <t>272754-580064468</t>
  </si>
  <si>
    <t>MUHAMMAD ABIYYU SYAUQI</t>
  </si>
  <si>
    <t>272754-579736241</t>
  </si>
  <si>
    <t>NICOLA RIEDE</t>
  </si>
  <si>
    <t>272754-579574198</t>
  </si>
  <si>
    <t>PHOEBE PLANT</t>
  </si>
  <si>
    <t>272754-579360846</t>
  </si>
  <si>
    <t>DANIEL ZAMOJSKI</t>
  </si>
  <si>
    <t>HM9XDZM2ZX</t>
  </si>
  <si>
    <t>DOREL GHITA</t>
  </si>
  <si>
    <t>ERIC TEYSSIER</t>
  </si>
  <si>
    <t>RACHEL KATHERINE STOCKER</t>
  </si>
  <si>
    <t>272754-579637166</t>
  </si>
  <si>
    <t>GONZALEZ ALONSO ANGEL</t>
  </si>
  <si>
    <t>RAYANE CHOUGAR</t>
  </si>
  <si>
    <t>272754-580254286</t>
  </si>
  <si>
    <t>GRÉGOIRE LALOUETTE</t>
  </si>
  <si>
    <t>KAMIL SMOLEŃ</t>
  </si>
  <si>
    <t>KATHARINA WERBECK</t>
  </si>
  <si>
    <t>HM2E8KY2C5</t>
  </si>
  <si>
    <t>SARAH DUZ</t>
  </si>
  <si>
    <t>272754-579944745</t>
  </si>
  <si>
    <t>SEVERIN HUBER</t>
  </si>
  <si>
    <t>272754-579989208</t>
  </si>
  <si>
    <t>LILIANE JAEGER</t>
  </si>
  <si>
    <t>MARION POPPE</t>
  </si>
  <si>
    <t>MARK HAWKINS</t>
  </si>
  <si>
    <t>MATEUSZ WOJCIECHOWSKI</t>
  </si>
  <si>
    <t>HMHJMTT33W</t>
  </si>
  <si>
    <t>MICHELA CROTTI</t>
  </si>
  <si>
    <t>MIRIAM KUSCHE</t>
  </si>
  <si>
    <t>PAUL MÜLLER</t>
  </si>
  <si>
    <t>HMK4X4RQY5</t>
  </si>
  <si>
    <t>SHIN LI CHIA</t>
  </si>
  <si>
    <t>272754-579295804</t>
  </si>
  <si>
    <t>SIMON REINKER</t>
  </si>
  <si>
    <t>272754-579525690</t>
  </si>
  <si>
    <t>SARAH CABRAL</t>
  </si>
  <si>
    <t>TRUNG NGUYEN</t>
  </si>
  <si>
    <t>272754-579750814</t>
  </si>
  <si>
    <t>THAY D'ESQUIVEL</t>
  </si>
  <si>
    <t>HMMENPH9A4</t>
  </si>
  <si>
    <t>TOM WILLIAMSON</t>
  </si>
  <si>
    <t>HM9DZYPFTC</t>
  </si>
  <si>
    <t>ZSIMIHIYAH CLAXTON</t>
  </si>
  <si>
    <t>HMMCR8Z35K</t>
  </si>
  <si>
    <t>ANNACHIARA PATERNICÒ</t>
  </si>
  <si>
    <t>ANTONINA BUNTON</t>
  </si>
  <si>
    <t>CHRISTOPHE ARNULF</t>
  </si>
  <si>
    <t>HMTZXP8WAZ</t>
  </si>
  <si>
    <t>MARIA KAREN DERKACH</t>
  </si>
  <si>
    <t>MOLLY TRAINNER</t>
  </si>
  <si>
    <t>HMQ29J5TZN</t>
  </si>
  <si>
    <t>OMAR SHARLALA</t>
  </si>
  <si>
    <t>HMPA8TFH43</t>
  </si>
  <si>
    <t>RÖDER ELIAS</t>
  </si>
  <si>
    <t>KETTY DOUDOUHI</t>
  </si>
  <si>
    <t>HMZMZMWTFX</t>
  </si>
  <si>
    <t>MARIE JUDE</t>
  </si>
  <si>
    <t>OLEKSANDR HAFUROV</t>
  </si>
  <si>
    <t>TANJA LUPFER</t>
  </si>
  <si>
    <t>ISABELLE BEAUGRAND</t>
  </si>
  <si>
    <t>HMQFZS25XP</t>
  </si>
  <si>
    <t>KORNELIA ORLICKA</t>
  </si>
  <si>
    <t>LIES BUYSE</t>
  </si>
  <si>
    <t>VICTORIA HERRLE</t>
  </si>
  <si>
    <t>272754-579720476</t>
  </si>
  <si>
    <t>VILDE FINSTAD</t>
  </si>
  <si>
    <t>272754-579806697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</si>
</sst>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€]#,##0.00"/>
    <numFmt numFmtId="165" formatCode="dd/mm/yyyy"/>
    <numFmt numFmtId="166" formatCode="mm/yyyy"/>
    <numFmt numFmtId="167" formatCode="[$R$ -416]#,##0.00"/>
    <numFmt numFmtId="168" formatCode="mmm yyyy"/>
    <numFmt numFmtId="169" formatCode="dd/MM/yyyy"/>
    <numFmt numFmtId="170" formatCode="yyyy-mm-dd"/>
    <numFmt numFmtId="171" formatCode="dd/mm"/>
    <numFmt numFmtId="172" formatCode="d/m"/>
    <numFmt numFmtId="173" formatCode="dd-mm-yyyy"/>
    <numFmt numFmtId="174" formatCode="d.m"/>
    <numFmt numFmtId="175" formatCode="m/yyyy"/>
    <numFmt numFmtId="176" formatCode="yyyy-mm-dd hh:mm:ss"/>
    <numFmt numFmtId="177" formatCode="dd/mm/yy"/>
  </numFmts>
  <fonts count="53">
    <font>
      <sz val="10.0"/>
      <color rgb="FF000000"/>
      <name val="Arial"/>
      <scheme val="minor"/>
    </font>
    <font>
      <b/>
      <sz val="8.0"/>
      <color rgb="FFFFFFFF"/>
      <name val="Arial"/>
    </font>
    <font>
      <sz val="8.0"/>
      <color rgb="FFFFFFFF"/>
      <name val="Arial"/>
    </font>
    <font>
      <sz val="8.0"/>
      <color theme="1"/>
      <name val="Arial"/>
    </font>
    <font>
      <b/>
      <sz val="14.0"/>
      <color rgb="FFFFFFFF"/>
      <name val="Arial"/>
    </font>
    <font/>
    <font>
      <b/>
      <sz val="13.0"/>
      <color theme="1"/>
      <name val="Arial"/>
    </font>
    <font>
      <sz val="8.0"/>
      <color rgb="FF000000"/>
      <name val="Arial"/>
    </font>
    <font>
      <b/>
      <color rgb="FFFFFFFF"/>
      <name val="Arial"/>
    </font>
    <font>
      <i/>
      <color rgb="FFFFFFFF"/>
      <name val="Arial"/>
    </font>
    <font>
      <color theme="1"/>
      <name val="Arial"/>
    </font>
    <font>
      <color theme="0"/>
      <name val="Arial"/>
    </font>
    <font>
      <color rgb="FFFFFFFF"/>
      <name val="Arial"/>
    </font>
    <font>
      <b/>
      <i/>
      <sz val="9.0"/>
      <color theme="1"/>
      <name val="Arial"/>
    </font>
    <font>
      <b/>
      <sz val="12.0"/>
      <color rgb="FFFFFFFF"/>
      <name val="Arial"/>
    </font>
    <font>
      <color theme="1"/>
      <name val="Times New Roman"/>
    </font>
    <font>
      <color rgb="FF000000"/>
      <name val="Arial"/>
    </font>
    <font>
      <b/>
      <sz val="9.0"/>
      <color theme="0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EA9999"/>
      <name val="Arial"/>
    </font>
    <font>
      <sz val="9.0"/>
      <color rgb="FFFF0000"/>
      <name val="Arial"/>
    </font>
    <font>
      <b/>
      <sz val="9.0"/>
      <color rgb="FFF4CCCC"/>
      <name val="Arial"/>
    </font>
    <font>
      <sz val="9.0"/>
      <color rgb="FF000000"/>
      <name val="Arial"/>
    </font>
    <font>
      <sz val="11.0"/>
      <color rgb="FF000000"/>
      <name val="Calibri"/>
    </font>
    <font>
      <i/>
      <sz val="9.0"/>
      <color theme="1"/>
      <name val="Arial"/>
    </font>
    <font>
      <color theme="1"/>
      <name val="Arial"/>
      <scheme val="minor"/>
    </font>
    <font>
      <b/>
      <sz val="8.0"/>
      <color theme="0"/>
      <name val="Arial"/>
    </font>
    <font>
      <b/>
      <sz val="8.0"/>
      <color rgb="FFFF0000"/>
      <name val="Arial"/>
    </font>
    <font>
      <b/>
      <sz val="14.0"/>
      <color theme="1"/>
      <name val="Arial"/>
    </font>
    <font>
      <b/>
      <sz val="15.0"/>
      <color theme="1"/>
      <name val="Arial"/>
    </font>
    <font>
      <b/>
      <sz val="12.0"/>
      <color theme="1"/>
      <name val="Arial"/>
    </font>
    <font>
      <b/>
      <sz val="12.0"/>
      <color rgb="FF001238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color rgb="FF000000"/>
      <name val="Sans-serif"/>
    </font>
    <font>
      <sz val="8.0"/>
      <color rgb="FF000000"/>
      <name val="Helvetica Neue"/>
    </font>
    <font>
      <b/>
      <sz val="10.0"/>
      <color theme="1"/>
      <name val="Arial"/>
    </font>
    <font>
      <b/>
      <color rgb="FFFF0000"/>
      <name val="Arial"/>
    </font>
    <font>
      <color theme="1"/>
      <name val="Noto Sans"/>
    </font>
    <font>
      <color rgb="FFFF0000"/>
      <name val="Arial"/>
    </font>
    <font>
      <u/>
      <color rgb="FF0000FF"/>
    </font>
    <font>
      <b/>
      <sz val="10.0"/>
      <color rgb="FFFFFFFF"/>
      <name val="Arial"/>
    </font>
    <font>
      <b/>
      <color theme="1"/>
      <name val="Arial"/>
    </font>
    <font>
      <b/>
      <sz val="12.0"/>
      <color rgb="FFFF0000"/>
      <name val="Arial"/>
    </font>
    <font>
      <color rgb="FF000000"/>
      <name val="Noto Sans CJK SC"/>
    </font>
  </fonts>
  <fills count="30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1F3F4"/>
        <bgColor rgb="FFF1F3F4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</fills>
  <borders count="18">
    <border/>
    <border>
      <left style="thin">
        <color rgb="FF46BDC6"/>
      </left>
      <right style="thin">
        <color rgb="FF46BDC6"/>
      </right>
      <bottom style="thin">
        <color rgb="FF46BDC6"/>
      </bottom>
    </border>
    <border>
      <right style="thin">
        <color rgb="FF46BDC6"/>
      </right>
      <bottom style="thin">
        <color rgb="FF46BDC6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top style="thin">
        <color rgb="FF46BDC6"/>
      </top>
      <bottom style="thin">
        <color rgb="FF46BDC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6BDC6"/>
      </top>
      <bottom style="thin">
        <color rgb="FF46BDC6"/>
      </bottom>
    </border>
    <border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top style="thin">
        <color rgb="FF46BDC6"/>
      </top>
    </border>
    <border>
      <left style="thin">
        <color rgb="FF4285F4"/>
      </left>
      <top style="thin">
        <color rgb="FF4285F4"/>
      </top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left style="thin">
        <color rgb="FF4285F4"/>
      </left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4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horizontal="right" vertical="bottom"/>
    </xf>
    <xf borderId="3" fillId="3" fontId="1" numFmtId="0" xfId="0" applyBorder="1" applyFill="1" applyFont="1"/>
    <xf borderId="2" fillId="2" fontId="2" numFmtId="0" xfId="0" applyAlignment="1" applyBorder="1" applyFill="1" applyFont="1">
      <alignment horizontal="right" readingOrder="0" vertical="bottom"/>
    </xf>
    <xf borderId="3" fillId="3" fontId="3" numFmtId="164" xfId="0" applyAlignment="1" applyBorder="1" applyFill="1" applyFont="1" applyNumberFormat="1">
      <alignment horizontal="right" vertical="bottom"/>
    </xf>
    <xf borderId="1" fillId="2" fontId="1" numFmtId="0" xfId="0" applyBorder="1" applyFill="1" applyFont="1"/>
    <xf borderId="3" fillId="4" fontId="2" numFmtId="165" xfId="0" applyBorder="1" applyFill="1" applyFont="1" applyNumberFormat="1"/>
    <xf borderId="4" fillId="4" fontId="4" numFmtId="0" xfId="0" applyAlignment="1" applyBorder="1" applyFill="1" applyFont="1">
      <alignment horizontal="center"/>
    </xf>
    <xf borderId="3" fillId="4" fontId="2" numFmtId="0" xfId="0" applyBorder="1" applyFill="1" applyFont="1"/>
    <xf borderId="6" fillId="0" fontId="5" numFmtId="0" xfId="0" applyBorder="1" applyFont="1"/>
    <xf borderId="5" fillId="5" fontId="6" numFmtId="0" xfId="0" applyAlignment="1" applyBorder="1" applyFill="1" applyFont="1">
      <alignment horizontal="center"/>
    </xf>
    <xf borderId="3" fillId="4" fontId="2" numFmtId="0" xfId="0" applyAlignment="1" applyBorder="1" applyFill="1" applyFont="1">
      <alignment readingOrder="0"/>
    </xf>
    <xf borderId="2" fillId="4" fontId="2" numFmtId="0" xfId="0" applyBorder="1" applyFill="1" applyFont="1"/>
    <xf borderId="5" fillId="5" fontId="6" numFmtId="166" xfId="0" applyAlignment="1" applyBorder="1" applyFill="1" applyFont="1" applyNumberFormat="1">
      <alignment horizontal="center"/>
    </xf>
    <xf borderId="3" fillId="4" fontId="1" numFmtId="0" xfId="0" applyBorder="1" applyFill="1" applyFont="1"/>
    <xf borderId="3" fillId="2" fontId="1" numFmtId="0" xfId="0" applyBorder="1" applyFill="1" applyFont="1"/>
    <xf borderId="7" fillId="0" fontId="5" numFmtId="0" xfId="0" applyBorder="1" applyFont="1"/>
    <xf borderId="3" fillId="6" fontId="7" numFmtId="164" xfId="0" applyBorder="1" applyFill="1" applyFont="1" applyNumberFormat="1"/>
    <xf borderId="3" fillId="4" fontId="2" numFmtId="165" xfId="0" applyAlignment="1" applyBorder="1" applyFill="1" applyFont="1" applyNumberFormat="1">
      <alignment readingOrder="0"/>
    </xf>
    <xf borderId="3" fillId="4" fontId="8" numFmtId="3" xfId="0" applyAlignment="1" applyBorder="1" applyFill="1" applyFont="1" applyNumberFormat="1">
      <alignment horizontal="right"/>
    </xf>
    <xf borderId="5" fillId="5" fontId="6" numFmtId="167" xfId="0" applyAlignment="1" applyBorder="1" applyFill="1" applyFont="1" applyNumberFormat="1">
      <alignment horizontal="center"/>
    </xf>
    <xf borderId="3" fillId="4" fontId="9" numFmtId="0" xfId="0" applyBorder="1" applyFill="1" applyFont="1"/>
    <xf borderId="5" fillId="0" fontId="10" numFmtId="0" xfId="0" applyBorder="1" applyFont="1"/>
    <xf borderId="3" fillId="4" fontId="11" numFmtId="3" xfId="0" applyBorder="1" applyFill="1" applyFont="1" applyNumberFormat="1"/>
    <xf borderId="5" fillId="0" fontId="10" numFmtId="164" xfId="0" applyBorder="1" applyFont="1" applyNumberFormat="1"/>
    <xf borderId="3" fillId="4" fontId="11" numFmtId="0" xfId="0" applyBorder="1" applyFill="1" applyFont="1"/>
    <xf borderId="0" fillId="0" fontId="10" numFmtId="0" xfId="0" applyFont="1"/>
    <xf borderId="0" fillId="0" fontId="10" numFmtId="164" xfId="0" applyFont="1" applyNumberFormat="1"/>
    <xf borderId="3" fillId="4" fontId="12" numFmtId="3" xfId="0" applyBorder="1" applyFill="1" applyFont="1" applyNumberFormat="1"/>
    <xf borderId="3" fillId="4" fontId="12" numFmtId="0" xfId="0" applyBorder="1" applyFill="1" applyFont="1"/>
    <xf borderId="3" fillId="4" fontId="12" numFmtId="3" xfId="0" applyAlignment="1" applyBorder="1" applyFill="1" applyFont="1" applyNumberFormat="1">
      <alignment horizontal="right"/>
    </xf>
    <xf borderId="3" fillId="0" fontId="10" numFmtId="0" xfId="0" applyBorder="1" applyFont="1"/>
    <xf borderId="3" fillId="0" fontId="10" numFmtId="164" xfId="0" applyBorder="1" applyFont="1" applyNumberFormat="1"/>
    <xf borderId="3" fillId="7" fontId="8" numFmtId="164" xfId="0" applyAlignment="1" applyBorder="1" applyFill="1" applyFont="1" applyNumberFormat="1">
      <alignment horizontal="right"/>
    </xf>
    <xf borderId="3" fillId="8" fontId="1" numFmtId="0" xfId="0" applyBorder="1" applyFill="1" applyFont="1"/>
    <xf borderId="3" fillId="8" fontId="3" numFmtId="164" xfId="0" applyAlignment="1" applyBorder="1" applyFill="1" applyFont="1" applyNumberFormat="1">
      <alignment horizontal="right" vertical="bottom"/>
    </xf>
    <xf borderId="3" fillId="9" fontId="7" numFmtId="164" xfId="0" applyBorder="1" applyFill="1" applyFont="1" applyNumberFormat="1"/>
    <xf borderId="3" fillId="9" fontId="1" numFmtId="0" xfId="0" applyBorder="1" applyFill="1" applyFont="1"/>
    <xf borderId="0" fillId="0" fontId="3" numFmtId="0" xfId="0" applyFont="1"/>
    <xf borderId="0" fillId="0" fontId="3" numFmtId="164" xfId="0" applyFont="1" applyNumberFormat="1"/>
    <xf borderId="3" fillId="4" fontId="12" numFmtId="164" xfId="0" applyBorder="1" applyFill="1" applyFont="1" applyNumberFormat="1"/>
    <xf borderId="3" fillId="4" fontId="1" numFmtId="164" xfId="0" applyBorder="1" applyFill="1" applyFont="1" applyNumberFormat="1"/>
    <xf borderId="3" fillId="6" fontId="7" numFmtId="164" xfId="0" applyAlignment="1" applyBorder="1" applyFill="1" applyFont="1" applyNumberFormat="1">
      <alignment readingOrder="0"/>
    </xf>
    <xf borderId="8" fillId="4" fontId="12" numFmtId="0" xfId="0" applyBorder="1" applyFill="1" applyFont="1"/>
    <xf borderId="8" fillId="4" fontId="12" numFmtId="164" xfId="0" applyBorder="1" applyFill="1" applyFont="1" applyNumberFormat="1"/>
    <xf borderId="0" fillId="0" fontId="12" numFmtId="0" xfId="0" applyFont="1"/>
    <xf borderId="0" fillId="0" fontId="12" numFmtId="164" xfId="0" applyFont="1" applyNumberFormat="1"/>
    <xf borderId="0" fillId="0" fontId="8" numFmtId="164" xfId="0" applyAlignment="1" applyFont="1" applyNumberFormat="1">
      <alignment horizontal="right"/>
    </xf>
    <xf borderId="0" fillId="4" fontId="12" numFmtId="0" xfId="0" applyFill="1" applyFont="1"/>
    <xf borderId="0" fillId="10" fontId="12" numFmtId="0" xfId="0" applyAlignment="1" applyFill="1" applyFont="1">
      <alignment horizontal="right"/>
    </xf>
    <xf borderId="0" fillId="3" fontId="13" numFmtId="0" xfId="0" applyAlignment="1" applyFill="1" applyFont="1">
      <alignment horizontal="left"/>
    </xf>
    <xf borderId="0" fillId="2" fontId="14" numFmtId="0" xfId="0" applyAlignment="1" applyFill="1" applyFont="1">
      <alignment horizontal="right" vertical="bottom"/>
    </xf>
    <xf borderId="0" fillId="10" fontId="14" numFmtId="0" xfId="0" applyAlignment="1" applyFill="1" applyFont="1">
      <alignment horizontal="right" vertical="bottom"/>
    </xf>
    <xf borderId="0" fillId="4" fontId="14" numFmtId="0" xfId="0" applyFill="1" applyFont="1"/>
    <xf borderId="2" fillId="2" fontId="14" numFmtId="0" xfId="0" applyAlignment="1" applyBorder="1" applyFill="1" applyFont="1">
      <alignment horizontal="right" vertical="bottom"/>
    </xf>
    <xf borderId="3" fillId="4" fontId="12" numFmtId="10" xfId="0" applyBorder="1" applyFill="1" applyFont="1" applyNumberFormat="1"/>
    <xf borderId="0" fillId="10" fontId="12" numFmtId="0" xfId="0" applyFill="1" applyFont="1"/>
    <xf borderId="0" fillId="0" fontId="10" numFmtId="0" xfId="0" applyAlignment="1" applyFont="1">
      <alignment horizontal="left"/>
    </xf>
    <xf borderId="0" fillId="0" fontId="15" numFmtId="0" xfId="0" applyAlignment="1" applyFont="1">
      <alignment vertical="bottom"/>
    </xf>
    <xf borderId="0" fillId="10" fontId="16" numFmtId="164" xfId="0" applyAlignment="1" applyFill="1" applyFont="1" applyNumberFormat="1">
      <alignment horizontal="right"/>
    </xf>
    <xf borderId="0" fillId="0" fontId="16" numFmtId="164" xfId="0" applyAlignment="1" applyFont="1" applyNumberFormat="1">
      <alignment horizontal="right"/>
    </xf>
    <xf borderId="3" fillId="7" fontId="8" numFmtId="10" xfId="0" applyAlignment="1" applyBorder="1" applyFill="1" applyFont="1" applyNumberFormat="1">
      <alignment horizontal="right"/>
    </xf>
    <xf borderId="3" fillId="0" fontId="10" numFmtId="0" xfId="0" applyAlignment="1" applyBorder="1" applyFont="1">
      <alignment readingOrder="0"/>
    </xf>
    <xf borderId="0" fillId="0" fontId="16" numFmtId="164" xfId="0" applyFont="1" applyNumberFormat="1"/>
    <xf borderId="3" fillId="0" fontId="10" numFmtId="3" xfId="0" applyBorder="1" applyFont="1" applyNumberFormat="1"/>
    <xf borderId="3" fillId="0" fontId="10" numFmtId="3" xfId="0" applyAlignment="1" applyBorder="1" applyFont="1" applyNumberFormat="1">
      <alignment readingOrder="0"/>
    </xf>
    <xf borderId="3" fillId="0" fontId="10" numFmtId="10" xfId="0" applyBorder="1" applyFont="1" applyNumberFormat="1"/>
    <xf borderId="0" fillId="11" fontId="10" numFmtId="0" xfId="0" applyFill="1" applyFont="1"/>
    <xf borderId="0" fillId="11" fontId="10" numFmtId="164" xfId="0" applyFill="1" applyFont="1" applyNumberFormat="1"/>
    <xf borderId="0" fillId="0" fontId="10" numFmtId="167" xfId="0" applyFont="1" applyNumberFormat="1"/>
    <xf borderId="0" fillId="0" fontId="8" numFmtId="0" xfId="0" applyAlignment="1" applyFont="1">
      <alignment horizontal="right"/>
    </xf>
    <xf borderId="0" fillId="0" fontId="10" numFmtId="10" xfId="0" applyFont="1" applyNumberFormat="1"/>
    <xf borderId="3" fillId="0" fontId="10" numFmtId="164" xfId="0" applyAlignment="1" applyBorder="1" applyFont="1" applyNumberFormat="1">
      <alignment readingOrder="0"/>
    </xf>
    <xf borderId="0" fillId="0" fontId="10" numFmtId="0" xfId="0" applyAlignment="1" applyFont="1">
      <alignment vertical="bottom"/>
    </xf>
    <xf borderId="0" fillId="12" fontId="17" numFmtId="0" xfId="0" applyFill="1" applyFont="1"/>
    <xf borderId="0" fillId="12" fontId="18" numFmtId="164" xfId="0" applyAlignment="1" applyFill="1" applyFont="1" applyNumberFormat="1">
      <alignment horizontal="right" vertical="bottom"/>
    </xf>
    <xf borderId="0" fillId="0" fontId="18" numFmtId="0" xfId="0" applyFont="1"/>
    <xf borderId="9" fillId="12" fontId="4" numFmtId="0" xfId="0" applyAlignment="1" applyBorder="1" applyFill="1" applyFont="1">
      <alignment horizontal="center"/>
    </xf>
    <xf borderId="10" fillId="0" fontId="5" numFmtId="0" xfId="0" applyBorder="1" applyFont="1"/>
    <xf borderId="11" fillId="0" fontId="5" numFmtId="0" xfId="0" applyBorder="1" applyFont="1"/>
    <xf borderId="0" fillId="0" fontId="19" numFmtId="164" xfId="0" applyFont="1" applyNumberFormat="1"/>
    <xf borderId="12" fillId="12" fontId="17" numFmtId="0" xfId="0" applyBorder="1" applyFill="1" applyFont="1"/>
    <xf borderId="0" fillId="12" fontId="18" numFmtId="0" xfId="0" applyAlignment="1" applyFill="1" applyFont="1">
      <alignment horizontal="right" vertical="bottom"/>
    </xf>
    <xf borderId="13" fillId="12" fontId="18" numFmtId="0" xfId="0" applyAlignment="1" applyBorder="1" applyFill="1" applyFont="1">
      <alignment horizontal="right" vertical="bottom"/>
    </xf>
    <xf borderId="0" fillId="12" fontId="18" numFmtId="0" xfId="0" applyAlignment="1" applyFill="1" applyFont="1">
      <alignment horizontal="left" vertical="bottom"/>
    </xf>
    <xf borderId="5" fillId="0" fontId="20" numFmtId="164" xfId="0" applyAlignment="1" applyBorder="1" applyFont="1" applyNumberFormat="1">
      <alignment horizontal="right"/>
    </xf>
    <xf borderId="0" fillId="0" fontId="21" numFmtId="164" xfId="0" applyFont="1" applyNumberFormat="1"/>
    <xf borderId="0" fillId="13" fontId="12" numFmtId="0" xfId="0" applyFill="1" applyFont="1"/>
    <xf borderId="0" fillId="13" fontId="12" numFmtId="164" xfId="0" applyAlignment="1" applyFill="1" applyFont="1" applyNumberFormat="1">
      <alignment horizontal="right"/>
    </xf>
    <xf borderId="0" fillId="10" fontId="12" numFmtId="164" xfId="0" applyAlignment="1" applyFill="1" applyFont="1" applyNumberFormat="1">
      <alignment horizontal="right"/>
    </xf>
    <xf borderId="5" fillId="12" fontId="18" numFmtId="164" xfId="0" applyAlignment="1" applyBorder="1" applyFill="1" applyFont="1" applyNumberFormat="1">
      <alignment horizontal="right" vertical="bottom"/>
    </xf>
    <xf borderId="0" fillId="12" fontId="22" numFmtId="0" xfId="0" applyAlignment="1" applyFill="1" applyFont="1">
      <alignment horizontal="left" vertical="bottom"/>
    </xf>
    <xf borderId="5" fillId="0" fontId="23" numFmtId="164" xfId="0" applyAlignment="1" applyBorder="1" applyFont="1" applyNumberFormat="1">
      <alignment horizontal="right"/>
    </xf>
    <xf borderId="0" fillId="0" fontId="24" numFmtId="164" xfId="0" applyFont="1" applyNumberFormat="1"/>
    <xf borderId="12" fillId="14" fontId="18" numFmtId="0" xfId="0" applyBorder="1" applyFill="1" applyFont="1"/>
    <xf borderId="0" fillId="14" fontId="18" numFmtId="164" xfId="0" applyAlignment="1" applyFill="1" applyFont="1" applyNumberFormat="1">
      <alignment horizontal="right"/>
    </xf>
    <xf borderId="0" fillId="0" fontId="18" numFmtId="164" xfId="0" applyFont="1" applyNumberFormat="1"/>
    <xf borderId="12" fillId="0" fontId="21" numFmtId="0" xfId="0" applyBorder="1" applyFont="1"/>
    <xf borderId="0" fillId="0" fontId="20" numFmtId="164" xfId="0" applyFont="1" applyNumberFormat="1"/>
    <xf borderId="12" fillId="11" fontId="21" numFmtId="0" xfId="0" applyBorder="1" applyFill="1" applyFont="1"/>
    <xf borderId="0" fillId="11" fontId="20" numFmtId="164" xfId="0" applyFill="1" applyFont="1" applyNumberFormat="1"/>
    <xf borderId="12" fillId="0" fontId="18" numFmtId="0" xfId="0" applyBorder="1" applyFont="1"/>
    <xf borderId="0" fillId="0" fontId="25" numFmtId="164" xfId="0" applyFont="1" applyNumberFormat="1"/>
    <xf borderId="13" fillId="0" fontId="25" numFmtId="164" xfId="0" applyBorder="1" applyFont="1" applyNumberFormat="1"/>
    <xf borderId="5" fillId="15" fontId="18" numFmtId="0" xfId="0" applyBorder="1" applyFill="1" applyFont="1"/>
    <xf borderId="5" fillId="15" fontId="18" numFmtId="164" xfId="0" applyBorder="1" applyFill="1" applyFont="1" applyNumberFormat="1"/>
    <xf borderId="0" fillId="12" fontId="18" numFmtId="164" xfId="0" applyAlignment="1" applyFill="1" applyFont="1" applyNumberFormat="1">
      <alignment horizontal="right" readingOrder="0" vertical="bottom"/>
    </xf>
    <xf borderId="5" fillId="15" fontId="18" numFmtId="0" xfId="0" applyAlignment="1" applyBorder="1" applyFill="1" applyFont="1">
      <alignment shrinkToFit="0" wrapText="1"/>
    </xf>
    <xf borderId="0" fillId="0" fontId="26" numFmtId="0" xfId="0" applyAlignment="1" applyFont="1">
      <alignment horizontal="left" shrinkToFit="0" vertical="bottom" wrapText="0"/>
    </xf>
    <xf borderId="12" fillId="0" fontId="20" numFmtId="0" xfId="0" applyBorder="1" applyFont="1"/>
    <xf borderId="0" fillId="0" fontId="20" numFmtId="0" xfId="0" applyFont="1"/>
    <xf borderId="0" fillId="0" fontId="27" numFmtId="0" xfId="0" applyFont="1"/>
    <xf borderId="13" fillId="0" fontId="20" numFmtId="0" xfId="0" applyBorder="1" applyFont="1"/>
    <xf borderId="14" fillId="12" fontId="18" numFmtId="0" xfId="0" applyBorder="1" applyFill="1" applyFont="1"/>
    <xf borderId="15" fillId="12" fontId="18" numFmtId="164" xfId="0" applyAlignment="1" applyBorder="1" applyFill="1" applyFont="1" applyNumberFormat="1">
      <alignment horizontal="right" vertical="bottom"/>
    </xf>
    <xf borderId="0" fillId="0" fontId="21" numFmtId="0" xfId="0" applyFont="1"/>
    <xf borderId="12" fillId="11" fontId="20" numFmtId="0" xfId="0" applyBorder="1" applyFill="1" applyFont="1"/>
    <xf borderId="5" fillId="0" fontId="20" numFmtId="164" xfId="0" applyBorder="1" applyFont="1" applyNumberFormat="1"/>
    <xf borderId="14" fillId="12" fontId="18" numFmtId="0" xfId="0" applyAlignment="1" applyBorder="1" applyFill="1" applyFont="1">
      <alignment shrinkToFit="0" wrapText="1"/>
    </xf>
    <xf borderId="15" fillId="12" fontId="18" numFmtId="164" xfId="0" applyAlignment="1" applyBorder="1" applyFill="1" applyFont="1" applyNumberFormat="1">
      <alignment shrinkToFit="0" wrapText="1"/>
    </xf>
    <xf borderId="13" fillId="0" fontId="20" numFmtId="164" xfId="0" applyBorder="1" applyFont="1" applyNumberFormat="1"/>
    <xf borderId="0" fillId="11" fontId="20" numFmtId="0" xfId="0" applyFill="1" applyFont="1"/>
    <xf borderId="0" fillId="5" fontId="6" numFmtId="0" xfId="0" applyAlignment="1" applyFill="1" applyFont="1">
      <alignment horizontal="center"/>
    </xf>
    <xf borderId="0" fillId="5" fontId="6" numFmtId="166" xfId="0" applyAlignment="1" applyFill="1" applyFont="1" applyNumberFormat="1">
      <alignment horizontal="center"/>
    </xf>
    <xf borderId="0" fillId="0" fontId="6" numFmtId="0" xfId="0" applyAlignment="1" applyFont="1">
      <alignment horizontal="center"/>
    </xf>
    <xf borderId="0" fillId="16" fontId="10" numFmtId="0" xfId="0" applyFill="1" applyFont="1"/>
    <xf borderId="0" fillId="16" fontId="10" numFmtId="164" xfId="0" applyFill="1" applyFont="1" applyNumberFormat="1"/>
    <xf borderId="0" fillId="0" fontId="10" numFmtId="3" xfId="0" applyFont="1" applyNumberFormat="1"/>
    <xf borderId="0" fillId="5" fontId="6" numFmtId="166" xfId="0" applyAlignment="1" applyFill="1" applyFont="1" applyNumberFormat="1">
      <alignment horizontal="center" readingOrder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0" xfId="0" applyFont="1"/>
    <xf borderId="0" fillId="0" fontId="28" numFmtId="0" xfId="0" applyFont="1"/>
    <xf borderId="0" fillId="0" fontId="28" numFmtId="164" xfId="0" applyFont="1" applyNumberFormat="1"/>
    <xf borderId="0" fillId="0" fontId="10" numFmtId="3" xfId="0" applyAlignment="1" applyFont="1" applyNumberFormat="1">
      <alignment readingOrder="0"/>
    </xf>
    <xf borderId="0" fillId="0" fontId="10" numFmtId="10" xfId="0" applyAlignment="1" applyFont="1" applyNumberFormat="1">
      <alignment readingOrder="0"/>
    </xf>
    <xf borderId="1" fillId="2" fontId="3" numFmtId="0" xfId="0" applyBorder="1" applyFill="1" applyFont="1"/>
    <xf borderId="3" fillId="2" fontId="29" numFmtId="0" xfId="0" applyBorder="1" applyFill="1" applyFont="1"/>
    <xf borderId="3" fillId="0" fontId="3" numFmtId="164" xfId="0" applyBorder="1" applyFont="1" applyNumberFormat="1"/>
    <xf borderId="3" fillId="4" fontId="1" numFmtId="0" xfId="0" applyAlignment="1" applyBorder="1" applyFill="1" applyFont="1">
      <alignment readingOrder="0"/>
    </xf>
    <xf borderId="3" fillId="14" fontId="1" numFmtId="0" xfId="0" applyBorder="1" applyFill="1" applyFont="1"/>
    <xf borderId="3" fillId="14" fontId="3" numFmtId="164" xfId="0" applyAlignment="1" applyBorder="1" applyFill="1" applyFont="1" applyNumberFormat="1">
      <alignment horizontal="right" vertical="bottom"/>
    </xf>
    <xf borderId="3" fillId="14" fontId="3" numFmtId="164" xfId="0" applyAlignment="1" applyBorder="1" applyFill="1" applyFont="1" applyNumberFormat="1">
      <alignment horizontal="right" readingOrder="0" vertical="bottom"/>
    </xf>
    <xf borderId="3" fillId="0" fontId="30" numFmtId="164" xfId="0" applyBorder="1" applyFont="1" applyNumberFormat="1"/>
    <xf borderId="3" fillId="0" fontId="3" numFmtId="164" xfId="0" applyAlignment="1" applyBorder="1" applyFont="1" applyNumberFormat="1">
      <alignment readingOrder="0"/>
    </xf>
    <xf borderId="3" fillId="11" fontId="1" numFmtId="0" xfId="0" applyBorder="1" applyFill="1" applyFont="1"/>
    <xf borderId="3" fillId="11" fontId="3" numFmtId="164" xfId="0" applyBorder="1" applyFill="1" applyFont="1" applyNumberFormat="1"/>
    <xf borderId="3" fillId="2" fontId="3" numFmtId="0" xfId="0" applyBorder="1" applyFill="1" applyFont="1"/>
    <xf borderId="0" fillId="4" fontId="1" numFmtId="0" xfId="0" applyFill="1" applyFont="1"/>
    <xf borderId="3" fillId="6" fontId="7" numFmtId="0" xfId="0" applyBorder="1" applyFill="1" applyFont="1"/>
    <xf borderId="2" fillId="6" fontId="7" numFmtId="164" xfId="0" applyBorder="1" applyFill="1" applyFont="1" applyNumberFormat="1"/>
    <xf borderId="3" fillId="0" fontId="30" numFmtId="164" xfId="0" applyAlignment="1" applyBorder="1" applyFont="1" applyNumberFormat="1">
      <alignment readingOrder="0"/>
    </xf>
    <xf borderId="3" fillId="0" fontId="7" numFmtId="164" xfId="0" applyAlignment="1" applyBorder="1" applyFont="1" applyNumberFormat="1">
      <alignment horizontal="right" vertical="bottom"/>
    </xf>
    <xf borderId="0" fillId="6" fontId="10" numFmtId="0" xfId="0" applyAlignment="1" applyFill="1" applyFont="1">
      <alignment horizontal="left"/>
    </xf>
    <xf borderId="0" fillId="0" fontId="3" numFmtId="0" xfId="0" applyAlignment="1" applyFont="1">
      <alignment readingOrder="0"/>
    </xf>
    <xf borderId="3" fillId="17" fontId="1" numFmtId="0" xfId="0" applyBorder="1" applyFill="1" applyFont="1"/>
    <xf borderId="3" fillId="17" fontId="3" numFmtId="0" xfId="0" applyBorder="1" applyFill="1" applyFont="1"/>
    <xf borderId="16" fillId="4" fontId="1" numFmtId="164" xfId="0" applyBorder="1" applyFill="1" applyFont="1" applyNumberFormat="1"/>
    <xf borderId="0" fillId="14" fontId="1" numFmtId="0" xfId="0" applyFill="1" applyFont="1"/>
    <xf borderId="3" fillId="14" fontId="7" numFmtId="164" xfId="0" applyBorder="1" applyFill="1" applyFont="1" applyNumberFormat="1"/>
    <xf borderId="0" fillId="13" fontId="1" numFmtId="0" xfId="0" applyFill="1" applyFont="1"/>
    <xf borderId="8" fillId="13" fontId="7" numFmtId="164" xfId="0" applyBorder="1" applyFill="1" applyFont="1" applyNumberFormat="1"/>
    <xf borderId="8" fillId="6" fontId="7" numFmtId="164" xfId="0" applyBorder="1" applyFill="1" applyFont="1" applyNumberFormat="1"/>
    <xf borderId="1" fillId="6" fontId="7" numFmtId="164" xfId="0" applyBorder="1" applyFill="1" applyFont="1" applyNumberFormat="1"/>
    <xf borderId="4" fillId="4" fontId="1" numFmtId="0" xfId="0" applyAlignment="1" applyBorder="1" applyFill="1" applyFont="1">
      <alignment horizontal="center"/>
    </xf>
    <xf borderId="0" fillId="0" fontId="3" numFmtId="0" xfId="0" applyAlignment="1" applyFont="1">
      <alignment vertical="bottom"/>
    </xf>
    <xf borderId="0" fillId="0" fontId="3" numFmtId="168" xfId="0" applyFont="1" applyNumberFormat="1"/>
    <xf borderId="0" fillId="3" fontId="31" numFmtId="0" xfId="0" applyAlignment="1" applyFill="1" applyFont="1">
      <alignment horizontal="left"/>
    </xf>
    <xf borderId="0" fillId="3" fontId="32" numFmtId="164" xfId="0" applyAlignment="1" applyFill="1" applyFont="1" applyNumberFormat="1">
      <alignment horizontal="right"/>
    </xf>
    <xf borderId="0" fillId="10" fontId="33" numFmtId="164" xfId="0" applyAlignment="1" applyFill="1" applyFont="1" applyNumberFormat="1">
      <alignment horizontal="right"/>
    </xf>
    <xf borderId="0" fillId="3" fontId="33" numFmtId="164" xfId="0" applyAlignment="1" applyFill="1" applyFont="1" applyNumberFormat="1">
      <alignment horizontal="right"/>
    </xf>
    <xf borderId="0" fillId="3" fontId="33" numFmtId="0" xfId="0" applyAlignment="1" applyFill="1" applyFont="1">
      <alignment horizontal="right"/>
    </xf>
    <xf borderId="3" fillId="18" fontId="12" numFmtId="0" xfId="0" applyAlignment="1" applyBorder="1" applyFill="1" applyFont="1">
      <alignment horizontal="left"/>
    </xf>
    <xf borderId="0" fillId="18" fontId="12" numFmtId="0" xfId="0" applyAlignment="1" applyFill="1" applyFont="1">
      <alignment horizontal="left"/>
    </xf>
    <xf borderId="0" fillId="18" fontId="12" numFmtId="169" xfId="0" applyFill="1" applyFont="1" applyNumberFormat="1"/>
    <xf borderId="0" fillId="18" fontId="12" numFmtId="164" xfId="0" applyFill="1" applyFont="1" applyNumberFormat="1"/>
    <xf borderId="0" fillId="19" fontId="12" numFmtId="3" xfId="0" applyAlignment="1" applyFill="1" applyFont="1" applyNumberFormat="1">
      <alignment horizontal="right" vertical="bottom"/>
    </xf>
    <xf borderId="0" fillId="20" fontId="12" numFmtId="3" xfId="0" applyFill="1" applyFont="1" applyNumberFormat="1"/>
    <xf borderId="0" fillId="18" fontId="12" numFmtId="164" xfId="0" applyAlignment="1" applyFill="1" applyFont="1" applyNumberFormat="1">
      <alignment horizontal="right"/>
    </xf>
    <xf borderId="0" fillId="18" fontId="12" numFmtId="0" xfId="0" applyFill="1" applyFont="1"/>
    <xf borderId="0" fillId="18" fontId="12" numFmtId="164" xfId="0" applyAlignment="1" applyFill="1" applyFont="1" applyNumberFormat="1">
      <alignment horizontal="left" vertical="bottom"/>
    </xf>
    <xf borderId="0" fillId="18" fontId="12" numFmtId="0" xfId="0" applyAlignment="1" applyFill="1" applyFont="1">
      <alignment horizontal="right"/>
    </xf>
    <xf borderId="0" fillId="0" fontId="10" numFmtId="169" xfId="0" applyAlignment="1" applyFont="1" applyNumberFormat="1">
      <alignment vertical="bottom"/>
    </xf>
    <xf borderId="0" fillId="0" fontId="10" numFmtId="169" xfId="0" applyAlignment="1" applyFont="1" applyNumberFormat="1">
      <alignment horizontal="right" vertical="bottom"/>
    </xf>
    <xf borderId="0" fillId="0" fontId="10" numFmtId="3" xfId="0" applyAlignment="1" applyFont="1" applyNumberFormat="1">
      <alignment horizontal="right" vertical="bottom"/>
    </xf>
    <xf borderId="0" fillId="20" fontId="10" numFmtId="3" xfId="0" applyAlignment="1" applyFill="1" applyFont="1" applyNumberForma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5" fillId="21" fontId="34" numFmtId="0" xfId="0" applyAlignment="1" applyBorder="1" applyFill="1" applyFont="1">
      <alignment horizontal="center" vertical="top"/>
    </xf>
    <xf borderId="0" fillId="0" fontId="16" numFmtId="0" xfId="0" applyAlignment="1" applyFont="1">
      <alignment horizontal="left" vertical="bottom"/>
    </xf>
    <xf borderId="5" fillId="21" fontId="34" numFmtId="0" xfId="0" applyAlignment="1" applyBorder="1" applyFill="1" applyFont="1">
      <alignment horizontal="center" readingOrder="0" vertical="top"/>
    </xf>
    <xf borderId="0" fillId="0" fontId="10" numFmtId="170" xfId="0" applyAlignment="1" applyFont="1" applyNumberFormat="1">
      <alignment vertical="bottom"/>
    </xf>
    <xf borderId="0" fillId="0" fontId="35" numFmtId="0" xfId="0" applyAlignment="1" applyFont="1">
      <alignment vertical="bottom"/>
    </xf>
    <xf borderId="0" fillId="0" fontId="36" numFmtId="0" xfId="0" applyAlignment="1" applyFont="1">
      <alignment readingOrder="0" vertical="bottom"/>
    </xf>
    <xf borderId="0" fillId="0" fontId="10" numFmtId="0" xfId="0" applyAlignment="1" applyFont="1">
      <alignment horizontal="right" vertical="bottom"/>
    </xf>
    <xf borderId="0" fillId="17" fontId="10" numFmtId="0" xfId="0" applyAlignment="1" applyFill="1" applyFont="1">
      <alignment horizontal="right" vertical="bottom"/>
    </xf>
    <xf borderId="0" fillId="0" fontId="10" numFmtId="171" xfId="0" applyFont="1" applyNumberFormat="1"/>
    <xf borderId="0" fillId="0" fontId="10" numFmtId="170" xfId="0" applyFont="1" applyNumberFormat="1"/>
    <xf borderId="0" fillId="0" fontId="28" numFmtId="0" xfId="0" applyAlignment="1" applyFont="1">
      <alignment readingOrder="0"/>
    </xf>
    <xf borderId="0" fillId="0" fontId="10" numFmtId="172" xfId="0" applyFont="1" applyNumberFormat="1"/>
    <xf borderId="0" fillId="0" fontId="16" numFmtId="173" xfId="0" applyAlignment="1" applyFont="1" applyNumberFormat="1">
      <alignment horizontal="left" vertical="bottom"/>
    </xf>
    <xf borderId="0" fillId="0" fontId="16" numFmtId="0" xfId="0" applyAlignment="1" applyFont="1">
      <alignment horizontal="right" vertical="bottom"/>
    </xf>
    <xf borderId="0" fillId="0" fontId="10" numFmtId="0" xfId="0" applyAlignment="1" applyFont="1">
      <alignment horizontal="left" vertical="bottom"/>
    </xf>
    <xf borderId="0" fillId="0" fontId="16" numFmtId="170" xfId="0" applyAlignment="1" applyFont="1" applyNumberFormat="1">
      <alignment horizontal="left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horizontal="left" readingOrder="0" vertical="bottom"/>
    </xf>
    <xf borderId="0" fillId="0" fontId="16" numFmtId="173" xfId="0" applyAlignment="1" applyFont="1" applyNumberFormat="1">
      <alignment horizontal="left" readingOrder="0" vertical="bottom"/>
    </xf>
    <xf borderId="0" fillId="0" fontId="37" numFmtId="173" xfId="0" applyAlignment="1" applyFont="1" applyNumberFormat="1">
      <alignment horizontal="left" readingOrder="0" vertical="bottom"/>
    </xf>
    <xf borderId="0" fillId="0" fontId="37" numFmtId="0" xfId="0" applyAlignment="1" applyFont="1">
      <alignment horizontal="right" readingOrder="0" vertical="bottom"/>
    </xf>
    <xf borderId="0" fillId="0" fontId="37" numFmtId="0" xfId="0" applyAlignment="1" applyFont="1">
      <alignment horizontal="left" readingOrder="0" vertical="bottom"/>
    </xf>
    <xf borderId="0" fillId="0" fontId="28" numFmtId="0" xfId="0" applyAlignment="1" applyFont="1">
      <alignment horizontal="left" vertical="bottom"/>
    </xf>
    <xf borderId="0" fillId="19" fontId="37" numFmtId="173" xfId="0" applyAlignment="1" applyFill="1" applyFont="1" applyNumberFormat="1">
      <alignment horizontal="left" readingOrder="0" vertical="bottom"/>
    </xf>
    <xf borderId="0" fillId="19" fontId="37" numFmtId="0" xfId="0" applyAlignment="1" applyFill="1" applyFont="1">
      <alignment horizontal="right" readingOrder="0" vertical="bottom"/>
    </xf>
    <xf borderId="0" fillId="19" fontId="37" numFmtId="0" xfId="0" applyAlignment="1" applyFill="1" applyFont="1">
      <alignment horizontal="left" readingOrder="0" vertical="bottom"/>
    </xf>
    <xf borderId="0" fillId="19" fontId="28" numFmtId="0" xfId="0" applyAlignment="1" applyFill="1" applyFont="1">
      <alignment horizontal="left" vertical="bottom"/>
    </xf>
    <xf borderId="0" fillId="19" fontId="28" numFmtId="0" xfId="0" applyFill="1" applyFont="1"/>
    <xf borderId="17" fillId="4" fontId="14" numFmtId="0" xfId="0" applyAlignment="1" applyBorder="1" applyFill="1" applyFont="1">
      <alignment horizontal="left"/>
    </xf>
    <xf borderId="17" fillId="4" fontId="14" numFmtId="0" xfId="0" applyBorder="1" applyFill="1" applyFont="1"/>
    <xf borderId="17" fillId="4" fontId="14" numFmtId="164" xfId="0" applyBorder="1" applyFill="1" applyFont="1" applyNumberFormat="1"/>
    <xf borderId="17" fillId="4" fontId="14" numFmtId="3" xfId="0" applyAlignment="1" applyBorder="1" applyFill="1" applyFont="1" applyNumberFormat="1">
      <alignment horizontal="right" vertical="bottom"/>
    </xf>
    <xf borderId="17" fillId="4" fontId="14" numFmtId="3" xfId="0" applyAlignment="1" applyBorder="1" applyFill="1" applyFont="1" applyNumberFormat="1">
      <alignment horizontal="left" vertical="bottom"/>
    </xf>
    <xf borderId="3" fillId="0" fontId="10" numFmtId="169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horizontal="right" vertical="bottom"/>
    </xf>
    <xf borderId="3" fillId="0" fontId="10" numFmtId="0" xfId="0" applyAlignment="1" applyBorder="1" applyFont="1">
      <alignment vertical="bottom"/>
    </xf>
    <xf borderId="3" fillId="0" fontId="10" numFmtId="164" xfId="0" applyAlignment="1" applyBorder="1" applyFont="1" applyNumberFormat="1">
      <alignment horizontal="right" vertical="bottom"/>
    </xf>
    <xf borderId="3" fillId="0" fontId="10" numFmtId="164" xfId="0" applyAlignment="1" applyBorder="1" applyFont="1" applyNumberFormat="1">
      <alignment horizontal="left" vertical="bottom"/>
    </xf>
    <xf borderId="3" fillId="0" fontId="10" numFmtId="169" xfId="0" applyAlignment="1" applyBorder="1" applyFont="1" applyNumberFormat="1">
      <alignment vertical="bottom"/>
    </xf>
    <xf borderId="3" fillId="0" fontId="10" numFmtId="164" xfId="0" applyAlignment="1" applyBorder="1" applyFont="1" applyNumberFormat="1">
      <alignment vertical="bottom"/>
    </xf>
    <xf borderId="3" fillId="0" fontId="10" numFmtId="169" xfId="0" applyBorder="1" applyFont="1" applyNumberFormat="1"/>
    <xf borderId="3" fillId="0" fontId="38" numFmtId="169" xfId="0" applyAlignment="1" applyBorder="1" applyFont="1" applyNumberFormat="1">
      <alignment horizontal="right" vertical="bottom"/>
    </xf>
    <xf borderId="3" fillId="0" fontId="10" numFmtId="164" xfId="0" applyAlignment="1" applyBorder="1" applyFont="1" applyNumberFormat="1">
      <alignment horizontal="left" readingOrder="0" vertical="bottom"/>
    </xf>
    <xf borderId="0" fillId="20" fontId="10" numFmtId="3" xfId="0" applyAlignment="1" applyFill="1" applyFont="1" applyNumberFormat="1">
      <alignment horizontal="right" readingOrder="0" vertical="bottom"/>
    </xf>
    <xf borderId="0" fillId="0" fontId="39" numFmtId="0" xfId="0" applyAlignment="1" applyFont="1">
      <alignment vertical="bottom"/>
    </xf>
    <xf borderId="3" fillId="0" fontId="40" numFmtId="0" xfId="0" applyAlignment="1" applyBorder="1" applyFont="1">
      <alignment vertical="bottom"/>
    </xf>
    <xf borderId="3" fillId="0" fontId="38" numFmtId="0" xfId="0" applyAlignment="1" applyBorder="1" applyFont="1">
      <alignment vertical="bottom"/>
    </xf>
    <xf borderId="3" fillId="0" fontId="38" numFmtId="164" xfId="0" applyAlignment="1" applyBorder="1" applyFont="1" applyNumberFormat="1">
      <alignment vertical="bottom"/>
    </xf>
    <xf borderId="3" fillId="0" fontId="40" numFmtId="164" xfId="0" applyAlignment="1" applyBorder="1" applyFont="1" applyNumberFormat="1">
      <alignment vertical="bottom"/>
    </xf>
    <xf borderId="3" fillId="0" fontId="10" numFmtId="169" xfId="0" applyAlignment="1" applyBorder="1" applyFont="1" applyNumberFormat="1">
      <alignment readingOrder="0"/>
    </xf>
    <xf borderId="3" fillId="0" fontId="10" numFmtId="0" xfId="0" applyAlignment="1" applyBorder="1" applyFont="1">
      <alignment horizontal="right" readingOrder="0" vertical="bottom"/>
    </xf>
    <xf borderId="3" fillId="0" fontId="10" numFmtId="0" xfId="0" applyAlignment="1" applyBorder="1" applyFont="1">
      <alignment horizontal="right" vertical="bottom"/>
    </xf>
    <xf borderId="3" fillId="0" fontId="10" numFmtId="0" xfId="0" applyAlignment="1" applyBorder="1" applyFont="1">
      <alignment vertical="bottom"/>
    </xf>
    <xf borderId="3" fillId="0" fontId="10" numFmtId="164" xfId="0" applyAlignment="1" applyBorder="1" applyFont="1" applyNumberFormat="1">
      <alignment readingOrder="0" vertical="bottom"/>
    </xf>
    <xf borderId="3" fillId="0" fontId="10" numFmtId="171" xfId="0" applyBorder="1" applyFont="1" applyNumberFormat="1"/>
    <xf borderId="3" fillId="0" fontId="16" numFmtId="169" xfId="0" applyAlignment="1" applyBorder="1" applyFont="1" applyNumberFormat="1">
      <alignment horizontal="left" readingOrder="0" vertical="bottom"/>
    </xf>
    <xf borderId="3" fillId="0" fontId="16" numFmtId="0" xfId="0" applyAlignment="1" applyBorder="1" applyFont="1">
      <alignment horizontal="right" readingOrder="0" vertical="bottom"/>
    </xf>
    <xf borderId="3" fillId="0" fontId="16" numFmtId="0" xfId="0" applyAlignment="1" applyBorder="1" applyFont="1">
      <alignment horizontal="right" vertical="bottom"/>
    </xf>
    <xf borderId="3" fillId="0" fontId="16" numFmtId="0" xfId="0" applyAlignment="1" applyBorder="1" applyFont="1">
      <alignment horizontal="right" vertical="bottom"/>
    </xf>
    <xf borderId="3" fillId="0" fontId="16" numFmtId="0" xfId="0" applyAlignment="1" applyBorder="1" applyFont="1">
      <alignment horizontal="left" readingOrder="0" vertical="bottom"/>
    </xf>
    <xf borderId="3" fillId="0" fontId="16" numFmtId="164" xfId="0" applyAlignment="1" applyBorder="1" applyFont="1" applyNumberFormat="1">
      <alignment horizontal="left" readingOrder="0" vertical="bottom"/>
    </xf>
    <xf borderId="3" fillId="0" fontId="10" numFmtId="164" xfId="0" applyAlignment="1" applyBorder="1" applyFont="1" applyNumberFormat="1">
      <alignment horizontal="right" readingOrder="0" vertical="bottom"/>
    </xf>
    <xf borderId="3" fillId="19" fontId="16" numFmtId="169" xfId="0" applyAlignment="1" applyBorder="1" applyFill="1" applyFont="1" applyNumberFormat="1">
      <alignment horizontal="left" readingOrder="0" vertical="bottom"/>
    </xf>
    <xf borderId="0" fillId="3" fontId="31" numFmtId="164" xfId="0" applyAlignment="1" applyFill="1" applyFont="1" applyNumberFormat="1">
      <alignment horizontal="right"/>
    </xf>
    <xf borderId="3" fillId="19" fontId="16" numFmtId="0" xfId="0" applyAlignment="1" applyBorder="1" applyFill="1" applyFont="1">
      <alignment horizontal="right" readingOrder="0" vertical="bottom"/>
    </xf>
    <xf borderId="0" fillId="10" fontId="41" numFmtId="164" xfId="0" applyAlignment="1" applyFill="1" applyFont="1" applyNumberFormat="1">
      <alignment horizontal="right"/>
    </xf>
    <xf borderId="3" fillId="19" fontId="16" numFmtId="0" xfId="0" applyAlignment="1" applyBorder="1" applyFill="1" applyFont="1">
      <alignment horizontal="right" vertical="bottom"/>
    </xf>
    <xf borderId="3" fillId="19" fontId="16" numFmtId="0" xfId="0" applyAlignment="1" applyBorder="1" applyFill="1" applyFont="1">
      <alignment horizontal="left" vertical="bottom"/>
    </xf>
    <xf borderId="0" fillId="3" fontId="41" numFmtId="164" xfId="0" applyAlignment="1" applyFill="1" applyFont="1" applyNumberFormat="1">
      <alignment horizontal="right"/>
    </xf>
    <xf borderId="3" fillId="19" fontId="16" numFmtId="164" xfId="0" applyAlignment="1" applyBorder="1" applyFill="1" applyFont="1" applyNumberFormat="1">
      <alignment horizontal="left" readingOrder="0" vertical="bottom"/>
    </xf>
    <xf borderId="3" fillId="19" fontId="16" numFmtId="0" xfId="0" applyAlignment="1" applyBorder="1" applyFill="1" applyFont="1">
      <alignment horizontal="left" readingOrder="0" vertical="bottom"/>
    </xf>
    <xf borderId="0" fillId="19" fontId="10" numFmtId="0" xfId="0" applyFill="1" applyFont="1"/>
    <xf borderId="3" fillId="0" fontId="16" numFmtId="169" xfId="0" applyAlignment="1" applyBorder="1" applyFont="1" applyNumberFormat="1">
      <alignment horizontal="left" vertical="bottom"/>
    </xf>
    <xf borderId="3" fillId="0" fontId="16" numFmtId="0" xfId="0" applyAlignment="1" applyBorder="1" applyFont="1">
      <alignment horizontal="left" vertical="bottom"/>
    </xf>
    <xf borderId="3" fillId="0" fontId="16" numFmtId="164" xfId="0" applyAlignment="1" applyBorder="1" applyFont="1" applyNumberFormat="1">
      <alignment horizontal="left" vertical="bottom"/>
    </xf>
    <xf borderId="3" fillId="0" fontId="16" numFmtId="174" xfId="0" applyAlignment="1" applyBorder="1" applyFont="1" applyNumberFormat="1">
      <alignment horizontal="right" vertical="bottom"/>
    </xf>
    <xf borderId="0" fillId="13" fontId="12" numFmtId="0" xfId="0" applyAlignment="1" applyFill="1" applyFont="1">
      <alignment readingOrder="0"/>
    </xf>
    <xf borderId="3" fillId="0" fontId="37" numFmtId="169" xfId="0" applyAlignment="1" applyBorder="1" applyFont="1" applyNumberFormat="1">
      <alignment horizontal="left" readingOrder="0" vertical="bottom"/>
    </xf>
    <xf borderId="3" fillId="0" fontId="37" numFmtId="0" xfId="0" applyAlignment="1" applyBorder="1" applyFont="1">
      <alignment horizontal="right" readingOrder="0" vertical="bottom"/>
    </xf>
    <xf borderId="3" fillId="0" fontId="37" numFmtId="0" xfId="0" applyAlignment="1" applyBorder="1" applyFont="1">
      <alignment horizontal="left" readingOrder="0" vertical="bottom"/>
    </xf>
    <xf borderId="3" fillId="0" fontId="37" numFmtId="164" xfId="0" applyAlignment="1" applyBorder="1" applyFont="1" applyNumberFormat="1">
      <alignment horizontal="left" readingOrder="0" vertical="bottom"/>
    </xf>
    <xf borderId="3" fillId="0" fontId="37" numFmtId="174" xfId="0" applyAlignment="1" applyBorder="1" applyFont="1" applyNumberFormat="1">
      <alignment horizontal="right" readingOrder="0" vertical="bottom"/>
    </xf>
    <xf borderId="3" fillId="0" fontId="10" numFmtId="169" xfId="0" applyAlignment="1" applyBorder="1" applyFont="1" applyNumberFormat="1">
      <alignment readingOrder="0" vertical="bottom"/>
    </xf>
    <xf borderId="3" fillId="0" fontId="10" numFmtId="0" xfId="0" applyAlignment="1" applyBorder="1" applyFont="1">
      <alignment readingOrder="0" vertical="bottom"/>
    </xf>
    <xf borderId="0" fillId="0" fontId="37" numFmtId="169" xfId="0" applyAlignment="1" applyFont="1" applyNumberFormat="1">
      <alignment horizontal="left" readingOrder="0" vertical="bottom"/>
    </xf>
    <xf borderId="0" fillId="0" fontId="37" numFmtId="164" xfId="0" applyAlignment="1" applyFont="1" applyNumberFormat="1">
      <alignment horizontal="left" readingOrder="0" vertical="bottom"/>
    </xf>
    <xf borderId="0" fillId="0" fontId="10" numFmtId="0" xfId="0" applyAlignment="1" applyFont="1">
      <alignment horizontal="left" readingOrder="0"/>
    </xf>
    <xf borderId="0" fillId="0" fontId="10" numFmtId="169" xfId="0" applyFont="1" applyNumberFormat="1"/>
    <xf borderId="0" fillId="0" fontId="10" numFmtId="164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0" numFmtId="164" xfId="0" applyAlignment="1" applyFont="1" applyNumberFormat="1">
      <alignment readingOrder="0" vertical="bottom"/>
    </xf>
    <xf borderId="0" fillId="0" fontId="10" numFmtId="164" xfId="0" applyAlignment="1" applyFont="1" applyNumberFormat="1">
      <alignment horizontal="left" readingOrder="0" vertical="bottom"/>
    </xf>
    <xf borderId="0" fillId="0" fontId="10" numFmtId="169" xfId="0" applyAlignment="1" applyFont="1" applyNumberForma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40" numFmtId="164" xfId="0" applyAlignment="1" applyFont="1" applyNumberFormat="1">
      <alignment vertical="bottom"/>
    </xf>
    <xf borderId="0" fillId="0" fontId="10" numFmtId="164" xfId="0" applyAlignment="1" applyFont="1" applyNumberFormat="1">
      <alignment horizontal="left" vertical="bottom"/>
    </xf>
    <xf borderId="3" fillId="19" fontId="10" numFmtId="169" xfId="0" applyAlignment="1" applyBorder="1" applyFill="1" applyFont="1" applyNumberFormat="1">
      <alignment readingOrder="0" vertical="bottom"/>
    </xf>
    <xf borderId="3" fillId="19" fontId="10" numFmtId="0" xfId="0" applyAlignment="1" applyBorder="1" applyFill="1" applyFont="1">
      <alignment horizontal="right" readingOrder="0" vertical="bottom"/>
    </xf>
    <xf borderId="3" fillId="19" fontId="10" numFmtId="0" xfId="0" applyAlignment="1" applyBorder="1" applyFill="1" applyFont="1">
      <alignment horizontal="right" vertical="bottom"/>
    </xf>
    <xf borderId="3" fillId="19" fontId="10" numFmtId="0" xfId="0" applyAlignment="1" applyBorder="1" applyFill="1" applyFont="1">
      <alignment readingOrder="0" vertical="bottom"/>
    </xf>
    <xf borderId="3" fillId="19" fontId="10" numFmtId="164" xfId="0" applyAlignment="1" applyBorder="1" applyFill="1" applyFont="1" applyNumberFormat="1">
      <alignment readingOrder="0" vertical="bottom"/>
    </xf>
    <xf borderId="3" fillId="19" fontId="10" numFmtId="164" xfId="0" applyAlignment="1" applyBorder="1" applyFill="1" applyFont="1" applyNumberFormat="1">
      <alignment horizontal="right" readingOrder="0" vertical="bottom"/>
    </xf>
    <xf borderId="0" fillId="0" fontId="42" numFmtId="0" xfId="0" applyAlignment="1" applyFont="1">
      <alignment readingOrder="0"/>
    </xf>
    <xf borderId="0" fillId="0" fontId="10" numFmtId="169" xfId="0" applyAlignment="1" applyFont="1" applyNumberFormat="1">
      <alignment horizontal="right" readingOrder="0" vertical="bottom"/>
    </xf>
    <xf borderId="0" fillId="0" fontId="10" numFmtId="3" xfId="0" applyAlignment="1" applyFont="1" applyNumberFormat="1">
      <alignment horizontal="right" readingOrder="0" vertical="bottom"/>
    </xf>
    <xf borderId="0" fillId="0" fontId="10" numFmtId="164" xfId="0" applyAlignment="1" applyFont="1" applyNumberFormat="1">
      <alignment horizontal="right" readingOrder="0" vertical="bottom"/>
    </xf>
    <xf borderId="0" fillId="20" fontId="10" numFmtId="0" xfId="0" applyAlignment="1" applyFill="1" applyFont="1">
      <alignment horizontal="right" readingOrder="0" vertical="bottom"/>
    </xf>
    <xf borderId="0" fillId="20" fontId="10" numFmtId="3" xfId="0" applyFill="1" applyFont="1" applyNumberFormat="1"/>
    <xf borderId="0" fillId="0" fontId="10" numFmtId="164" xfId="0" applyAlignment="1" applyFont="1" applyNumberFormat="1">
      <alignment horizontal="right"/>
    </xf>
    <xf borderId="0" fillId="0" fontId="10" numFmtId="0" xfId="0" applyAlignment="1" applyFont="1">
      <alignment horizontal="right"/>
    </xf>
    <xf borderId="0" fillId="0" fontId="43" numFmtId="0" xfId="0" applyAlignment="1" applyFont="1">
      <alignment vertical="top"/>
    </xf>
    <xf borderId="0" fillId="6" fontId="10" numFmtId="164" xfId="0" applyFill="1" applyFont="1" applyNumberFormat="1"/>
    <xf borderId="0" fillId="6" fontId="10" numFmtId="164" xfId="0" applyAlignment="1" applyFill="1" applyFont="1" applyNumberFormat="1">
      <alignment horizontal="right"/>
    </xf>
    <xf borderId="0" fillId="0" fontId="16" numFmtId="0" xfId="0" applyAlignment="1" applyFont="1">
      <alignment horizontal="left" shrinkToFit="0" vertical="bottom" wrapText="0"/>
    </xf>
    <xf borderId="0" fillId="22" fontId="10" numFmtId="0" xfId="0" applyFill="1" applyFont="1"/>
    <xf borderId="0" fillId="22" fontId="10" numFmtId="164" xfId="0" applyAlignment="1" applyFill="1" applyFont="1" applyNumberFormat="1">
      <alignment horizontal="right" vertical="bottom"/>
    </xf>
    <xf borderId="0" fillId="22" fontId="16" numFmtId="0" xfId="0" applyAlignment="1" applyFill="1" applyFont="1">
      <alignment shrinkToFit="0" vertical="bottom" wrapText="0"/>
    </xf>
    <xf borderId="0" fillId="0" fontId="16" numFmtId="164" xfId="0" applyAlignment="1" applyFont="1" applyNumberFormat="1">
      <alignment horizontal="left" shrinkToFit="0" vertical="bottom" wrapText="0"/>
    </xf>
    <xf borderId="0" fillId="20" fontId="43" numFmtId="3" xfId="0" applyAlignment="1" applyFill="1" applyFont="1" applyNumberFormat="1">
      <alignment vertical="top"/>
    </xf>
    <xf borderId="0" fillId="0" fontId="43" numFmtId="164" xfId="0" applyAlignment="1" applyFont="1" applyNumberFormat="1">
      <alignment vertical="top"/>
    </xf>
    <xf borderId="0" fillId="0" fontId="43" numFmtId="164" xfId="0" applyAlignment="1" applyFont="1" applyNumberFormat="1">
      <alignment horizontal="right" vertical="top"/>
    </xf>
    <xf borderId="0" fillId="3" fontId="44" numFmtId="0" xfId="0" applyAlignment="1" applyFill="1" applyFont="1">
      <alignment horizontal="left"/>
    </xf>
    <xf borderId="0" fillId="3" fontId="44" numFmtId="164" xfId="0" applyAlignment="1" applyFill="1" applyFont="1" applyNumberFormat="1">
      <alignment horizontal="right"/>
    </xf>
    <xf borderId="0" fillId="0" fontId="38" numFmtId="0" xfId="0" applyFont="1"/>
    <xf borderId="3" fillId="0" fontId="43" numFmtId="0" xfId="0" applyAlignment="1" applyBorder="1" applyFont="1">
      <alignment vertical="top"/>
    </xf>
    <xf borderId="3" fillId="0" fontId="10" numFmtId="0" xfId="0" applyAlignment="1" applyBorder="1" applyFont="1">
      <alignment horizontal="left"/>
    </xf>
    <xf borderId="3" fillId="6" fontId="10" numFmtId="164" xfId="0" applyAlignment="1" applyBorder="1" applyFill="1" applyFont="1" applyNumberFormat="1">
      <alignment horizontal="right"/>
    </xf>
    <xf borderId="3" fillId="0" fontId="16" numFmtId="0" xfId="0" applyAlignment="1" applyBorder="1" applyFont="1">
      <alignment horizontal="left" shrinkToFit="0" vertical="bottom" wrapText="0"/>
    </xf>
    <xf borderId="3" fillId="0" fontId="10" numFmtId="164" xfId="0" applyAlignment="1" applyBorder="1" applyFont="1" applyNumberFormat="1">
      <alignment horizontal="right"/>
    </xf>
    <xf borderId="0" fillId="13" fontId="14" numFmtId="0" xfId="0" applyFill="1" applyFont="1"/>
    <xf borderId="0" fillId="19" fontId="10" numFmtId="164" xfId="0" applyAlignment="1" applyFill="1" applyFont="1" applyNumberFormat="1">
      <alignment horizontal="right" vertical="bottom"/>
    </xf>
    <xf borderId="0" fillId="10" fontId="14" numFmtId="164" xfId="0" applyAlignment="1" applyFill="1" applyFont="1" applyNumberFormat="1">
      <alignment horizontal="right"/>
    </xf>
    <xf borderId="0" fillId="13" fontId="14" numFmtId="164" xfId="0" applyAlignment="1" applyFill="1" applyFont="1" applyNumberFormat="1">
      <alignment horizontal="right"/>
    </xf>
    <xf borderId="0" fillId="17" fontId="10" numFmtId="164" xfId="0" applyFill="1" applyFont="1" applyNumberFormat="1"/>
    <xf borderId="0" fillId="17" fontId="10" numFmtId="164" xfId="0" applyAlignment="1" applyFill="1" applyFont="1" applyNumberFormat="1">
      <alignment horizontal="right"/>
    </xf>
    <xf borderId="0" fillId="23" fontId="10" numFmtId="164" xfId="0" applyFill="1" applyFont="1" applyNumberFormat="1"/>
    <xf borderId="0" fillId="23" fontId="10" numFmtId="164" xfId="0" applyAlignment="1" applyFill="1" applyFont="1" applyNumberFormat="1">
      <alignment horizontal="right"/>
    </xf>
    <xf borderId="0" fillId="10" fontId="10" numFmtId="0" xfId="0" applyFill="1" applyFont="1"/>
    <xf borderId="0" fillId="10" fontId="10" numFmtId="164" xfId="0" applyAlignment="1" applyFill="1" applyFont="1" applyNumberFormat="1">
      <alignment horizontal="right"/>
    </xf>
    <xf borderId="0" fillId="0" fontId="16" numFmtId="175" xfId="0" applyAlignment="1" applyFont="1" applyNumberFormat="1">
      <alignment horizontal="left" shrinkToFit="0" vertical="bottom" wrapText="0"/>
    </xf>
    <xf borderId="0" fillId="10" fontId="10" numFmtId="0" xfId="0" applyAlignment="1" applyFill="1" applyFont="1">
      <alignment horizontal="right"/>
    </xf>
    <xf borderId="3" fillId="19" fontId="40" numFmtId="169" xfId="0" applyAlignment="1" applyBorder="1" applyFill="1" applyFont="1" applyNumberFormat="1">
      <alignment vertical="bottom"/>
    </xf>
    <xf borderId="3" fillId="19" fontId="10" numFmtId="0" xfId="0" applyAlignment="1" applyBorder="1" applyFill="1" applyFont="1">
      <alignment horizontal="right" vertical="bottom"/>
    </xf>
    <xf borderId="3" fillId="19" fontId="40" numFmtId="0" xfId="0" applyAlignment="1" applyBorder="1" applyFill="1" applyFont="1">
      <alignment vertical="bottom"/>
    </xf>
    <xf borderId="3" fillId="19" fontId="40" numFmtId="164" xfId="0" applyAlignment="1" applyBorder="1" applyFill="1" applyFont="1" applyNumberFormat="1">
      <alignment vertical="bottom"/>
    </xf>
    <xf borderId="3" fillId="19" fontId="10" numFmtId="164" xfId="0" applyAlignment="1" applyBorder="1" applyFill="1" applyFont="1" applyNumberFormat="1">
      <alignment horizontal="right" vertical="bottom"/>
    </xf>
    <xf borderId="3" fillId="19" fontId="10" numFmtId="0" xfId="0" applyAlignment="1" applyBorder="1" applyFill="1" applyFont="1">
      <alignment vertical="bottom"/>
    </xf>
    <xf borderId="3" fillId="0" fontId="40" numFmtId="169" xfId="0" applyAlignment="1" applyBorder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0" fontId="10" numFmtId="176" xfId="0" applyAlignment="1" applyFont="1" applyNumberFormat="1">
      <alignment vertical="bottom"/>
    </xf>
    <xf borderId="0" fillId="0" fontId="10" numFmtId="170" xfId="0" applyAlignment="1" applyFont="1" applyNumberFormat="1">
      <alignment horizontal="right" vertical="bottom"/>
    </xf>
    <xf borderId="0" fillId="0" fontId="10" numFmtId="2" xfId="0" applyAlignment="1" applyFont="1" applyNumberFormat="1">
      <alignment horizontal="right" vertical="bottom"/>
    </xf>
    <xf borderId="0" fillId="0" fontId="10" numFmtId="176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0" numFmtId="2" xfId="0" applyAlignment="1" applyFont="1" applyNumberFormat="1">
      <alignment vertical="bottom"/>
    </xf>
    <xf borderId="0" fillId="0" fontId="45" numFmtId="0" xfId="0" applyAlignment="1" applyFont="1">
      <alignment horizontal="left"/>
    </xf>
    <xf borderId="0" fillId="0" fontId="45" numFmtId="0" xfId="0" applyAlignment="1" applyFont="1">
      <alignment horizontal="right"/>
    </xf>
    <xf borderId="0" fillId="20" fontId="10" numFmtId="3" xfId="0" applyAlignment="1" applyFill="1" applyFont="1" applyNumberFormat="1">
      <alignment horizontal="right"/>
    </xf>
    <xf borderId="0" fillId="0" fontId="46" numFmtId="176" xfId="0" applyAlignment="1" applyFont="1" applyNumberFormat="1">
      <alignment vertical="bottom"/>
    </xf>
    <xf borderId="0" fillId="20" fontId="16" numFmtId="3" xfId="0" applyFill="1" applyFont="1" applyNumberFormat="1"/>
    <xf borderId="0" fillId="8" fontId="10" numFmtId="3" xfId="0" applyAlignment="1" applyFill="1" applyFont="1" applyNumberFormat="1">
      <alignment horizontal="right" vertical="bottom"/>
    </xf>
    <xf borderId="0" fillId="6" fontId="10" numFmtId="164" xfId="0" applyAlignment="1" applyFill="1" applyFont="1" applyNumberFormat="1">
      <alignment horizontal="right" vertical="bottom"/>
    </xf>
    <xf borderId="0" fillId="6" fontId="10" numFmtId="0" xfId="0" applyAlignment="1" applyFill="1" applyFont="1">
      <alignment horizontal="right"/>
    </xf>
    <xf borderId="0" fillId="24" fontId="16" numFmtId="164" xfId="0" applyFill="1" applyFont="1" applyNumberFormat="1"/>
    <xf borderId="0" fillId="24" fontId="16" numFmtId="164" xfId="0" applyAlignment="1" applyFill="1" applyFont="1" applyNumberFormat="1">
      <alignment horizontal="right"/>
    </xf>
    <xf borderId="0" fillId="6" fontId="10" numFmtId="0" xfId="0" applyFill="1" applyFont="1"/>
    <xf borderId="0" fillId="19" fontId="16" numFmtId="0" xfId="0" applyAlignment="1" applyFill="1" applyFont="1">
      <alignment horizontal="left" vertical="bottom"/>
    </xf>
    <xf borderId="0" fillId="19" fontId="16" numFmtId="176" xfId="0" applyAlignment="1" applyFill="1" applyFont="1" applyNumberFormat="1">
      <alignment horizontal="right" vertical="bottom"/>
    </xf>
    <xf borderId="0" fillId="19" fontId="16" numFmtId="0" xfId="0" applyAlignment="1" applyFill="1" applyFont="1">
      <alignment horizontal="right" vertical="bottom"/>
    </xf>
    <xf borderId="0" fillId="19" fontId="16" numFmtId="3" xfId="0" applyAlignment="1" applyFill="1" applyFont="1" applyNumberFormat="1">
      <alignment horizontal="right" vertical="bottom"/>
    </xf>
    <xf borderId="0" fillId="0" fontId="16" numFmtId="176" xfId="0" applyAlignment="1" applyFont="1" applyNumberFormat="1">
      <alignment horizontal="right" vertical="bottom"/>
    </xf>
    <xf borderId="0" fillId="0" fontId="16" numFmtId="3" xfId="0" applyAlignment="1" applyFont="1" applyNumberFormat="1">
      <alignment horizontal="right" vertical="bottom"/>
    </xf>
    <xf borderId="0" fillId="6" fontId="10" numFmtId="169" xfId="0" applyFill="1" applyFont="1" applyNumberFormat="1"/>
    <xf borderId="0" fillId="6" fontId="45" numFmtId="0" xfId="0" applyAlignment="1" applyFill="1" applyFont="1">
      <alignment horizontal="left"/>
    </xf>
    <xf borderId="0" fillId="6" fontId="45" numFmtId="0" xfId="0" applyAlignment="1" applyFill="1" applyFont="1">
      <alignment horizontal="right"/>
    </xf>
    <xf borderId="0" fillId="12" fontId="10" numFmtId="164" xfId="0" applyAlignment="1" applyFill="1" applyFont="1" applyNumberFormat="1">
      <alignment horizontal="right" vertical="bottom"/>
    </xf>
    <xf borderId="0" fillId="0" fontId="10" numFmtId="165" xfId="0" applyFont="1" applyNumberFormat="1"/>
    <xf borderId="0" fillId="20" fontId="10" numFmtId="0" xfId="0" applyFill="1" applyFont="1"/>
    <xf borderId="0" fillId="0" fontId="16" numFmtId="0" xfId="0" applyAlignment="1" applyFont="1">
      <alignment horizontal="left"/>
    </xf>
    <xf borderId="0" fillId="0" fontId="16" numFmtId="0" xfId="0" applyAlignment="1" applyFont="1">
      <alignment horizontal="right"/>
    </xf>
    <xf borderId="0" fillId="6" fontId="43" numFmtId="164" xfId="0" applyAlignment="1" applyFill="1" applyFont="1" applyNumberFormat="1">
      <alignment vertical="top"/>
    </xf>
    <xf borderId="0" fillId="6" fontId="43" numFmtId="164" xfId="0" applyAlignment="1" applyFill="1" applyFont="1" applyNumberFormat="1">
      <alignment horizontal="right" vertical="top"/>
    </xf>
    <xf borderId="0" fillId="0" fontId="47" numFmtId="0" xfId="0" applyFont="1"/>
    <xf borderId="0" fillId="0" fontId="47" numFmtId="169" xfId="0" applyFont="1" applyNumberFormat="1"/>
    <xf borderId="0" fillId="0" fontId="47" numFmtId="0" xfId="0" applyAlignment="1" applyFont="1">
      <alignment horizontal="left"/>
    </xf>
    <xf borderId="0" fillId="20" fontId="48" numFmtId="0" xfId="0" applyFill="1" applyFont="1"/>
    <xf borderId="0" fillId="0" fontId="47" numFmtId="0" xfId="0" applyAlignment="1" applyFont="1">
      <alignment horizontal="right"/>
    </xf>
    <xf borderId="0" fillId="20" fontId="47" numFmtId="3" xfId="0" applyFill="1" applyFont="1" applyNumberFormat="1"/>
    <xf borderId="0" fillId="8" fontId="47" numFmtId="164" xfId="0" applyFill="1" applyFont="1" applyNumberFormat="1"/>
    <xf borderId="0" fillId="8" fontId="47" numFmtId="164" xfId="0" applyAlignment="1" applyFill="1" applyFont="1" applyNumberFormat="1">
      <alignment horizontal="right"/>
    </xf>
    <xf borderId="0" fillId="8" fontId="47" numFmtId="0" xfId="0" applyAlignment="1" applyFill="1" applyFont="1">
      <alignment horizontal="left"/>
    </xf>
    <xf borderId="0" fillId="8" fontId="47" numFmtId="0" xfId="0" applyFill="1" applyFont="1"/>
    <xf borderId="0" fillId="0" fontId="10" numFmtId="177" xfId="0" applyFont="1" applyNumberFormat="1"/>
    <xf borderId="0" fillId="19" fontId="10" numFmtId="164" xfId="0" applyFill="1" applyFont="1" applyNumberFormat="1"/>
    <xf borderId="0" fillId="19" fontId="10" numFmtId="164" xfId="0" applyAlignment="1" applyFill="1" applyFont="1" applyNumberFormat="1">
      <alignment horizontal="right"/>
    </xf>
    <xf borderId="0" fillId="19" fontId="10" numFmtId="0" xfId="0" applyAlignment="1" applyFill="1" applyFont="1">
      <alignment horizontal="left"/>
    </xf>
    <xf borderId="0" fillId="8" fontId="10" numFmtId="0" xfId="0" applyFill="1" applyFont="1"/>
    <xf borderId="0" fillId="4" fontId="49" numFmtId="0" xfId="0" applyFill="1" applyFont="1"/>
    <xf borderId="0" fillId="0" fontId="26" numFmtId="0" xfId="0" applyAlignment="1" applyFont="1">
      <alignment horizontal="right" shrinkToFit="0" vertical="bottom" wrapText="0"/>
    </xf>
    <xf borderId="0" fillId="0" fontId="26" numFmtId="0" xfId="0" applyAlignment="1" applyFont="1">
      <alignment shrinkToFit="0" vertical="bottom" wrapText="0"/>
    </xf>
    <xf borderId="0" fillId="25" fontId="10" numFmtId="164" xfId="0" applyFill="1" applyFont="1" applyNumberFormat="1"/>
    <xf borderId="0" fillId="25" fontId="10" numFmtId="164" xfId="0" applyAlignment="1" applyFill="1" applyFont="1" applyNumberFormat="1">
      <alignment horizontal="right"/>
    </xf>
    <xf borderId="0" fillId="25" fontId="10" numFmtId="0" xfId="0" applyAlignment="1" applyFill="1" applyFont="1">
      <alignment horizontal="left"/>
    </xf>
    <xf borderId="0" fillId="25" fontId="10" numFmtId="164" xfId="0" applyAlignment="1" applyFill="1" applyFont="1" applyNumberFormat="1">
      <alignment horizontal="right" vertical="bottom"/>
    </xf>
    <xf borderId="0" fillId="0" fontId="50" numFmtId="0" xfId="0" applyAlignment="1" applyFont="1">
      <alignment vertical="bottom"/>
    </xf>
    <xf borderId="0" fillId="0" fontId="15" numFmtId="0" xfId="0" applyAlignment="1" applyFont="1">
      <alignment horizontal="left" vertical="bottom"/>
    </xf>
    <xf borderId="0" fillId="26" fontId="10" numFmtId="0" xfId="0" applyAlignment="1" applyFill="1" applyFont="1">
      <alignment horizontal="left"/>
    </xf>
    <xf borderId="0" fillId="26" fontId="10" numFmtId="0" xfId="0" applyAlignment="1" applyFill="1" applyFont="1">
      <alignment horizontal="right"/>
    </xf>
    <xf borderId="0" fillId="27" fontId="10" numFmtId="164" xfId="0" applyAlignment="1" applyFill="1" applyFont="1" applyNumberFormat="1">
      <alignment horizontal="right" vertical="bottom"/>
    </xf>
    <xf borderId="0" fillId="25" fontId="10" numFmtId="0" xfId="0" applyFill="1" applyFont="1"/>
    <xf borderId="0" fillId="25" fontId="10" numFmtId="0" xfId="0" applyAlignment="1" applyFill="1" applyFont="1">
      <alignment horizontal="right"/>
    </xf>
    <xf borderId="0" fillId="0" fontId="16" numFmtId="0" xfId="0" applyAlignment="1" applyFont="1">
      <alignment vertical="bottom"/>
    </xf>
    <xf borderId="0" fillId="0" fontId="15" numFmtId="0" xfId="0" applyAlignment="1" applyFont="1">
      <alignment horizontal="left" readingOrder="0" vertical="bottom"/>
    </xf>
    <xf borderId="3" fillId="19" fontId="10" numFmtId="164" xfId="0" applyAlignment="1" applyBorder="1" applyFill="1" applyFont="1" applyNumberFormat="1">
      <alignment vertical="bottom"/>
    </xf>
    <xf borderId="0" fillId="6" fontId="10" numFmtId="3" xfId="0" applyAlignment="1" applyFill="1" applyFont="1" applyNumberFormat="1">
      <alignment horizontal="right" vertical="bottom"/>
    </xf>
    <xf borderId="3" fillId="28" fontId="10" numFmtId="164" xfId="0" applyAlignment="1" applyBorder="1" applyFill="1" applyFont="1" applyNumberFormat="1">
      <alignment vertical="bottom"/>
    </xf>
    <xf borderId="3" fillId="7" fontId="10" numFmtId="164" xfId="0" applyAlignment="1" applyBorder="1" applyFill="1" applyFont="1" applyNumberFormat="1">
      <alignment horizontal="right" vertical="bottom"/>
    </xf>
    <xf borderId="3" fillId="7" fontId="10" numFmtId="164" xfId="0" applyAlignment="1" applyBorder="1" applyFill="1" applyFont="1" applyNumberFormat="1">
      <alignment vertical="bottom"/>
    </xf>
    <xf borderId="0" fillId="0" fontId="51" numFmtId="0" xfId="0" applyAlignment="1" applyFont="1">
      <alignment horizontal="left"/>
    </xf>
    <xf borderId="0" fillId="0" fontId="51" numFmtId="0" xfId="0" applyAlignment="1" applyFont="1">
      <alignment horizontal="right"/>
    </xf>
    <xf borderId="0" fillId="8" fontId="10" numFmtId="164" xfId="0" applyFill="1" applyFont="1" applyNumberFormat="1"/>
    <xf borderId="0" fillId="8" fontId="10" numFmtId="164" xfId="0" applyAlignment="1" applyFill="1" applyFont="1" applyNumberFormat="1">
      <alignment horizontal="right"/>
    </xf>
    <xf borderId="0" fillId="29" fontId="10" numFmtId="164" xfId="0" applyAlignment="1" applyFill="1" applyFont="1" applyNumberFormat="1">
      <alignment horizontal="right" vertical="bottom"/>
    </xf>
    <xf borderId="0" fillId="8" fontId="10" numFmtId="0" xfId="0" applyAlignment="1" applyFill="1" applyFont="1">
      <alignment horizontal="left"/>
    </xf>
    <xf borderId="0" fillId="20" fontId="28" numFmtId="0" xfId="0" applyFill="1" applyFont="1"/>
    <xf borderId="0" fillId="0" fontId="28" numFmtId="0" xfId="0" applyAlignment="1" applyFont="1">
      <alignment horizontal="right"/>
    </xf>
    <xf borderId="0" fillId="0" fontId="10" numFmtId="176" xfId="0" applyAlignment="1" applyFont="1" applyNumberFormat="1">
      <alignment horizontal="left" vertical="bottom"/>
    </xf>
    <xf borderId="0" fillId="0" fontId="10" numFmtId="165" xfId="0" applyAlignment="1" applyFont="1" applyNumberFormat="1">
      <alignment vertical="bottom"/>
    </xf>
    <xf borderId="0" fillId="20" fontId="16" numFmtId="0" xfId="0" applyAlignment="1" applyFill="1" applyFont="1">
      <alignment horizontal="left" vertical="bottom"/>
    </xf>
    <xf borderId="0" fillId="0" fontId="16" numFmtId="177" xfId="0" applyAlignment="1" applyFont="1" applyNumberFormat="1">
      <alignment horizontal="right" vertical="bottom"/>
    </xf>
    <xf borderId="0" fillId="19" fontId="10" numFmtId="176" xfId="0" applyAlignment="1" applyFill="1" applyFont="1" applyNumberFormat="1">
      <alignment vertical="bottom"/>
    </xf>
    <xf borderId="0" fillId="19" fontId="10" numFmtId="170" xfId="0" applyAlignment="1" applyFill="1" applyFont="1" applyNumberFormat="1">
      <alignment vertical="bottom"/>
    </xf>
    <xf borderId="0" fillId="19" fontId="10" numFmtId="176" xfId="0" applyAlignment="1" applyFill="1" applyFont="1" applyNumberFormat="1">
      <alignment horizontal="right" vertical="bottom"/>
    </xf>
    <xf borderId="0" fillId="19" fontId="10" numFmtId="0" xfId="0" applyAlignment="1" applyFill="1" applyFont="1">
      <alignment horizontal="right" vertical="bottom"/>
    </xf>
    <xf borderId="0" fillId="19" fontId="10" numFmtId="0" xfId="0" applyAlignment="1" applyFill="1" applyFont="1">
      <alignment vertical="bottom"/>
    </xf>
    <xf borderId="0" fillId="19" fontId="10" numFmtId="3" xfId="0" applyAlignment="1" applyFill="1" applyFont="1" applyNumberFormat="1">
      <alignment horizontal="right" vertical="bottom"/>
    </xf>
    <xf borderId="0" fillId="0" fontId="10" numFmtId="170" xfId="0" applyAlignment="1" applyFont="1" applyNumberFormat="1">
      <alignment horizontal="left" vertical="bottom"/>
    </xf>
    <xf borderId="0" fillId="0" fontId="16" numFmtId="3" xfId="0" applyAlignment="1" applyFont="1" applyNumberFormat="1">
      <alignment horizontal="right" readingOrder="0" vertical="bottom"/>
    </xf>
    <xf borderId="0" fillId="0" fontId="37" numFmtId="176" xfId="0" applyAlignment="1" applyFont="1" applyNumberFormat="1">
      <alignment horizontal="right" readingOrder="0" vertical="bottom"/>
    </xf>
    <xf borderId="0" fillId="0" fontId="37" numFmtId="3" xfId="0" applyAlignment="1" applyFont="1" applyNumberFormat="1">
      <alignment horizontal="right" readingOrder="0" vertical="bottom"/>
    </xf>
    <xf borderId="0" fillId="0" fontId="28" numFmtId="0" xfId="0" applyAlignment="1" applyFont="1">
      <alignment horizontal="left" vertical="bottom"/>
    </xf>
    <xf borderId="0" fillId="0" fontId="28" numFmtId="3" xfId="0" applyAlignment="1" applyFont="1" applyNumberFormat="1">
      <alignment horizontal="left" vertical="bottom"/>
    </xf>
    <xf borderId="0" fillId="0" fontId="5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64</xdr:row>
      <xdr:rowOff>180975</xdr:rowOff>
    </xdr:from>
    <xdr:ext cx="5114925" cy="461010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91</xdr:row>
      <xdr:rowOff>133350</xdr:rowOff>
    </xdr:from>
    <xdr:ext cx="5114925" cy="46101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8162925" cy="340995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5019675" cy="4524375"/>
    <xdr:pic>
      <xdr:nvPicPr>
        <xdr:cNvPr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hotels.cloudbeds.com/connect/9727" TargetMode="External"/><Relationship Id="rId2" Type="http://schemas.openxmlformats.org/officeDocument/2006/relationships/hyperlink" Target="http://booking.com/" TargetMode="External"/><Relationship Id="rId3" Type="http://schemas.openxmlformats.org/officeDocument/2006/relationships/hyperlink" Target="https://account.booking.com/sign-in?op_token=EgVvYXV0aCL8AgoUNlo3Mm9IT2QzNk5uN3prM3BpcmgSCWF1dGhvcml6ZRoaaHR0cHM6Ly9hZG1pbi5ib29raW5nLmNvbS8qgwJ7ImF1dGhfYXR0ZW1wdF9pZCI6ImQ5MDJjY2VhLTg3YjItNGI1Yi1hOGJiLWU4NTgxMDIzY2I4MSIsInBhZ2UiOiIvaG90ZWwvaG90ZWxhZG1pbi9leHRyYW5ldF9uZy9tYW5hZ2UvaG9tZS5odG1sP21vYmlsZV9leHRyYW5ldD0mdXRtX21lZGl1bT1nb190b19leHRyYW5ldF9saW5rJnV0bV90ZXJtPWFkbWluX2xvZ2luJmhvdGVsX2lkPTIwNTk3NjkmdXRtX2NhbXBhaWduPXRvcF9uYXZpZ2F0aW9uJmxhbmc9eGImdXRtX3NvdXJjZT1wYXJ0bmVyX2h1YiJ9MitwcDRKeTZLMWdPelJpSm4tZFdFNXJkUWtXYnpDbE5PeDVnX0x5YXpkQ1VvOgRTMjU2QgRjb2RlKhMwm83QgKHyJzoAQgBY0JDogIgz" TargetMode="External"/><Relationship Id="rId4" Type="http://schemas.openxmlformats.org/officeDocument/2006/relationships/hyperlink" Target="https://www.airbnb.com.br/users/profile" TargetMode="External"/><Relationship Id="rId5" Type="http://schemas.openxmlformats.org/officeDocument/2006/relationships/hyperlink" Target="https://inbox.hostelworld.com/" TargetMode="External"/><Relationship Id="rId6" Type="http://schemas.openxmlformats.org/officeDocument/2006/relationships/hyperlink" Target="http://booking.com/" TargetMode="External"/><Relationship Id="rId7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63"/>
    <col customWidth="1" min="2" max="3" width="10.88"/>
    <col customWidth="1" min="4" max="4" width="11.38"/>
    <col customWidth="1" min="5" max="5" width="10.75"/>
    <col customWidth="1" min="6" max="6" width="12.63"/>
  </cols>
  <sheetData>
    <row r="1" ht="15.75" customHeight="1">
      <c r="A1" s="1" t="s">
        <v>0</v>
      </c>
      <c r="B1" s="2">
        <v>2025.0</v>
      </c>
      <c r="C1" s="2" t="s">
        <v>2</v>
      </c>
      <c r="D1" s="2" t="s">
        <v>5</v>
      </c>
      <c r="E1" s="2" t="s">
        <v>6</v>
      </c>
    </row>
    <row r="2" ht="15.75" customHeight="1">
      <c r="A2" s="3" t="s">
        <v>9</v>
      </c>
      <c r="B2" s="5">
        <v>2717.69</v>
      </c>
      <c r="C2" s="5">
        <v>89327.83</v>
      </c>
      <c r="D2" s="5">
        <v>89827.0</v>
      </c>
      <c r="E2" s="5">
        <f>C2+D2</f>
        <v>179154.83</v>
      </c>
    </row>
    <row r="3" ht="15.75" customHeight="1">
      <c r="A3" s="15" t="s">
        <v>22</v>
      </c>
      <c r="B3" s="18">
        <v>2717.69</v>
      </c>
      <c r="C3" s="18">
        <f>SUMIFS(Dados!$N:$N,Dados!$D:$D,$C$1,Dados!$A:$A,A3,Dados!$P:$P,"")</f>
        <v>39930.68</v>
      </c>
      <c r="D3" s="18">
        <f>SUMIFS(Dados!$N:$N,Dados!$D:$D,$D$1,Dados!$A:$A,A3)</f>
        <v>40411.96</v>
      </c>
      <c r="E3" s="18">
        <f t="shared" ref="E3:E17" si="1">SUM(B3:D3)</f>
        <v>83060.33</v>
      </c>
    </row>
    <row r="4" ht="15.75" customHeight="1">
      <c r="A4" s="15" t="s">
        <v>32</v>
      </c>
      <c r="B4" s="18"/>
      <c r="C4" s="18">
        <f>SUMIFS(Dados!$N:$N,Dados!$D:$D,$C$1,Dados!$B:$B,A4,Dados!$P:$P,"")</f>
        <v>3168</v>
      </c>
      <c r="D4" s="18">
        <f>SUMIFS(Dados!$N:$N,Dados!$D:$D,$D$1,Dados!$B:$B,A4)</f>
        <v>0</v>
      </c>
      <c r="E4" s="18">
        <f t="shared" si="1"/>
        <v>3168</v>
      </c>
    </row>
    <row r="5" ht="15.75" customHeight="1">
      <c r="A5" s="15" t="s">
        <v>34</v>
      </c>
      <c r="B5" s="18"/>
      <c r="C5" s="18">
        <f>SUMIFS(Dados!$N:$N,Dados!$D:$D,$C$1,Dados!$B:$B,A5,Dados!$P:$P,"")</f>
        <v>3382.27</v>
      </c>
      <c r="D5" s="18">
        <f>SUMIFS(Dados!$N:$N,Dados!$D:$D,$D$1,Dados!$B:$B,A5)</f>
        <v>0</v>
      </c>
      <c r="E5" s="18">
        <f t="shared" si="1"/>
        <v>3382.27</v>
      </c>
    </row>
    <row r="6" ht="15.75" customHeight="1">
      <c r="A6" s="15" t="s">
        <v>37</v>
      </c>
      <c r="B6" s="18"/>
      <c r="C6" s="18">
        <f>SUMIFS(Dados!$N:$N,Dados!$D:$D,$C$1,Dados!$B:$B,A6,Dados!$P:$P,"")</f>
        <v>594.52</v>
      </c>
      <c r="D6" s="18">
        <f>SUMIFS(Dados!$N:$N,Dados!$D:$D,$D$1,Dados!$B:$B,A6)</f>
        <v>0</v>
      </c>
      <c r="E6" s="18">
        <f t="shared" si="1"/>
        <v>594.52</v>
      </c>
    </row>
    <row r="7" ht="15.75" customHeight="1">
      <c r="A7" s="15" t="s">
        <v>38</v>
      </c>
      <c r="B7" s="18"/>
      <c r="C7" s="18">
        <f>SUMIFS(Dados!$N:$N,Dados!$D:$D,$C$1,Dados!$B:$B,A7,Dados!$P:$P,"")</f>
        <v>49.83</v>
      </c>
      <c r="D7" s="18">
        <f>SUMIFS(Dados!$N:$N,Dados!$D:$D,$D$1,Dados!$B:$B,A7)</f>
        <v>0</v>
      </c>
      <c r="E7" s="18">
        <f t="shared" si="1"/>
        <v>49.83</v>
      </c>
    </row>
    <row r="8" ht="15.75" customHeight="1">
      <c r="A8" s="15" t="s">
        <v>39</v>
      </c>
      <c r="B8" s="18"/>
      <c r="C8" s="18">
        <f>SUMIFS(Dados!$N:$N,Dados!$D:$D,$C$1,Dados!$B:$B,A8,Dados!$P:$P,"")</f>
        <v>1330.28</v>
      </c>
      <c r="D8" s="18">
        <f>SUMIFS(Dados!$N:$N,Dados!$D:$D,$D$1,Dados!$B:$B,A8)</f>
        <v>0</v>
      </c>
      <c r="E8" s="18">
        <f t="shared" si="1"/>
        <v>1330.28</v>
      </c>
    </row>
    <row r="9" ht="15.75" customHeight="1">
      <c r="A9" s="15" t="s">
        <v>40</v>
      </c>
      <c r="B9" s="18"/>
      <c r="C9" s="18">
        <f>SUMIFS(Dados!$N:$N,Dados!$D:$D,$C$1,Dados!$B:$B,A9,Dados!$P:$P,"")</f>
        <v>2431.18</v>
      </c>
      <c r="D9" s="18">
        <f>SUMIFS(Dados!$N:$N,Dados!$D:$D,$D$1,Dados!$B:$B,A9)</f>
        <v>0</v>
      </c>
      <c r="E9" s="18">
        <f t="shared" si="1"/>
        <v>2431.18</v>
      </c>
    </row>
    <row r="10" ht="15.75" customHeight="1">
      <c r="A10" s="15" t="s">
        <v>41</v>
      </c>
      <c r="B10" s="18"/>
      <c r="C10" s="18">
        <f>SUMIFS(Dados!$N:$N,Dados!$D:$D,$C$1,Dados!$B:$B,A10,Dados!$P:$P,"")</f>
        <v>2314.65</v>
      </c>
      <c r="D10" s="18">
        <f>SUMIFS(Dados!$N:$N,Dados!$D:$D,$D$1,Dados!$B:$B,A10)</f>
        <v>0</v>
      </c>
      <c r="E10" s="18">
        <f t="shared" si="1"/>
        <v>2314.65</v>
      </c>
    </row>
    <row r="11" ht="15.75" customHeight="1">
      <c r="A11" s="15" t="s">
        <v>42</v>
      </c>
      <c r="B11" s="18"/>
      <c r="C11" s="18">
        <f>SUMIFS(Dados!$N:$N,Dados!$D:$D,$C$1,Dados!$B:$B,A11,Dados!$P:$P,"")</f>
        <v>780</v>
      </c>
      <c r="D11" s="18">
        <f>SUMIFS(Dados!$N:$N,Dados!$D:$D,$D$1,Dados!$B:$B,A11)</f>
        <v>0</v>
      </c>
      <c r="E11" s="18">
        <f t="shared" si="1"/>
        <v>780</v>
      </c>
    </row>
    <row r="12" ht="15.75" customHeight="1">
      <c r="A12" s="15" t="s">
        <v>43</v>
      </c>
      <c r="B12" s="18"/>
      <c r="C12" s="18">
        <f>SUMIFS(Dados!$N:$N,Dados!$D:$D,$C$1,Dados!$B:$B,A12,Dados!$P:$P,"")</f>
        <v>18500</v>
      </c>
      <c r="D12" s="18">
        <f>SUMIFS(Dados!$N:$N,Dados!$D:$D,$D$1,Dados!$B:$B,A12)</f>
        <v>0</v>
      </c>
      <c r="E12" s="18">
        <f t="shared" si="1"/>
        <v>18500</v>
      </c>
    </row>
    <row r="13" ht="15.75" customHeight="1">
      <c r="A13" s="15" t="s">
        <v>44</v>
      </c>
      <c r="B13" s="18"/>
      <c r="C13" s="18">
        <f>SUMIFS(Dados!$N:$N,Dados!$D:$D,$C$1,Dados!$B:$B,A13,Dados!$P:$P,"")</f>
        <v>3589.15</v>
      </c>
      <c r="D13" s="18">
        <f>SUMIFS(Dados!$N:$N,Dados!$D:$D,$D$1,Dados!$B:$B,A13)</f>
        <v>0</v>
      </c>
      <c r="E13" s="18">
        <f t="shared" si="1"/>
        <v>3589.15</v>
      </c>
    </row>
    <row r="14" ht="15.75" customHeight="1">
      <c r="A14" s="15" t="s">
        <v>45</v>
      </c>
      <c r="B14" s="18"/>
      <c r="C14" s="18">
        <f>SUMIFS(Dados!$N:$N,Dados!$D:$D,$C$1,Dados!$B:$B,A14,Dados!$P:$P,"")</f>
        <v>224.05</v>
      </c>
      <c r="D14" s="18">
        <f>SUMIFS(Dados!$N:$N,Dados!$D:$D,$D$1,Dados!$B:$B,A14)</f>
        <v>0</v>
      </c>
      <c r="E14" s="18">
        <f t="shared" si="1"/>
        <v>224.05</v>
      </c>
    </row>
    <row r="15" ht="15.75" customHeight="1">
      <c r="A15" s="15" t="s">
        <v>47</v>
      </c>
      <c r="B15" s="18"/>
      <c r="C15" s="18">
        <f>SUMIFS(Dados!$N:$N,Dados!$D:$D,$C$1,Dados!$B:$B,A15,Dados!$P:$P,"")</f>
        <v>34.66</v>
      </c>
      <c r="D15" s="18">
        <f>SUMIFS(Dados!$N:$N,Dados!$D:$D,$D$1,Dados!$B:$B,A15)</f>
        <v>0</v>
      </c>
      <c r="E15" s="18">
        <f t="shared" si="1"/>
        <v>34.66</v>
      </c>
    </row>
    <row r="16" ht="15.75" customHeight="1">
      <c r="A16" s="15" t="s">
        <v>48</v>
      </c>
      <c r="B16" s="18"/>
      <c r="C16" s="18">
        <f>SUMIFS(Dados!$N:$N,Dados!$D:$D,$C$1,Dados!$B:$B,A16,Dados!$P:$P,"")</f>
        <v>149.51</v>
      </c>
      <c r="D16" s="18">
        <f>SUMIFS(Dados!$N:$N,Dados!$D:$D,$D$1,Dados!$B:$B,A16)</f>
        <v>0</v>
      </c>
      <c r="E16" s="18">
        <f t="shared" si="1"/>
        <v>149.51</v>
      </c>
    </row>
    <row r="17" ht="15.75" customHeight="1">
      <c r="A17" s="15" t="s">
        <v>49</v>
      </c>
      <c r="B17" s="18"/>
      <c r="C17" s="18">
        <f>SUMIFS(Dados!$N:$N,Dados!$D:$D,$C$1,Dados!$B:$B,A17,Dados!$P:$P,"")</f>
        <v>523.8</v>
      </c>
      <c r="D17" s="18">
        <f>SUMIFS(Dados!$N:$N,Dados!$D:$D,$D$1,Dados!$B:$B,A17)</f>
        <v>0</v>
      </c>
      <c r="E17" s="18">
        <f t="shared" si="1"/>
        <v>523.8</v>
      </c>
    </row>
    <row r="18" ht="15.75" customHeight="1">
      <c r="A18" s="35" t="s">
        <v>30</v>
      </c>
      <c r="B18" s="36">
        <f t="shared" ref="B18:E18" si="2">SUM(B3:B17)</f>
        <v>2717.69</v>
      </c>
      <c r="C18" s="36">
        <f t="shared" si="2"/>
        <v>77002.58</v>
      </c>
      <c r="D18" s="36">
        <f t="shared" si="2"/>
        <v>40411.96</v>
      </c>
      <c r="E18" s="36">
        <f t="shared" si="2"/>
        <v>120132.23</v>
      </c>
    </row>
    <row r="19" ht="15.75" customHeight="1">
      <c r="A19" s="3" t="s">
        <v>52</v>
      </c>
      <c r="B19" s="5">
        <f t="shared" ref="B19:D19" si="3">B2-B18</f>
        <v>0</v>
      </c>
      <c r="C19" s="5">
        <f t="shared" si="3"/>
        <v>12325.25</v>
      </c>
      <c r="D19" s="5">
        <f t="shared" si="3"/>
        <v>49415.04</v>
      </c>
      <c r="E19" s="5">
        <f t="shared" ref="E19:E21" si="4">SUM(C19:D19)</f>
        <v>61740.29</v>
      </c>
    </row>
    <row r="20" ht="15.75" customHeight="1">
      <c r="A20" s="15" t="s">
        <v>53</v>
      </c>
      <c r="B20" s="18"/>
      <c r="C20" s="18"/>
      <c r="D20" s="18"/>
      <c r="E20" s="37">
        <f t="shared" si="4"/>
        <v>0</v>
      </c>
    </row>
    <row r="21" ht="15.75" customHeight="1">
      <c r="A21" s="38" t="s">
        <v>54</v>
      </c>
      <c r="B21" s="37"/>
      <c r="C21" s="37"/>
      <c r="D21" s="37"/>
      <c r="E21" s="37">
        <f t="shared" si="4"/>
        <v>0</v>
      </c>
    </row>
    <row r="22" ht="15.75" customHeight="1">
      <c r="A22" s="39"/>
      <c r="B22" s="40"/>
      <c r="C22" s="40"/>
      <c r="D22" s="40"/>
      <c r="E22" s="39"/>
    </row>
    <row r="23" ht="15.75" customHeight="1">
      <c r="A23" s="39"/>
      <c r="B23" s="39"/>
      <c r="C23" s="39"/>
      <c r="D23" s="39"/>
      <c r="E23" s="39"/>
    </row>
    <row r="24" ht="15.75" customHeight="1">
      <c r="A24" s="39"/>
      <c r="B24" s="39"/>
      <c r="C24" s="39"/>
      <c r="D24" s="39"/>
      <c r="E24" s="39"/>
    </row>
    <row r="25" ht="15.75" customHeight="1">
      <c r="A25" s="39"/>
      <c r="B25" s="39"/>
      <c r="C25" s="39"/>
      <c r="D25" s="39"/>
      <c r="E25" s="39"/>
    </row>
    <row r="26" ht="15.75" customHeight="1">
      <c r="A26" s="39"/>
      <c r="B26" s="39"/>
      <c r="C26" s="39"/>
      <c r="D26" s="39"/>
      <c r="E26" s="39"/>
    </row>
    <row r="27" ht="15.75" customHeight="1">
      <c r="A27" s="39"/>
      <c r="B27" s="39"/>
      <c r="C27" s="39"/>
      <c r="D27" s="39"/>
      <c r="E27" s="39"/>
    </row>
    <row r="28" ht="15.75" customHeight="1">
      <c r="A28" s="39"/>
      <c r="B28" s="39"/>
      <c r="C28" s="39"/>
      <c r="D28" s="39"/>
      <c r="E28" s="39"/>
    </row>
    <row r="29" ht="15.75" customHeight="1">
      <c r="A29" s="39"/>
      <c r="B29" s="39"/>
      <c r="C29" s="39"/>
      <c r="D29" s="39"/>
      <c r="E29" s="39"/>
    </row>
    <row r="30" ht="15.75" customHeight="1">
      <c r="A30" s="39"/>
      <c r="B30" s="39"/>
      <c r="C30" s="39"/>
      <c r="D30" s="39"/>
      <c r="E30" s="39"/>
    </row>
    <row r="31" ht="15.75" customHeight="1">
      <c r="A31" s="39"/>
      <c r="B31" s="39"/>
      <c r="C31" s="39"/>
      <c r="D31" s="39"/>
      <c r="E31" s="39"/>
    </row>
    <row r="32" ht="15.75" customHeight="1">
      <c r="A32" s="39"/>
      <c r="B32" s="39"/>
      <c r="C32" s="39"/>
      <c r="D32" s="39"/>
      <c r="E32" s="40"/>
    </row>
    <row r="33" ht="15.75" customHeight="1">
      <c r="A33" s="39"/>
      <c r="B33" s="39"/>
      <c r="C33" s="39"/>
      <c r="D33" s="39"/>
      <c r="E33" s="39"/>
    </row>
    <row r="34" ht="15.75" customHeight="1">
      <c r="A34" s="39"/>
      <c r="B34" s="39"/>
      <c r="C34" s="39"/>
      <c r="D34" s="39"/>
      <c r="E34" s="39"/>
    </row>
    <row r="35" ht="15.75" customHeight="1">
      <c r="A35" s="39"/>
      <c r="B35" s="39"/>
      <c r="C35" s="39"/>
      <c r="D35" s="39"/>
      <c r="E35" s="39"/>
    </row>
    <row r="36" ht="15.75" customHeight="1">
      <c r="A36" s="39"/>
      <c r="B36" s="39"/>
      <c r="C36" s="39"/>
      <c r="D36" s="39"/>
      <c r="E36" s="39"/>
    </row>
    <row r="37" ht="15.75" customHeight="1">
      <c r="A37" s="39"/>
      <c r="B37" s="39"/>
      <c r="C37" s="39"/>
      <c r="D37" s="39"/>
      <c r="E37" s="39"/>
    </row>
    <row r="38" ht="15.75" customHeight="1">
      <c r="A38" s="39"/>
      <c r="B38" s="39"/>
      <c r="C38" s="39"/>
      <c r="D38" s="39"/>
      <c r="E38" s="39"/>
    </row>
    <row r="39" ht="15.75" customHeight="1">
      <c r="A39" s="39"/>
      <c r="B39" s="39"/>
      <c r="C39" s="39"/>
      <c r="D39" s="39"/>
      <c r="E39" s="39"/>
    </row>
    <row r="40" ht="15.75" customHeight="1">
      <c r="A40" s="39"/>
      <c r="B40" s="39"/>
      <c r="C40" s="39"/>
      <c r="D40" s="39"/>
      <c r="E40" s="39"/>
    </row>
    <row r="41" ht="15.75" customHeight="1">
      <c r="A41" s="39"/>
      <c r="B41" s="39"/>
      <c r="C41" s="39"/>
      <c r="D41" s="39"/>
      <c r="E41" s="39"/>
    </row>
    <row r="42" ht="15.75" customHeight="1">
      <c r="A42" s="39"/>
      <c r="B42" s="39"/>
      <c r="C42" s="39"/>
      <c r="D42" s="39"/>
      <c r="E42" s="39"/>
    </row>
    <row r="43" ht="15.75" customHeight="1">
      <c r="A43" s="39"/>
      <c r="B43" s="39"/>
      <c r="C43" s="39"/>
      <c r="D43" s="39"/>
      <c r="E43" s="39"/>
    </row>
    <row r="44" ht="15.75" customHeight="1">
      <c r="A44" s="39"/>
      <c r="B44" s="39"/>
      <c r="C44" s="39"/>
      <c r="D44" s="39"/>
      <c r="E44" s="39"/>
    </row>
    <row r="45" ht="15.75" customHeight="1">
      <c r="A45" s="39"/>
      <c r="B45" s="39"/>
      <c r="C45" s="39"/>
      <c r="D45" s="39"/>
      <c r="E45" s="39"/>
    </row>
    <row r="46" ht="15.75" customHeight="1">
      <c r="A46" s="39"/>
      <c r="B46" s="39"/>
      <c r="C46" s="39"/>
      <c r="D46" s="39"/>
      <c r="E46" s="39"/>
    </row>
    <row r="47" ht="15.75" customHeight="1">
      <c r="A47" s="39"/>
      <c r="B47" s="39"/>
      <c r="C47" s="39"/>
      <c r="D47" s="39"/>
      <c r="E47" s="39"/>
    </row>
    <row r="48" ht="15.75" customHeight="1">
      <c r="A48" s="39"/>
      <c r="B48" s="39"/>
      <c r="C48" s="39"/>
      <c r="D48" s="39"/>
      <c r="E48" s="39"/>
    </row>
    <row r="49" ht="15.75" customHeight="1">
      <c r="A49" s="39"/>
      <c r="B49" s="39"/>
      <c r="C49" s="39"/>
      <c r="D49" s="39"/>
      <c r="E49" s="39"/>
    </row>
    <row r="50" ht="15.75" customHeight="1">
      <c r="A50" s="39"/>
      <c r="B50" s="39"/>
      <c r="C50" s="39"/>
      <c r="D50" s="39"/>
      <c r="E50" s="39"/>
    </row>
    <row r="51" ht="15.75" customHeight="1">
      <c r="A51" s="39"/>
      <c r="B51" s="39"/>
      <c r="C51" s="39"/>
      <c r="D51" s="39"/>
      <c r="E51" s="39"/>
    </row>
    <row r="52" ht="15.75" customHeight="1">
      <c r="A52" s="39"/>
      <c r="B52" s="39"/>
      <c r="C52" s="39"/>
      <c r="D52" s="39"/>
      <c r="E52" s="39"/>
    </row>
    <row r="53" ht="15.75" customHeight="1">
      <c r="A53" s="39"/>
      <c r="B53" s="39"/>
      <c r="C53" s="39"/>
      <c r="D53" s="39"/>
      <c r="E53" s="39"/>
    </row>
    <row r="54" ht="15.75" customHeight="1">
      <c r="A54" s="39"/>
      <c r="B54" s="39"/>
      <c r="C54" s="39"/>
      <c r="D54" s="39"/>
      <c r="E54" s="39"/>
    </row>
    <row r="55" ht="15.75" customHeight="1">
      <c r="A55" s="39"/>
      <c r="B55" s="39"/>
      <c r="C55" s="39"/>
      <c r="D55" s="39"/>
      <c r="E55" s="39"/>
    </row>
    <row r="56" ht="15.75" customHeight="1">
      <c r="A56" s="39"/>
      <c r="B56" s="39"/>
      <c r="C56" s="39"/>
      <c r="D56" s="39"/>
      <c r="E56" s="39"/>
    </row>
    <row r="57" ht="15.75" customHeight="1">
      <c r="A57" s="39"/>
      <c r="B57" s="39"/>
      <c r="C57" s="39"/>
      <c r="D57" s="39"/>
      <c r="E57" s="39"/>
    </row>
    <row r="58" ht="15.75" customHeight="1">
      <c r="A58" s="39"/>
      <c r="B58" s="39"/>
      <c r="C58" s="39"/>
      <c r="D58" s="39"/>
      <c r="E58" s="39"/>
    </row>
    <row r="59" ht="15.75" customHeight="1">
      <c r="A59" s="39"/>
      <c r="B59" s="39"/>
      <c r="C59" s="39"/>
      <c r="D59" s="39"/>
      <c r="E59" s="39"/>
    </row>
    <row r="60" ht="15.75" customHeight="1">
      <c r="A60" s="39"/>
      <c r="B60" s="39"/>
      <c r="C60" s="39"/>
      <c r="D60" s="39"/>
      <c r="E60" s="39"/>
    </row>
    <row r="61" ht="15.75" customHeight="1">
      <c r="A61" s="39"/>
      <c r="B61" s="39"/>
      <c r="C61" s="39"/>
      <c r="D61" s="39"/>
      <c r="E61" s="39"/>
    </row>
    <row r="62" ht="15.75" customHeight="1">
      <c r="A62" s="39"/>
      <c r="B62" s="39"/>
      <c r="C62" s="39"/>
      <c r="D62" s="39"/>
      <c r="E62" s="39"/>
    </row>
    <row r="63" ht="15.75" customHeight="1">
      <c r="A63" s="39"/>
      <c r="B63" s="39"/>
      <c r="C63" s="39"/>
      <c r="D63" s="39"/>
      <c r="E63" s="39"/>
    </row>
    <row r="64" ht="15.75" customHeight="1">
      <c r="A64" s="39"/>
      <c r="B64" s="39"/>
      <c r="C64" s="39"/>
      <c r="D64" s="39"/>
      <c r="E64" s="39"/>
    </row>
    <row r="65" ht="15.75" customHeight="1">
      <c r="A65" s="39"/>
      <c r="B65" s="39"/>
      <c r="C65" s="39"/>
      <c r="D65" s="39"/>
      <c r="E65" s="39"/>
    </row>
    <row r="66" ht="15.75" customHeight="1">
      <c r="A66" s="39"/>
      <c r="B66" s="39"/>
      <c r="C66" s="39"/>
      <c r="D66" s="39"/>
      <c r="E66" s="39"/>
    </row>
    <row r="67" ht="15.75" customHeight="1">
      <c r="A67" s="39"/>
      <c r="B67" s="39"/>
      <c r="C67" s="39"/>
      <c r="D67" s="39"/>
      <c r="E67" s="39"/>
    </row>
    <row r="68" ht="15.75" customHeight="1">
      <c r="A68" s="39"/>
      <c r="B68" s="39"/>
      <c r="C68" s="39"/>
      <c r="D68" s="39"/>
      <c r="E68" s="39"/>
    </row>
    <row r="69" ht="15.75" customHeight="1">
      <c r="A69" s="39"/>
      <c r="B69" s="39"/>
      <c r="C69" s="39"/>
      <c r="D69" s="39"/>
      <c r="E69" s="39"/>
    </row>
    <row r="70" ht="15.75" customHeight="1">
      <c r="A70" s="39"/>
      <c r="B70" s="39"/>
      <c r="C70" s="39"/>
      <c r="D70" s="39"/>
      <c r="E70" s="39"/>
    </row>
    <row r="71" ht="15.75" customHeight="1">
      <c r="A71" s="39"/>
      <c r="B71" s="39"/>
      <c r="C71" s="39"/>
      <c r="D71" s="39"/>
      <c r="E71" s="39"/>
    </row>
    <row r="72" ht="15.75" customHeight="1">
      <c r="A72" s="39"/>
      <c r="B72" s="39"/>
      <c r="C72" s="39"/>
      <c r="D72" s="39"/>
      <c r="E72" s="39"/>
    </row>
    <row r="73" ht="15.75" customHeight="1">
      <c r="A73" s="39"/>
      <c r="B73" s="39"/>
      <c r="C73" s="39"/>
      <c r="D73" s="39"/>
      <c r="E73" s="39"/>
    </row>
    <row r="74" ht="15.75" customHeight="1">
      <c r="A74" s="39"/>
      <c r="B74" s="39"/>
      <c r="C74" s="39"/>
      <c r="D74" s="39"/>
      <c r="E74" s="39"/>
    </row>
    <row r="75" ht="15.75" customHeight="1">
      <c r="A75" s="39"/>
      <c r="B75" s="39"/>
      <c r="C75" s="39"/>
      <c r="D75" s="39"/>
      <c r="E75" s="39"/>
    </row>
    <row r="76" ht="15.75" customHeight="1">
      <c r="A76" s="39"/>
      <c r="B76" s="39"/>
      <c r="C76" s="39"/>
      <c r="D76" s="39"/>
      <c r="E76" s="39"/>
    </row>
    <row r="77" ht="15.75" customHeight="1">
      <c r="A77" s="39"/>
      <c r="B77" s="39"/>
      <c r="C77" s="39"/>
      <c r="D77" s="39"/>
      <c r="E77" s="39"/>
    </row>
    <row r="78" ht="15.75" customHeight="1">
      <c r="A78" s="39"/>
      <c r="B78" s="39"/>
      <c r="C78" s="39"/>
      <c r="D78" s="39"/>
      <c r="E78" s="39"/>
    </row>
    <row r="79" ht="15.75" customHeight="1">
      <c r="A79" s="39"/>
      <c r="B79" s="39"/>
      <c r="C79" s="39"/>
      <c r="D79" s="39"/>
      <c r="E79" s="39"/>
    </row>
    <row r="80" ht="15.75" customHeight="1">
      <c r="A80" s="39"/>
      <c r="B80" s="39"/>
      <c r="C80" s="39"/>
      <c r="D80" s="39"/>
      <c r="E80" s="39"/>
    </row>
    <row r="81" ht="15.75" customHeight="1">
      <c r="A81" s="39"/>
      <c r="B81" s="39"/>
      <c r="C81" s="39"/>
      <c r="D81" s="39"/>
      <c r="E81" s="39"/>
    </row>
    <row r="82" ht="15.75" customHeight="1">
      <c r="A82" s="39"/>
      <c r="B82" s="39"/>
      <c r="C82" s="39"/>
      <c r="D82" s="39"/>
      <c r="E82" s="39"/>
    </row>
    <row r="83" ht="15.75" customHeight="1">
      <c r="A83" s="39"/>
      <c r="B83" s="39"/>
      <c r="C83" s="39"/>
      <c r="D83" s="39"/>
      <c r="E83" s="39"/>
    </row>
    <row r="84" ht="15.75" customHeight="1">
      <c r="A84" s="39"/>
      <c r="B84" s="39"/>
      <c r="C84" s="39"/>
      <c r="D84" s="39"/>
      <c r="E84" s="39"/>
    </row>
    <row r="85" ht="15.75" customHeight="1">
      <c r="A85" s="39"/>
      <c r="B85" s="39"/>
      <c r="C85" s="39"/>
      <c r="D85" s="39"/>
      <c r="E85" s="39"/>
    </row>
    <row r="86" ht="15.75" customHeight="1">
      <c r="A86" s="39"/>
      <c r="B86" s="39"/>
      <c r="C86" s="39"/>
      <c r="D86" s="39"/>
      <c r="E86" s="39"/>
    </row>
    <row r="87" ht="15.75" customHeight="1">
      <c r="A87" s="39"/>
      <c r="B87" s="39"/>
      <c r="C87" s="39"/>
      <c r="D87" s="39"/>
      <c r="E87" s="39"/>
    </row>
    <row r="88" ht="15.75" customHeight="1">
      <c r="A88" s="39"/>
      <c r="B88" s="39"/>
      <c r="C88" s="39"/>
      <c r="D88" s="39"/>
      <c r="E88" s="39"/>
    </row>
    <row r="89" ht="15.75" customHeight="1">
      <c r="A89" s="39"/>
      <c r="B89" s="39"/>
      <c r="C89" s="39"/>
      <c r="D89" s="39"/>
      <c r="E89" s="39"/>
    </row>
    <row r="90" ht="15.75" customHeight="1">
      <c r="A90" s="39"/>
      <c r="B90" s="39"/>
      <c r="C90" s="39"/>
      <c r="D90" s="39"/>
      <c r="E90" s="39"/>
    </row>
    <row r="91" ht="15.75" customHeight="1">
      <c r="A91" s="39"/>
      <c r="B91" s="39"/>
      <c r="C91" s="39"/>
      <c r="D91" s="39"/>
      <c r="E91" s="39"/>
    </row>
    <row r="92" ht="15.75" customHeight="1">
      <c r="A92" s="39"/>
      <c r="B92" s="39"/>
      <c r="C92" s="39"/>
      <c r="D92" s="39"/>
      <c r="E92" s="39"/>
    </row>
    <row r="93" ht="15.75" customHeight="1">
      <c r="A93" s="39"/>
      <c r="B93" s="39"/>
      <c r="C93" s="39"/>
      <c r="D93" s="39"/>
      <c r="E93" s="39"/>
    </row>
    <row r="94" ht="15.75" customHeight="1">
      <c r="A94" s="39"/>
      <c r="B94" s="39"/>
      <c r="C94" s="39"/>
      <c r="D94" s="39"/>
      <c r="E94" s="39"/>
    </row>
    <row r="95" ht="15.75" customHeight="1">
      <c r="A95" s="39"/>
      <c r="B95" s="39"/>
      <c r="C95" s="39"/>
      <c r="D95" s="39"/>
      <c r="E95" s="39"/>
    </row>
    <row r="96" ht="15.75" customHeight="1">
      <c r="A96" s="39"/>
      <c r="B96" s="39"/>
      <c r="C96" s="39"/>
      <c r="D96" s="39"/>
      <c r="E96" s="39"/>
    </row>
    <row r="97" ht="15.75" customHeight="1">
      <c r="A97" s="39"/>
      <c r="B97" s="39"/>
      <c r="C97" s="39"/>
      <c r="D97" s="39"/>
      <c r="E97" s="39"/>
    </row>
    <row r="98" ht="15.75" customHeight="1">
      <c r="A98" s="39"/>
      <c r="B98" s="39"/>
      <c r="C98" s="39"/>
      <c r="D98" s="39"/>
      <c r="E98" s="39"/>
    </row>
    <row r="99" ht="15.75" customHeight="1">
      <c r="A99" s="39"/>
      <c r="B99" s="39"/>
      <c r="C99" s="39"/>
      <c r="D99" s="39"/>
      <c r="E99" s="39"/>
    </row>
    <row r="100" ht="15.75" customHeight="1">
      <c r="A100" s="39"/>
      <c r="B100" s="39"/>
      <c r="C100" s="39"/>
      <c r="D100" s="39"/>
      <c r="E100" s="39"/>
    </row>
    <row r="101" ht="15.75" customHeight="1">
      <c r="A101" s="39"/>
      <c r="B101" s="39"/>
      <c r="C101" s="39"/>
      <c r="D101" s="39"/>
      <c r="E101" s="39"/>
    </row>
    <row r="102" ht="15.75" customHeight="1">
      <c r="A102" s="39"/>
      <c r="B102" s="39"/>
      <c r="C102" s="39"/>
      <c r="D102" s="39"/>
      <c r="E102" s="39"/>
    </row>
    <row r="103" ht="15.75" customHeight="1">
      <c r="A103" s="39"/>
      <c r="B103" s="39"/>
      <c r="C103" s="39"/>
      <c r="D103" s="39"/>
      <c r="E103" s="39"/>
    </row>
    <row r="104" ht="15.75" customHeight="1">
      <c r="A104" s="39"/>
      <c r="B104" s="39"/>
      <c r="C104" s="39"/>
      <c r="D104" s="39"/>
      <c r="E104" s="39"/>
    </row>
    <row r="105" ht="15.75" customHeight="1">
      <c r="A105" s="39"/>
      <c r="B105" s="39"/>
      <c r="C105" s="39"/>
      <c r="D105" s="39"/>
      <c r="E105" s="39"/>
    </row>
    <row r="106" ht="15.75" customHeight="1">
      <c r="A106" s="39"/>
      <c r="B106" s="39"/>
      <c r="C106" s="39"/>
      <c r="D106" s="39"/>
      <c r="E106" s="39"/>
    </row>
    <row r="107" ht="15.75" customHeight="1">
      <c r="A107" s="39"/>
      <c r="B107" s="39"/>
      <c r="C107" s="39"/>
      <c r="D107" s="39"/>
      <c r="E107" s="39"/>
    </row>
    <row r="108" ht="15.75" customHeight="1">
      <c r="A108" s="39"/>
      <c r="B108" s="39"/>
      <c r="C108" s="39"/>
      <c r="D108" s="39"/>
      <c r="E108" s="39"/>
    </row>
    <row r="109" ht="15.75" customHeight="1">
      <c r="A109" s="39"/>
      <c r="B109" s="39"/>
      <c r="C109" s="39"/>
      <c r="D109" s="39"/>
      <c r="E109" s="39"/>
    </row>
    <row r="110" ht="15.75" customHeight="1">
      <c r="A110" s="39"/>
      <c r="B110" s="39"/>
      <c r="C110" s="39"/>
      <c r="D110" s="39"/>
      <c r="E110" s="39"/>
    </row>
    <row r="111" ht="15.75" customHeight="1">
      <c r="A111" s="39"/>
      <c r="B111" s="39"/>
      <c r="C111" s="39"/>
      <c r="D111" s="39"/>
      <c r="E111" s="39"/>
    </row>
    <row r="112" ht="15.75" customHeight="1">
      <c r="A112" s="39"/>
      <c r="B112" s="39"/>
      <c r="C112" s="39"/>
      <c r="D112" s="39"/>
      <c r="E112" s="39"/>
    </row>
    <row r="113" ht="15.75" customHeight="1">
      <c r="A113" s="39"/>
      <c r="B113" s="39"/>
      <c r="C113" s="39"/>
      <c r="D113" s="39"/>
      <c r="E113" s="39"/>
    </row>
    <row r="114" ht="15.75" customHeight="1">
      <c r="A114" s="39"/>
      <c r="B114" s="39"/>
      <c r="C114" s="39"/>
      <c r="D114" s="39"/>
      <c r="E114" s="39"/>
    </row>
    <row r="115" ht="15.75" customHeight="1">
      <c r="A115" s="39"/>
      <c r="B115" s="39"/>
      <c r="C115" s="39"/>
      <c r="D115" s="39"/>
      <c r="E115" s="39"/>
    </row>
    <row r="116" ht="15.75" customHeight="1">
      <c r="A116" s="39"/>
      <c r="B116" s="39"/>
      <c r="C116" s="39"/>
      <c r="D116" s="39"/>
      <c r="E116" s="39"/>
    </row>
    <row r="117" ht="15.75" customHeight="1">
      <c r="A117" s="39"/>
      <c r="B117" s="39"/>
      <c r="C117" s="39"/>
      <c r="D117" s="39"/>
      <c r="E117" s="39"/>
    </row>
    <row r="118" ht="15.75" customHeight="1">
      <c r="A118" s="39"/>
      <c r="B118" s="39"/>
      <c r="C118" s="39"/>
      <c r="D118" s="39"/>
      <c r="E118" s="39"/>
    </row>
    <row r="119" ht="15.75" customHeight="1">
      <c r="A119" s="39"/>
      <c r="B119" s="39"/>
      <c r="C119" s="39"/>
      <c r="D119" s="39"/>
      <c r="E119" s="39"/>
    </row>
    <row r="120" ht="15.75" customHeight="1">
      <c r="A120" s="39"/>
      <c r="B120" s="39"/>
      <c r="C120" s="39"/>
      <c r="D120" s="39"/>
      <c r="E120" s="39"/>
    </row>
    <row r="121" ht="15.75" customHeight="1">
      <c r="A121" s="39"/>
      <c r="B121" s="39"/>
      <c r="C121" s="39"/>
      <c r="D121" s="39"/>
      <c r="E121" s="39"/>
    </row>
    <row r="122" ht="15.75" customHeight="1">
      <c r="A122" s="39"/>
      <c r="B122" s="39"/>
      <c r="C122" s="39"/>
      <c r="D122" s="39"/>
      <c r="E122" s="39"/>
    </row>
    <row r="123" ht="15.75" customHeight="1">
      <c r="A123" s="39"/>
      <c r="B123" s="39"/>
      <c r="C123" s="39"/>
      <c r="D123" s="39"/>
      <c r="E123" s="39"/>
    </row>
    <row r="124" ht="15.75" customHeight="1">
      <c r="A124" s="39"/>
      <c r="B124" s="39"/>
      <c r="C124" s="39"/>
      <c r="D124" s="39"/>
      <c r="E124" s="39"/>
    </row>
    <row r="125" ht="15.75" customHeight="1">
      <c r="A125" s="39"/>
      <c r="B125" s="39"/>
      <c r="C125" s="39"/>
      <c r="D125" s="39"/>
      <c r="E125" s="39"/>
    </row>
    <row r="126" ht="15.75" customHeight="1">
      <c r="A126" s="39"/>
      <c r="B126" s="39"/>
      <c r="C126" s="39"/>
      <c r="D126" s="39"/>
      <c r="E126" s="39"/>
    </row>
    <row r="127" ht="15.75" customHeight="1">
      <c r="A127" s="39"/>
      <c r="B127" s="39"/>
      <c r="C127" s="39"/>
      <c r="D127" s="39"/>
      <c r="E127" s="39"/>
    </row>
    <row r="128" ht="15.75" customHeight="1">
      <c r="A128" s="39"/>
      <c r="B128" s="39"/>
      <c r="C128" s="39"/>
      <c r="D128" s="39"/>
      <c r="E128" s="39"/>
    </row>
    <row r="129" ht="15.75" customHeight="1">
      <c r="A129" s="39"/>
      <c r="B129" s="39"/>
      <c r="C129" s="39"/>
      <c r="D129" s="39"/>
      <c r="E129" s="39"/>
    </row>
    <row r="130" ht="15.75" customHeight="1">
      <c r="A130" s="39"/>
      <c r="B130" s="39"/>
      <c r="C130" s="39"/>
      <c r="D130" s="39"/>
      <c r="E130" s="39"/>
    </row>
    <row r="131" ht="15.75" customHeight="1">
      <c r="A131" s="39"/>
      <c r="B131" s="39"/>
      <c r="C131" s="39"/>
      <c r="D131" s="39"/>
      <c r="E131" s="39"/>
    </row>
    <row r="132" ht="15.75" customHeight="1">
      <c r="A132" s="39"/>
      <c r="B132" s="39"/>
      <c r="C132" s="39"/>
      <c r="D132" s="39"/>
      <c r="E132" s="39"/>
    </row>
    <row r="133" ht="15.75" customHeight="1">
      <c r="A133" s="39"/>
      <c r="B133" s="39"/>
      <c r="C133" s="39"/>
      <c r="D133" s="39"/>
      <c r="E133" s="39"/>
    </row>
    <row r="134" ht="15.75" customHeight="1">
      <c r="A134" s="39"/>
      <c r="B134" s="39"/>
      <c r="C134" s="39"/>
      <c r="D134" s="39"/>
      <c r="E134" s="39"/>
    </row>
    <row r="135" ht="15.75" customHeight="1">
      <c r="A135" s="39"/>
      <c r="B135" s="39"/>
      <c r="C135" s="39"/>
      <c r="D135" s="39"/>
      <c r="E135" s="39"/>
    </row>
    <row r="136" ht="15.75" customHeight="1">
      <c r="A136" s="39"/>
      <c r="B136" s="39"/>
      <c r="C136" s="39"/>
      <c r="D136" s="39"/>
      <c r="E136" s="39"/>
    </row>
    <row r="137" ht="15.75" customHeight="1">
      <c r="A137" s="39"/>
      <c r="B137" s="39"/>
      <c r="C137" s="39"/>
      <c r="D137" s="39"/>
      <c r="E137" s="39"/>
    </row>
    <row r="138" ht="15.75" customHeight="1">
      <c r="A138" s="39"/>
      <c r="B138" s="39"/>
      <c r="C138" s="39"/>
      <c r="D138" s="39"/>
      <c r="E138" s="39"/>
    </row>
    <row r="139" ht="15.75" customHeight="1">
      <c r="A139" s="39"/>
      <c r="B139" s="39"/>
      <c r="C139" s="39"/>
      <c r="D139" s="39"/>
      <c r="E139" s="39"/>
    </row>
    <row r="140" ht="15.75" customHeight="1">
      <c r="A140" s="39"/>
      <c r="B140" s="39"/>
      <c r="C140" s="39"/>
      <c r="D140" s="39"/>
      <c r="E140" s="39"/>
    </row>
    <row r="141" ht="15.75" customHeight="1">
      <c r="A141" s="39"/>
      <c r="B141" s="39"/>
      <c r="C141" s="39"/>
      <c r="D141" s="39"/>
      <c r="E141" s="39"/>
    </row>
    <row r="142" ht="15.75" customHeight="1">
      <c r="A142" s="39"/>
      <c r="B142" s="39"/>
      <c r="C142" s="39"/>
      <c r="D142" s="39"/>
      <c r="E142" s="39"/>
    </row>
    <row r="143" ht="15.75" customHeight="1">
      <c r="A143" s="39"/>
      <c r="B143" s="39"/>
      <c r="C143" s="39"/>
      <c r="D143" s="39"/>
      <c r="E143" s="39"/>
    </row>
    <row r="144" ht="15.75" customHeight="1">
      <c r="A144" s="39"/>
      <c r="B144" s="39"/>
      <c r="C144" s="39"/>
      <c r="D144" s="39"/>
      <c r="E144" s="39"/>
    </row>
    <row r="145" ht="15.75" customHeight="1">
      <c r="A145" s="39"/>
      <c r="B145" s="39"/>
      <c r="C145" s="39"/>
      <c r="D145" s="39"/>
      <c r="E145" s="39"/>
    </row>
    <row r="146" ht="15.75" customHeight="1">
      <c r="A146" s="39"/>
      <c r="B146" s="39"/>
      <c r="C146" s="39"/>
      <c r="D146" s="39"/>
      <c r="E146" s="39"/>
    </row>
    <row r="147" ht="15.75" customHeight="1">
      <c r="A147" s="39"/>
      <c r="B147" s="39"/>
      <c r="C147" s="39"/>
      <c r="D147" s="39"/>
      <c r="E147" s="39"/>
    </row>
    <row r="148" ht="15.75" customHeight="1">
      <c r="A148" s="39"/>
      <c r="B148" s="39"/>
      <c r="C148" s="39"/>
      <c r="D148" s="39"/>
      <c r="E148" s="39"/>
    </row>
    <row r="149" ht="15.75" customHeight="1">
      <c r="A149" s="39"/>
      <c r="B149" s="39"/>
      <c r="C149" s="39"/>
      <c r="D149" s="39"/>
      <c r="E149" s="39"/>
    </row>
    <row r="150" ht="15.75" customHeight="1">
      <c r="A150" s="39"/>
      <c r="B150" s="39"/>
      <c r="C150" s="39"/>
      <c r="D150" s="39"/>
      <c r="E150" s="39"/>
    </row>
    <row r="151" ht="15.75" customHeight="1">
      <c r="A151" s="39"/>
      <c r="B151" s="39"/>
      <c r="C151" s="39"/>
      <c r="D151" s="39"/>
      <c r="E151" s="39"/>
    </row>
    <row r="152" ht="15.75" customHeight="1">
      <c r="A152" s="39"/>
      <c r="B152" s="39"/>
      <c r="C152" s="39"/>
      <c r="D152" s="39"/>
      <c r="E152" s="39"/>
    </row>
    <row r="153" ht="15.75" customHeight="1">
      <c r="A153" s="39"/>
      <c r="B153" s="39"/>
      <c r="C153" s="39"/>
      <c r="D153" s="39"/>
      <c r="E153" s="39"/>
    </row>
    <row r="154" ht="15.75" customHeight="1">
      <c r="A154" s="39"/>
      <c r="B154" s="39"/>
      <c r="C154" s="39"/>
      <c r="D154" s="39"/>
      <c r="E154" s="39"/>
    </row>
    <row r="155" ht="15.75" customHeight="1">
      <c r="A155" s="39"/>
      <c r="B155" s="39"/>
      <c r="C155" s="39"/>
      <c r="D155" s="39"/>
      <c r="E155" s="39"/>
    </row>
    <row r="156" ht="15.75" customHeight="1">
      <c r="A156" s="39"/>
      <c r="B156" s="39"/>
      <c r="C156" s="39"/>
      <c r="D156" s="39"/>
      <c r="E156" s="39"/>
    </row>
    <row r="157" ht="15.75" customHeight="1">
      <c r="A157" s="39"/>
      <c r="B157" s="39"/>
      <c r="C157" s="39"/>
      <c r="D157" s="39"/>
      <c r="E157" s="39"/>
    </row>
    <row r="158" ht="15.75" customHeight="1">
      <c r="A158" s="39"/>
      <c r="B158" s="39"/>
      <c r="C158" s="39"/>
      <c r="D158" s="39"/>
      <c r="E158" s="39"/>
    </row>
    <row r="159" ht="15.75" customHeight="1">
      <c r="A159" s="39"/>
      <c r="B159" s="39"/>
      <c r="C159" s="39"/>
      <c r="D159" s="39"/>
      <c r="E159" s="39"/>
    </row>
    <row r="160" ht="15.75" customHeight="1">
      <c r="A160" s="39"/>
      <c r="B160" s="39"/>
      <c r="C160" s="39"/>
      <c r="D160" s="39"/>
      <c r="E160" s="39"/>
    </row>
    <row r="161" ht="15.75" customHeight="1">
      <c r="A161" s="39"/>
      <c r="B161" s="39"/>
      <c r="C161" s="39"/>
      <c r="D161" s="39"/>
      <c r="E161" s="39"/>
    </row>
    <row r="162" ht="15.75" customHeight="1">
      <c r="A162" s="39"/>
      <c r="B162" s="39"/>
      <c r="C162" s="39"/>
      <c r="D162" s="39"/>
      <c r="E162" s="39"/>
    </row>
    <row r="163" ht="15.75" customHeight="1">
      <c r="A163" s="39"/>
      <c r="B163" s="39"/>
      <c r="C163" s="39"/>
      <c r="D163" s="39"/>
      <c r="E163" s="39"/>
    </row>
    <row r="164" ht="15.75" customHeight="1">
      <c r="A164" s="39"/>
      <c r="B164" s="39"/>
      <c r="C164" s="39"/>
      <c r="D164" s="39"/>
      <c r="E164" s="39"/>
    </row>
    <row r="165" ht="15.75" customHeight="1">
      <c r="A165" s="39"/>
      <c r="B165" s="39"/>
      <c r="C165" s="39"/>
      <c r="D165" s="39"/>
      <c r="E165" s="39"/>
    </row>
    <row r="166" ht="15.75" customHeight="1">
      <c r="A166" s="39"/>
      <c r="B166" s="39"/>
      <c r="C166" s="39"/>
      <c r="D166" s="39"/>
      <c r="E166" s="39"/>
    </row>
    <row r="167" ht="15.75" customHeight="1">
      <c r="A167" s="39"/>
      <c r="B167" s="39"/>
      <c r="C167" s="39"/>
      <c r="D167" s="39"/>
      <c r="E167" s="39"/>
    </row>
    <row r="168" ht="15.75" customHeight="1">
      <c r="A168" s="39"/>
      <c r="B168" s="39"/>
      <c r="C168" s="39"/>
      <c r="D168" s="39"/>
      <c r="E168" s="39"/>
    </row>
    <row r="169" ht="15.75" customHeight="1">
      <c r="A169" s="39"/>
      <c r="B169" s="39"/>
      <c r="C169" s="39"/>
      <c r="D169" s="39"/>
      <c r="E169" s="39"/>
    </row>
    <row r="170" ht="15.75" customHeight="1">
      <c r="A170" s="39"/>
      <c r="B170" s="39"/>
      <c r="C170" s="39"/>
      <c r="D170" s="39"/>
      <c r="E170" s="39"/>
    </row>
    <row r="171" ht="15.75" customHeight="1">
      <c r="A171" s="39"/>
      <c r="B171" s="39"/>
      <c r="C171" s="39"/>
      <c r="D171" s="39"/>
      <c r="E171" s="39"/>
    </row>
    <row r="172" ht="15.75" customHeight="1">
      <c r="A172" s="39"/>
      <c r="B172" s="39"/>
      <c r="C172" s="39"/>
      <c r="D172" s="39"/>
      <c r="E172" s="39"/>
    </row>
    <row r="173" ht="15.75" customHeight="1">
      <c r="A173" s="39"/>
      <c r="B173" s="39"/>
      <c r="C173" s="39"/>
      <c r="D173" s="39"/>
      <c r="E173" s="39"/>
    </row>
    <row r="174" ht="15.75" customHeight="1">
      <c r="A174" s="39"/>
      <c r="B174" s="39"/>
      <c r="C174" s="39"/>
      <c r="D174" s="39"/>
      <c r="E174" s="39"/>
    </row>
    <row r="175" ht="15.75" customHeight="1">
      <c r="A175" s="39"/>
      <c r="B175" s="39"/>
      <c r="C175" s="39"/>
      <c r="D175" s="39"/>
      <c r="E175" s="39"/>
    </row>
    <row r="176" ht="15.75" customHeight="1">
      <c r="A176" s="39"/>
      <c r="B176" s="39"/>
      <c r="C176" s="39"/>
      <c r="D176" s="39"/>
      <c r="E176" s="39"/>
    </row>
    <row r="177" ht="15.75" customHeight="1">
      <c r="A177" s="39"/>
      <c r="B177" s="39"/>
      <c r="C177" s="39"/>
      <c r="D177" s="39"/>
      <c r="E177" s="39"/>
    </row>
    <row r="178" ht="15.75" customHeight="1">
      <c r="A178" s="39"/>
      <c r="B178" s="39"/>
      <c r="C178" s="39"/>
      <c r="D178" s="39"/>
      <c r="E178" s="39"/>
    </row>
    <row r="179" ht="15.75" customHeight="1">
      <c r="A179" s="39"/>
      <c r="B179" s="39"/>
      <c r="C179" s="39"/>
      <c r="D179" s="39"/>
      <c r="E179" s="39"/>
    </row>
    <row r="180" ht="15.75" customHeight="1">
      <c r="A180" s="39"/>
      <c r="B180" s="39"/>
      <c r="C180" s="39"/>
      <c r="D180" s="39"/>
      <c r="E180" s="39"/>
    </row>
    <row r="181" ht="15.75" customHeight="1">
      <c r="A181" s="39"/>
      <c r="B181" s="39"/>
      <c r="C181" s="39"/>
      <c r="D181" s="39"/>
      <c r="E181" s="39"/>
    </row>
    <row r="182" ht="15.75" customHeight="1">
      <c r="A182" s="39"/>
      <c r="B182" s="39"/>
      <c r="C182" s="39"/>
      <c r="D182" s="39"/>
      <c r="E182" s="39"/>
    </row>
    <row r="183" ht="15.75" customHeight="1">
      <c r="A183" s="39"/>
      <c r="B183" s="39"/>
      <c r="C183" s="39"/>
      <c r="D183" s="39"/>
      <c r="E183" s="39"/>
    </row>
    <row r="184" ht="15.75" customHeight="1">
      <c r="A184" s="39"/>
      <c r="B184" s="39"/>
      <c r="C184" s="39"/>
      <c r="D184" s="39"/>
      <c r="E184" s="39"/>
    </row>
    <row r="185" ht="15.75" customHeight="1">
      <c r="A185" s="39"/>
      <c r="B185" s="39"/>
      <c r="C185" s="39"/>
      <c r="D185" s="39"/>
      <c r="E185" s="39"/>
    </row>
    <row r="186" ht="15.75" customHeight="1">
      <c r="A186" s="39"/>
      <c r="B186" s="39"/>
      <c r="C186" s="39"/>
      <c r="D186" s="39"/>
      <c r="E186" s="39"/>
    </row>
    <row r="187" ht="15.75" customHeight="1">
      <c r="A187" s="39"/>
      <c r="B187" s="39"/>
      <c r="C187" s="39"/>
      <c r="D187" s="39"/>
      <c r="E187" s="39"/>
    </row>
    <row r="188" ht="15.75" customHeight="1">
      <c r="A188" s="39"/>
      <c r="B188" s="39"/>
      <c r="C188" s="39"/>
      <c r="D188" s="39"/>
      <c r="E188" s="39"/>
    </row>
    <row r="189" ht="15.75" customHeight="1">
      <c r="A189" s="39"/>
      <c r="B189" s="39"/>
      <c r="C189" s="39"/>
      <c r="D189" s="39"/>
      <c r="E189" s="39"/>
    </row>
    <row r="190" ht="15.75" customHeight="1">
      <c r="A190" s="39"/>
      <c r="B190" s="39"/>
      <c r="C190" s="39"/>
      <c r="D190" s="39"/>
      <c r="E190" s="39"/>
    </row>
    <row r="191" ht="15.75" customHeight="1">
      <c r="A191" s="39"/>
      <c r="B191" s="39"/>
      <c r="C191" s="39"/>
      <c r="D191" s="39"/>
      <c r="E191" s="39"/>
    </row>
    <row r="192" ht="15.75" customHeight="1">
      <c r="A192" s="39"/>
      <c r="B192" s="39"/>
      <c r="C192" s="39"/>
      <c r="D192" s="39"/>
      <c r="E192" s="39"/>
    </row>
    <row r="193" ht="15.75" customHeight="1">
      <c r="A193" s="39"/>
      <c r="B193" s="39"/>
      <c r="C193" s="39"/>
      <c r="D193" s="39"/>
      <c r="E193" s="39"/>
    </row>
    <row r="194" ht="15.75" customHeight="1">
      <c r="A194" s="39"/>
      <c r="B194" s="39"/>
      <c r="C194" s="39"/>
      <c r="D194" s="39"/>
      <c r="E194" s="39"/>
    </row>
    <row r="195" ht="15.75" customHeight="1">
      <c r="A195" s="39"/>
      <c r="B195" s="39"/>
      <c r="C195" s="39"/>
      <c r="D195" s="39"/>
      <c r="E195" s="39"/>
    </row>
    <row r="196" ht="15.75" customHeight="1">
      <c r="A196" s="39"/>
      <c r="B196" s="39"/>
      <c r="C196" s="39"/>
      <c r="D196" s="39"/>
      <c r="E196" s="39"/>
    </row>
    <row r="197" ht="15.75" customHeight="1">
      <c r="A197" s="39"/>
      <c r="B197" s="39"/>
      <c r="C197" s="39"/>
      <c r="D197" s="39"/>
      <c r="E197" s="39"/>
    </row>
    <row r="198" ht="15.75" customHeight="1">
      <c r="A198" s="39"/>
      <c r="B198" s="39"/>
      <c r="C198" s="39"/>
      <c r="D198" s="39"/>
      <c r="E198" s="39"/>
    </row>
    <row r="199" ht="15.75" customHeight="1">
      <c r="A199" s="39"/>
      <c r="B199" s="39"/>
      <c r="C199" s="39"/>
      <c r="D199" s="39"/>
      <c r="E199" s="39"/>
    </row>
    <row r="200" ht="15.75" customHeight="1">
      <c r="A200" s="39"/>
      <c r="B200" s="39"/>
      <c r="C200" s="39"/>
      <c r="D200" s="39"/>
      <c r="E200" s="39"/>
    </row>
    <row r="201" ht="15.75" customHeight="1">
      <c r="A201" s="39"/>
      <c r="B201" s="39"/>
      <c r="C201" s="39"/>
      <c r="D201" s="39"/>
      <c r="E201" s="39"/>
    </row>
    <row r="202" ht="15.75" customHeight="1">
      <c r="A202" s="39"/>
      <c r="B202" s="39"/>
      <c r="C202" s="39"/>
      <c r="D202" s="39"/>
      <c r="E202" s="39"/>
    </row>
    <row r="203" ht="15.75" customHeight="1">
      <c r="A203" s="39"/>
      <c r="B203" s="39"/>
      <c r="C203" s="39"/>
      <c r="D203" s="39"/>
      <c r="E203" s="39"/>
    </row>
    <row r="204" ht="15.75" customHeight="1">
      <c r="A204" s="39"/>
      <c r="B204" s="39"/>
      <c r="C204" s="39"/>
      <c r="D204" s="39"/>
      <c r="E204" s="39"/>
    </row>
    <row r="205" ht="15.75" customHeight="1">
      <c r="A205" s="39"/>
      <c r="B205" s="39"/>
      <c r="C205" s="39"/>
      <c r="D205" s="39"/>
      <c r="E205" s="39"/>
    </row>
    <row r="206" ht="15.75" customHeight="1">
      <c r="A206" s="39"/>
      <c r="B206" s="39"/>
      <c r="C206" s="39"/>
      <c r="D206" s="39"/>
      <c r="E206" s="39"/>
    </row>
    <row r="207" ht="15.75" customHeight="1">
      <c r="A207" s="39"/>
      <c r="B207" s="39"/>
      <c r="C207" s="39"/>
      <c r="D207" s="39"/>
      <c r="E207" s="39"/>
    </row>
    <row r="208" ht="15.75" customHeight="1">
      <c r="A208" s="39"/>
      <c r="B208" s="39"/>
      <c r="C208" s="39"/>
      <c r="D208" s="39"/>
      <c r="E208" s="39"/>
    </row>
    <row r="209" ht="15.75" customHeight="1">
      <c r="A209" s="39"/>
      <c r="B209" s="39"/>
      <c r="C209" s="39"/>
      <c r="D209" s="39"/>
      <c r="E209" s="39"/>
    </row>
    <row r="210" ht="15.75" customHeight="1">
      <c r="A210" s="39"/>
      <c r="B210" s="39"/>
      <c r="C210" s="39"/>
      <c r="D210" s="39"/>
      <c r="E210" s="39"/>
    </row>
    <row r="211" ht="15.75" customHeight="1">
      <c r="A211" s="39"/>
      <c r="B211" s="39"/>
      <c r="C211" s="39"/>
      <c r="D211" s="39"/>
      <c r="E211" s="39"/>
    </row>
    <row r="212" ht="15.75" customHeight="1">
      <c r="A212" s="39"/>
      <c r="B212" s="39"/>
      <c r="C212" s="39"/>
      <c r="D212" s="39"/>
      <c r="E212" s="39"/>
    </row>
    <row r="213" ht="15.75" customHeight="1">
      <c r="A213" s="39"/>
      <c r="B213" s="39"/>
      <c r="C213" s="39"/>
      <c r="D213" s="39"/>
      <c r="E213" s="39"/>
    </row>
    <row r="214" ht="15.75" customHeight="1">
      <c r="A214" s="39"/>
      <c r="B214" s="39"/>
      <c r="C214" s="39"/>
      <c r="D214" s="39"/>
      <c r="E214" s="39"/>
    </row>
    <row r="215" ht="15.75" customHeight="1">
      <c r="A215" s="39"/>
      <c r="B215" s="39"/>
      <c r="C215" s="39"/>
      <c r="D215" s="39"/>
      <c r="E215" s="39"/>
    </row>
    <row r="216" ht="15.75" customHeight="1">
      <c r="A216" s="39"/>
      <c r="B216" s="39"/>
      <c r="C216" s="39"/>
      <c r="D216" s="39"/>
      <c r="E216" s="39"/>
    </row>
    <row r="217" ht="15.75" customHeight="1">
      <c r="A217" s="39"/>
      <c r="B217" s="39"/>
      <c r="C217" s="39"/>
      <c r="D217" s="39"/>
      <c r="E217" s="39"/>
    </row>
    <row r="218" ht="15.75" customHeight="1">
      <c r="A218" s="39"/>
      <c r="B218" s="39"/>
      <c r="C218" s="39"/>
      <c r="D218" s="39"/>
      <c r="E218" s="39"/>
    </row>
    <row r="219" ht="15.75" customHeight="1">
      <c r="A219" s="39"/>
      <c r="B219" s="39"/>
      <c r="C219" s="39"/>
      <c r="D219" s="39"/>
      <c r="E219" s="39"/>
    </row>
    <row r="220" ht="15.75" customHeight="1">
      <c r="A220" s="39"/>
      <c r="B220" s="39"/>
      <c r="C220" s="39"/>
      <c r="D220" s="39"/>
      <c r="E220" s="39"/>
    </row>
    <row r="221" ht="15.75" customHeight="1">
      <c r="A221" s="39"/>
      <c r="B221" s="39"/>
      <c r="C221" s="39"/>
      <c r="D221" s="39"/>
      <c r="E221" s="3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1.5"/>
    <col customWidth="1" min="3" max="3" width="10.38"/>
    <col customWidth="1" min="4" max="4" width="9.88"/>
    <col customWidth="1" min="5" max="5" width="11.63"/>
    <col customWidth="1" min="6" max="7" width="11.75"/>
    <col customWidth="1" min="8" max="8" width="11.5"/>
    <col customWidth="1" min="9" max="9" width="10.88"/>
    <col customWidth="1" min="10" max="12" width="11.38"/>
    <col customWidth="1" min="13" max="13" width="10.75"/>
  </cols>
  <sheetData>
    <row r="1" ht="15.75" customHeight="1">
      <c r="A1" s="1" t="s">
        <v>0</v>
      </c>
      <c r="B1" s="2" t="s">
        <v>1</v>
      </c>
      <c r="C1" s="2" t="s">
        <v>3</v>
      </c>
      <c r="D1" s="2" t="s">
        <v>4</v>
      </c>
      <c r="E1" s="2" t="s">
        <v>7</v>
      </c>
      <c r="F1" s="2" t="s">
        <v>8</v>
      </c>
      <c r="G1" s="4" t="s">
        <v>10</v>
      </c>
      <c r="H1" s="2">
        <v>2025.0</v>
      </c>
      <c r="I1" s="2" t="s">
        <v>2</v>
      </c>
      <c r="J1" s="2" t="s">
        <v>12</v>
      </c>
      <c r="K1" s="2" t="s">
        <v>13</v>
      </c>
      <c r="L1" s="2" t="s">
        <v>14</v>
      </c>
      <c r="M1" s="2" t="s">
        <v>6</v>
      </c>
    </row>
    <row r="2" ht="15.75" customHeight="1">
      <c r="A2" s="6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9" t="s">
        <v>20</v>
      </c>
      <c r="G2" s="12" t="s">
        <v>21</v>
      </c>
      <c r="H2" s="9">
        <v>2025.0</v>
      </c>
      <c r="I2" s="7"/>
      <c r="J2" s="7"/>
      <c r="K2" s="13"/>
      <c r="L2" s="13"/>
      <c r="M2" s="13"/>
    </row>
    <row r="3" ht="15.75" customHeight="1">
      <c r="A3" s="16" t="s">
        <v>23</v>
      </c>
      <c r="B3" s="7">
        <v>46023.0</v>
      </c>
      <c r="C3" s="7">
        <v>46073.0</v>
      </c>
      <c r="D3" s="7">
        <v>46081.0</v>
      </c>
      <c r="E3" s="7">
        <v>46143.0</v>
      </c>
      <c r="F3" s="7">
        <v>46174.0</v>
      </c>
      <c r="G3" s="19">
        <v>46266.0</v>
      </c>
      <c r="H3" s="7">
        <v>46023.0</v>
      </c>
      <c r="I3" s="9"/>
      <c r="J3" s="9"/>
      <c r="K3" s="9"/>
      <c r="L3" s="9"/>
      <c r="M3" s="9"/>
    </row>
    <row r="4" ht="15.75" customHeight="1">
      <c r="A4" s="3" t="s">
        <v>9</v>
      </c>
      <c r="B4" s="5">
        <v>10000.0</v>
      </c>
      <c r="C4" s="5">
        <v>10000.0</v>
      </c>
      <c r="D4" s="5">
        <v>10000.0</v>
      </c>
      <c r="E4" s="5">
        <v>5000.0</v>
      </c>
      <c r="F4" s="5">
        <v>5000.0</v>
      </c>
      <c r="G4" s="5">
        <v>5000.0</v>
      </c>
      <c r="H4" s="5"/>
      <c r="I4" s="5"/>
      <c r="J4" s="5"/>
      <c r="K4" s="5"/>
      <c r="L4" s="5"/>
      <c r="M4" s="5"/>
    </row>
    <row r="5" ht="15.75" customHeight="1">
      <c r="A5" s="15" t="s">
        <v>24</v>
      </c>
      <c r="B5" s="18">
        <f>SUMIFS(Dados!$N:$N,Dados!$P:$P,$B$2,Dados!$B:$B,A5)</f>
        <v>418.5</v>
      </c>
      <c r="C5" s="18">
        <f>SUMIFS(Dados!$N:$N,Dados!$P:$P,$C$2,Dados!$B:$B,A5)</f>
        <v>10</v>
      </c>
      <c r="D5" s="18">
        <f>SUMIFS(Dados!$N:$N,Dados!$P:$P,$D$2,Dados!$B:$B,A5)</f>
        <v>0</v>
      </c>
      <c r="E5" s="18">
        <f>SUMIFS(Dados!$N:$N,Dados!$P:$P,$E$2,Dados!$B:$B,A5)</f>
        <v>0</v>
      </c>
      <c r="F5" s="18">
        <f>SUMIFS(Dados!$N:$N,Dados!$P:$P,$F$2,Dados!$B:$B,A5)</f>
        <v>0</v>
      </c>
      <c r="G5" s="18">
        <f>SUMIFS(Dados!$N:$N,Dados!$P:$P,$G$2,Dados!$B:$B,A5)</f>
        <v>0</v>
      </c>
      <c r="H5" s="18">
        <f>SUMIFS(Dados!$N:$N,Dados!$P:$P,$H$2,Dados!$B:$B,A5)</f>
        <v>0</v>
      </c>
      <c r="I5" s="18">
        <f>SUMIFS(Dados!$N:$N,Dados!$D:$D,$I$1,Dados!$B:$B,A5,Dados!$P:$P,"")</f>
        <v>409.32</v>
      </c>
      <c r="J5" s="18">
        <f>SUMIFS(Dados!$N:$N,Dados!$D:$D,$J$1,Dados!$B:$B,A5)</f>
        <v>0</v>
      </c>
      <c r="K5" s="18">
        <f>SUMIFS(Dados!$N:$N,Dados!$D:$D,$K$1,Dados!$B:$B,A5)</f>
        <v>0</v>
      </c>
      <c r="L5" s="18">
        <f>SUMIFS(Dados!$N:$N,Dados!$D:$D,$L$1,Dados!$B:$B,A5)</f>
        <v>0</v>
      </c>
      <c r="M5" s="18">
        <f t="shared" ref="M5:M10" si="1">SUM(B5:L5)</f>
        <v>837.82</v>
      </c>
    </row>
    <row r="6" ht="15.75" customHeight="1">
      <c r="A6" s="15" t="s">
        <v>25</v>
      </c>
      <c r="B6" s="18">
        <f>SUMIFS(Dados!$N:$N,Dados!$P:$P,$B$2,Dados!$B:$B,A6)</f>
        <v>0</v>
      </c>
      <c r="C6" s="18">
        <f>SUMIFS(Dados!$N:$N,Dados!$P:$P,$C$2,Dados!$B:$B,A6)</f>
        <v>7000</v>
      </c>
      <c r="D6" s="18">
        <f>SUMIFS(Dados!$N:$N,Dados!$P:$P,$D$2,Dados!$B:$B,A6)</f>
        <v>50</v>
      </c>
      <c r="E6" s="18">
        <f>SUMIFS(Dados!$N:$N,Dados!$P:$P,$E$2,Dados!$B:$B,A6)</f>
        <v>1200</v>
      </c>
      <c r="F6" s="18">
        <f>SUMIFS(Dados!$N:$N,Dados!$P:$P,$F$2,Dados!$B:$B,A6)</f>
        <v>1665</v>
      </c>
      <c r="G6" s="18">
        <f>SUMIFS(Dados!$N:$N,Dados!$P:$P,$G$2,Dados!$B:$B,A6)</f>
        <v>0</v>
      </c>
      <c r="H6" s="18">
        <f>SUMIFS(Dados!$N:$N,Dados!$P:$P,$H$2,Dados!$B:$B,A6)</f>
        <v>0</v>
      </c>
      <c r="I6" s="18">
        <f>SUMIFS(Dados!$N:$N,Dados!$D:$D,$I$1,Dados!$B:$B,A6,Dados!$P:$P,"")</f>
        <v>11557.13</v>
      </c>
      <c r="J6" s="18">
        <f>SUMIFS(Dados!$N:$N,Dados!$D:$D,$J$1,Dados!$B:$B,A6)</f>
        <v>0</v>
      </c>
      <c r="K6" s="18">
        <f>SUMIFS(Dados!$N:$N,Dados!$D:$D,$K$1,Dados!$B:$B,A6)</f>
        <v>0</v>
      </c>
      <c r="L6" s="18">
        <f>SUMIFS(Dados!$N:$N,Dados!$D:$D,$L$1,Dados!$B:$B,A6)</f>
        <v>0</v>
      </c>
      <c r="M6" s="18">
        <f t="shared" si="1"/>
        <v>21472.13</v>
      </c>
    </row>
    <row r="7" ht="15.75" customHeight="1">
      <c r="A7" s="15" t="s">
        <v>26</v>
      </c>
      <c r="B7" s="18">
        <f>SUMIFS(Dados!$N:$N,Dados!$P:$P,$B$2,Dados!$B:$B,A7)</f>
        <v>6605.4</v>
      </c>
      <c r="C7" s="18">
        <f>SUMIFS(Dados!$N:$N,Dados!$P:$P,$C$2,Dados!$B:$B,A7)</f>
        <v>2600</v>
      </c>
      <c r="D7" s="18">
        <f>SUMIFS(Dados!$N:$N,Dados!$P:$P,$D$2,Dados!$B:$B,A7)</f>
        <v>8690</v>
      </c>
      <c r="E7" s="18">
        <f>SUMIFS(Dados!$N:$N,Dados!$P:$P,$E$2,Dados!$B:$B,A7)</f>
        <v>3765</v>
      </c>
      <c r="F7" s="18">
        <f>SUMIFS(Dados!$N:$N,Dados!$P:$P,$F$2,Dados!$B:$B,A7)</f>
        <v>3020</v>
      </c>
      <c r="G7" s="18">
        <f>SUMIFS(Dados!$N:$N,Dados!$P:$P,$G$2,Dados!$B:$B,A7)</f>
        <v>500</v>
      </c>
      <c r="H7" s="18">
        <f>SUMIFS(Dados!$N:$N,Dados!$P:$P,$H$2,Dados!$B:$B,A7)</f>
        <v>0</v>
      </c>
      <c r="I7" s="18">
        <f>SUMIFS(Dados!$N:$N,Dados!$D:$D,$I$1,Dados!$B:$B,A7,Dados!$P:$P,"")</f>
        <v>1245.13</v>
      </c>
      <c r="J7" s="18">
        <f>SUMIFS(Dados!$N:$N,Dados!$D:$D,$J$1,Dados!$B:$B,A7)</f>
        <v>0</v>
      </c>
      <c r="K7" s="18">
        <f>SUMIFS(Dados!$N:$N,Dados!$D:$D,$K$1,Dados!$B:$B,A7)</f>
        <v>0</v>
      </c>
      <c r="L7" s="18">
        <f>SUMIFS(Dados!$N:$N,Dados!$D:$D,$L$1,Dados!$B:$B,A7)</f>
        <v>0</v>
      </c>
      <c r="M7" s="18">
        <f t="shared" si="1"/>
        <v>26425.53</v>
      </c>
    </row>
    <row r="8" ht="15.75" customHeight="1">
      <c r="A8" s="15" t="s">
        <v>27</v>
      </c>
      <c r="B8" s="18">
        <f>SUMIFS(Dados!$N:$N,Dados!$P:$P,$B$2,Dados!$B:$B,A8)</f>
        <v>2927.33</v>
      </c>
      <c r="C8" s="18">
        <f>SUMIFS(Dados!$N:$N,Dados!$P:$P,$C$2,Dados!$B:$B,A8)</f>
        <v>320.73</v>
      </c>
      <c r="D8" s="18">
        <f>SUMIFS(Dados!$N:$N,Dados!$P:$P,$D$2,Dados!$B:$B,A8)</f>
        <v>900</v>
      </c>
      <c r="E8" s="18">
        <f>SUMIFS(Dados!$N:$N,Dados!$P:$P,$E$2,Dados!$B:$B,A8)</f>
        <v>0</v>
      </c>
      <c r="F8" s="18">
        <f>SUMIFS(Dados!$N:$N,Dados!$P:$P,$F$2,Dados!$B:$B,A8)</f>
        <v>245</v>
      </c>
      <c r="G8" s="18">
        <f>SUMIFS(Dados!$N:$N,Dados!$P:$P,$G$2,Dados!$B:$B,A8)</f>
        <v>0</v>
      </c>
      <c r="H8" s="18">
        <f>SUMIFS(Dados!$N:$N,Dados!$P:$P,$H$2,Dados!$B:$B,A8)</f>
        <v>337.59</v>
      </c>
      <c r="I8" s="18">
        <f>SUMIFS(Dados!$N:$N,Dados!$D:$D,$I$1,Dados!$B:$B,A8,Dados!$P:$P,"")</f>
        <v>20039.74</v>
      </c>
      <c r="J8" s="18">
        <f>SUMIFS(Dados!$N:$N,Dados!$D:$D,$J$1,Dados!$B:$B,A8)</f>
        <v>0</v>
      </c>
      <c r="K8" s="18">
        <f>SUMIFS(Dados!$N:$N,Dados!$D:$D,$K$1,Dados!$B:$B,A8)</f>
        <v>0</v>
      </c>
      <c r="L8" s="18">
        <f>SUMIFS(Dados!$N:$N,Dados!$D:$D,$L$1,Dados!$B:$B,A8)</f>
        <v>0</v>
      </c>
      <c r="M8" s="18">
        <f t="shared" si="1"/>
        <v>24770.39</v>
      </c>
    </row>
    <row r="9" ht="15.75" customHeight="1">
      <c r="A9" s="15" t="s">
        <v>28</v>
      </c>
      <c r="B9" s="18">
        <f>SUMIFS(Dados!$N:$N,Dados!$P:$P,$B$2,Dados!$B:$B,A9)</f>
        <v>0</v>
      </c>
      <c r="C9" s="18">
        <f>SUMIFS(Dados!$N:$N,Dados!$P:$P,$C$2,Dados!$B:$B,A9)</f>
        <v>15</v>
      </c>
      <c r="D9" s="18">
        <f>SUMIFS(Dados!$N:$N,Dados!$P:$P,$D$2,Dados!$B:$B,A9)</f>
        <v>350</v>
      </c>
      <c r="E9" s="18">
        <f>SUMIFS(Dados!$N:$N,Dados!$P:$P,$E$2,Dados!$B:$B,A9)</f>
        <v>0</v>
      </c>
      <c r="F9" s="18">
        <f>SUMIFS(Dados!$N:$N,Dados!$P:$P,$F$2,Dados!$B:$B,A9)</f>
        <v>0</v>
      </c>
      <c r="G9" s="18">
        <f>SUMIFS(Dados!$N:$N,Dados!$P:$P,$G$2,Dados!$B:$B,A9)</f>
        <v>0</v>
      </c>
      <c r="H9" s="18">
        <f>SUMIFS(Dados!$N:$N,Dados!$P:$P,$H$2,Dados!$B:$B,A9)</f>
        <v>2380.1</v>
      </c>
      <c r="I9" s="18">
        <f>SUMIFS(Dados!$N:$N,Dados!$D:$D,$I$1,Dados!$B:$B,A9,Dados!$P:$P,"")</f>
        <v>6340.51</v>
      </c>
      <c r="J9" s="18">
        <f>SUMIFS(Dados!$N:$N,Dados!$D:$D,$J$1,Dados!$B:$B,A9)</f>
        <v>0</v>
      </c>
      <c r="K9" s="18">
        <f>SUMIFS(Dados!$N:$N,Dados!$D:$D,$K$1,Dados!$B:$B,A9)</f>
        <v>0</v>
      </c>
      <c r="L9" s="18">
        <f>SUMIFS(Dados!$N:$N,Dados!$D:$D,$L$1,Dados!$B:$B,A9)</f>
        <v>0</v>
      </c>
      <c r="M9" s="18">
        <f t="shared" si="1"/>
        <v>9085.61</v>
      </c>
    </row>
    <row r="10" ht="15.75" customHeight="1">
      <c r="A10" s="15" t="s">
        <v>29</v>
      </c>
      <c r="B10" s="18">
        <f>SUMIFS(Dados!$N:$N,Dados!$P:$P,$B$2,Dados!$B:$B,A10)</f>
        <v>50</v>
      </c>
      <c r="C10" s="18">
        <f>SUMIFS(Dados!$N:$N,Dados!$P:$P,$C$2,Dados!$B:$B,A10)</f>
        <v>0</v>
      </c>
      <c r="D10" s="18">
        <f>SUMIFS(Dados!$N:$N,Dados!$P:$P,$D$2,Dados!$B:$B,A10)</f>
        <v>0</v>
      </c>
      <c r="E10" s="18">
        <f>SUMIFS(Dados!$N:$N,Dados!$P:$P,$E$2,Dados!$B:$B,A10)</f>
        <v>0</v>
      </c>
      <c r="F10" s="18">
        <f>SUMIFS(Dados!$N:$N,Dados!$P:$P,$F$2,Dados!$B:$B,A10)</f>
        <v>0</v>
      </c>
      <c r="G10" s="18">
        <f>SUMIFS(Dados!$N:$N,Dados!$P:$P,$G$2,Dados!$B:$B,A10)</f>
        <v>0</v>
      </c>
      <c r="H10" s="18">
        <f>SUMIFS(Dados!$N:$N,Dados!$P:$P,$H$2,Dados!$B:$B,A10)</f>
        <v>0</v>
      </c>
      <c r="I10" s="18">
        <f>SUMIFS(Dados!$N:$N,Dados!$D:$D,$I$1,Dados!$B:$B,A10,Dados!$P:$P,"")</f>
        <v>338.85</v>
      </c>
      <c r="J10" s="18">
        <f>SUMIFS(Dados!$N:$N,Dados!$D:$D,$J$1,Dados!$B:$B,A10)</f>
        <v>7.52</v>
      </c>
      <c r="K10" s="18">
        <f>SUMIFS(Dados!$N:$N,Dados!$D:$D,$K$1,Dados!$B:$B,A10)</f>
        <v>0</v>
      </c>
      <c r="L10" s="18">
        <f>SUMIFS(Dados!$N:$N,Dados!$D:$D,$L$1,Dados!$B:$B,A10)</f>
        <v>0</v>
      </c>
      <c r="M10" s="18">
        <f t="shared" si="1"/>
        <v>396.37</v>
      </c>
    </row>
    <row r="11" ht="15.75" customHeight="1">
      <c r="A11" s="35" t="s">
        <v>30</v>
      </c>
      <c r="B11" s="36">
        <f t="shared" ref="B11:M11" si="2">SUM(B5:B10)</f>
        <v>10001.23</v>
      </c>
      <c r="C11" s="36">
        <f t="shared" si="2"/>
        <v>9945.73</v>
      </c>
      <c r="D11" s="36">
        <f t="shared" si="2"/>
        <v>9990</v>
      </c>
      <c r="E11" s="36">
        <f t="shared" si="2"/>
        <v>4965</v>
      </c>
      <c r="F11" s="36">
        <f t="shared" si="2"/>
        <v>4930</v>
      </c>
      <c r="G11" s="36">
        <f t="shared" si="2"/>
        <v>500</v>
      </c>
      <c r="H11" s="36">
        <f t="shared" si="2"/>
        <v>2717.69</v>
      </c>
      <c r="I11" s="36">
        <f t="shared" si="2"/>
        <v>39930.68</v>
      </c>
      <c r="J11" s="36">
        <f t="shared" si="2"/>
        <v>7.52</v>
      </c>
      <c r="K11" s="36">
        <f t="shared" si="2"/>
        <v>0</v>
      </c>
      <c r="L11" s="36">
        <f t="shared" si="2"/>
        <v>0</v>
      </c>
      <c r="M11" s="36">
        <f t="shared" si="2"/>
        <v>82987.85</v>
      </c>
    </row>
    <row r="12" ht="15.75" customHeight="1">
      <c r="A12" s="15" t="s">
        <v>52</v>
      </c>
      <c r="B12" s="42">
        <f t="shared" ref="B12:G12" si="3">B4-B11</f>
        <v>-1.23</v>
      </c>
      <c r="C12" s="42">
        <f t="shared" si="3"/>
        <v>54.27</v>
      </c>
      <c r="D12" s="42">
        <f t="shared" si="3"/>
        <v>10</v>
      </c>
      <c r="E12" s="42">
        <f t="shared" si="3"/>
        <v>35</v>
      </c>
      <c r="F12" s="42">
        <f t="shared" si="3"/>
        <v>70</v>
      </c>
      <c r="G12" s="42">
        <f t="shared" si="3"/>
        <v>4500</v>
      </c>
      <c r="H12" s="15"/>
      <c r="I12" s="15"/>
      <c r="J12" s="15"/>
      <c r="K12" s="15"/>
      <c r="L12" s="15"/>
      <c r="M12" s="42">
        <f t="shared" ref="M12:M14" si="4">SUM(B12:K12)</f>
        <v>4668.04</v>
      </c>
    </row>
    <row r="13" ht="15.75" customHeight="1">
      <c r="A13" s="15" t="s">
        <v>53</v>
      </c>
      <c r="B13" s="18">
        <v>0.0</v>
      </c>
      <c r="C13" s="18">
        <v>0.0</v>
      </c>
      <c r="D13" s="18">
        <v>0.0</v>
      </c>
      <c r="E13" s="18">
        <v>45.0</v>
      </c>
      <c r="F13" s="43">
        <v>71.0</v>
      </c>
      <c r="G13" s="43">
        <v>4500.0</v>
      </c>
      <c r="H13" s="18"/>
      <c r="I13" s="18"/>
      <c r="J13" s="18"/>
      <c r="K13" s="18"/>
      <c r="L13" s="18"/>
      <c r="M13" s="37">
        <f t="shared" si="4"/>
        <v>4616</v>
      </c>
    </row>
    <row r="14" ht="15.75" customHeight="1">
      <c r="A14" s="38" t="s">
        <v>54</v>
      </c>
      <c r="B14" s="37">
        <f t="shared" ref="B14:L14" si="5">B12-B13</f>
        <v>-1.23</v>
      </c>
      <c r="C14" s="37">
        <f t="shared" si="5"/>
        <v>54.27</v>
      </c>
      <c r="D14" s="37">
        <f t="shared" si="5"/>
        <v>10</v>
      </c>
      <c r="E14" s="37">
        <f t="shared" si="5"/>
        <v>-10</v>
      </c>
      <c r="F14" s="37">
        <f t="shared" si="5"/>
        <v>-1</v>
      </c>
      <c r="G14" s="37">
        <f t="shared" si="5"/>
        <v>0</v>
      </c>
      <c r="H14" s="37">
        <f t="shared" si="5"/>
        <v>0</v>
      </c>
      <c r="I14" s="37">
        <f t="shared" si="5"/>
        <v>0</v>
      </c>
      <c r="J14" s="37">
        <f t="shared" si="5"/>
        <v>0</v>
      </c>
      <c r="K14" s="37">
        <f t="shared" si="5"/>
        <v>0</v>
      </c>
      <c r="L14" s="37">
        <f t="shared" si="5"/>
        <v>0</v>
      </c>
      <c r="M14" s="37">
        <f t="shared" si="4"/>
        <v>52.04</v>
      </c>
    </row>
    <row r="15" ht="15.75" customHeight="1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0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2" width="11.5"/>
    <col customWidth="1" min="3" max="3" width="18.25"/>
    <col customWidth="1" min="4" max="4" width="23.75"/>
    <col customWidth="1" min="5" max="5" width="14.63"/>
    <col customWidth="1" min="6" max="6" width="19.25"/>
    <col customWidth="1" min="7" max="7" width="16.88"/>
    <col customWidth="1" min="8" max="8" width="10.88"/>
    <col customWidth="1" min="9" max="9" width="11.38"/>
    <col customWidth="1" min="10" max="10" width="18.25"/>
  </cols>
  <sheetData>
    <row r="1" ht="15.75" customHeight="1">
      <c r="A1" s="11" t="s">
        <v>0</v>
      </c>
      <c r="B1" s="14" t="s">
        <v>1</v>
      </c>
      <c r="C1" s="14" t="s">
        <v>3</v>
      </c>
      <c r="D1" s="14" t="s">
        <v>4</v>
      </c>
      <c r="E1" s="14" t="s">
        <v>7</v>
      </c>
      <c r="F1" s="14" t="s">
        <v>8</v>
      </c>
      <c r="G1" s="11">
        <v>2025.0</v>
      </c>
      <c r="H1" s="14" t="s">
        <v>2</v>
      </c>
      <c r="I1" s="14" t="s">
        <v>12</v>
      </c>
      <c r="J1" s="14" t="s">
        <v>6</v>
      </c>
    </row>
    <row r="2" ht="15.75" customHeight="1">
      <c r="A2" s="11" t="s">
        <v>9</v>
      </c>
      <c r="B2" s="21">
        <v>10000.0</v>
      </c>
      <c r="C2" s="21">
        <v>10000.0</v>
      </c>
      <c r="D2" s="21">
        <v>10000.0</v>
      </c>
      <c r="E2" s="21">
        <v>5000.0</v>
      </c>
      <c r="F2" s="21">
        <v>5000.0</v>
      </c>
      <c r="G2" s="21"/>
      <c r="H2" s="21"/>
      <c r="I2" s="21"/>
      <c r="J2" s="21"/>
    </row>
    <row r="3" ht="15.75" customHeight="1">
      <c r="A3" s="23" t="s">
        <v>24</v>
      </c>
      <c r="B3" s="25">
        <v>418.5</v>
      </c>
      <c r="C3" s="25">
        <v>10.0</v>
      </c>
      <c r="D3" s="25">
        <v>0.0</v>
      </c>
      <c r="E3" s="25">
        <v>0.0</v>
      </c>
      <c r="F3" s="25">
        <v>0.0</v>
      </c>
      <c r="G3" s="25">
        <v>0.0</v>
      </c>
      <c r="H3" s="25">
        <v>409.32</v>
      </c>
      <c r="I3" s="25">
        <v>0.0</v>
      </c>
      <c r="J3" s="25">
        <v>837.8199999999999</v>
      </c>
    </row>
    <row r="4" ht="15.75" customHeight="1">
      <c r="A4" s="23" t="s">
        <v>25</v>
      </c>
      <c r="B4" s="25">
        <v>0.0</v>
      </c>
      <c r="C4" s="25">
        <v>7000.0</v>
      </c>
      <c r="D4" s="25">
        <v>50.0</v>
      </c>
      <c r="E4" s="25">
        <v>1200.0</v>
      </c>
      <c r="F4" s="25">
        <v>1665.0</v>
      </c>
      <c r="G4" s="25">
        <v>0.0</v>
      </c>
      <c r="H4" s="25">
        <v>8196.859999999999</v>
      </c>
      <c r="I4" s="25">
        <v>0.0</v>
      </c>
      <c r="J4" s="25">
        <v>18111.86</v>
      </c>
    </row>
    <row r="5" ht="15.75" customHeight="1">
      <c r="A5" s="23" t="s">
        <v>26</v>
      </c>
      <c r="B5" s="25">
        <v>6605.4</v>
      </c>
      <c r="C5" s="25">
        <v>2600.0</v>
      </c>
      <c r="D5" s="25">
        <v>8690.0</v>
      </c>
      <c r="E5" s="25">
        <v>3765.0</v>
      </c>
      <c r="F5" s="25">
        <v>700.0</v>
      </c>
      <c r="G5" s="25">
        <v>0.0</v>
      </c>
      <c r="H5" s="25">
        <v>1245.13</v>
      </c>
      <c r="I5" s="25">
        <v>0.0</v>
      </c>
      <c r="J5" s="25">
        <v>23605.530000000002</v>
      </c>
    </row>
    <row r="6" ht="15.75" customHeight="1">
      <c r="A6" s="23" t="s">
        <v>27</v>
      </c>
      <c r="B6" s="25">
        <v>2927.3300000000004</v>
      </c>
      <c r="C6" s="25">
        <v>320.7300000000001</v>
      </c>
      <c r="D6" s="25">
        <v>900.0</v>
      </c>
      <c r="E6" s="25">
        <v>0.0</v>
      </c>
      <c r="F6" s="25">
        <v>0.0</v>
      </c>
      <c r="G6" s="25">
        <v>337.59</v>
      </c>
      <c r="H6" s="25">
        <v>22285.11999999999</v>
      </c>
      <c r="I6" s="25">
        <v>0.0</v>
      </c>
      <c r="J6" s="25">
        <v>26770.769999999993</v>
      </c>
    </row>
    <row r="7" ht="15.75" customHeight="1">
      <c r="A7" s="23" t="s">
        <v>28</v>
      </c>
      <c r="B7" s="25">
        <v>0.0</v>
      </c>
      <c r="C7" s="25">
        <v>15.0</v>
      </c>
      <c r="D7" s="25">
        <v>350.0</v>
      </c>
      <c r="E7" s="25">
        <v>0.0</v>
      </c>
      <c r="F7" s="25">
        <v>0.0</v>
      </c>
      <c r="G7" s="25">
        <v>2380.1</v>
      </c>
      <c r="H7" s="25">
        <v>6340.509999999999</v>
      </c>
      <c r="I7" s="25">
        <v>0.0</v>
      </c>
      <c r="J7" s="25">
        <v>9085.609999999999</v>
      </c>
    </row>
    <row r="8" ht="15.75" customHeight="1">
      <c r="A8" s="23" t="s">
        <v>29</v>
      </c>
      <c r="B8" s="25">
        <v>50.0</v>
      </c>
      <c r="C8" s="25">
        <v>0.0</v>
      </c>
      <c r="D8" s="25">
        <v>0.0</v>
      </c>
      <c r="E8" s="25">
        <v>0.0</v>
      </c>
      <c r="F8" s="25">
        <v>0.0</v>
      </c>
      <c r="G8" s="25">
        <v>0.0</v>
      </c>
      <c r="H8" s="25">
        <v>338.85</v>
      </c>
      <c r="I8" s="25">
        <v>7.52</v>
      </c>
      <c r="J8" s="25">
        <v>396.37</v>
      </c>
    </row>
    <row r="9" ht="15.75" customHeight="1">
      <c r="A9" s="11" t="s">
        <v>30</v>
      </c>
      <c r="B9" s="21">
        <v>10001.23</v>
      </c>
      <c r="C9" s="21">
        <v>9945.73</v>
      </c>
      <c r="D9" s="21">
        <v>9990.0</v>
      </c>
      <c r="E9" s="21">
        <v>4965.0</v>
      </c>
      <c r="F9" s="21">
        <v>2365.0</v>
      </c>
      <c r="G9" s="21">
        <v>2717.69</v>
      </c>
      <c r="H9" s="21">
        <v>38815.789999999986</v>
      </c>
      <c r="I9" s="21">
        <v>7.52</v>
      </c>
      <c r="J9" s="21">
        <v>78807.95999999999</v>
      </c>
    </row>
    <row r="10" ht="15.75" customHeight="1">
      <c r="A10" s="27"/>
    </row>
    <row r="11" ht="15.75" customHeight="1">
      <c r="A11" s="27"/>
      <c r="B11" s="28"/>
    </row>
    <row r="12" ht="15.75" customHeight="1">
      <c r="A12" s="27"/>
      <c r="B12" s="2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88"/>
    <col customWidth="1" min="2" max="2" width="6.5"/>
    <col customWidth="1" min="3" max="3" width="5.5"/>
    <col customWidth="1" min="4" max="4" width="6.13"/>
    <col customWidth="1" min="5" max="5" width="9.63"/>
    <col customWidth="1" min="6" max="6" width="13.25"/>
  </cols>
  <sheetData>
    <row r="1" ht="15.75" customHeight="1">
      <c r="A1" s="8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7"/>
      <c r="N1" s="20"/>
    </row>
    <row r="2" ht="8.25" hidden="1" customHeight="1">
      <c r="A2" s="22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0"/>
    </row>
    <row r="3" ht="15.75" hidden="1" customHeight="1">
      <c r="A3" s="26" t="s">
        <v>31</v>
      </c>
      <c r="B3" s="29">
        <v>2025.0</v>
      </c>
      <c r="C3" s="29">
        <v>2025.0</v>
      </c>
      <c r="D3" s="29">
        <v>2025.0</v>
      </c>
      <c r="E3" s="29">
        <v>2025.0</v>
      </c>
      <c r="F3" s="29">
        <v>2025.0</v>
      </c>
      <c r="G3" s="29">
        <v>2025.0</v>
      </c>
      <c r="H3" s="29">
        <v>2025.0</v>
      </c>
      <c r="I3" s="29">
        <v>2025.0</v>
      </c>
      <c r="J3" s="29">
        <v>2025.0</v>
      </c>
      <c r="K3" s="29">
        <v>2025.0</v>
      </c>
      <c r="L3" s="29">
        <v>2025.0</v>
      </c>
      <c r="M3" s="29">
        <v>2025.0</v>
      </c>
      <c r="N3" s="29">
        <v>2025.0</v>
      </c>
    </row>
    <row r="4" ht="15.75" customHeight="1">
      <c r="A4" s="30" t="s">
        <v>33</v>
      </c>
      <c r="B4" s="29">
        <v>1.0</v>
      </c>
      <c r="C4" s="29">
        <v>2.0</v>
      </c>
      <c r="D4" s="29">
        <v>3.0</v>
      </c>
      <c r="E4" s="29">
        <v>4.0</v>
      </c>
      <c r="F4" s="29">
        <v>5.0</v>
      </c>
      <c r="G4" s="24">
        <v>6.0</v>
      </c>
      <c r="H4" s="29">
        <v>7.0</v>
      </c>
      <c r="I4" s="29">
        <v>8.0</v>
      </c>
      <c r="J4" s="29">
        <v>9.0</v>
      </c>
      <c r="K4" s="29">
        <v>10.0</v>
      </c>
      <c r="L4" s="29">
        <v>11.0</v>
      </c>
      <c r="M4" s="29">
        <v>12.0</v>
      </c>
      <c r="N4" s="31" t="s">
        <v>35</v>
      </c>
    </row>
    <row r="5" ht="15.75" customHeight="1">
      <c r="A5" s="32" t="s">
        <v>36</v>
      </c>
      <c r="B5" s="33"/>
      <c r="C5" s="33"/>
      <c r="D5" s="33"/>
      <c r="E5" s="33"/>
      <c r="F5" s="33">
        <f>sumifs(CloudBed!$V:$V,CloudBed!$K:$K,$A$5,CloudBed!$E:$E,F4)</f>
        <v>6758</v>
      </c>
      <c r="G5" s="33">
        <f>sumifs(CloudBed!$V:$V,CloudBed!$K:$K,$A$5,CloudBed!$E:$E,G4)</f>
        <v>8459.71</v>
      </c>
      <c r="H5" s="33">
        <f>sumifs(CloudBed!$V:$V,CloudBed!$K:$K,$A$5,CloudBed!$E:$E,H4)</f>
        <v>9070.84</v>
      </c>
      <c r="I5" s="33">
        <f>sumifs(CloudBed!$V:$V,CloudBed!$K:$K,$A$5,CloudBed!$E:$E,I4)</f>
        <v>11429.85</v>
      </c>
      <c r="J5" s="33">
        <f>sumifs(CloudBed!$V:$V,CloudBed!$K:$K,$A$5,CloudBed!$E:$E,J4)</f>
        <v>10253.09</v>
      </c>
      <c r="K5" s="33">
        <f>sumifs(CloudBed!$V:$V,CloudBed!$K:$K,$A$5,CloudBed!$E:$E,K4)</f>
        <v>0</v>
      </c>
      <c r="L5" s="33">
        <f>sumifs(CloudBed!$V:$V,CloudBed!$K:$K,$A$5,CloudBed!$E:$E,L4)</f>
        <v>0</v>
      </c>
      <c r="M5" s="33">
        <f>sumifs(CloudBed!$V:$V,CloudBed!$K:$K,$A$5,CloudBed!$E:$E,M4)</f>
        <v>0</v>
      </c>
      <c r="N5" s="34">
        <f t="shared" ref="N5:N11" si="1">SUM(B5:M5)</f>
        <v>45971.49</v>
      </c>
    </row>
    <row r="6" ht="15.75" customHeight="1">
      <c r="A6" s="32" t="s">
        <v>46</v>
      </c>
      <c r="B6" s="33"/>
      <c r="C6" s="33"/>
      <c r="D6" s="33"/>
      <c r="E6" s="33"/>
      <c r="F6" s="33">
        <f>sumifs(CloudBed!$V:$V,CloudBed!$K:$K,$A$6,CloudBed!$E:$E,F4)</f>
        <v>2470.5</v>
      </c>
      <c r="G6" s="33">
        <f>sumifs(CloudBed!$V:$V,CloudBed!$K:$K,$A$6,CloudBed!$E:$E,G4)</f>
        <v>5678</v>
      </c>
      <c r="H6" s="33">
        <f>sumifs(CloudBed!$V:$V,CloudBed!$K:$K,$A$6,CloudBed!$E:$E,H4)</f>
        <v>8233.95</v>
      </c>
      <c r="I6" s="33">
        <f>sumifs(CloudBed!$V:$V,CloudBed!$K:$K,$A$6,CloudBed!$E:$E,I4)</f>
        <v>8113.25</v>
      </c>
      <c r="J6" s="33">
        <f>sumifs(CloudBed!$V:$V,CloudBed!$K:$K,$A$6,CloudBed!$E:$E,J4)</f>
        <v>5962.2</v>
      </c>
      <c r="K6" s="33">
        <f>sumifs(CloudBed!$V:$V,CloudBed!$K:$K,$A$6,CloudBed!$E:$E,K4)</f>
        <v>0</v>
      </c>
      <c r="L6" s="33">
        <f>sumifs(CloudBed!$V:$V,CloudBed!$K:$K,$A$6,CloudBed!$E:$E,L4)</f>
        <v>0</v>
      </c>
      <c r="M6" s="33">
        <f>sumifs(CloudBed!$V:$V,CloudBed!$K:$K,$A$6,CloudBed!$E:$E,M4)</f>
        <v>0</v>
      </c>
      <c r="N6" s="34">
        <f t="shared" si="1"/>
        <v>30457.9</v>
      </c>
    </row>
    <row r="7" ht="15.75" customHeight="1">
      <c r="A7" s="32" t="s">
        <v>51</v>
      </c>
      <c r="B7" s="33"/>
      <c r="C7" s="33"/>
      <c r="D7" s="33"/>
      <c r="E7" s="33"/>
      <c r="F7" s="33">
        <f>sumifs(CloudBed!$V:$V,CloudBed!$K:$K,$A$7,CloudBed!$E:$E,F4)</f>
        <v>5253.208881</v>
      </c>
      <c r="G7" s="33">
        <f>sumifs(CloudBed!$V:$V,CloudBed!$K:$K,$A$7,CloudBed!$E:$E,G4)</f>
        <v>6570.14</v>
      </c>
      <c r="H7" s="33">
        <f>sumifs(CloudBed!$V:$V,CloudBed!$K:$K,$A$7,CloudBed!$E:$E,H4)</f>
        <v>5139.55</v>
      </c>
      <c r="I7" s="33">
        <f>sumifs(CloudBed!$V:$V,CloudBed!$K:$K,$A$7,CloudBed!$E:$E,I4)</f>
        <v>7180.46</v>
      </c>
      <c r="J7" s="33">
        <f>sumifs(CloudBed!$V:$V,CloudBed!$K:$K,$A$7,CloudBed!$E:$E,J4)</f>
        <v>4088.91</v>
      </c>
      <c r="K7" s="33">
        <f>sumifs(CloudBed!$J:$J,CloudBed!$H:$H,"Airbnb (API) (Channel Collect Booking)",CloudBed!$U:$U,K4)</f>
        <v>0</v>
      </c>
      <c r="L7" s="33">
        <f>sumifs(CloudBed!$J:$J,CloudBed!$H:$H,"Airbnb (API) (Channel Collect Booking)",CloudBed!$U:$U,L4)</f>
        <v>0</v>
      </c>
      <c r="M7" s="33">
        <f>sumifs(CloudBed!$J:$J,CloudBed!$H:$H,"Airbnb (API) (Channel Collect Booking)",CloudBed!$U:$U,M4)</f>
        <v>0</v>
      </c>
      <c r="N7" s="34">
        <f t="shared" si="1"/>
        <v>28232.26888</v>
      </c>
    </row>
    <row r="8" ht="15.75" customHeight="1">
      <c r="A8" s="32" t="s">
        <v>55</v>
      </c>
      <c r="B8" s="33"/>
      <c r="C8" s="33"/>
      <c r="D8" s="33"/>
      <c r="E8" s="33"/>
      <c r="F8" s="33">
        <f>sumifs(CloudBed!$V:$V,CloudBed!$K:$K,"*Website*",CloudBed!$E:$E,F4)</f>
        <v>0</v>
      </c>
      <c r="G8" s="33">
        <f>sumifs(CloudBed!$V:$V,CloudBed!$K:$K,"*Website*",CloudBed!$E:$E,G4)</f>
        <v>483.26</v>
      </c>
      <c r="H8" s="33">
        <f>sumifs(CloudBed!$V:$V,CloudBed!$K:$K,"*Website*",CloudBed!$E:$E,H4)</f>
        <v>224.5</v>
      </c>
      <c r="I8" s="33">
        <f>sumifs(CloudBed!$V:$V,CloudBed!$K:$K,"*Website*",CloudBed!$E:$E,I4)</f>
        <v>42.53</v>
      </c>
      <c r="J8" s="33">
        <f>sumifs(CloudBed!$V:$V,CloudBed!$K:$K,"*Website*",CloudBed!$E:$E,J4)</f>
        <v>57.94</v>
      </c>
      <c r="K8" s="33">
        <f>sumifs(CloudBed!$V:$V,CloudBed!$K:$K,"*Website*",CloudBed!$E:$E,K4)</f>
        <v>0</v>
      </c>
      <c r="L8" s="33">
        <f>sumifs(CloudBed!$V:$V,CloudBed!$K:$K,"*Website*",CloudBed!$E:$E,L4)</f>
        <v>0</v>
      </c>
      <c r="M8" s="33">
        <f>sumifs(CloudBed!$V:$V,CloudBed!$K:$K,"*Website*",CloudBed!$E:$E,M4)</f>
        <v>0</v>
      </c>
      <c r="N8" s="34">
        <f t="shared" si="1"/>
        <v>808.23</v>
      </c>
    </row>
    <row r="9" ht="15.75" customHeight="1">
      <c r="A9" s="30" t="s">
        <v>56</v>
      </c>
      <c r="B9" s="41">
        <f t="shared" ref="B9:M9" si="2">SUM(B5:B8)</f>
        <v>0</v>
      </c>
      <c r="C9" s="41">
        <f t="shared" si="2"/>
        <v>0</v>
      </c>
      <c r="D9" s="41">
        <f t="shared" si="2"/>
        <v>0</v>
      </c>
      <c r="E9" s="41">
        <f t="shared" si="2"/>
        <v>0</v>
      </c>
      <c r="F9" s="41">
        <f t="shared" si="2"/>
        <v>14481.70888</v>
      </c>
      <c r="G9" s="41">
        <f t="shared" si="2"/>
        <v>21191.11</v>
      </c>
      <c r="H9" s="41">
        <f t="shared" si="2"/>
        <v>22668.84</v>
      </c>
      <c r="I9" s="41">
        <f t="shared" si="2"/>
        <v>26766.09</v>
      </c>
      <c r="J9" s="41">
        <f t="shared" si="2"/>
        <v>20362.14</v>
      </c>
      <c r="K9" s="41">
        <f t="shared" si="2"/>
        <v>0</v>
      </c>
      <c r="L9" s="41">
        <f t="shared" si="2"/>
        <v>0</v>
      </c>
      <c r="M9" s="41">
        <f t="shared" si="2"/>
        <v>0</v>
      </c>
      <c r="N9" s="41">
        <f t="shared" si="1"/>
        <v>105469.8889</v>
      </c>
    </row>
    <row r="10" ht="15.75" customHeight="1">
      <c r="A10" s="32" t="s">
        <v>57</v>
      </c>
      <c r="B10" s="33"/>
      <c r="C10" s="33"/>
      <c r="D10" s="33"/>
      <c r="E10" s="33"/>
      <c r="F10" s="33">
        <f>sumifs(CloudBed!$V:$V,CloudBed!$K:$K,"Walk-In",CloudBed!$E:$E,F4)</f>
        <v>0</v>
      </c>
      <c r="G10" s="33">
        <f>sumifs(CloudBed!$V:$V,CloudBed!$K:$K,"Walk-In",CloudBed!$E:$E,G4)</f>
        <v>32</v>
      </c>
      <c r="H10" s="33">
        <f>sumifs(CloudBed!$V:$V,CloudBed!$K:$K,"Walk-In",CloudBed!$E:$E,H4)</f>
        <v>0</v>
      </c>
      <c r="I10" s="33">
        <f>sumifs(CloudBed!$V:$V,CloudBed!$K:$K,"Walk-In",CloudBed!$E:$E,I4)</f>
        <v>0</v>
      </c>
      <c r="J10" s="33"/>
      <c r="K10" s="33"/>
      <c r="L10" s="33"/>
      <c r="M10" s="33"/>
      <c r="N10" s="34">
        <f t="shared" si="1"/>
        <v>32</v>
      </c>
    </row>
    <row r="11" ht="15.75" hidden="1" customHeight="1">
      <c r="A11" s="32" t="s">
        <v>58</v>
      </c>
      <c r="B11" s="33"/>
      <c r="C11" s="33"/>
      <c r="D11" s="33"/>
      <c r="E11" s="33"/>
      <c r="F11" s="33">
        <f>sumifs(CloudBed!$V:$V,CloudBed!$K:$K,$A$11,CloudBed!$E:$E,F4)</f>
        <v>0</v>
      </c>
      <c r="G11" s="33">
        <f>sumifs(CloudBed!$V:$V,CloudBed!$K:$K,$A$11,CloudBed!$E:$E,G4)</f>
        <v>214.5</v>
      </c>
      <c r="H11" s="33">
        <f>sumifs(CloudBed!$V:$V,CloudBed!$K:$K,$A$11,CloudBed!$E:$E,H4)</f>
        <v>220</v>
      </c>
      <c r="I11" s="33">
        <f>sumifs(CloudBed!$V:$V,CloudBed!$K:$K,$A$11,CloudBed!$E:$E,I4)</f>
        <v>0</v>
      </c>
      <c r="J11" s="33">
        <f>sumifs(CloudBed!$V:$V,CloudBed!$K:$K,$A$11,CloudBed!$E:$E,J4)</f>
        <v>0</v>
      </c>
      <c r="K11" s="33">
        <f>sumifs(FF!$E:$E,FF!$C:$C,K4)</f>
        <v>0</v>
      </c>
      <c r="L11" s="33">
        <f>sumifs(FF!$E:$E,FF!$C:$C,L4)</f>
        <v>0</v>
      </c>
      <c r="M11" s="33">
        <f>sumifs(FF!$E:$E,FF!$C:$C,M4)</f>
        <v>0</v>
      </c>
      <c r="N11" s="34">
        <f t="shared" si="1"/>
        <v>434.5</v>
      </c>
    </row>
    <row r="12" ht="15.75" hidden="1" customHeight="1">
      <c r="A12" s="32" t="s">
        <v>58</v>
      </c>
      <c r="B12" s="33"/>
      <c r="C12" s="33"/>
      <c r="D12" s="33"/>
      <c r="E12" s="33"/>
      <c r="F12" s="33">
        <f>sumifs(FF!$E:$E,FF!$C:$C,F4)</f>
        <v>1331</v>
      </c>
      <c r="G12" s="33">
        <f>sumifs(FF!$E:$E,FF!$C:$C,G4)</f>
        <v>2027</v>
      </c>
      <c r="H12" s="33">
        <f>sumifs(FF!$E:$E,FF!$C:$C,H4)</f>
        <v>2825</v>
      </c>
      <c r="I12" s="33">
        <f>sumifs(FF!$E:$E,FF!$C:$C,I4)</f>
        <v>5989.66</v>
      </c>
      <c r="J12" s="33">
        <f>sumifs(FF!$E:$E,FF!$C:$C,J4)</f>
        <v>2117.99</v>
      </c>
      <c r="K12" s="33"/>
      <c r="L12" s="33"/>
      <c r="M12" s="33"/>
      <c r="N12" s="34"/>
    </row>
    <row r="13" ht="15.75" customHeight="1">
      <c r="A13" s="32" t="s">
        <v>58</v>
      </c>
      <c r="B13" s="33"/>
      <c r="C13" s="33"/>
      <c r="D13" s="33"/>
      <c r="E13" s="33"/>
      <c r="F13" s="33">
        <f t="shared" ref="F13:N13" si="3">F11+F12</f>
        <v>1331</v>
      </c>
      <c r="G13" s="33">
        <f t="shared" si="3"/>
        <v>2241.5</v>
      </c>
      <c r="H13" s="33">
        <f t="shared" si="3"/>
        <v>3045</v>
      </c>
      <c r="I13" s="33">
        <f t="shared" si="3"/>
        <v>5989.66</v>
      </c>
      <c r="J13" s="33">
        <f t="shared" si="3"/>
        <v>2117.99</v>
      </c>
      <c r="K13" s="33">
        <f t="shared" si="3"/>
        <v>0</v>
      </c>
      <c r="L13" s="33">
        <f t="shared" si="3"/>
        <v>0</v>
      </c>
      <c r="M13" s="33">
        <f t="shared" si="3"/>
        <v>0</v>
      </c>
      <c r="N13" s="34">
        <f t="shared" si="3"/>
        <v>434.5</v>
      </c>
    </row>
    <row r="14" ht="15.75" customHeight="1">
      <c r="A14" s="44" t="s">
        <v>59</v>
      </c>
      <c r="B14" s="45">
        <f t="shared" ref="B14:E14" si="4">SUM(B10:B12)</f>
        <v>0</v>
      </c>
      <c r="C14" s="45">
        <f t="shared" si="4"/>
        <v>0</v>
      </c>
      <c r="D14" s="45">
        <f t="shared" si="4"/>
        <v>0</v>
      </c>
      <c r="E14" s="45">
        <f t="shared" si="4"/>
        <v>0</v>
      </c>
      <c r="F14" s="45">
        <f t="shared" ref="F14:M14" si="5">F10+F13</f>
        <v>1331</v>
      </c>
      <c r="G14" s="45">
        <f t="shared" si="5"/>
        <v>2273.5</v>
      </c>
      <c r="H14" s="45">
        <f t="shared" si="5"/>
        <v>3045</v>
      </c>
      <c r="I14" s="45">
        <f t="shared" si="5"/>
        <v>5989.66</v>
      </c>
      <c r="J14" s="45">
        <f t="shared" si="5"/>
        <v>2117.99</v>
      </c>
      <c r="K14" s="45">
        <f t="shared" si="5"/>
        <v>0</v>
      </c>
      <c r="L14" s="45">
        <f t="shared" si="5"/>
        <v>0</v>
      </c>
      <c r="M14" s="45">
        <f t="shared" si="5"/>
        <v>0</v>
      </c>
      <c r="N14" s="45">
        <f>SUM(B14:M14)</f>
        <v>14757.15</v>
      </c>
    </row>
    <row r="16" ht="15.75" customHeight="1">
      <c r="A16" s="32" t="s">
        <v>61</v>
      </c>
      <c r="B16" s="33"/>
      <c r="C16" s="33"/>
      <c r="D16" s="33"/>
      <c r="E16" s="33"/>
      <c r="F16" s="33">
        <f>sumifs(CloudBed!$P:$P,CloudBed!$E:$E,F4)</f>
        <v>666</v>
      </c>
      <c r="G16" s="33">
        <f>sumifs(CloudBed!$P:$P,CloudBed!$E:$E,G4)</f>
        <v>1216</v>
      </c>
      <c r="H16" s="33">
        <f>sumifs(CloudBed!$P:$P,CloudBed!$E:$E,H4)</f>
        <v>1230</v>
      </c>
      <c r="I16" s="33">
        <f>sumifs(CloudBed!$P:$P,CloudBed!$E:$E,I4)</f>
        <v>1160</v>
      </c>
      <c r="J16" s="33">
        <f>sumifs(CloudBed!$P:$P,CloudBed!$E:$E,J4)</f>
        <v>1182</v>
      </c>
      <c r="K16" s="33">
        <f>sumifs(CloudBed!$P:$P,CloudBed!$E:$E,K4)</f>
        <v>0</v>
      </c>
      <c r="L16" s="33">
        <f>sumifs(CloudBed!$P:$P,CloudBed!$E:$E,L4)</f>
        <v>0</v>
      </c>
      <c r="M16" s="33">
        <f>sumifs(CloudBed!$P:$P,CloudBed!$E:$E,M4)</f>
        <v>0</v>
      </c>
      <c r="N16" s="34">
        <f>SUM(B16:M16)</f>
        <v>5454</v>
      </c>
    </row>
    <row r="18" ht="15.75" customHeight="1">
      <c r="A18" s="32" t="s">
        <v>62</v>
      </c>
      <c r="B18" s="33"/>
      <c r="C18" s="33"/>
      <c r="D18" s="33"/>
      <c r="E18" s="33">
        <v>0.0</v>
      </c>
      <c r="F18" s="33">
        <f t="shared" ref="F18:M18" si="6">F9+F14</f>
        <v>15812.70888</v>
      </c>
      <c r="G18" s="33">
        <f t="shared" si="6"/>
        <v>23464.61</v>
      </c>
      <c r="H18" s="33">
        <f t="shared" si="6"/>
        <v>25713.84</v>
      </c>
      <c r="I18" s="33">
        <f t="shared" si="6"/>
        <v>32755.75</v>
      </c>
      <c r="J18" s="33">
        <f t="shared" si="6"/>
        <v>22480.13</v>
      </c>
      <c r="K18" s="33">
        <f t="shared" si="6"/>
        <v>0</v>
      </c>
      <c r="L18" s="33">
        <f t="shared" si="6"/>
        <v>0</v>
      </c>
      <c r="M18" s="33">
        <f t="shared" si="6"/>
        <v>0</v>
      </c>
      <c r="N18" s="34">
        <f>SUM(B18:M18)</f>
        <v>120227.0389</v>
      </c>
    </row>
    <row r="19" ht="15.75" customHeight="1">
      <c r="A19" s="32" t="s">
        <v>63</v>
      </c>
      <c r="B19" s="33"/>
      <c r="C19" s="33"/>
      <c r="D19" s="33"/>
      <c r="E19" s="33"/>
      <c r="F19" s="33">
        <f t="shared" ref="F19:N19" si="7">F16+F18</f>
        <v>16478.70888</v>
      </c>
      <c r="G19" s="33">
        <f t="shared" si="7"/>
        <v>24680.61</v>
      </c>
      <c r="H19" s="33">
        <f t="shared" si="7"/>
        <v>26943.84</v>
      </c>
      <c r="I19" s="33">
        <f t="shared" si="7"/>
        <v>33915.75</v>
      </c>
      <c r="J19" s="33">
        <f t="shared" si="7"/>
        <v>23662.13</v>
      </c>
      <c r="K19" s="33">
        <f t="shared" si="7"/>
        <v>0</v>
      </c>
      <c r="L19" s="33">
        <f t="shared" si="7"/>
        <v>0</v>
      </c>
      <c r="M19" s="33">
        <f t="shared" si="7"/>
        <v>0</v>
      </c>
      <c r="N19" s="34">
        <f t="shared" si="7"/>
        <v>125681.0389</v>
      </c>
    </row>
    <row r="20" ht="15.75" customHeight="1">
      <c r="A20" s="32" t="s">
        <v>65</v>
      </c>
      <c r="B20" s="33"/>
      <c r="C20" s="33"/>
      <c r="D20" s="33"/>
      <c r="E20" s="33">
        <v>5662.450000000001</v>
      </c>
      <c r="F20" s="33">
        <v>17227.5</v>
      </c>
      <c r="G20" s="33">
        <v>19341.4</v>
      </c>
      <c r="H20" s="33">
        <v>29382.360000000004</v>
      </c>
      <c r="I20" s="33">
        <v>38978.5</v>
      </c>
      <c r="J20" s="33">
        <v>29857.66</v>
      </c>
      <c r="K20" s="33">
        <v>21511.08</v>
      </c>
      <c r="L20" s="33">
        <v>0.0</v>
      </c>
      <c r="M20" s="33">
        <v>0.0</v>
      </c>
      <c r="N20" s="34">
        <f>SUM(B20:M20)</f>
        <v>161960.95</v>
      </c>
    </row>
    <row r="21" ht="15.75" customHeight="1">
      <c r="A21" s="30" t="s">
        <v>69</v>
      </c>
      <c r="B21" s="56"/>
      <c r="C21" s="56"/>
      <c r="D21" s="56"/>
      <c r="E21" s="56">
        <f t="shared" ref="E21:K21" si="8">(E18-E20)/E20</f>
        <v>-1</v>
      </c>
      <c r="F21" s="56">
        <f t="shared" si="8"/>
        <v>-0.08212399471</v>
      </c>
      <c r="G21" s="56">
        <f t="shared" si="8"/>
        <v>0.213180535</v>
      </c>
      <c r="H21" s="56">
        <f t="shared" si="8"/>
        <v>-0.1248545045</v>
      </c>
      <c r="I21" s="56">
        <f t="shared" si="8"/>
        <v>-0.1596457021</v>
      </c>
      <c r="J21" s="56">
        <f t="shared" si="8"/>
        <v>-0.2470900265</v>
      </c>
      <c r="K21" s="56">
        <f t="shared" si="8"/>
        <v>-1</v>
      </c>
      <c r="L21" s="56"/>
      <c r="M21" s="56"/>
      <c r="N21" s="62">
        <f>AVERAGE(D21:K21)</f>
        <v>-0.3429333847</v>
      </c>
    </row>
    <row r="22" ht="15.75" customHeight="1"/>
    <row r="23" ht="15.75" customHeight="1">
      <c r="A23" s="63" t="s">
        <v>85</v>
      </c>
      <c r="B23" s="33"/>
      <c r="C23" s="33"/>
      <c r="D23" s="33"/>
      <c r="E23" s="65"/>
      <c r="F23" s="65">
        <v>177.0</v>
      </c>
      <c r="G23" s="65">
        <v>286.0</v>
      </c>
      <c r="H23" s="65">
        <v>295.0</v>
      </c>
      <c r="I23" s="65">
        <v>254.0</v>
      </c>
      <c r="J23" s="66">
        <v>372.0</v>
      </c>
      <c r="K23" s="65"/>
      <c r="L23" s="33"/>
      <c r="M23" s="33"/>
      <c r="N23" s="34"/>
    </row>
    <row r="24" ht="15.75" customHeight="1">
      <c r="A24" s="32" t="s">
        <v>86</v>
      </c>
      <c r="B24" s="33"/>
      <c r="C24" s="33"/>
      <c r="D24" s="33"/>
      <c r="E24" s="65"/>
      <c r="F24" s="65">
        <v>391.0</v>
      </c>
      <c r="G24" s="65">
        <v>619.0</v>
      </c>
      <c r="H24" s="65">
        <v>515.0</v>
      </c>
      <c r="I24" s="65">
        <v>607.0</v>
      </c>
      <c r="J24" s="66">
        <v>754.0</v>
      </c>
      <c r="K24" s="65"/>
      <c r="L24" s="33"/>
      <c r="M24" s="33"/>
      <c r="N24" s="34"/>
    </row>
    <row r="25" ht="15.75" customHeight="1">
      <c r="A25" s="63" t="s">
        <v>87</v>
      </c>
      <c r="B25" s="67"/>
      <c r="C25" s="65">
        <f>SUMIFS(FF!$M:$M,FF!$C:$C,C4)</f>
        <v>0</v>
      </c>
      <c r="D25" s="65">
        <f>SUMIFS(FF!$M:$M,FF!$C:$C,D4)</f>
        <v>0</v>
      </c>
      <c r="E25" s="65">
        <f>SUMIFS(FF!$M:$M,FF!$C:$C,E4)</f>
        <v>0</v>
      </c>
      <c r="F25" s="65">
        <f>SUMIFS(FF!$M:$M,FF!$C:$C,F4)</f>
        <v>34</v>
      </c>
      <c r="G25" s="65">
        <f>SUMIFS(FF!$M:$M,FF!$C:$C,G4)</f>
        <v>57</v>
      </c>
      <c r="H25" s="65">
        <f>SUMIFS(FF!$M:$M,FF!$C:$C,H4)</f>
        <v>76</v>
      </c>
      <c r="I25" s="65">
        <f>SUMIFS(FF!$M:$M,FF!$C:$C,I4)</f>
        <v>138</v>
      </c>
      <c r="J25" s="65">
        <f>SUMIFS(FF!$M:$M,FF!$C:$C,J4)</f>
        <v>27</v>
      </c>
      <c r="K25" s="65">
        <f>SUMIFS(FF!$M:$M,FF!$C:$C,K4)</f>
        <v>0</v>
      </c>
      <c r="L25" s="65">
        <f>SUMIFS(FF!$M:$M,FF!$C:$C,L4)</f>
        <v>0</v>
      </c>
      <c r="M25" s="65">
        <f>SUMIFS(FF!$M:$M,FF!$C:$C,M4)</f>
        <v>0</v>
      </c>
      <c r="N25" s="6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</row>
    <row r="26" ht="15.75" customHeight="1">
      <c r="A26" s="63" t="s">
        <v>89</v>
      </c>
      <c r="B26" s="67"/>
      <c r="C26" s="65">
        <f t="shared" ref="C26:M26" si="9">C24+C25</f>
        <v>0</v>
      </c>
      <c r="D26" s="65">
        <f t="shared" si="9"/>
        <v>0</v>
      </c>
      <c r="E26" s="65">
        <f t="shared" si="9"/>
        <v>0</v>
      </c>
      <c r="F26" s="65">
        <f t="shared" si="9"/>
        <v>425</v>
      </c>
      <c r="G26" s="65">
        <f t="shared" si="9"/>
        <v>676</v>
      </c>
      <c r="H26" s="65">
        <f t="shared" si="9"/>
        <v>591</v>
      </c>
      <c r="I26" s="65">
        <f t="shared" si="9"/>
        <v>745</v>
      </c>
      <c r="J26" s="65">
        <f t="shared" si="9"/>
        <v>781</v>
      </c>
      <c r="K26" s="65">
        <f t="shared" si="9"/>
        <v>0</v>
      </c>
      <c r="L26" s="65">
        <f t="shared" si="9"/>
        <v>0</v>
      </c>
      <c r="M26" s="65">
        <f t="shared" si="9"/>
        <v>0</v>
      </c>
      <c r="N26" s="6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  <row r="27" ht="15.75" customHeight="1">
      <c r="A27" s="67" t="s">
        <v>91</v>
      </c>
      <c r="B27" s="67"/>
      <c r="C27" s="67"/>
      <c r="D27" s="67"/>
      <c r="E27" s="67"/>
      <c r="F27" s="67">
        <f t="shared" ref="F27:M27" si="10">F26/732</f>
        <v>0.5806010929</v>
      </c>
      <c r="G27" s="67">
        <f t="shared" si="10"/>
        <v>0.9234972678</v>
      </c>
      <c r="H27" s="67">
        <f t="shared" si="10"/>
        <v>0.8073770492</v>
      </c>
      <c r="I27" s="67">
        <f t="shared" si="10"/>
        <v>1.017759563</v>
      </c>
      <c r="J27" s="67">
        <f t="shared" si="10"/>
        <v>1.066939891</v>
      </c>
      <c r="K27" s="67">
        <f t="shared" si="10"/>
        <v>0</v>
      </c>
      <c r="L27" s="67">
        <f t="shared" si="10"/>
        <v>0</v>
      </c>
      <c r="M27" s="67">
        <f t="shared" si="10"/>
        <v>0</v>
      </c>
      <c r="N27" s="6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</row>
    <row r="28" ht="15.75" customHeight="1">
      <c r="A28" s="67" t="s">
        <v>92</v>
      </c>
      <c r="B28" s="67"/>
      <c r="C28" s="67"/>
      <c r="D28" s="67"/>
      <c r="E28" s="67">
        <v>0.3510125361620058</v>
      </c>
      <c r="F28" s="67">
        <v>0.8158148505303761</v>
      </c>
      <c r="G28" s="67">
        <v>0.8775313404050145</v>
      </c>
      <c r="H28" s="67">
        <v>0.9057377049180327</v>
      </c>
      <c r="I28" s="67">
        <v>1.0177595628415301</v>
      </c>
      <c r="J28" s="67">
        <v>0.9740437158469946</v>
      </c>
      <c r="K28" s="67">
        <v>0.8415300546448088</v>
      </c>
      <c r="L28" s="67"/>
      <c r="M28" s="67"/>
      <c r="N28" s="6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 ht="15.75" customHeight="1">
      <c r="A29" s="30" t="s">
        <v>69</v>
      </c>
      <c r="B29" s="56"/>
      <c r="C29" s="56"/>
      <c r="D29" s="56"/>
      <c r="E29" s="56"/>
      <c r="F29" s="56">
        <f t="shared" ref="F29:J29" si="11">F27-F28</f>
        <v>-0.2352137576</v>
      </c>
      <c r="G29" s="56">
        <f t="shared" si="11"/>
        <v>0.04596592735</v>
      </c>
      <c r="H29" s="56">
        <f t="shared" si="11"/>
        <v>-0.09836065574</v>
      </c>
      <c r="I29" s="56">
        <f t="shared" si="11"/>
        <v>0</v>
      </c>
      <c r="J29" s="56">
        <f t="shared" si="11"/>
        <v>0.09289617486</v>
      </c>
      <c r="K29" s="56"/>
      <c r="L29" s="56"/>
      <c r="M29" s="56"/>
      <c r="N29" s="34"/>
    </row>
    <row r="30" ht="15.75" customHeight="1"/>
    <row r="31" ht="15.75" customHeight="1">
      <c r="A31" s="32" t="s">
        <v>93</v>
      </c>
      <c r="B31" s="33"/>
      <c r="C31" s="33"/>
      <c r="D31" s="33"/>
      <c r="E31" s="33"/>
      <c r="F31" s="33">
        <v>37.9</v>
      </c>
      <c r="G31" s="33">
        <v>34.19</v>
      </c>
      <c r="H31" s="33">
        <v>34.55</v>
      </c>
      <c r="I31" s="73">
        <v>43.63</v>
      </c>
      <c r="J31" s="73">
        <v>33.54</v>
      </c>
      <c r="K31" s="33"/>
      <c r="L31" s="33"/>
      <c r="M31" s="33"/>
      <c r="N31" s="34"/>
    </row>
    <row r="32" ht="15.75" customHeight="1">
      <c r="A32" s="63" t="s">
        <v>87</v>
      </c>
      <c r="B32" s="33"/>
      <c r="C32" s="67"/>
      <c r="D32" s="67"/>
      <c r="E32" s="67"/>
      <c r="F32" s="33">
        <f>AVERAGEIFS(FF!$N:$N,FF!$C:$C,F4)</f>
        <v>43.7184265</v>
      </c>
      <c r="G32" s="33">
        <f>AVERAGEIFS(FF!$N:$N,FF!$C:$C,G4)</f>
        <v>36.53676471</v>
      </c>
      <c r="H32" s="33">
        <f>AVERAGEIFS(FF!$N:$N,FF!$C:$C,H4)</f>
        <v>35.64583333</v>
      </c>
      <c r="I32" s="73">
        <f>AVERAGEIFS(FF!$N:$N,FF!$C:$C,I4)</f>
        <v>41.61385965</v>
      </c>
      <c r="J32" s="73">
        <f>AVERAGEIFS(FF!$N:$N,FF!$C:$C,J4)</f>
        <v>34.15540009</v>
      </c>
      <c r="K32" s="73" t="str">
        <f>AVERAGEIFS(FF!$N:$N,FF!$C:$C,K4)</f>
        <v>#DIV/0!</v>
      </c>
      <c r="L32" s="73" t="str">
        <f>AVERAGEIFS(FF!$N:$N,FF!$C:$C,L4)</f>
        <v>#DIV/0!</v>
      </c>
      <c r="M32" s="73" t="str">
        <f>AVERAGEIFS(FF!$N:$N,FF!$C:$C,M4)</f>
        <v>#DIV/0!</v>
      </c>
      <c r="N32" s="34"/>
    </row>
    <row r="33" ht="15.75" customHeight="1">
      <c r="A33" s="63" t="s">
        <v>95</v>
      </c>
      <c r="B33" s="33"/>
      <c r="C33" s="33"/>
      <c r="D33" s="33"/>
      <c r="E33" s="33"/>
      <c r="F33" s="33">
        <f t="shared" ref="F33:M33" si="12">AVERAGE(F31:F32)</f>
        <v>40.80921325</v>
      </c>
      <c r="G33" s="33">
        <f t="shared" si="12"/>
        <v>35.36338235</v>
      </c>
      <c r="H33" s="33">
        <f t="shared" si="12"/>
        <v>35.09791667</v>
      </c>
      <c r="I33" s="33">
        <f t="shared" si="12"/>
        <v>42.62192982</v>
      </c>
      <c r="J33" s="33">
        <f t="shared" si="12"/>
        <v>33.84770004</v>
      </c>
      <c r="K33" s="33" t="str">
        <f t="shared" si="12"/>
        <v>#DIV/0!</v>
      </c>
      <c r="L33" s="33" t="str">
        <f t="shared" si="12"/>
        <v>#DIV/0!</v>
      </c>
      <c r="M33" s="33" t="str">
        <f t="shared" si="12"/>
        <v>#DIV/0!</v>
      </c>
      <c r="N33" s="34"/>
    </row>
    <row r="34" ht="15.75" customHeight="1">
      <c r="A34" s="32" t="s">
        <v>92</v>
      </c>
      <c r="B34" s="33"/>
      <c r="C34" s="33"/>
      <c r="D34" s="33"/>
      <c r="E34" s="33">
        <v>31.11236263736264</v>
      </c>
      <c r="F34" s="33">
        <v>39.39125295508274</v>
      </c>
      <c r="G34" s="33">
        <v>40.76351648351649</v>
      </c>
      <c r="H34" s="33">
        <v>42.786365007541484</v>
      </c>
      <c r="I34" s="33">
        <v>51.269127516778525</v>
      </c>
      <c r="J34" s="33">
        <v>40.20990182328191</v>
      </c>
      <c r="K34" s="33">
        <v>33.18608766233766</v>
      </c>
      <c r="L34" s="33"/>
      <c r="M34" s="33"/>
      <c r="N34" s="34"/>
    </row>
    <row r="35" ht="15.75" customHeight="1">
      <c r="A35" s="30" t="s">
        <v>69</v>
      </c>
      <c r="B35" s="56"/>
      <c r="C35" s="56"/>
      <c r="D35" s="56"/>
      <c r="E35" s="56"/>
      <c r="F35" s="56">
        <f t="shared" ref="F35:M35" si="13">F31/F34</f>
        <v>0.9621425356</v>
      </c>
      <c r="G35" s="56">
        <f t="shared" si="13"/>
        <v>0.8387402008</v>
      </c>
      <c r="H35" s="56">
        <f t="shared" si="13"/>
        <v>0.8075002397</v>
      </c>
      <c r="I35" s="56">
        <f t="shared" si="13"/>
        <v>0.8509994633</v>
      </c>
      <c r="J35" s="56">
        <f t="shared" si="13"/>
        <v>0.8341229021</v>
      </c>
      <c r="K35" s="56">
        <f t="shared" si="13"/>
        <v>0</v>
      </c>
      <c r="L35" s="56" t="str">
        <f t="shared" si="13"/>
        <v>#DIV/0!</v>
      </c>
      <c r="M35" s="56" t="str">
        <f t="shared" si="13"/>
        <v>#DIV/0!</v>
      </c>
      <c r="N35" s="34"/>
    </row>
    <row r="36" ht="15.75" customHeight="1"/>
    <row r="37" ht="15.75" customHeight="1">
      <c r="A37" s="32" t="s">
        <v>96</v>
      </c>
      <c r="B37" s="33"/>
      <c r="C37" s="33"/>
      <c r="D37" s="33"/>
      <c r="E37" s="33"/>
      <c r="F37" s="33">
        <f>'Final Result'!F20/F24</f>
        <v>25.6098977</v>
      </c>
      <c r="G37" s="33">
        <f>'Final Result'!G20/G24</f>
        <v>23.19642973</v>
      </c>
      <c r="H37" s="33">
        <f>'Final Result'!H20/H24</f>
        <v>25.02933981</v>
      </c>
      <c r="I37" s="33">
        <f>'Final Result'!I20/I24</f>
        <v>26.77925865</v>
      </c>
      <c r="J37" s="33">
        <f>'Final Result'!J20/J24</f>
        <v>15.57281167</v>
      </c>
      <c r="K37" s="33" t="str">
        <f>'Final Result'!K20/K24</f>
        <v>#DIV/0!</v>
      </c>
      <c r="L37" s="33" t="str">
        <f>'Final Result'!L20/L24</f>
        <v>#DIV/0!</v>
      </c>
      <c r="M37" s="33" t="str">
        <f>'Final Result'!M20/M24</f>
        <v>#DIV/0!</v>
      </c>
      <c r="N37" s="34"/>
    </row>
    <row r="38" ht="15.75" customHeight="1">
      <c r="A38" s="67" t="s">
        <v>92</v>
      </c>
      <c r="B38" s="33"/>
      <c r="C38" s="33"/>
      <c r="D38" s="33"/>
      <c r="E38" s="33">
        <v>22.824893543956044</v>
      </c>
      <c r="F38" s="33">
        <v>19.625530437352246</v>
      </c>
      <c r="G38" s="33">
        <v>24.827332417582415</v>
      </c>
      <c r="H38" s="33">
        <v>25.706002986425336</v>
      </c>
      <c r="I38" s="33">
        <v>22.821302013422823</v>
      </c>
      <c r="J38" s="33">
        <v>19.086552594670408</v>
      </c>
      <c r="K38" s="33">
        <v>20.93888928571429</v>
      </c>
      <c r="L38" s="33"/>
      <c r="M38" s="33"/>
      <c r="N38" s="34"/>
    </row>
    <row r="39" ht="15.75" customHeight="1">
      <c r="A39" s="30" t="s">
        <v>69</v>
      </c>
      <c r="B39" s="56"/>
      <c r="C39" s="56"/>
      <c r="D39" s="56"/>
      <c r="E39" s="56"/>
      <c r="F39" s="56">
        <f t="shared" ref="F39:H39" si="14">F37/F38</f>
        <v>1.30492767</v>
      </c>
      <c r="G39" s="56">
        <f t="shared" si="14"/>
        <v>0.9343101923</v>
      </c>
      <c r="H39" s="56">
        <f t="shared" si="14"/>
        <v>0.9736768419</v>
      </c>
      <c r="I39" s="56"/>
      <c r="J39" s="56"/>
      <c r="K39" s="56"/>
      <c r="L39" s="56"/>
      <c r="M39" s="56"/>
      <c r="N39" s="34"/>
    </row>
    <row r="40" ht="15.75" customHeight="1"/>
    <row r="41" ht="15.75" customHeight="1">
      <c r="A41" s="32" t="s">
        <v>97</v>
      </c>
      <c r="B41" s="33"/>
      <c r="C41" s="33"/>
      <c r="D41" s="33"/>
      <c r="E41" s="33">
        <f>'Final Result'!E20/(24*30.5)</f>
        <v>2.542814208</v>
      </c>
      <c r="F41" s="33">
        <f>'Final Result'!F20/(24*30.5)</f>
        <v>13.67960383</v>
      </c>
      <c r="G41" s="33">
        <f>'Final Result'!G20/(24*30.5)</f>
        <v>19.61556011</v>
      </c>
      <c r="H41" s="33">
        <f>'Final Result'!H20/(24*30.5)</f>
        <v>17.60943989</v>
      </c>
      <c r="I41" s="33">
        <f>'Final Result'!I20/(24*30.5)</f>
        <v>22.20629781</v>
      </c>
      <c r="J41" s="33">
        <f>'Final Result'!J20/(24*30.5)</f>
        <v>16.04084699</v>
      </c>
      <c r="K41" s="33">
        <f>'Final Result'!K20/(24*30.5)</f>
        <v>0</v>
      </c>
      <c r="L41" s="33">
        <f>'Final Result'!L20/(24*30.5)</f>
        <v>0</v>
      </c>
      <c r="M41" s="33">
        <f>'Final Result'!M20/(24*30.5)</f>
        <v>0</v>
      </c>
      <c r="N41" s="34"/>
    </row>
    <row r="42" ht="15.75" customHeight="1">
      <c r="A42" s="32" t="s">
        <v>92</v>
      </c>
      <c r="B42" s="33"/>
      <c r="C42" s="33"/>
      <c r="D42" s="33"/>
      <c r="E42" s="33">
        <v>8.011823770491803</v>
      </c>
      <c r="F42" s="33">
        <v>16.01079918032787</v>
      </c>
      <c r="G42" s="33">
        <v>21.786762295081964</v>
      </c>
      <c r="H42" s="33">
        <v>23.28289614754098</v>
      </c>
      <c r="I42" s="33">
        <v>23.226598360655743</v>
      </c>
      <c r="J42" s="33">
        <v>18.59113661202186</v>
      </c>
      <c r="K42" s="33">
        <v>17.620704644808743</v>
      </c>
      <c r="L42" s="33">
        <v>10.454494535519126</v>
      </c>
      <c r="M42" s="33">
        <v>9.632581967213115</v>
      </c>
      <c r="N42" s="34">
        <v>13.302400988160294</v>
      </c>
    </row>
    <row r="43" ht="15.75" customHeight="1">
      <c r="A43" s="30" t="s">
        <v>69</v>
      </c>
      <c r="B43" s="56"/>
      <c r="C43" s="56"/>
      <c r="D43" s="56"/>
      <c r="E43" s="56"/>
      <c r="F43" s="56">
        <f t="shared" ref="F43:M43" si="15">F41/F42</f>
        <v>0.8543985638</v>
      </c>
      <c r="G43" s="56">
        <f t="shared" si="15"/>
        <v>0.9003430544</v>
      </c>
      <c r="H43" s="56">
        <f t="shared" si="15"/>
        <v>0.7563251487</v>
      </c>
      <c r="I43" s="56">
        <f t="shared" si="15"/>
        <v>0.9560718909</v>
      </c>
      <c r="J43" s="56">
        <f t="shared" si="15"/>
        <v>0.8628222862</v>
      </c>
      <c r="K43" s="56">
        <f t="shared" si="15"/>
        <v>0</v>
      </c>
      <c r="L43" s="56">
        <f t="shared" si="15"/>
        <v>0</v>
      </c>
      <c r="M43" s="56">
        <f t="shared" si="15"/>
        <v>0</v>
      </c>
      <c r="N43" s="34"/>
    </row>
    <row r="44" ht="15.75" customHeight="1">
      <c r="B44" s="70"/>
      <c r="C44" s="70"/>
      <c r="D44" s="70"/>
      <c r="E44" s="70"/>
      <c r="F44" s="70"/>
      <c r="G44" s="70"/>
      <c r="N44" s="71"/>
    </row>
    <row r="45" ht="15.75" customHeight="1">
      <c r="B45" s="70"/>
      <c r="C45" s="70"/>
      <c r="D45" s="70"/>
      <c r="E45" s="70"/>
      <c r="F45" s="70"/>
      <c r="G45" s="70"/>
      <c r="N45" s="71"/>
    </row>
    <row r="46" ht="15.75" customHeight="1">
      <c r="B46" s="70"/>
      <c r="C46" s="70"/>
      <c r="D46" s="70"/>
      <c r="E46" s="70"/>
      <c r="F46" s="70"/>
      <c r="G46" s="70"/>
      <c r="N46" s="71"/>
    </row>
    <row r="47" ht="15.75" customHeight="1">
      <c r="B47" s="70"/>
      <c r="C47" s="70"/>
      <c r="D47" s="70"/>
      <c r="E47" s="70"/>
      <c r="F47" s="70"/>
      <c r="G47" s="70"/>
      <c r="N47" s="71"/>
    </row>
    <row r="48" ht="15.75" customHeight="1">
      <c r="B48" s="70"/>
      <c r="C48" s="70"/>
      <c r="D48" s="70"/>
      <c r="E48" s="70"/>
      <c r="F48" s="70"/>
      <c r="G48" s="70"/>
      <c r="N48" s="71"/>
    </row>
    <row r="49" ht="15.75" customHeight="1">
      <c r="B49" s="70"/>
      <c r="C49" s="70"/>
      <c r="D49" s="70"/>
      <c r="E49" s="70"/>
      <c r="F49" s="70"/>
      <c r="G49" s="70"/>
      <c r="N49" s="71"/>
    </row>
    <row r="50" ht="15.75" customHeight="1">
      <c r="B50" s="70"/>
      <c r="C50" s="70"/>
      <c r="D50" s="70"/>
      <c r="E50" s="70"/>
      <c r="F50" s="70"/>
      <c r="G50" s="70"/>
      <c r="N50" s="71"/>
    </row>
    <row r="51" ht="15.75" customHeight="1">
      <c r="B51" s="70"/>
      <c r="C51" s="70"/>
      <c r="D51" s="70"/>
      <c r="E51" s="70"/>
      <c r="F51" s="70"/>
      <c r="G51" s="70"/>
      <c r="N51" s="71"/>
    </row>
    <row r="52" ht="15.75" customHeight="1">
      <c r="B52" s="70"/>
      <c r="C52" s="70"/>
      <c r="D52" s="70"/>
      <c r="E52" s="70"/>
      <c r="F52" s="70"/>
      <c r="G52" s="70"/>
      <c r="N52" s="71"/>
    </row>
    <row r="53" ht="15.75" customHeight="1">
      <c r="B53" s="70"/>
      <c r="C53" s="70"/>
      <c r="D53" s="70"/>
      <c r="E53" s="70"/>
      <c r="F53" s="70"/>
      <c r="G53" s="70"/>
      <c r="N53" s="71"/>
    </row>
    <row r="54" ht="15.75" customHeight="1">
      <c r="B54" s="70"/>
      <c r="C54" s="70"/>
      <c r="D54" s="70"/>
      <c r="E54" s="70"/>
      <c r="F54" s="70"/>
      <c r="G54" s="70"/>
      <c r="N54" s="71"/>
    </row>
    <row r="55" ht="15.75" customHeight="1">
      <c r="B55" s="70"/>
      <c r="C55" s="70"/>
      <c r="D55" s="70"/>
      <c r="E55" s="70"/>
      <c r="F55" s="70"/>
      <c r="G55" s="70"/>
      <c r="N55" s="71"/>
    </row>
    <row r="56" ht="15.75" customHeight="1">
      <c r="B56" s="70"/>
      <c r="C56" s="70"/>
      <c r="D56" s="70"/>
      <c r="E56" s="70"/>
      <c r="F56" s="70"/>
      <c r="G56" s="70"/>
      <c r="N56" s="71"/>
    </row>
    <row r="57" ht="15.75" customHeight="1">
      <c r="B57" s="70"/>
      <c r="C57" s="70"/>
      <c r="D57" s="70"/>
      <c r="E57" s="70"/>
      <c r="F57" s="70"/>
      <c r="G57" s="70"/>
      <c r="N57" s="71"/>
    </row>
    <row r="58" ht="15.75" customHeight="1">
      <c r="B58" s="70"/>
      <c r="C58" s="70"/>
      <c r="D58" s="70"/>
      <c r="E58" s="70"/>
      <c r="F58" s="70"/>
      <c r="G58" s="70"/>
      <c r="N58" s="71"/>
    </row>
    <row r="59" ht="15.75" customHeight="1">
      <c r="B59" s="70"/>
      <c r="C59" s="70"/>
      <c r="D59" s="70"/>
      <c r="E59" s="70"/>
      <c r="F59" s="70"/>
      <c r="G59" s="70"/>
      <c r="N59" s="71"/>
    </row>
    <row r="60" ht="15.75" customHeight="1">
      <c r="B60" s="70"/>
      <c r="C60" s="70"/>
      <c r="D60" s="70"/>
      <c r="E60" s="70"/>
      <c r="F60" s="70"/>
      <c r="G60" s="70"/>
      <c r="N60" s="71"/>
    </row>
    <row r="61" ht="15.75" customHeight="1">
      <c r="B61" s="70"/>
      <c r="C61" s="70"/>
      <c r="D61" s="70"/>
      <c r="E61" s="70"/>
      <c r="F61" s="70"/>
      <c r="G61" s="70"/>
      <c r="N61" s="71"/>
    </row>
    <row r="62" ht="15.75" customHeight="1">
      <c r="B62" s="70"/>
      <c r="C62" s="70"/>
      <c r="D62" s="70"/>
      <c r="E62" s="70"/>
      <c r="F62" s="70"/>
      <c r="G62" s="70"/>
      <c r="N62" s="71"/>
    </row>
    <row r="63" ht="15.75" customHeight="1">
      <c r="B63" s="70"/>
      <c r="C63" s="70"/>
      <c r="D63" s="70"/>
      <c r="E63" s="70"/>
      <c r="F63" s="70"/>
      <c r="G63" s="70"/>
      <c r="N63" s="71"/>
    </row>
    <row r="64" ht="15.75" customHeight="1">
      <c r="B64" s="70"/>
      <c r="C64" s="70"/>
      <c r="D64" s="70"/>
      <c r="E64" s="70"/>
      <c r="F64" s="70"/>
      <c r="G64" s="70"/>
      <c r="N64" s="71"/>
    </row>
    <row r="65" ht="15.75" customHeight="1">
      <c r="B65" s="70"/>
      <c r="C65" s="70"/>
      <c r="D65" s="70"/>
      <c r="E65" s="70"/>
      <c r="F65" s="70"/>
      <c r="G65" s="70"/>
      <c r="N65" s="71"/>
    </row>
    <row r="66" ht="15.75" customHeight="1">
      <c r="B66" s="70"/>
      <c r="C66" s="70"/>
      <c r="D66" s="70"/>
      <c r="E66" s="70"/>
      <c r="F66" s="70"/>
      <c r="G66" s="70"/>
      <c r="N66" s="71"/>
    </row>
    <row r="67" ht="15.75" customHeight="1">
      <c r="B67" s="70"/>
      <c r="C67" s="70"/>
      <c r="D67" s="70"/>
      <c r="E67" s="70"/>
      <c r="F67" s="70"/>
      <c r="G67" s="70"/>
      <c r="N67" s="71"/>
    </row>
    <row r="68" ht="15.75" customHeight="1">
      <c r="B68" s="70"/>
      <c r="C68" s="70"/>
      <c r="D68" s="70"/>
      <c r="E68" s="70"/>
      <c r="F68" s="70"/>
      <c r="G68" s="70"/>
      <c r="N68" s="71"/>
    </row>
    <row r="69" ht="15.75" customHeight="1">
      <c r="B69" s="70"/>
      <c r="C69" s="70"/>
      <c r="D69" s="70"/>
      <c r="E69" s="70"/>
      <c r="F69" s="70"/>
      <c r="G69" s="70"/>
      <c r="N69" s="71"/>
    </row>
    <row r="70" ht="15.75" customHeight="1">
      <c r="B70" s="70"/>
      <c r="C70" s="70"/>
      <c r="D70" s="70"/>
      <c r="E70" s="70"/>
      <c r="F70" s="70"/>
      <c r="G70" s="70"/>
      <c r="N70" s="71"/>
    </row>
    <row r="71" ht="15.75" customHeight="1">
      <c r="B71" s="70"/>
      <c r="C71" s="70"/>
      <c r="D71" s="70"/>
      <c r="E71" s="70"/>
      <c r="F71" s="70"/>
      <c r="G71" s="70"/>
      <c r="N71" s="71"/>
    </row>
    <row r="72" ht="15.75" customHeight="1">
      <c r="B72" s="70"/>
      <c r="C72" s="70"/>
      <c r="D72" s="70"/>
      <c r="E72" s="70"/>
      <c r="F72" s="70"/>
      <c r="G72" s="70"/>
      <c r="N72" s="71"/>
    </row>
    <row r="73" ht="15.75" customHeight="1">
      <c r="B73" s="70"/>
      <c r="C73" s="70"/>
      <c r="D73" s="70"/>
      <c r="E73" s="70"/>
      <c r="F73" s="70"/>
      <c r="G73" s="70"/>
      <c r="N73" s="71"/>
    </row>
    <row r="74" ht="15.75" customHeight="1">
      <c r="B74" s="70"/>
      <c r="C74" s="70"/>
      <c r="D74" s="70"/>
      <c r="E74" s="70"/>
      <c r="F74" s="70"/>
      <c r="G74" s="70"/>
      <c r="N74" s="71"/>
    </row>
    <row r="75" ht="15.75" customHeight="1">
      <c r="B75" s="70"/>
      <c r="C75" s="70"/>
      <c r="D75" s="70"/>
      <c r="E75" s="70"/>
      <c r="F75" s="70"/>
      <c r="G75" s="70"/>
      <c r="N75" s="71"/>
    </row>
    <row r="76" ht="15.75" customHeight="1">
      <c r="B76" s="70"/>
      <c r="C76" s="70"/>
      <c r="D76" s="70"/>
      <c r="E76" s="70"/>
      <c r="F76" s="70"/>
      <c r="G76" s="70"/>
      <c r="N76" s="71"/>
    </row>
    <row r="77" ht="15.75" customHeight="1">
      <c r="B77" s="70"/>
      <c r="C77" s="70"/>
      <c r="D77" s="70"/>
      <c r="E77" s="70"/>
      <c r="F77" s="70"/>
      <c r="G77" s="70"/>
      <c r="N77" s="71"/>
    </row>
    <row r="78" ht="15.75" customHeight="1">
      <c r="B78" s="70"/>
      <c r="C78" s="70"/>
      <c r="D78" s="70"/>
      <c r="E78" s="70"/>
      <c r="F78" s="70"/>
      <c r="G78" s="70"/>
      <c r="N78" s="71"/>
    </row>
    <row r="79" ht="15.75" customHeight="1">
      <c r="B79" s="70"/>
      <c r="C79" s="70"/>
      <c r="D79" s="70"/>
      <c r="E79" s="70"/>
      <c r="F79" s="70"/>
      <c r="G79" s="70"/>
      <c r="N79" s="71"/>
    </row>
    <row r="80" ht="15.75" customHeight="1">
      <c r="B80" s="70"/>
      <c r="C80" s="70"/>
      <c r="D80" s="70"/>
      <c r="E80" s="70"/>
      <c r="F80" s="70"/>
      <c r="G80" s="70"/>
      <c r="N80" s="71"/>
    </row>
    <row r="81" ht="15.75" customHeight="1">
      <c r="B81" s="70"/>
      <c r="C81" s="70"/>
      <c r="D81" s="70"/>
      <c r="E81" s="70"/>
      <c r="F81" s="70"/>
      <c r="G81" s="70"/>
      <c r="N81" s="71"/>
    </row>
    <row r="82" ht="15.75" customHeight="1">
      <c r="B82" s="70"/>
      <c r="C82" s="70"/>
      <c r="D82" s="70"/>
      <c r="E82" s="70"/>
      <c r="F82" s="70"/>
      <c r="G82" s="70"/>
      <c r="N82" s="71"/>
    </row>
    <row r="83" ht="15.75" customHeight="1">
      <c r="B83" s="70"/>
      <c r="C83" s="70"/>
      <c r="D83" s="70"/>
      <c r="E83" s="70"/>
      <c r="F83" s="70"/>
      <c r="G83" s="70"/>
      <c r="N83" s="71"/>
    </row>
    <row r="84" ht="15.75" customHeight="1">
      <c r="B84" s="70"/>
      <c r="C84" s="70"/>
      <c r="D84" s="70"/>
      <c r="E84" s="70"/>
      <c r="F84" s="70"/>
      <c r="G84" s="70"/>
      <c r="N84" s="71"/>
    </row>
    <row r="85" ht="15.75" customHeight="1">
      <c r="B85" s="70"/>
      <c r="C85" s="70"/>
      <c r="D85" s="70"/>
      <c r="E85" s="70"/>
      <c r="F85" s="70"/>
      <c r="G85" s="70"/>
      <c r="N85" s="71"/>
    </row>
    <row r="86" ht="15.75" customHeight="1">
      <c r="B86" s="70"/>
      <c r="C86" s="70"/>
      <c r="D86" s="70"/>
      <c r="E86" s="70"/>
      <c r="F86" s="70"/>
      <c r="G86" s="70"/>
      <c r="N86" s="71"/>
    </row>
    <row r="87" ht="15.75" customHeight="1">
      <c r="B87" s="70"/>
      <c r="C87" s="70"/>
      <c r="D87" s="70"/>
      <c r="E87" s="70"/>
      <c r="F87" s="70"/>
      <c r="G87" s="70"/>
      <c r="N87" s="71"/>
    </row>
    <row r="88" ht="15.75" customHeight="1">
      <c r="B88" s="70"/>
      <c r="C88" s="70"/>
      <c r="D88" s="70"/>
      <c r="E88" s="70"/>
      <c r="F88" s="70"/>
      <c r="G88" s="70"/>
      <c r="N88" s="71"/>
    </row>
    <row r="89" ht="15.75" customHeight="1">
      <c r="B89" s="70"/>
      <c r="C89" s="70"/>
      <c r="D89" s="70"/>
      <c r="E89" s="70"/>
      <c r="F89" s="70"/>
      <c r="G89" s="70"/>
      <c r="N89" s="71"/>
    </row>
    <row r="90" ht="15.75" customHeight="1">
      <c r="B90" s="70"/>
      <c r="C90" s="70"/>
      <c r="D90" s="70"/>
      <c r="E90" s="70"/>
      <c r="F90" s="70"/>
      <c r="G90" s="70"/>
      <c r="N90" s="71"/>
    </row>
    <row r="91" ht="15.75" customHeight="1">
      <c r="B91" s="70"/>
      <c r="C91" s="70"/>
      <c r="D91" s="70"/>
      <c r="E91" s="70"/>
      <c r="F91" s="70"/>
      <c r="G91" s="70"/>
      <c r="N91" s="71"/>
    </row>
    <row r="92" ht="15.75" customHeight="1">
      <c r="B92" s="70"/>
      <c r="C92" s="70"/>
      <c r="D92" s="70"/>
      <c r="E92" s="70"/>
      <c r="F92" s="70"/>
      <c r="G92" s="70"/>
      <c r="N92" s="71"/>
    </row>
    <row r="93" ht="15.75" customHeight="1">
      <c r="B93" s="70"/>
      <c r="C93" s="70"/>
      <c r="D93" s="70"/>
      <c r="E93" s="70"/>
      <c r="F93" s="70"/>
      <c r="G93" s="70"/>
      <c r="N93" s="71"/>
    </row>
    <row r="94" ht="15.75" customHeight="1">
      <c r="B94" s="70"/>
      <c r="C94" s="70"/>
      <c r="D94" s="70"/>
      <c r="E94" s="70"/>
      <c r="F94" s="70"/>
      <c r="G94" s="70"/>
      <c r="N94" s="71"/>
    </row>
    <row r="95" ht="15.75" customHeight="1">
      <c r="B95" s="70"/>
      <c r="C95" s="70"/>
      <c r="D95" s="70"/>
      <c r="E95" s="70"/>
      <c r="F95" s="70"/>
      <c r="G95" s="70"/>
      <c r="N95" s="71"/>
    </row>
    <row r="96" ht="15.75" customHeight="1">
      <c r="B96" s="70"/>
      <c r="C96" s="70"/>
      <c r="D96" s="70"/>
      <c r="E96" s="70"/>
      <c r="F96" s="70"/>
      <c r="G96" s="70"/>
      <c r="N96" s="71"/>
    </row>
    <row r="97" ht="15.75" customHeight="1">
      <c r="B97" s="70"/>
      <c r="C97" s="70"/>
      <c r="D97" s="70"/>
      <c r="E97" s="70"/>
      <c r="F97" s="70"/>
      <c r="G97" s="70"/>
      <c r="N97" s="71"/>
    </row>
    <row r="98" ht="15.75" customHeight="1">
      <c r="B98" s="70"/>
      <c r="C98" s="70"/>
      <c r="D98" s="70"/>
      <c r="E98" s="70"/>
      <c r="F98" s="70"/>
      <c r="G98" s="70"/>
      <c r="N98" s="71"/>
    </row>
    <row r="99" ht="15.75" customHeight="1">
      <c r="B99" s="70"/>
      <c r="C99" s="70"/>
      <c r="D99" s="70"/>
      <c r="E99" s="70"/>
      <c r="F99" s="70"/>
      <c r="G99" s="70"/>
      <c r="N99" s="71"/>
    </row>
    <row r="100" ht="15.75" customHeight="1">
      <c r="B100" s="70"/>
      <c r="C100" s="70"/>
      <c r="D100" s="70"/>
      <c r="E100" s="70"/>
      <c r="F100" s="70"/>
      <c r="G100" s="70"/>
      <c r="N100" s="71"/>
    </row>
    <row r="101" ht="15.75" customHeight="1">
      <c r="B101" s="70"/>
      <c r="C101" s="70"/>
      <c r="D101" s="70"/>
      <c r="E101" s="70"/>
      <c r="F101" s="70"/>
      <c r="G101" s="70"/>
      <c r="N101" s="71"/>
    </row>
    <row r="102" ht="15.75" customHeight="1">
      <c r="B102" s="70"/>
      <c r="C102" s="70"/>
      <c r="D102" s="70"/>
      <c r="E102" s="70"/>
      <c r="F102" s="70"/>
      <c r="G102" s="70"/>
      <c r="N102" s="71"/>
    </row>
    <row r="103" ht="15.75" customHeight="1">
      <c r="B103" s="70"/>
      <c r="C103" s="70"/>
      <c r="D103" s="70"/>
      <c r="E103" s="70"/>
      <c r="F103" s="70"/>
      <c r="G103" s="70"/>
      <c r="N103" s="71"/>
    </row>
    <row r="104" ht="15.75" customHeight="1">
      <c r="B104" s="70"/>
      <c r="C104" s="70"/>
      <c r="D104" s="70"/>
      <c r="E104" s="70"/>
      <c r="F104" s="70"/>
      <c r="G104" s="70"/>
      <c r="N104" s="71"/>
    </row>
    <row r="105" ht="15.75" customHeight="1">
      <c r="B105" s="70"/>
      <c r="C105" s="70"/>
      <c r="D105" s="70"/>
      <c r="E105" s="70"/>
      <c r="F105" s="70"/>
      <c r="G105" s="70"/>
      <c r="N105" s="71"/>
    </row>
    <row r="106" ht="15.75" customHeight="1">
      <c r="B106" s="70"/>
      <c r="C106" s="70"/>
      <c r="D106" s="70"/>
      <c r="E106" s="70"/>
      <c r="F106" s="70"/>
      <c r="G106" s="70"/>
      <c r="N106" s="71"/>
    </row>
    <row r="107" ht="15.75" customHeight="1">
      <c r="B107" s="70"/>
      <c r="C107" s="70"/>
      <c r="D107" s="70"/>
      <c r="E107" s="70"/>
      <c r="F107" s="70"/>
      <c r="G107" s="70"/>
      <c r="N107" s="71"/>
    </row>
    <row r="108" ht="15.75" customHeight="1">
      <c r="B108" s="70"/>
      <c r="C108" s="70"/>
      <c r="D108" s="70"/>
      <c r="E108" s="70"/>
      <c r="F108" s="70"/>
      <c r="G108" s="70"/>
      <c r="N108" s="71"/>
    </row>
    <row r="109" ht="15.75" customHeight="1">
      <c r="B109" s="70"/>
      <c r="C109" s="70"/>
      <c r="D109" s="70"/>
      <c r="E109" s="70"/>
      <c r="F109" s="70"/>
      <c r="G109" s="70"/>
      <c r="N109" s="71"/>
    </row>
    <row r="110" ht="15.75" customHeight="1">
      <c r="B110" s="70"/>
      <c r="C110" s="70"/>
      <c r="D110" s="70"/>
      <c r="E110" s="70"/>
      <c r="F110" s="70"/>
      <c r="G110" s="70"/>
      <c r="N110" s="71"/>
    </row>
    <row r="111" ht="15.75" customHeight="1">
      <c r="B111" s="70"/>
      <c r="C111" s="70"/>
      <c r="D111" s="70"/>
      <c r="E111" s="70"/>
      <c r="F111" s="70"/>
      <c r="G111" s="70"/>
      <c r="N111" s="71"/>
    </row>
    <row r="112" ht="15.75" customHeight="1">
      <c r="B112" s="70"/>
      <c r="C112" s="70"/>
      <c r="D112" s="70"/>
      <c r="E112" s="70"/>
      <c r="F112" s="70"/>
      <c r="G112" s="70"/>
      <c r="N112" s="71"/>
    </row>
    <row r="113" ht="15.75" customHeight="1">
      <c r="B113" s="70"/>
      <c r="C113" s="70"/>
      <c r="D113" s="70"/>
      <c r="E113" s="70"/>
      <c r="F113" s="70"/>
      <c r="G113" s="70"/>
      <c r="N113" s="71"/>
    </row>
    <row r="114" ht="15.75" customHeight="1">
      <c r="B114" s="70"/>
      <c r="C114" s="70"/>
      <c r="D114" s="70"/>
      <c r="E114" s="70"/>
      <c r="F114" s="70"/>
      <c r="G114" s="70"/>
      <c r="N114" s="71"/>
    </row>
    <row r="115" ht="15.75" customHeight="1">
      <c r="B115" s="70"/>
      <c r="C115" s="70"/>
      <c r="D115" s="70"/>
      <c r="E115" s="70"/>
      <c r="F115" s="70"/>
      <c r="G115" s="70"/>
      <c r="N115" s="71"/>
    </row>
    <row r="116" ht="15.75" customHeight="1">
      <c r="B116" s="70"/>
      <c r="C116" s="70"/>
      <c r="D116" s="70"/>
      <c r="E116" s="70"/>
      <c r="F116" s="70"/>
      <c r="G116" s="70"/>
      <c r="N116" s="71"/>
    </row>
    <row r="117" ht="15.75" customHeight="1">
      <c r="B117" s="70"/>
      <c r="C117" s="70"/>
      <c r="D117" s="70"/>
      <c r="E117" s="70"/>
      <c r="F117" s="70"/>
      <c r="G117" s="70"/>
      <c r="N117" s="71"/>
    </row>
    <row r="118" ht="15.75" customHeight="1">
      <c r="B118" s="70"/>
      <c r="C118" s="70"/>
      <c r="D118" s="70"/>
      <c r="E118" s="70"/>
      <c r="F118" s="70"/>
      <c r="G118" s="70"/>
      <c r="N118" s="71"/>
    </row>
    <row r="119" ht="15.75" customHeight="1">
      <c r="B119" s="70"/>
      <c r="C119" s="70"/>
      <c r="D119" s="70"/>
      <c r="E119" s="70"/>
      <c r="F119" s="70"/>
      <c r="G119" s="70"/>
      <c r="N119" s="71"/>
    </row>
    <row r="120" ht="15.75" customHeight="1">
      <c r="B120" s="70"/>
      <c r="C120" s="70"/>
      <c r="D120" s="70"/>
      <c r="E120" s="70"/>
      <c r="F120" s="70"/>
      <c r="G120" s="70"/>
      <c r="N120" s="71"/>
    </row>
    <row r="121" ht="15.75" customHeight="1">
      <c r="B121" s="70"/>
      <c r="C121" s="70"/>
      <c r="D121" s="70"/>
      <c r="E121" s="70"/>
      <c r="F121" s="70"/>
      <c r="G121" s="70"/>
      <c r="N121" s="71"/>
    </row>
    <row r="122" ht="15.75" customHeight="1">
      <c r="B122" s="70"/>
      <c r="C122" s="70"/>
      <c r="D122" s="70"/>
      <c r="E122" s="70"/>
      <c r="F122" s="70"/>
      <c r="G122" s="70"/>
      <c r="N122" s="71"/>
    </row>
    <row r="123" ht="15.75" customHeight="1">
      <c r="B123" s="70"/>
      <c r="C123" s="70"/>
      <c r="D123" s="70"/>
      <c r="E123" s="70"/>
      <c r="F123" s="70"/>
      <c r="G123" s="70"/>
      <c r="N123" s="71"/>
    </row>
    <row r="124" ht="15.75" customHeight="1">
      <c r="B124" s="70"/>
      <c r="C124" s="70"/>
      <c r="D124" s="70"/>
      <c r="E124" s="70"/>
      <c r="F124" s="70"/>
      <c r="G124" s="70"/>
      <c r="N124" s="71"/>
    </row>
    <row r="125" ht="15.75" customHeight="1">
      <c r="B125" s="70"/>
      <c r="C125" s="70"/>
      <c r="D125" s="70"/>
      <c r="E125" s="70"/>
      <c r="F125" s="70"/>
      <c r="G125" s="70"/>
      <c r="N125" s="71"/>
    </row>
    <row r="126" ht="15.75" customHeight="1">
      <c r="B126" s="70"/>
      <c r="C126" s="70"/>
      <c r="D126" s="70"/>
      <c r="E126" s="70"/>
      <c r="F126" s="70"/>
      <c r="G126" s="70"/>
      <c r="N126" s="71"/>
    </row>
    <row r="127" ht="15.75" customHeight="1">
      <c r="B127" s="70"/>
      <c r="C127" s="70"/>
      <c r="D127" s="70"/>
      <c r="E127" s="70"/>
      <c r="F127" s="70"/>
      <c r="G127" s="70"/>
      <c r="N127" s="71"/>
    </row>
    <row r="128" ht="15.75" customHeight="1">
      <c r="B128" s="70"/>
      <c r="C128" s="70"/>
      <c r="D128" s="70"/>
      <c r="E128" s="70"/>
      <c r="F128" s="70"/>
      <c r="G128" s="70"/>
      <c r="N128" s="71"/>
    </row>
    <row r="129" ht="15.75" customHeight="1">
      <c r="B129" s="70"/>
      <c r="C129" s="70"/>
      <c r="D129" s="70"/>
      <c r="E129" s="70"/>
      <c r="F129" s="70"/>
      <c r="G129" s="70"/>
      <c r="N129" s="71"/>
    </row>
    <row r="130" ht="15.75" customHeight="1">
      <c r="B130" s="70"/>
      <c r="C130" s="70"/>
      <c r="D130" s="70"/>
      <c r="E130" s="70"/>
      <c r="F130" s="70"/>
      <c r="G130" s="70"/>
      <c r="N130" s="71"/>
    </row>
    <row r="131" ht="15.75" customHeight="1">
      <c r="B131" s="70"/>
      <c r="C131" s="70"/>
      <c r="D131" s="70"/>
      <c r="E131" s="70"/>
      <c r="F131" s="70"/>
      <c r="G131" s="70"/>
      <c r="N131" s="71"/>
    </row>
    <row r="132" ht="15.75" customHeight="1">
      <c r="B132" s="70"/>
      <c r="C132" s="70"/>
      <c r="D132" s="70"/>
      <c r="E132" s="70"/>
      <c r="F132" s="70"/>
      <c r="G132" s="70"/>
      <c r="N132" s="71"/>
    </row>
    <row r="133" ht="15.75" customHeight="1">
      <c r="B133" s="70"/>
      <c r="C133" s="70"/>
      <c r="D133" s="70"/>
      <c r="E133" s="70"/>
      <c r="F133" s="70"/>
      <c r="G133" s="70"/>
      <c r="N133" s="71"/>
    </row>
    <row r="134" ht="15.75" customHeight="1">
      <c r="B134" s="70"/>
      <c r="C134" s="70"/>
      <c r="D134" s="70"/>
      <c r="E134" s="70"/>
      <c r="F134" s="70"/>
      <c r="G134" s="70"/>
      <c r="N134" s="71"/>
    </row>
    <row r="135" ht="15.75" customHeight="1">
      <c r="B135" s="70"/>
      <c r="C135" s="70"/>
      <c r="D135" s="70"/>
      <c r="E135" s="70"/>
      <c r="F135" s="70"/>
      <c r="G135" s="70"/>
      <c r="N135" s="71"/>
    </row>
    <row r="136" ht="15.75" customHeight="1">
      <c r="B136" s="70"/>
      <c r="C136" s="70"/>
      <c r="D136" s="70"/>
      <c r="E136" s="70"/>
      <c r="F136" s="70"/>
      <c r="G136" s="70"/>
      <c r="N136" s="71"/>
    </row>
    <row r="137" ht="15.75" customHeight="1">
      <c r="B137" s="70"/>
      <c r="C137" s="70"/>
      <c r="D137" s="70"/>
      <c r="E137" s="70"/>
      <c r="F137" s="70"/>
      <c r="G137" s="70"/>
      <c r="N137" s="71"/>
    </row>
    <row r="138" ht="15.75" customHeight="1">
      <c r="B138" s="70"/>
      <c r="C138" s="70"/>
      <c r="D138" s="70"/>
      <c r="E138" s="70"/>
      <c r="F138" s="70"/>
      <c r="G138" s="70"/>
      <c r="N138" s="71"/>
    </row>
    <row r="139" ht="15.75" customHeight="1">
      <c r="B139" s="70"/>
      <c r="C139" s="70"/>
      <c r="D139" s="70"/>
      <c r="E139" s="70"/>
      <c r="F139" s="70"/>
      <c r="G139" s="70"/>
      <c r="N139" s="71"/>
    </row>
    <row r="140" ht="15.75" customHeight="1">
      <c r="B140" s="70"/>
      <c r="C140" s="70"/>
      <c r="D140" s="70"/>
      <c r="E140" s="70"/>
      <c r="F140" s="70"/>
      <c r="G140" s="70"/>
      <c r="N140" s="71"/>
    </row>
    <row r="141" ht="15.75" customHeight="1">
      <c r="B141" s="70"/>
      <c r="C141" s="70"/>
      <c r="D141" s="70"/>
      <c r="E141" s="70"/>
      <c r="F141" s="70"/>
      <c r="G141" s="70"/>
      <c r="N141" s="71"/>
    </row>
    <row r="142" ht="15.75" customHeight="1">
      <c r="B142" s="70"/>
      <c r="C142" s="70"/>
      <c r="D142" s="70"/>
      <c r="E142" s="70"/>
      <c r="F142" s="70"/>
      <c r="G142" s="70"/>
      <c r="N142" s="71"/>
    </row>
    <row r="143" ht="15.75" customHeight="1">
      <c r="B143" s="70"/>
      <c r="C143" s="70"/>
      <c r="D143" s="70"/>
      <c r="E143" s="70"/>
      <c r="F143" s="70"/>
      <c r="G143" s="70"/>
      <c r="N143" s="71"/>
    </row>
    <row r="144" ht="15.75" customHeight="1">
      <c r="B144" s="70"/>
      <c r="C144" s="70"/>
      <c r="D144" s="70"/>
      <c r="E144" s="70"/>
      <c r="F144" s="70"/>
      <c r="G144" s="70"/>
      <c r="N144" s="71"/>
    </row>
    <row r="145" ht="15.75" customHeight="1">
      <c r="B145" s="70"/>
      <c r="C145" s="70"/>
      <c r="D145" s="70"/>
      <c r="E145" s="70"/>
      <c r="F145" s="70"/>
      <c r="G145" s="70"/>
      <c r="N145" s="71"/>
    </row>
    <row r="146" ht="15.75" customHeight="1">
      <c r="B146" s="70"/>
      <c r="C146" s="70"/>
      <c r="D146" s="70"/>
      <c r="E146" s="70"/>
      <c r="F146" s="70"/>
      <c r="G146" s="70"/>
      <c r="N146" s="71"/>
    </row>
    <row r="147" ht="15.75" customHeight="1">
      <c r="B147" s="70"/>
      <c r="C147" s="70"/>
      <c r="D147" s="70"/>
      <c r="E147" s="70"/>
      <c r="F147" s="70"/>
      <c r="G147" s="70"/>
      <c r="N147" s="71"/>
    </row>
    <row r="148" ht="15.75" customHeight="1">
      <c r="B148" s="70"/>
      <c r="C148" s="70"/>
      <c r="D148" s="70"/>
      <c r="E148" s="70"/>
      <c r="F148" s="70"/>
      <c r="G148" s="70"/>
      <c r="N148" s="71"/>
    </row>
    <row r="149" ht="15.75" customHeight="1">
      <c r="B149" s="70"/>
      <c r="C149" s="70"/>
      <c r="D149" s="70"/>
      <c r="E149" s="70"/>
      <c r="F149" s="70"/>
      <c r="G149" s="70"/>
      <c r="N149" s="71"/>
    </row>
    <row r="150" ht="15.75" customHeight="1">
      <c r="B150" s="70"/>
      <c r="C150" s="70"/>
      <c r="D150" s="70"/>
      <c r="E150" s="70"/>
      <c r="F150" s="70"/>
      <c r="G150" s="70"/>
      <c r="N150" s="71"/>
    </row>
    <row r="151" ht="15.75" customHeight="1">
      <c r="B151" s="70"/>
      <c r="C151" s="70"/>
      <c r="D151" s="70"/>
      <c r="E151" s="70"/>
      <c r="F151" s="70"/>
      <c r="G151" s="70"/>
      <c r="N151" s="71"/>
    </row>
    <row r="152" ht="15.75" customHeight="1">
      <c r="B152" s="70"/>
      <c r="C152" s="70"/>
      <c r="D152" s="70"/>
      <c r="E152" s="70"/>
      <c r="F152" s="70"/>
      <c r="G152" s="70"/>
      <c r="N152" s="71"/>
    </row>
    <row r="153" ht="15.75" customHeight="1">
      <c r="B153" s="70"/>
      <c r="C153" s="70"/>
      <c r="D153" s="70"/>
      <c r="E153" s="70"/>
      <c r="F153" s="70"/>
      <c r="G153" s="70"/>
      <c r="N153" s="71"/>
    </row>
    <row r="154" ht="15.75" customHeight="1">
      <c r="B154" s="70"/>
      <c r="C154" s="70"/>
      <c r="D154" s="70"/>
      <c r="E154" s="70"/>
      <c r="F154" s="70"/>
      <c r="G154" s="70"/>
      <c r="N154" s="71"/>
    </row>
    <row r="155" ht="15.75" customHeight="1">
      <c r="B155" s="70"/>
      <c r="C155" s="70"/>
      <c r="D155" s="70"/>
      <c r="E155" s="70"/>
      <c r="F155" s="70"/>
      <c r="G155" s="70"/>
      <c r="N155" s="71"/>
    </row>
    <row r="156" ht="15.75" customHeight="1">
      <c r="B156" s="70"/>
      <c r="C156" s="70"/>
      <c r="D156" s="70"/>
      <c r="E156" s="70"/>
      <c r="F156" s="70"/>
      <c r="G156" s="70"/>
      <c r="N156" s="71"/>
    </row>
    <row r="157" ht="15.75" customHeight="1">
      <c r="B157" s="70"/>
      <c r="C157" s="70"/>
      <c r="D157" s="70"/>
      <c r="E157" s="70"/>
      <c r="F157" s="70"/>
      <c r="G157" s="70"/>
      <c r="N157" s="71"/>
    </row>
    <row r="158" ht="15.75" customHeight="1">
      <c r="B158" s="70"/>
      <c r="C158" s="70"/>
      <c r="D158" s="70"/>
      <c r="E158" s="70"/>
      <c r="F158" s="70"/>
      <c r="G158" s="70"/>
      <c r="N158" s="71"/>
    </row>
    <row r="159" ht="15.75" customHeight="1">
      <c r="B159" s="70"/>
      <c r="C159" s="70"/>
      <c r="D159" s="70"/>
      <c r="E159" s="70"/>
      <c r="F159" s="70"/>
      <c r="G159" s="70"/>
      <c r="N159" s="71"/>
    </row>
    <row r="160" ht="15.75" customHeight="1">
      <c r="B160" s="70"/>
      <c r="C160" s="70"/>
      <c r="D160" s="70"/>
      <c r="E160" s="70"/>
      <c r="F160" s="70"/>
      <c r="G160" s="70"/>
      <c r="N160" s="71"/>
    </row>
    <row r="161" ht="15.75" customHeight="1">
      <c r="B161" s="70"/>
      <c r="C161" s="70"/>
      <c r="D161" s="70"/>
      <c r="E161" s="70"/>
      <c r="F161" s="70"/>
      <c r="G161" s="70"/>
      <c r="N161" s="71"/>
    </row>
    <row r="162" ht="15.75" customHeight="1">
      <c r="B162" s="70"/>
      <c r="C162" s="70"/>
      <c r="D162" s="70"/>
      <c r="E162" s="70"/>
      <c r="F162" s="70"/>
      <c r="G162" s="70"/>
      <c r="N162" s="71"/>
    </row>
    <row r="163" ht="15.75" customHeight="1">
      <c r="B163" s="70"/>
      <c r="C163" s="70"/>
      <c r="D163" s="70"/>
      <c r="E163" s="70"/>
      <c r="F163" s="70"/>
      <c r="G163" s="70"/>
      <c r="N163" s="71"/>
    </row>
    <row r="164" ht="15.75" customHeight="1">
      <c r="B164" s="70"/>
      <c r="C164" s="70"/>
      <c r="D164" s="70"/>
      <c r="E164" s="70"/>
      <c r="F164" s="70"/>
      <c r="G164" s="70"/>
      <c r="N164" s="71"/>
    </row>
    <row r="165" ht="15.75" customHeight="1">
      <c r="B165" s="70"/>
      <c r="C165" s="70"/>
      <c r="D165" s="70"/>
      <c r="E165" s="70"/>
      <c r="F165" s="70"/>
      <c r="G165" s="70"/>
      <c r="N165" s="71"/>
    </row>
    <row r="166" ht="15.75" customHeight="1">
      <c r="B166" s="70"/>
      <c r="C166" s="70"/>
      <c r="D166" s="70"/>
      <c r="E166" s="70"/>
      <c r="F166" s="70"/>
      <c r="G166" s="70"/>
      <c r="N166" s="71"/>
    </row>
    <row r="167" ht="15.75" customHeight="1">
      <c r="B167" s="70"/>
      <c r="C167" s="70"/>
      <c r="D167" s="70"/>
      <c r="E167" s="70"/>
      <c r="F167" s="70"/>
      <c r="G167" s="70"/>
      <c r="N167" s="71"/>
    </row>
    <row r="168" ht="15.75" customHeight="1">
      <c r="B168" s="70"/>
      <c r="C168" s="70"/>
      <c r="D168" s="70"/>
      <c r="E168" s="70"/>
      <c r="F168" s="70"/>
      <c r="G168" s="70"/>
      <c r="N168" s="71"/>
    </row>
    <row r="169" ht="15.75" customHeight="1">
      <c r="B169" s="70"/>
      <c r="C169" s="70"/>
      <c r="D169" s="70"/>
      <c r="E169" s="70"/>
      <c r="F169" s="70"/>
      <c r="G169" s="70"/>
      <c r="N169" s="71"/>
    </row>
    <row r="170" ht="15.75" customHeight="1">
      <c r="B170" s="70"/>
      <c r="C170" s="70"/>
      <c r="D170" s="70"/>
      <c r="E170" s="70"/>
      <c r="F170" s="70"/>
      <c r="G170" s="70"/>
      <c r="N170" s="71"/>
    </row>
    <row r="171" ht="15.75" customHeight="1">
      <c r="B171" s="70"/>
      <c r="C171" s="70"/>
      <c r="D171" s="70"/>
      <c r="E171" s="70"/>
      <c r="F171" s="70"/>
      <c r="G171" s="70"/>
      <c r="N171" s="71"/>
    </row>
    <row r="172" ht="15.75" customHeight="1">
      <c r="B172" s="70"/>
      <c r="C172" s="70"/>
      <c r="D172" s="70"/>
      <c r="E172" s="70"/>
      <c r="F172" s="70"/>
      <c r="G172" s="70"/>
      <c r="N172" s="71"/>
    </row>
    <row r="173" ht="15.75" customHeight="1">
      <c r="B173" s="70"/>
      <c r="C173" s="70"/>
      <c r="D173" s="70"/>
      <c r="E173" s="70"/>
      <c r="F173" s="70"/>
      <c r="G173" s="70"/>
      <c r="N173" s="71"/>
    </row>
    <row r="174" ht="15.75" customHeight="1">
      <c r="B174" s="70"/>
      <c r="C174" s="70"/>
      <c r="D174" s="70"/>
      <c r="E174" s="70"/>
      <c r="F174" s="70"/>
      <c r="G174" s="70"/>
      <c r="N174" s="71"/>
    </row>
    <row r="175" ht="15.75" customHeight="1">
      <c r="B175" s="70"/>
      <c r="C175" s="70"/>
      <c r="D175" s="70"/>
      <c r="E175" s="70"/>
      <c r="F175" s="70"/>
      <c r="G175" s="70"/>
      <c r="N175" s="71"/>
    </row>
    <row r="176" ht="15.75" customHeight="1">
      <c r="B176" s="70"/>
      <c r="C176" s="70"/>
      <c r="D176" s="70"/>
      <c r="E176" s="70"/>
      <c r="F176" s="70"/>
      <c r="G176" s="70"/>
      <c r="N176" s="71"/>
    </row>
    <row r="177" ht="15.75" customHeight="1">
      <c r="B177" s="70"/>
      <c r="C177" s="70"/>
      <c r="D177" s="70"/>
      <c r="E177" s="70"/>
      <c r="F177" s="70"/>
      <c r="G177" s="70"/>
      <c r="N177" s="71"/>
    </row>
    <row r="178" ht="15.75" customHeight="1">
      <c r="B178" s="70"/>
      <c r="C178" s="70"/>
      <c r="D178" s="70"/>
      <c r="E178" s="70"/>
      <c r="F178" s="70"/>
      <c r="G178" s="70"/>
      <c r="N178" s="71"/>
    </row>
    <row r="179" ht="15.75" customHeight="1">
      <c r="B179" s="70"/>
      <c r="C179" s="70"/>
      <c r="D179" s="70"/>
      <c r="E179" s="70"/>
      <c r="F179" s="70"/>
      <c r="G179" s="70"/>
      <c r="N179" s="71"/>
    </row>
    <row r="180" ht="15.75" customHeight="1">
      <c r="B180" s="70"/>
      <c r="C180" s="70"/>
      <c r="D180" s="70"/>
      <c r="E180" s="70"/>
      <c r="F180" s="70"/>
      <c r="G180" s="70"/>
      <c r="N180" s="71"/>
    </row>
    <row r="181" ht="15.75" customHeight="1">
      <c r="B181" s="70"/>
      <c r="C181" s="70"/>
      <c r="D181" s="70"/>
      <c r="E181" s="70"/>
      <c r="F181" s="70"/>
      <c r="G181" s="70"/>
      <c r="N181" s="71"/>
    </row>
    <row r="182" ht="15.75" customHeight="1">
      <c r="B182" s="70"/>
      <c r="C182" s="70"/>
      <c r="D182" s="70"/>
      <c r="E182" s="70"/>
      <c r="F182" s="70"/>
      <c r="G182" s="70"/>
      <c r="N182" s="71"/>
    </row>
    <row r="183" ht="15.75" customHeight="1">
      <c r="B183" s="70"/>
      <c r="C183" s="70"/>
      <c r="D183" s="70"/>
      <c r="E183" s="70"/>
      <c r="F183" s="70"/>
      <c r="G183" s="70"/>
      <c r="N183" s="71"/>
    </row>
    <row r="184" ht="15.75" customHeight="1">
      <c r="B184" s="70"/>
      <c r="C184" s="70"/>
      <c r="D184" s="70"/>
      <c r="E184" s="70"/>
      <c r="F184" s="70"/>
      <c r="G184" s="70"/>
      <c r="N184" s="71"/>
    </row>
    <row r="185" ht="15.75" customHeight="1">
      <c r="B185" s="70"/>
      <c r="C185" s="70"/>
      <c r="D185" s="70"/>
      <c r="E185" s="70"/>
      <c r="F185" s="70"/>
      <c r="G185" s="70"/>
      <c r="N185" s="71"/>
    </row>
    <row r="186" ht="15.75" customHeight="1">
      <c r="B186" s="70"/>
      <c r="C186" s="70"/>
      <c r="D186" s="70"/>
      <c r="E186" s="70"/>
      <c r="F186" s="70"/>
      <c r="G186" s="70"/>
      <c r="N186" s="71"/>
    </row>
    <row r="187" ht="15.75" customHeight="1">
      <c r="B187" s="70"/>
      <c r="C187" s="70"/>
      <c r="D187" s="70"/>
      <c r="E187" s="70"/>
      <c r="F187" s="70"/>
      <c r="G187" s="70"/>
      <c r="N187" s="71"/>
    </row>
    <row r="188" ht="15.75" customHeight="1">
      <c r="B188" s="70"/>
      <c r="C188" s="70"/>
      <c r="D188" s="70"/>
      <c r="E188" s="70"/>
      <c r="F188" s="70"/>
      <c r="G188" s="70"/>
      <c r="N188" s="71"/>
    </row>
    <row r="189" ht="15.75" customHeight="1">
      <c r="B189" s="70"/>
      <c r="C189" s="70"/>
      <c r="D189" s="70"/>
      <c r="E189" s="70"/>
      <c r="F189" s="70"/>
      <c r="G189" s="70"/>
      <c r="N189" s="71"/>
    </row>
    <row r="190" ht="15.75" customHeight="1">
      <c r="B190" s="70"/>
      <c r="C190" s="70"/>
      <c r="D190" s="70"/>
      <c r="E190" s="70"/>
      <c r="F190" s="70"/>
      <c r="G190" s="70"/>
      <c r="N190" s="71"/>
    </row>
    <row r="191" ht="15.75" customHeight="1">
      <c r="B191" s="70"/>
      <c r="C191" s="70"/>
      <c r="D191" s="70"/>
      <c r="E191" s="70"/>
      <c r="F191" s="70"/>
      <c r="G191" s="70"/>
      <c r="N191" s="71"/>
    </row>
    <row r="192" ht="15.75" customHeight="1">
      <c r="B192" s="70"/>
      <c r="C192" s="70"/>
      <c r="D192" s="70"/>
      <c r="E192" s="70"/>
      <c r="F192" s="70"/>
      <c r="G192" s="70"/>
      <c r="N192" s="71"/>
    </row>
    <row r="193" ht="15.75" customHeight="1">
      <c r="B193" s="70"/>
      <c r="C193" s="70"/>
      <c r="D193" s="70"/>
      <c r="E193" s="70"/>
      <c r="F193" s="70"/>
      <c r="G193" s="70"/>
      <c r="N193" s="71"/>
    </row>
    <row r="194" ht="15.75" customHeight="1">
      <c r="B194" s="70"/>
      <c r="C194" s="70"/>
      <c r="D194" s="70"/>
      <c r="E194" s="70"/>
      <c r="F194" s="70"/>
      <c r="G194" s="70"/>
      <c r="N194" s="71"/>
    </row>
    <row r="195" ht="15.75" customHeight="1">
      <c r="B195" s="70"/>
      <c r="C195" s="70"/>
      <c r="D195" s="70"/>
      <c r="E195" s="70"/>
      <c r="F195" s="70"/>
      <c r="G195" s="70"/>
      <c r="N195" s="71"/>
    </row>
    <row r="196" ht="15.75" customHeight="1">
      <c r="B196" s="70"/>
      <c r="C196" s="70"/>
      <c r="D196" s="70"/>
      <c r="E196" s="70"/>
      <c r="F196" s="70"/>
      <c r="G196" s="70"/>
      <c r="N196" s="71"/>
    </row>
    <row r="197" ht="15.75" customHeight="1">
      <c r="B197" s="70"/>
      <c r="C197" s="70"/>
      <c r="D197" s="70"/>
      <c r="E197" s="70"/>
      <c r="F197" s="70"/>
      <c r="G197" s="70"/>
      <c r="N197" s="71"/>
    </row>
    <row r="198" ht="15.75" customHeight="1">
      <c r="B198" s="70"/>
      <c r="C198" s="70"/>
      <c r="D198" s="70"/>
      <c r="E198" s="70"/>
      <c r="F198" s="70"/>
      <c r="G198" s="70"/>
      <c r="N198" s="71"/>
    </row>
    <row r="199" ht="15.75" customHeight="1">
      <c r="B199" s="70"/>
      <c r="C199" s="70"/>
      <c r="D199" s="70"/>
      <c r="E199" s="70"/>
      <c r="F199" s="70"/>
      <c r="G199" s="70"/>
      <c r="N199" s="71"/>
    </row>
    <row r="200" ht="15.75" customHeight="1">
      <c r="B200" s="70"/>
      <c r="C200" s="70"/>
      <c r="D200" s="70"/>
      <c r="E200" s="70"/>
      <c r="F200" s="70"/>
      <c r="G200" s="70"/>
      <c r="N200" s="71"/>
    </row>
    <row r="201" ht="15.75" customHeight="1">
      <c r="B201" s="70"/>
      <c r="C201" s="70"/>
      <c r="D201" s="70"/>
      <c r="E201" s="70"/>
      <c r="F201" s="70"/>
      <c r="G201" s="70"/>
      <c r="N201" s="71"/>
    </row>
    <row r="202" ht="15.75" customHeight="1">
      <c r="B202" s="70"/>
      <c r="C202" s="70"/>
      <c r="D202" s="70"/>
      <c r="E202" s="70"/>
      <c r="F202" s="70"/>
      <c r="G202" s="70"/>
      <c r="N202" s="71"/>
    </row>
    <row r="203" ht="15.75" customHeight="1">
      <c r="B203" s="70"/>
      <c r="C203" s="70"/>
      <c r="D203" s="70"/>
      <c r="E203" s="70"/>
      <c r="F203" s="70"/>
      <c r="G203" s="70"/>
      <c r="N203" s="71"/>
    </row>
    <row r="204" ht="15.75" customHeight="1">
      <c r="B204" s="70"/>
      <c r="C204" s="70"/>
      <c r="D204" s="70"/>
      <c r="E204" s="70"/>
      <c r="F204" s="70"/>
      <c r="G204" s="70"/>
      <c r="N204" s="71"/>
    </row>
    <row r="205" ht="15.75" customHeight="1">
      <c r="B205" s="70"/>
      <c r="C205" s="70"/>
      <c r="D205" s="70"/>
      <c r="E205" s="70"/>
      <c r="F205" s="70"/>
      <c r="G205" s="70"/>
      <c r="N205" s="71"/>
    </row>
    <row r="206" ht="15.75" customHeight="1">
      <c r="B206" s="70"/>
      <c r="C206" s="70"/>
      <c r="D206" s="70"/>
      <c r="E206" s="70"/>
      <c r="F206" s="70"/>
      <c r="G206" s="70"/>
      <c r="N206" s="71"/>
    </row>
    <row r="207" ht="15.75" customHeight="1">
      <c r="B207" s="70"/>
      <c r="C207" s="70"/>
      <c r="D207" s="70"/>
      <c r="E207" s="70"/>
      <c r="F207" s="70"/>
      <c r="G207" s="70"/>
      <c r="N207" s="71"/>
    </row>
    <row r="208" ht="15.75" customHeight="1">
      <c r="B208" s="70"/>
      <c r="C208" s="70"/>
      <c r="D208" s="70"/>
      <c r="E208" s="70"/>
      <c r="F208" s="70"/>
      <c r="G208" s="70"/>
      <c r="N208" s="71"/>
    </row>
    <row r="209" ht="15.75" customHeight="1">
      <c r="B209" s="70"/>
      <c r="C209" s="70"/>
      <c r="D209" s="70"/>
      <c r="E209" s="70"/>
      <c r="F209" s="70"/>
      <c r="G209" s="70"/>
      <c r="N209" s="71"/>
    </row>
    <row r="210" ht="15.75" customHeight="1">
      <c r="B210" s="70"/>
      <c r="C210" s="70"/>
      <c r="D210" s="70"/>
      <c r="E210" s="70"/>
      <c r="F210" s="70"/>
      <c r="G210" s="70"/>
      <c r="N210" s="71"/>
    </row>
    <row r="211" ht="15.75" customHeight="1">
      <c r="B211" s="70"/>
      <c r="C211" s="70"/>
      <c r="D211" s="70"/>
      <c r="E211" s="70"/>
      <c r="F211" s="70"/>
      <c r="G211" s="70"/>
      <c r="N211" s="71"/>
    </row>
    <row r="212" ht="15.75" customHeight="1">
      <c r="B212" s="70"/>
      <c r="C212" s="70"/>
      <c r="D212" s="70"/>
      <c r="E212" s="70"/>
      <c r="F212" s="70"/>
      <c r="G212" s="70"/>
      <c r="N212" s="71"/>
    </row>
    <row r="213" ht="15.75" customHeight="1">
      <c r="B213" s="70"/>
      <c r="C213" s="70"/>
      <c r="D213" s="70"/>
      <c r="E213" s="70"/>
      <c r="F213" s="70"/>
      <c r="G213" s="70"/>
      <c r="N213" s="71"/>
    </row>
    <row r="214" ht="15.75" customHeight="1">
      <c r="B214" s="70"/>
      <c r="C214" s="70"/>
      <c r="D214" s="70"/>
      <c r="E214" s="70"/>
      <c r="F214" s="70"/>
      <c r="G214" s="70"/>
      <c r="N214" s="71"/>
    </row>
    <row r="215" ht="15.75" customHeight="1">
      <c r="B215" s="70"/>
      <c r="C215" s="70"/>
      <c r="D215" s="70"/>
      <c r="E215" s="70"/>
      <c r="F215" s="70"/>
      <c r="G215" s="70"/>
      <c r="N215" s="71"/>
    </row>
    <row r="216" ht="15.75" customHeight="1">
      <c r="B216" s="70"/>
      <c r="C216" s="70"/>
      <c r="D216" s="70"/>
      <c r="E216" s="70"/>
      <c r="F216" s="70"/>
      <c r="G216" s="70"/>
      <c r="N216" s="71"/>
    </row>
    <row r="217" ht="15.75" customHeight="1">
      <c r="B217" s="70"/>
      <c r="C217" s="70"/>
      <c r="D217" s="70"/>
      <c r="E217" s="70"/>
      <c r="F217" s="70"/>
      <c r="G217" s="70"/>
      <c r="N217" s="71"/>
    </row>
    <row r="218" ht="15.75" customHeight="1">
      <c r="B218" s="70"/>
      <c r="C218" s="70"/>
      <c r="D218" s="70"/>
      <c r="E218" s="70"/>
      <c r="F218" s="70"/>
      <c r="G218" s="70"/>
      <c r="N218" s="71"/>
    </row>
    <row r="219" ht="15.75" customHeight="1">
      <c r="B219" s="70"/>
      <c r="C219" s="70"/>
      <c r="D219" s="70"/>
      <c r="E219" s="70"/>
      <c r="F219" s="70"/>
      <c r="G219" s="70"/>
      <c r="N219" s="71"/>
    </row>
    <row r="220" ht="15.75" customHeight="1">
      <c r="B220" s="70"/>
      <c r="C220" s="70"/>
      <c r="D220" s="70"/>
      <c r="E220" s="70"/>
      <c r="F220" s="70"/>
      <c r="G220" s="70"/>
      <c r="N220" s="71"/>
    </row>
    <row r="221" ht="15.75" customHeight="1">
      <c r="B221" s="70"/>
      <c r="C221" s="70"/>
      <c r="D221" s="70"/>
      <c r="E221" s="70"/>
      <c r="F221" s="70"/>
      <c r="G221" s="70"/>
      <c r="N221" s="71"/>
    </row>
    <row r="222" ht="15.75" customHeight="1">
      <c r="B222" s="70"/>
      <c r="C222" s="70"/>
      <c r="D222" s="70"/>
      <c r="E222" s="70"/>
      <c r="F222" s="70"/>
      <c r="G222" s="70"/>
      <c r="N222" s="71"/>
    </row>
    <row r="223" ht="15.75" customHeight="1">
      <c r="B223" s="70"/>
      <c r="C223" s="70"/>
      <c r="D223" s="70"/>
      <c r="E223" s="70"/>
      <c r="F223" s="70"/>
      <c r="G223" s="70"/>
      <c r="N223" s="71"/>
    </row>
    <row r="224" ht="15.75" customHeight="1">
      <c r="B224" s="70"/>
      <c r="C224" s="70"/>
      <c r="D224" s="70"/>
      <c r="E224" s="70"/>
      <c r="F224" s="70"/>
      <c r="G224" s="70"/>
      <c r="N224" s="71"/>
    </row>
    <row r="225" ht="15.75" customHeight="1">
      <c r="B225" s="70"/>
      <c r="C225" s="70"/>
      <c r="D225" s="70"/>
      <c r="E225" s="70"/>
      <c r="F225" s="70"/>
      <c r="G225" s="70"/>
      <c r="N225" s="71"/>
    </row>
    <row r="226" ht="15.75" customHeight="1">
      <c r="B226" s="70"/>
      <c r="C226" s="70"/>
      <c r="D226" s="70"/>
      <c r="E226" s="70"/>
      <c r="F226" s="70"/>
      <c r="G226" s="70"/>
      <c r="N226" s="71"/>
    </row>
    <row r="227" ht="15.75" customHeight="1">
      <c r="B227" s="70"/>
      <c r="C227" s="70"/>
      <c r="D227" s="70"/>
      <c r="E227" s="70"/>
      <c r="F227" s="70"/>
      <c r="G227" s="70"/>
      <c r="N227" s="71"/>
    </row>
    <row r="228" ht="15.75" customHeight="1">
      <c r="B228" s="70"/>
      <c r="C228" s="70"/>
      <c r="D228" s="70"/>
      <c r="E228" s="70"/>
      <c r="F228" s="70"/>
      <c r="G228" s="70"/>
      <c r="N228" s="71"/>
    </row>
    <row r="229" ht="15.75" customHeight="1">
      <c r="B229" s="70"/>
      <c r="C229" s="70"/>
      <c r="D229" s="70"/>
      <c r="E229" s="70"/>
      <c r="F229" s="70"/>
      <c r="G229" s="70"/>
      <c r="N229" s="71"/>
    </row>
    <row r="230" ht="15.75" customHeight="1">
      <c r="B230" s="70"/>
      <c r="C230" s="70"/>
      <c r="D230" s="70"/>
      <c r="E230" s="70"/>
      <c r="F230" s="70"/>
      <c r="G230" s="70"/>
      <c r="N230" s="7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7.25"/>
    <col customWidth="1" hidden="1" min="2" max="2" width="6.5"/>
    <col customWidth="1" hidden="1" min="3" max="3" width="7.13"/>
    <col customWidth="1" hidden="1" min="4" max="4" width="5.5"/>
    <col customWidth="1" hidden="1" min="5" max="5" width="9.63"/>
    <col customWidth="1" min="6" max="6" width="13.25"/>
  </cols>
  <sheetData>
    <row r="1" ht="15.75" customHeight="1">
      <c r="A1" s="8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7"/>
      <c r="N1" s="20"/>
    </row>
    <row r="2" ht="8.25" hidden="1" customHeight="1">
      <c r="A2" s="22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0"/>
    </row>
    <row r="3" ht="15.75" hidden="1" customHeight="1">
      <c r="A3" s="26" t="s">
        <v>31</v>
      </c>
      <c r="B3" s="29">
        <v>2025.0</v>
      </c>
      <c r="C3" s="29">
        <v>2025.0</v>
      </c>
      <c r="D3" s="29">
        <v>2025.0</v>
      </c>
      <c r="E3" s="29">
        <v>2025.0</v>
      </c>
      <c r="F3" s="29">
        <v>2025.0</v>
      </c>
      <c r="G3" s="29">
        <v>2025.0</v>
      </c>
      <c r="H3" s="29">
        <v>2025.0</v>
      </c>
      <c r="I3" s="29">
        <v>2025.0</v>
      </c>
      <c r="J3" s="29">
        <v>2025.0</v>
      </c>
      <c r="K3" s="29">
        <v>2025.0</v>
      </c>
      <c r="L3" s="29">
        <v>2025.0</v>
      </c>
      <c r="M3" s="29">
        <v>2025.0</v>
      </c>
      <c r="N3" s="29">
        <v>2025.0</v>
      </c>
    </row>
    <row r="4" ht="15.75" customHeight="1">
      <c r="A4" s="30" t="s">
        <v>50</v>
      </c>
      <c r="B4" s="29">
        <v>1.0</v>
      </c>
      <c r="C4" s="29">
        <v>2.0</v>
      </c>
      <c r="D4" s="29">
        <v>3.0</v>
      </c>
      <c r="E4" s="29">
        <v>4.0</v>
      </c>
      <c r="F4" s="29">
        <v>5.0</v>
      </c>
      <c r="G4" s="24">
        <v>6.0</v>
      </c>
      <c r="H4" s="29">
        <v>7.0</v>
      </c>
      <c r="I4" s="29">
        <v>8.0</v>
      </c>
      <c r="J4" s="29">
        <v>9.0</v>
      </c>
      <c r="K4" s="29">
        <v>10.0</v>
      </c>
      <c r="L4" s="29">
        <v>11.0</v>
      </c>
      <c r="M4" s="29">
        <v>12.0</v>
      </c>
      <c r="N4" s="31" t="s">
        <v>35</v>
      </c>
    </row>
    <row r="5" ht="15.75" customHeight="1">
      <c r="A5" s="32" t="s">
        <v>36</v>
      </c>
      <c r="B5" s="33"/>
      <c r="C5" s="33"/>
      <c r="D5" s="33"/>
      <c r="E5" s="33"/>
      <c r="F5" s="33">
        <f>sumifs(CloudBed!$V:$V,CloudBed!$K:$K,$A$5,CloudBed!$Y:$Y,F4)</f>
        <v>0</v>
      </c>
      <c r="G5" s="33">
        <f>sumifs(CloudBed!$V:$V,CloudBed!$K:$K,$A$5,CloudBed!$Y:$Y,G4)</f>
        <v>6419.64</v>
      </c>
      <c r="H5" s="33">
        <f>sumifs(CloudBed!$V:$V,CloudBed!$K:$K,$A$5,CloudBed!$Y:$Y,H4)</f>
        <v>8072.45</v>
      </c>
      <c r="I5" s="33">
        <f>sumifs(CloudBed!$V:$V,CloudBed!$K:$K,$A$5,CloudBed!$Y:$Y,I4)</f>
        <v>8751.41</v>
      </c>
      <c r="J5" s="33">
        <f>sumifs(CloudBed!$V:$V,CloudBed!$K:$K,$A$5,CloudBed!$Y:$Y,J4)</f>
        <v>11805.35</v>
      </c>
      <c r="K5" s="33">
        <f>sumifs(CloudBed!$V:$V,CloudBed!$K:$K,$A$5,CloudBed!$Y:$Y,K4)</f>
        <v>10922.64</v>
      </c>
      <c r="L5" s="33">
        <f>sumifs(CloudBed!$V:$V,CloudBed!$K:$K,$A$5,CloudBed!$Y:$Y,L4)</f>
        <v>0</v>
      </c>
      <c r="M5" s="33">
        <f>sumifs(CloudBed!$V:$V,CloudBed!$K:$K,$A$5,CloudBed!$Y:$Y,M4)</f>
        <v>0</v>
      </c>
      <c r="N5" s="34">
        <f t="shared" ref="N5:N11" si="1">SUM(B5:M5)</f>
        <v>45971.49</v>
      </c>
    </row>
    <row r="6" ht="15.75" customHeight="1">
      <c r="A6" s="32" t="s">
        <v>46</v>
      </c>
      <c r="B6" s="33"/>
      <c r="C6" s="33"/>
      <c r="D6" s="33"/>
      <c r="E6" s="33"/>
      <c r="F6" s="33">
        <f>sumifs(CloudBed!$V:$V,CloudBed!$K:$K,$A$6,CloudBed!$Y:$Y,F4)</f>
        <v>2470.5</v>
      </c>
      <c r="G6" s="33">
        <f>sumifs(CloudBed!$V:$V,CloudBed!$K:$K,$A$6,CloudBed!$Y:$Y,G4)</f>
        <v>5610</v>
      </c>
      <c r="H6" s="33">
        <f>sumifs(CloudBed!$V:$V,CloudBed!$K:$K,$A$6,CloudBed!$Y:$Y,H4)</f>
        <v>7634.7</v>
      </c>
      <c r="I6" s="33">
        <f>sumifs(CloudBed!$V:$V,CloudBed!$K:$K,$A$6,CloudBed!$Y:$Y,I4)</f>
        <v>8780.5</v>
      </c>
      <c r="J6" s="33">
        <f>sumifs(CloudBed!$V:$V,CloudBed!$K:$K,$A$6,CloudBed!$Y:$Y,J4)</f>
        <v>5962.2</v>
      </c>
      <c r="K6" s="33">
        <f>sumifs(CloudBed!$V:$V,CloudBed!$K:$K,$A$6,CloudBed!$Y:$Y,K4)</f>
        <v>0</v>
      </c>
      <c r="L6" s="33">
        <f>sumifs(CloudBed!$V:$V,CloudBed!$K:$K,$A$6,CloudBed!$Y:$Y,L4)</f>
        <v>0</v>
      </c>
      <c r="M6" s="33">
        <f>sumifs(CloudBed!$V:$V,CloudBed!$K:$K,$A$6,CloudBed!$Y:$Y,M4)</f>
        <v>0</v>
      </c>
      <c r="N6" s="34">
        <f t="shared" si="1"/>
        <v>30457.9</v>
      </c>
    </row>
    <row r="7" ht="15.75" customHeight="1">
      <c r="A7" s="32" t="s">
        <v>51</v>
      </c>
      <c r="B7" s="33"/>
      <c r="C7" s="33"/>
      <c r="D7" s="33"/>
      <c r="E7" s="33"/>
      <c r="F7" s="33">
        <f>sumifs(CloudBed!$V:$V,CloudBed!$K:$K,"Airbnb",CloudBed!$Y:$Y,F4)</f>
        <v>4244.358881</v>
      </c>
      <c r="G7" s="33">
        <f>sumifs(CloudBed!$V:$V,CloudBed!$K:$K,"Airbnb",CloudBed!$Y:$Y,G4)</f>
        <v>7211.42</v>
      </c>
      <c r="H7" s="33">
        <f>sumifs(CloudBed!$V:$V,CloudBed!$K:$K,"Airbnb",CloudBed!$Y:$Y,H4)</f>
        <v>5127.72</v>
      </c>
      <c r="I7" s="33">
        <f>sumifs(CloudBed!$V:$V,CloudBed!$K:$K,"Airbnb",CloudBed!$Y:$Y,I4)</f>
        <v>7285.24</v>
      </c>
      <c r="J7" s="33">
        <f>sumifs(CloudBed!$V:$V,CloudBed!$K:$K,"Airbnb",CloudBed!$Y:$Y,J4)</f>
        <v>4363.53</v>
      </c>
      <c r="K7" s="33">
        <f>sumifs(CloudBed!$V:$V,CloudBed!$K:$K,"Airbnb",CloudBed!$Y:$Y,K4)</f>
        <v>0</v>
      </c>
      <c r="L7" s="33">
        <f>sumifs(CloudBed!$V:$V,CloudBed!$K:$K,"Airbnb",CloudBed!$Y:$Y,L4)</f>
        <v>0</v>
      </c>
      <c r="M7" s="33">
        <f>sumifs(CloudBed!$V:$V,CloudBed!$K:$K,"Airbnb",CloudBed!$Y:$Y,M4)</f>
        <v>0</v>
      </c>
      <c r="N7" s="34">
        <f t="shared" si="1"/>
        <v>28232.26888</v>
      </c>
    </row>
    <row r="8" ht="15.75" customHeight="1">
      <c r="A8" s="32" t="s">
        <v>55</v>
      </c>
      <c r="B8" s="33"/>
      <c r="C8" s="33"/>
      <c r="D8" s="33"/>
      <c r="E8" s="33"/>
      <c r="F8" s="33">
        <f>sumifs(CloudBed!$V:$V,CloudBed!$K:$K,"*Website*",CloudBed!$Y:$Y,F4)</f>
        <v>0</v>
      </c>
      <c r="G8" s="33">
        <f>sumifs(CloudBed!$V:$V,CloudBed!$K:$K,"*Website*",CloudBed!$Y:$Y,G4)</f>
        <v>450</v>
      </c>
      <c r="H8" s="33">
        <f>sumifs(CloudBed!$V:$V,CloudBed!$K:$K,"*Website*",CloudBed!$Y:$Y,H4)</f>
        <v>257.76</v>
      </c>
      <c r="I8" s="33">
        <f>sumifs(CloudBed!$V:$V,CloudBed!$K:$K,"*Website*",CloudBed!$Y:$Y,I4)</f>
        <v>42.53</v>
      </c>
      <c r="J8" s="33">
        <f>sumifs(CloudBed!$V:$V,CloudBed!$K:$K,"*Website*",CloudBed!$Y:$Y,J4)</f>
        <v>57.94</v>
      </c>
      <c r="K8" s="33"/>
      <c r="L8" s="33"/>
      <c r="M8" s="33"/>
      <c r="N8" s="34">
        <f t="shared" si="1"/>
        <v>808.23</v>
      </c>
    </row>
    <row r="9" ht="15.75" customHeight="1">
      <c r="A9" s="30" t="s">
        <v>56</v>
      </c>
      <c r="B9" s="41">
        <f t="shared" ref="B9:M9" si="2">SUM(B5:B8)</f>
        <v>0</v>
      </c>
      <c r="C9" s="41">
        <f t="shared" si="2"/>
        <v>0</v>
      </c>
      <c r="D9" s="41">
        <f t="shared" si="2"/>
        <v>0</v>
      </c>
      <c r="E9" s="41">
        <f t="shared" si="2"/>
        <v>0</v>
      </c>
      <c r="F9" s="41">
        <f t="shared" si="2"/>
        <v>6714.858881</v>
      </c>
      <c r="G9" s="41">
        <f t="shared" si="2"/>
        <v>19691.06</v>
      </c>
      <c r="H9" s="41">
        <f t="shared" si="2"/>
        <v>21092.63</v>
      </c>
      <c r="I9" s="41">
        <f t="shared" si="2"/>
        <v>24859.68</v>
      </c>
      <c r="J9" s="41">
        <f t="shared" si="2"/>
        <v>22189.02</v>
      </c>
      <c r="K9" s="41">
        <f t="shared" si="2"/>
        <v>10922.64</v>
      </c>
      <c r="L9" s="41">
        <f t="shared" si="2"/>
        <v>0</v>
      </c>
      <c r="M9" s="41">
        <f t="shared" si="2"/>
        <v>0</v>
      </c>
      <c r="N9" s="41">
        <f t="shared" si="1"/>
        <v>105469.8889</v>
      </c>
    </row>
    <row r="10" ht="15.75" customHeight="1">
      <c r="A10" s="32" t="s">
        <v>57</v>
      </c>
      <c r="B10" s="33"/>
      <c r="C10" s="33"/>
      <c r="D10" s="33"/>
      <c r="E10" s="33"/>
      <c r="F10" s="33">
        <f>sumifs(CloudBed!$V:$V,CloudBed!$K:$K,"Walk-In",CloudBed!$Y:$Y,F4)</f>
        <v>0</v>
      </c>
      <c r="G10" s="33">
        <f>sumifs(CloudBed!$V:$V,CloudBed!$K:$K,"Walk-In",CloudBed!$Y:$Y,G4)</f>
        <v>32</v>
      </c>
      <c r="H10" s="33">
        <f>sumifs(CloudBed!$V:$V,CloudBed!$K:$K,"Walk-In",CloudBed!$Y:$Y,H4)</f>
        <v>0</v>
      </c>
      <c r="I10" s="33">
        <f>sumifs(CloudBed!$V:$V,CloudBed!$K:$K,"Walk-In",CloudBed!$Y:$Y,I4)</f>
        <v>0</v>
      </c>
      <c r="J10" s="33"/>
      <c r="K10" s="33"/>
      <c r="L10" s="33"/>
      <c r="M10" s="33"/>
      <c r="N10" s="34">
        <f t="shared" si="1"/>
        <v>32</v>
      </c>
    </row>
    <row r="11" ht="15.75" hidden="1" customHeight="1">
      <c r="A11" s="32" t="s">
        <v>58</v>
      </c>
      <c r="B11" s="33"/>
      <c r="C11" s="33"/>
      <c r="D11" s="33"/>
      <c r="E11" s="33"/>
      <c r="F11" s="33">
        <f>sumifs(CloudBed!$V:$V,CloudBed!$K:$K,$A$11,CloudBed!$Y:$Y,F4)</f>
        <v>0</v>
      </c>
      <c r="G11" s="33">
        <f>sumifs(CloudBed!$V:$V,CloudBed!$K:$K,$A$11,CloudBed!$Y:$Y,G4)</f>
        <v>214.5</v>
      </c>
      <c r="H11" s="33">
        <f>sumifs(CloudBed!$V:$V,CloudBed!$K:$K,$A$11,CloudBed!$Y:$Y,H4)</f>
        <v>220</v>
      </c>
      <c r="I11" s="33">
        <f>sumifs(CloudBed!$V:$V,CloudBed!$K:$K,$A$11,CloudBed!$Y:$Y,I4)</f>
        <v>0</v>
      </c>
      <c r="J11" s="33">
        <f>sumifs(CloudBed!$V:$V,CloudBed!$K:$K,$A$11,CloudBed!$Y:$Y,J4)</f>
        <v>0</v>
      </c>
      <c r="K11" s="33">
        <f>sumifs(FF!$X:$X,FF!$C:$C,K4)</f>
        <v>0</v>
      </c>
      <c r="L11" s="33">
        <f>sumifs(FF!$X:$X,FF!$C:$C,L4)</f>
        <v>0</v>
      </c>
      <c r="M11" s="33">
        <f>sumifs(FF!$X:$X,FF!$C:$C,M4)</f>
        <v>0</v>
      </c>
      <c r="N11" s="34">
        <f t="shared" si="1"/>
        <v>434.5</v>
      </c>
    </row>
    <row r="12" ht="15.75" hidden="1" customHeight="1">
      <c r="A12" s="32" t="s">
        <v>60</v>
      </c>
      <c r="B12" s="33"/>
      <c r="C12" s="33"/>
      <c r="D12" s="33"/>
      <c r="E12" s="33"/>
      <c r="F12" s="33">
        <f>sumifs(FF!$E:$E,FF!$C:$C,F4)</f>
        <v>1331</v>
      </c>
      <c r="G12" s="33">
        <f>sumifs(FF!$E:$E,FF!$C:$C,G4)</f>
        <v>2027</v>
      </c>
      <c r="H12" s="33">
        <f>sumifs(FF!$E:$E,FF!$C:$C,H4)</f>
        <v>2825</v>
      </c>
      <c r="I12" s="33">
        <f>sumifs(FF!$E:$E,FF!$C:$C,I4)</f>
        <v>5989.66</v>
      </c>
      <c r="J12" s="33">
        <f>sumifs(FF!$E:$E,FF!$C:$C,J4)</f>
        <v>2117.99</v>
      </c>
      <c r="K12" s="33">
        <f>sumifs(FF!$E:$E,FF!$C:$C,K4)</f>
        <v>0</v>
      </c>
      <c r="L12" s="33">
        <f>sumifs(FF!$E:$E,FF!$C:$C,L4)</f>
        <v>0</v>
      </c>
      <c r="M12" s="33">
        <f>sumifs(FF!$E:$E,FF!$C:$C,M4)</f>
        <v>0</v>
      </c>
      <c r="N12" s="34"/>
    </row>
    <row r="13" ht="15.75" customHeight="1">
      <c r="A13" s="32" t="s">
        <v>58</v>
      </c>
      <c r="B13" s="33"/>
      <c r="C13" s="33"/>
      <c r="D13" s="33"/>
      <c r="E13" s="33"/>
      <c r="F13" s="33">
        <f t="shared" ref="F13:M13" si="3">F11+F12</f>
        <v>1331</v>
      </c>
      <c r="G13" s="33">
        <f t="shared" si="3"/>
        <v>2241.5</v>
      </c>
      <c r="H13" s="33">
        <f t="shared" si="3"/>
        <v>3045</v>
      </c>
      <c r="I13" s="33">
        <f t="shared" si="3"/>
        <v>5989.66</v>
      </c>
      <c r="J13" s="33">
        <f t="shared" si="3"/>
        <v>2117.99</v>
      </c>
      <c r="K13" s="33">
        <f t="shared" si="3"/>
        <v>0</v>
      </c>
      <c r="L13" s="33">
        <f t="shared" si="3"/>
        <v>0</v>
      </c>
      <c r="M13" s="33">
        <f t="shared" si="3"/>
        <v>0</v>
      </c>
      <c r="N13" s="34">
        <f t="shared" ref="N13:N14" si="6">SUM(B13:M13)</f>
        <v>14725.15</v>
      </c>
    </row>
    <row r="14" ht="15.75" customHeight="1">
      <c r="A14" s="44" t="s">
        <v>59</v>
      </c>
      <c r="B14" s="45">
        <f t="shared" ref="B14:E14" si="4">SUM(B10:B12)</f>
        <v>0</v>
      </c>
      <c r="C14" s="45">
        <f t="shared" si="4"/>
        <v>0</v>
      </c>
      <c r="D14" s="45">
        <f t="shared" si="4"/>
        <v>0</v>
      </c>
      <c r="E14" s="45">
        <f t="shared" si="4"/>
        <v>0</v>
      </c>
      <c r="F14" s="45">
        <f t="shared" ref="F14:M14" si="5">F10+F13</f>
        <v>1331</v>
      </c>
      <c r="G14" s="45">
        <f t="shared" si="5"/>
        <v>2273.5</v>
      </c>
      <c r="H14" s="45">
        <f t="shared" si="5"/>
        <v>3045</v>
      </c>
      <c r="I14" s="45">
        <f t="shared" si="5"/>
        <v>5989.66</v>
      </c>
      <c r="J14" s="45">
        <f t="shared" si="5"/>
        <v>2117.99</v>
      </c>
      <c r="K14" s="45">
        <f t="shared" si="5"/>
        <v>0</v>
      </c>
      <c r="L14" s="45">
        <f t="shared" si="5"/>
        <v>0</v>
      </c>
      <c r="M14" s="45">
        <f t="shared" si="5"/>
        <v>0</v>
      </c>
      <c r="N14" s="45">
        <f t="shared" si="6"/>
        <v>14757.15</v>
      </c>
    </row>
    <row r="15" ht="15.75" customHeight="1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8"/>
    </row>
    <row r="16" ht="15.75" customHeight="1">
      <c r="A16" s="32" t="s">
        <v>61</v>
      </c>
      <c r="B16" s="33"/>
      <c r="C16" s="33"/>
      <c r="D16" s="33"/>
      <c r="E16" s="33"/>
      <c r="F16" s="33">
        <f>sumifs(CloudBed!$P:$P,CloudBed!$Y:$Y,F4)</f>
        <v>260</v>
      </c>
      <c r="G16" s="33">
        <f>sumifs(CloudBed!$P:$P,CloudBed!$Y:$Y,G4)</f>
        <v>1094</v>
      </c>
      <c r="H16" s="33">
        <f>sumifs(CloudBed!$P:$P,CloudBed!$Y:$Y,H4)</f>
        <v>1156</v>
      </c>
      <c r="I16" s="33">
        <f>sumifs(CloudBed!$P:$P,CloudBed!$Y:$Y,I4)</f>
        <v>1176</v>
      </c>
      <c r="J16" s="33">
        <f>sumifs(CloudBed!$P:$P,CloudBed!$Y:$Y,J4)</f>
        <v>1142</v>
      </c>
      <c r="K16" s="33">
        <f>sumifs(CloudBed!$P:$P,CloudBed!$Y:$Y,K4)</f>
        <v>626</v>
      </c>
      <c r="L16" s="33">
        <f>sumifs(CloudBed!$P:$P,CloudBed!$Y:$Y,L4)</f>
        <v>0</v>
      </c>
      <c r="M16" s="33">
        <f>sumifs(CloudBed!$P:$P,CloudBed!$Y:$Y,M4)</f>
        <v>0</v>
      </c>
      <c r="N16" s="34">
        <f>SUM(B16:M16)</f>
        <v>5454</v>
      </c>
    </row>
    <row r="17" ht="15.75" customHeight="1">
      <c r="A17" s="27" t="s">
        <v>64</v>
      </c>
      <c r="B17" s="28"/>
      <c r="C17" s="28"/>
      <c r="D17" s="28"/>
      <c r="E17" s="28">
        <f>Receptor!E9+Receptor!E14</f>
        <v>0</v>
      </c>
      <c r="F17" s="28">
        <f t="shared" ref="F17:N17" si="7">F9+F14+F16</f>
        <v>8305.858881</v>
      </c>
      <c r="G17" s="28">
        <f t="shared" si="7"/>
        <v>23058.56</v>
      </c>
      <c r="H17" s="28">
        <f t="shared" si="7"/>
        <v>25293.63</v>
      </c>
      <c r="I17" s="28">
        <f t="shared" si="7"/>
        <v>32025.34</v>
      </c>
      <c r="J17" s="28">
        <f t="shared" si="7"/>
        <v>25449.01</v>
      </c>
      <c r="K17" s="28">
        <f t="shared" si="7"/>
        <v>11548.64</v>
      </c>
      <c r="L17" s="28">
        <f t="shared" si="7"/>
        <v>0</v>
      </c>
      <c r="M17" s="28">
        <f t="shared" si="7"/>
        <v>0</v>
      </c>
      <c r="N17" s="28">
        <f t="shared" si="7"/>
        <v>125681.0389</v>
      </c>
    </row>
    <row r="18" ht="15.75" customHeight="1">
      <c r="A18" s="27" t="s">
        <v>84</v>
      </c>
      <c r="B18" s="28"/>
      <c r="C18" s="28"/>
      <c r="D18" s="28"/>
      <c r="E18" s="28"/>
      <c r="F18" s="28">
        <f>Receptor!F9+Receptor!F14+Receptor!F16</f>
        <v>16478.70888</v>
      </c>
      <c r="G18" s="28">
        <f>Receptor!G9+Receptor!G14+Receptor!G16</f>
        <v>24680.61</v>
      </c>
      <c r="H18" s="28">
        <f>Receptor!H9+Receptor!H14+Receptor!H16</f>
        <v>26943.84</v>
      </c>
      <c r="I18" s="28">
        <f>Receptor!I9+Receptor!I14+Receptor!I16</f>
        <v>33915.75</v>
      </c>
      <c r="J18" s="28">
        <f>Receptor!J9+Receptor!J14+Receptor!J16</f>
        <v>23662.13</v>
      </c>
      <c r="K18" s="28">
        <f>Receptor!K9+Receptor!K14+Receptor!K16</f>
        <v>0</v>
      </c>
      <c r="L18" s="28">
        <f>Receptor!L9+Receptor!L14+Receptor!L16</f>
        <v>0</v>
      </c>
      <c r="M18" s="28">
        <f>Receptor!M9+Receptor!M14+Receptor!M16</f>
        <v>0</v>
      </c>
      <c r="N18" s="28">
        <f>Receptor!N9+Receptor!N14+Receptor!N16</f>
        <v>125681.0389</v>
      </c>
    </row>
    <row r="19" ht="15.75" customHeight="1">
      <c r="A19" s="68" t="s">
        <v>88</v>
      </c>
      <c r="B19" s="69"/>
      <c r="C19" s="69"/>
      <c r="D19" s="69"/>
      <c r="E19" s="69"/>
      <c r="F19" s="69">
        <f t="shared" ref="F19:N19" si="8">F17-F18</f>
        <v>-8172.85</v>
      </c>
      <c r="G19" s="69">
        <f t="shared" si="8"/>
        <v>-1622.05</v>
      </c>
      <c r="H19" s="69">
        <f t="shared" si="8"/>
        <v>-1650.21</v>
      </c>
      <c r="I19" s="69">
        <f t="shared" si="8"/>
        <v>-1890.41</v>
      </c>
      <c r="J19" s="69">
        <f t="shared" si="8"/>
        <v>1786.88</v>
      </c>
      <c r="K19" s="69">
        <f t="shared" si="8"/>
        <v>11548.64</v>
      </c>
      <c r="L19" s="69">
        <f t="shared" si="8"/>
        <v>0</v>
      </c>
      <c r="M19" s="69">
        <f t="shared" si="8"/>
        <v>0</v>
      </c>
      <c r="N19" s="69">
        <f t="shared" si="8"/>
        <v>0</v>
      </c>
    </row>
    <row r="20" ht="15.75" customHeight="1">
      <c r="B20" s="70"/>
      <c r="C20" s="70"/>
      <c r="D20" s="70"/>
      <c r="E20" s="70"/>
      <c r="F20" s="70"/>
      <c r="G20" s="70"/>
      <c r="N20" s="71"/>
    </row>
    <row r="21" ht="15.75" customHeight="1">
      <c r="B21" s="70"/>
      <c r="C21" s="70"/>
      <c r="D21" s="70"/>
      <c r="E21" s="70"/>
      <c r="F21" s="70"/>
      <c r="G21" s="70"/>
      <c r="N21" s="71"/>
    </row>
    <row r="22" ht="15.75" customHeight="1">
      <c r="B22" s="70"/>
      <c r="C22" s="70"/>
      <c r="D22" s="70"/>
      <c r="E22" s="70"/>
      <c r="F22" s="70"/>
      <c r="G22" s="70"/>
      <c r="N22" s="71"/>
    </row>
    <row r="23" ht="15.75" customHeight="1">
      <c r="B23" s="70"/>
      <c r="C23" s="70"/>
      <c r="D23" s="70"/>
      <c r="E23" s="70"/>
      <c r="F23" s="70"/>
      <c r="G23" s="70"/>
      <c r="N23" s="71"/>
    </row>
    <row r="24" ht="15.75" customHeight="1">
      <c r="B24" s="70"/>
      <c r="C24" s="70"/>
      <c r="D24" s="70"/>
      <c r="E24" s="70"/>
      <c r="F24" s="70"/>
      <c r="G24" s="70"/>
      <c r="N24" s="71"/>
    </row>
    <row r="25" ht="15.75" customHeight="1">
      <c r="B25" s="70"/>
      <c r="C25" s="70"/>
      <c r="D25" s="70"/>
      <c r="E25" s="70"/>
      <c r="F25" s="70"/>
      <c r="G25" s="70"/>
      <c r="N25" s="71"/>
    </row>
    <row r="26" ht="15.75" customHeight="1">
      <c r="B26" s="70"/>
      <c r="C26" s="70"/>
      <c r="D26" s="70"/>
      <c r="E26" s="70"/>
      <c r="F26" s="70"/>
      <c r="G26" s="70"/>
      <c r="N26" s="71"/>
    </row>
    <row r="27" ht="15.75" customHeight="1">
      <c r="B27" s="70"/>
      <c r="C27" s="70"/>
      <c r="D27" s="70"/>
      <c r="E27" s="70"/>
      <c r="F27" s="70"/>
      <c r="G27" s="70"/>
      <c r="N27" s="71"/>
    </row>
    <row r="28" ht="15.75" customHeight="1">
      <c r="B28" s="70"/>
      <c r="C28" s="70"/>
      <c r="D28" s="70"/>
      <c r="E28" s="70"/>
      <c r="F28" s="70"/>
      <c r="G28" s="70"/>
      <c r="N28" s="71"/>
    </row>
    <row r="29" ht="15.75" customHeight="1">
      <c r="B29" s="70"/>
      <c r="C29" s="70"/>
      <c r="D29" s="70"/>
      <c r="E29" s="70"/>
      <c r="F29" s="70"/>
      <c r="G29" s="70"/>
      <c r="N29" s="71"/>
    </row>
    <row r="30" ht="15.75" customHeight="1">
      <c r="B30" s="70"/>
      <c r="C30" s="70"/>
      <c r="D30" s="70"/>
      <c r="E30" s="70"/>
      <c r="F30" s="70"/>
      <c r="G30" s="70"/>
      <c r="N30" s="71"/>
    </row>
    <row r="31" ht="15.75" customHeight="1">
      <c r="B31" s="70"/>
      <c r="C31" s="70"/>
      <c r="D31" s="70"/>
      <c r="E31" s="70"/>
      <c r="F31" s="70"/>
      <c r="G31" s="70"/>
      <c r="N31" s="71"/>
    </row>
    <row r="32" ht="15.75" customHeight="1">
      <c r="B32" s="70"/>
      <c r="C32" s="70"/>
      <c r="D32" s="70"/>
      <c r="E32" s="70"/>
      <c r="F32" s="70"/>
      <c r="G32" s="70"/>
      <c r="N32" s="71"/>
    </row>
    <row r="33" ht="15.75" customHeight="1">
      <c r="B33" s="70"/>
      <c r="C33" s="70"/>
      <c r="D33" s="70"/>
      <c r="E33" s="70"/>
      <c r="F33" s="70"/>
      <c r="G33" s="70"/>
      <c r="N33" s="71"/>
    </row>
    <row r="34" ht="15.75" customHeight="1">
      <c r="B34" s="70"/>
      <c r="C34" s="70"/>
      <c r="D34" s="70"/>
      <c r="E34" s="70"/>
      <c r="F34" s="70"/>
      <c r="G34" s="70"/>
      <c r="N34" s="71"/>
    </row>
    <row r="35" ht="15.75" customHeight="1">
      <c r="B35" s="70"/>
      <c r="C35" s="70"/>
      <c r="D35" s="70"/>
      <c r="E35" s="70"/>
      <c r="F35" s="70"/>
      <c r="G35" s="70"/>
      <c r="N35" s="71"/>
    </row>
    <row r="36" ht="15.75" customHeight="1">
      <c r="B36" s="70"/>
      <c r="C36" s="70"/>
      <c r="D36" s="70"/>
      <c r="E36" s="70"/>
      <c r="F36" s="70"/>
      <c r="G36" s="70"/>
      <c r="N36" s="71"/>
    </row>
    <row r="37" ht="15.75" customHeight="1">
      <c r="B37" s="70"/>
      <c r="C37" s="70"/>
      <c r="D37" s="70"/>
      <c r="E37" s="70"/>
      <c r="F37" s="70"/>
      <c r="G37" s="70"/>
      <c r="N37" s="71"/>
    </row>
    <row r="38" ht="15.75" customHeight="1">
      <c r="B38" s="70"/>
      <c r="C38" s="70"/>
      <c r="D38" s="70"/>
      <c r="E38" s="70"/>
      <c r="F38" s="70"/>
      <c r="G38" s="70"/>
      <c r="N38" s="71"/>
    </row>
    <row r="39" ht="15.75" customHeight="1">
      <c r="B39" s="70"/>
      <c r="C39" s="70"/>
      <c r="D39" s="70"/>
      <c r="E39" s="70"/>
      <c r="F39" s="70"/>
      <c r="G39" s="70"/>
      <c r="N39" s="71"/>
    </row>
    <row r="40" ht="15.75" customHeight="1">
      <c r="B40" s="70"/>
      <c r="C40" s="70"/>
      <c r="D40" s="70"/>
      <c r="E40" s="70"/>
      <c r="F40" s="70"/>
      <c r="G40" s="70"/>
      <c r="N40" s="71"/>
    </row>
    <row r="41" ht="15.75" customHeight="1">
      <c r="B41" s="70"/>
      <c r="C41" s="70"/>
      <c r="D41" s="70"/>
      <c r="E41" s="70"/>
      <c r="F41" s="70"/>
      <c r="G41" s="70"/>
      <c r="N41" s="71"/>
    </row>
    <row r="42" ht="15.75" customHeight="1">
      <c r="B42" s="70"/>
      <c r="C42" s="70"/>
      <c r="D42" s="70"/>
      <c r="E42" s="70"/>
      <c r="F42" s="70"/>
      <c r="G42" s="70"/>
      <c r="N42" s="71"/>
    </row>
    <row r="43" ht="15.75" customHeight="1">
      <c r="B43" s="70"/>
      <c r="C43" s="70"/>
      <c r="D43" s="70"/>
      <c r="E43" s="70"/>
      <c r="F43" s="70"/>
      <c r="G43" s="70"/>
      <c r="N43" s="71"/>
    </row>
    <row r="44" ht="15.75" customHeight="1">
      <c r="B44" s="70"/>
      <c r="C44" s="70"/>
      <c r="D44" s="70"/>
      <c r="E44" s="70"/>
      <c r="F44" s="70"/>
      <c r="G44" s="70"/>
      <c r="N44" s="71"/>
    </row>
    <row r="45" ht="15.75" customHeight="1">
      <c r="B45" s="70"/>
      <c r="C45" s="70"/>
      <c r="D45" s="70"/>
      <c r="E45" s="70"/>
      <c r="F45" s="70"/>
      <c r="G45" s="70"/>
      <c r="N45" s="71"/>
    </row>
    <row r="46" ht="15.75" customHeight="1">
      <c r="B46" s="70"/>
      <c r="C46" s="70"/>
      <c r="D46" s="70"/>
      <c r="E46" s="70"/>
      <c r="F46" s="70"/>
      <c r="G46" s="70"/>
      <c r="N46" s="71"/>
    </row>
    <row r="47" ht="15.75" customHeight="1">
      <c r="B47" s="70"/>
      <c r="C47" s="70"/>
      <c r="D47" s="70"/>
      <c r="E47" s="70"/>
      <c r="F47" s="70"/>
      <c r="G47" s="70"/>
      <c r="N47" s="71"/>
    </row>
    <row r="48" ht="15.75" customHeight="1">
      <c r="B48" s="70"/>
      <c r="C48" s="70"/>
      <c r="D48" s="70"/>
      <c r="E48" s="70"/>
      <c r="F48" s="70"/>
      <c r="G48" s="70"/>
      <c r="N48" s="71"/>
    </row>
    <row r="49" ht="15.75" customHeight="1">
      <c r="B49" s="70"/>
      <c r="C49" s="70"/>
      <c r="D49" s="70"/>
      <c r="E49" s="70"/>
      <c r="F49" s="70"/>
      <c r="G49" s="70"/>
      <c r="N49" s="71"/>
    </row>
    <row r="50" ht="15.75" customHeight="1">
      <c r="B50" s="70"/>
      <c r="C50" s="70"/>
      <c r="D50" s="70"/>
      <c r="E50" s="70"/>
      <c r="F50" s="70"/>
      <c r="G50" s="70"/>
      <c r="N50" s="71"/>
    </row>
    <row r="51" ht="15.75" customHeight="1">
      <c r="B51" s="70"/>
      <c r="C51" s="70"/>
      <c r="D51" s="70"/>
      <c r="E51" s="70"/>
      <c r="F51" s="70"/>
      <c r="G51" s="70"/>
      <c r="N51" s="71"/>
    </row>
    <row r="52" ht="15.75" customHeight="1">
      <c r="B52" s="70"/>
      <c r="C52" s="70"/>
      <c r="D52" s="70"/>
      <c r="E52" s="70"/>
      <c r="F52" s="70"/>
      <c r="G52" s="70"/>
      <c r="N52" s="71"/>
    </row>
    <row r="53" ht="15.75" customHeight="1">
      <c r="B53" s="70"/>
      <c r="C53" s="70"/>
      <c r="D53" s="70"/>
      <c r="E53" s="70"/>
      <c r="F53" s="70"/>
      <c r="G53" s="70"/>
      <c r="N53" s="71"/>
    </row>
    <row r="54" ht="15.75" customHeight="1">
      <c r="B54" s="70"/>
      <c r="C54" s="70"/>
      <c r="D54" s="70"/>
      <c r="E54" s="70"/>
      <c r="F54" s="70"/>
      <c r="G54" s="70"/>
      <c r="N54" s="71"/>
    </row>
    <row r="55" ht="15.75" customHeight="1">
      <c r="B55" s="70"/>
      <c r="C55" s="70"/>
      <c r="D55" s="70"/>
      <c r="E55" s="70"/>
      <c r="F55" s="70"/>
      <c r="G55" s="70"/>
      <c r="N55" s="71"/>
    </row>
    <row r="56" ht="15.75" customHeight="1">
      <c r="B56" s="70"/>
      <c r="C56" s="70"/>
      <c r="D56" s="70"/>
      <c r="E56" s="70"/>
      <c r="F56" s="70"/>
      <c r="G56" s="70"/>
      <c r="N56" s="71"/>
    </row>
    <row r="57" ht="15.75" customHeight="1">
      <c r="B57" s="70"/>
      <c r="C57" s="70"/>
      <c r="D57" s="70"/>
      <c r="E57" s="70"/>
      <c r="F57" s="70"/>
      <c r="G57" s="70"/>
      <c r="N57" s="71"/>
    </row>
    <row r="58" ht="15.75" customHeight="1">
      <c r="B58" s="70"/>
      <c r="C58" s="70"/>
      <c r="D58" s="70"/>
      <c r="E58" s="70"/>
      <c r="F58" s="70"/>
      <c r="G58" s="70"/>
      <c r="N58" s="71"/>
    </row>
    <row r="59" ht="15.75" customHeight="1">
      <c r="B59" s="70"/>
      <c r="C59" s="70"/>
      <c r="D59" s="70"/>
      <c r="E59" s="70"/>
      <c r="F59" s="70"/>
      <c r="G59" s="70"/>
      <c r="N59" s="71"/>
    </row>
    <row r="60" ht="15.75" customHeight="1">
      <c r="B60" s="70"/>
      <c r="C60" s="70"/>
      <c r="D60" s="70"/>
      <c r="E60" s="70"/>
      <c r="F60" s="70"/>
      <c r="G60" s="70"/>
      <c r="N60" s="71"/>
    </row>
    <row r="61" ht="15.75" customHeight="1">
      <c r="B61" s="70"/>
      <c r="C61" s="70"/>
      <c r="D61" s="70"/>
      <c r="E61" s="70"/>
      <c r="F61" s="70"/>
      <c r="G61" s="70"/>
      <c r="N61" s="71"/>
    </row>
    <row r="62" ht="15.75" customHeight="1">
      <c r="B62" s="70"/>
      <c r="C62" s="70"/>
      <c r="D62" s="70"/>
      <c r="E62" s="70"/>
      <c r="F62" s="70"/>
      <c r="G62" s="70"/>
      <c r="N62" s="71"/>
    </row>
    <row r="63" ht="15.75" customHeight="1">
      <c r="B63" s="70"/>
      <c r="C63" s="70"/>
      <c r="D63" s="70"/>
      <c r="E63" s="70"/>
      <c r="F63" s="70"/>
      <c r="G63" s="70"/>
      <c r="N63" s="71"/>
    </row>
    <row r="64" ht="15.75" customHeight="1">
      <c r="B64" s="70"/>
      <c r="C64" s="70"/>
      <c r="D64" s="70"/>
      <c r="E64" s="70"/>
      <c r="F64" s="70"/>
      <c r="G64" s="70"/>
      <c r="N64" s="71"/>
    </row>
    <row r="65" ht="15.75" customHeight="1">
      <c r="B65" s="70"/>
      <c r="C65" s="70"/>
      <c r="D65" s="70"/>
      <c r="E65" s="70"/>
      <c r="F65" s="70"/>
      <c r="G65" s="70"/>
      <c r="N65" s="71"/>
    </row>
    <row r="66" ht="15.75" customHeight="1">
      <c r="B66" s="70"/>
      <c r="C66" s="70"/>
      <c r="D66" s="70"/>
      <c r="E66" s="70"/>
      <c r="F66" s="70"/>
      <c r="G66" s="70"/>
      <c r="N66" s="71"/>
    </row>
    <row r="67" ht="15.75" customHeight="1">
      <c r="B67" s="70"/>
      <c r="C67" s="70"/>
      <c r="D67" s="70"/>
      <c r="E67" s="70"/>
      <c r="F67" s="70"/>
      <c r="G67" s="70"/>
      <c r="N67" s="71"/>
    </row>
    <row r="68" ht="15.75" customHeight="1">
      <c r="B68" s="70"/>
      <c r="C68" s="70"/>
      <c r="D68" s="70"/>
      <c r="E68" s="70"/>
      <c r="F68" s="70"/>
      <c r="G68" s="70"/>
      <c r="N68" s="71"/>
    </row>
    <row r="69" ht="15.75" customHeight="1">
      <c r="B69" s="70"/>
      <c r="C69" s="70"/>
      <c r="D69" s="70"/>
      <c r="E69" s="70"/>
      <c r="F69" s="70"/>
      <c r="G69" s="70"/>
      <c r="N69" s="71"/>
    </row>
    <row r="70" ht="15.75" customHeight="1">
      <c r="B70" s="70"/>
      <c r="C70" s="70"/>
      <c r="D70" s="70"/>
      <c r="E70" s="70"/>
      <c r="F70" s="70"/>
      <c r="G70" s="70"/>
      <c r="N70" s="71"/>
    </row>
    <row r="71" ht="15.75" customHeight="1">
      <c r="B71" s="70"/>
      <c r="C71" s="70"/>
      <c r="D71" s="70"/>
      <c r="E71" s="70"/>
      <c r="F71" s="70"/>
      <c r="G71" s="70"/>
      <c r="N71" s="71"/>
    </row>
    <row r="72" ht="15.75" customHeight="1">
      <c r="B72" s="70"/>
      <c r="C72" s="70"/>
      <c r="D72" s="70"/>
      <c r="E72" s="70"/>
      <c r="F72" s="70"/>
      <c r="G72" s="70"/>
      <c r="N72" s="71"/>
    </row>
    <row r="73" ht="15.75" customHeight="1">
      <c r="B73" s="70"/>
      <c r="C73" s="70"/>
      <c r="D73" s="70"/>
      <c r="E73" s="70"/>
      <c r="F73" s="70"/>
      <c r="G73" s="70"/>
      <c r="N73" s="71"/>
    </row>
    <row r="74" ht="15.75" customHeight="1">
      <c r="B74" s="70"/>
      <c r="C74" s="70"/>
      <c r="D74" s="70"/>
      <c r="E74" s="70"/>
      <c r="F74" s="70"/>
      <c r="G74" s="70"/>
      <c r="N74" s="71"/>
    </row>
    <row r="75" ht="15.75" customHeight="1">
      <c r="B75" s="70"/>
      <c r="C75" s="70"/>
      <c r="D75" s="70"/>
      <c r="E75" s="70"/>
      <c r="F75" s="70"/>
      <c r="G75" s="70"/>
      <c r="N75" s="71"/>
    </row>
    <row r="76" ht="15.75" customHeight="1">
      <c r="B76" s="70"/>
      <c r="C76" s="70"/>
      <c r="D76" s="70"/>
      <c r="E76" s="70"/>
      <c r="F76" s="70"/>
      <c r="G76" s="70"/>
      <c r="N76" s="71"/>
    </row>
    <row r="77" ht="15.75" customHeight="1">
      <c r="B77" s="70"/>
      <c r="C77" s="70"/>
      <c r="D77" s="70"/>
      <c r="E77" s="70"/>
      <c r="F77" s="70"/>
      <c r="G77" s="70"/>
      <c r="N77" s="71"/>
    </row>
    <row r="78" ht="15.75" customHeight="1">
      <c r="B78" s="70"/>
      <c r="C78" s="70"/>
      <c r="D78" s="70"/>
      <c r="E78" s="70"/>
      <c r="F78" s="70"/>
      <c r="G78" s="70"/>
      <c r="N78" s="71"/>
    </row>
    <row r="79" ht="15.75" customHeight="1">
      <c r="B79" s="70"/>
      <c r="C79" s="70"/>
      <c r="D79" s="70"/>
      <c r="E79" s="70"/>
      <c r="F79" s="70"/>
      <c r="G79" s="70"/>
      <c r="N79" s="71"/>
    </row>
    <row r="80" ht="15.75" customHeight="1">
      <c r="B80" s="70"/>
      <c r="C80" s="70"/>
      <c r="D80" s="70"/>
      <c r="E80" s="70"/>
      <c r="F80" s="70"/>
      <c r="G80" s="70"/>
      <c r="N80" s="71"/>
    </row>
    <row r="81" ht="15.75" customHeight="1">
      <c r="B81" s="70"/>
      <c r="C81" s="70"/>
      <c r="D81" s="70"/>
      <c r="E81" s="70"/>
      <c r="F81" s="70"/>
      <c r="G81" s="70"/>
      <c r="N81" s="71"/>
    </row>
    <row r="82" ht="15.75" customHeight="1">
      <c r="B82" s="70"/>
      <c r="C82" s="70"/>
      <c r="D82" s="70"/>
      <c r="E82" s="70"/>
      <c r="F82" s="70"/>
      <c r="G82" s="70"/>
      <c r="N82" s="71"/>
    </row>
    <row r="83" ht="15.75" customHeight="1">
      <c r="B83" s="70"/>
      <c r="C83" s="70"/>
      <c r="D83" s="70"/>
      <c r="E83" s="70"/>
      <c r="F83" s="70"/>
      <c r="G83" s="70"/>
      <c r="N83" s="71"/>
    </row>
    <row r="84" ht="15.75" customHeight="1">
      <c r="B84" s="70"/>
      <c r="C84" s="70"/>
      <c r="D84" s="70"/>
      <c r="E84" s="70"/>
      <c r="F84" s="70"/>
      <c r="G84" s="70"/>
      <c r="N84" s="71"/>
    </row>
    <row r="85" ht="15.75" customHeight="1">
      <c r="B85" s="70"/>
      <c r="C85" s="70"/>
      <c r="D85" s="70"/>
      <c r="E85" s="70"/>
      <c r="F85" s="70"/>
      <c r="G85" s="70"/>
      <c r="N85" s="71"/>
    </row>
    <row r="86" ht="15.75" customHeight="1">
      <c r="B86" s="70"/>
      <c r="C86" s="70"/>
      <c r="D86" s="70"/>
      <c r="E86" s="70"/>
      <c r="F86" s="70"/>
      <c r="G86" s="70"/>
      <c r="N86" s="71"/>
    </row>
    <row r="87" ht="15.75" customHeight="1">
      <c r="B87" s="70"/>
      <c r="C87" s="70"/>
      <c r="D87" s="70"/>
      <c r="E87" s="70"/>
      <c r="F87" s="70"/>
      <c r="G87" s="70"/>
      <c r="N87" s="71"/>
    </row>
    <row r="88" ht="15.75" customHeight="1">
      <c r="B88" s="70"/>
      <c r="C88" s="70"/>
      <c r="D88" s="70"/>
      <c r="E88" s="70"/>
      <c r="F88" s="70"/>
      <c r="G88" s="70"/>
      <c r="N88" s="71"/>
    </row>
    <row r="89" ht="15.75" customHeight="1">
      <c r="B89" s="70"/>
      <c r="C89" s="70"/>
      <c r="D89" s="70"/>
      <c r="E89" s="70"/>
      <c r="F89" s="70"/>
      <c r="G89" s="70"/>
      <c r="N89" s="71"/>
    </row>
    <row r="90" ht="15.75" customHeight="1">
      <c r="B90" s="70"/>
      <c r="C90" s="70"/>
      <c r="D90" s="70"/>
      <c r="E90" s="70"/>
      <c r="F90" s="70"/>
      <c r="G90" s="70"/>
      <c r="N90" s="71"/>
    </row>
    <row r="91" ht="15.75" customHeight="1">
      <c r="B91" s="70"/>
      <c r="C91" s="70"/>
      <c r="D91" s="70"/>
      <c r="E91" s="70"/>
      <c r="F91" s="70"/>
      <c r="G91" s="70"/>
      <c r="N91" s="71"/>
    </row>
    <row r="92" ht="15.75" customHeight="1">
      <c r="B92" s="70"/>
      <c r="C92" s="70"/>
      <c r="D92" s="70"/>
      <c r="E92" s="70"/>
      <c r="F92" s="70"/>
      <c r="G92" s="70"/>
      <c r="N92" s="71"/>
    </row>
    <row r="93" ht="15.75" customHeight="1">
      <c r="B93" s="70"/>
      <c r="C93" s="70"/>
      <c r="D93" s="70"/>
      <c r="E93" s="70"/>
      <c r="F93" s="70"/>
      <c r="G93" s="70"/>
      <c r="N93" s="71"/>
    </row>
    <row r="94" ht="15.75" customHeight="1">
      <c r="B94" s="70"/>
      <c r="C94" s="70"/>
      <c r="D94" s="70"/>
      <c r="E94" s="70"/>
      <c r="F94" s="70"/>
      <c r="G94" s="70"/>
      <c r="N94" s="71"/>
    </row>
    <row r="95" ht="15.75" customHeight="1">
      <c r="B95" s="70"/>
      <c r="C95" s="70"/>
      <c r="D95" s="70"/>
      <c r="E95" s="70"/>
      <c r="F95" s="70"/>
      <c r="G95" s="70"/>
      <c r="N95" s="71"/>
    </row>
    <row r="96" ht="15.75" customHeight="1">
      <c r="B96" s="70"/>
      <c r="C96" s="70"/>
      <c r="D96" s="70"/>
      <c r="E96" s="70"/>
      <c r="F96" s="70"/>
      <c r="G96" s="70"/>
      <c r="N96" s="71"/>
    </row>
    <row r="97" ht="15.75" customHeight="1">
      <c r="B97" s="70"/>
      <c r="C97" s="70"/>
      <c r="D97" s="70"/>
      <c r="E97" s="70"/>
      <c r="F97" s="70"/>
      <c r="G97" s="70"/>
      <c r="N97" s="71"/>
    </row>
    <row r="98" ht="15.75" customHeight="1">
      <c r="B98" s="70"/>
      <c r="C98" s="70"/>
      <c r="D98" s="70"/>
      <c r="E98" s="70"/>
      <c r="F98" s="70"/>
      <c r="G98" s="70"/>
      <c r="N98" s="71"/>
    </row>
    <row r="99" ht="15.75" customHeight="1">
      <c r="B99" s="70"/>
      <c r="C99" s="70"/>
      <c r="D99" s="70"/>
      <c r="E99" s="70"/>
      <c r="F99" s="70"/>
      <c r="G99" s="70"/>
      <c r="N99" s="71"/>
    </row>
    <row r="100" ht="15.75" customHeight="1">
      <c r="B100" s="70"/>
      <c r="C100" s="70"/>
      <c r="D100" s="70"/>
      <c r="E100" s="70"/>
      <c r="F100" s="70"/>
      <c r="G100" s="70"/>
      <c r="N100" s="71"/>
    </row>
    <row r="101" ht="15.75" customHeight="1">
      <c r="B101" s="70"/>
      <c r="C101" s="70"/>
      <c r="D101" s="70"/>
      <c r="E101" s="70"/>
      <c r="F101" s="70"/>
      <c r="G101" s="70"/>
      <c r="N101" s="71"/>
    </row>
    <row r="102" ht="15.75" customHeight="1">
      <c r="B102" s="70"/>
      <c r="C102" s="70"/>
      <c r="D102" s="70"/>
      <c r="E102" s="70"/>
      <c r="F102" s="70"/>
      <c r="G102" s="70"/>
      <c r="N102" s="71"/>
    </row>
    <row r="103" ht="15.75" customHeight="1">
      <c r="B103" s="70"/>
      <c r="C103" s="70"/>
      <c r="D103" s="70"/>
      <c r="E103" s="70"/>
      <c r="F103" s="70"/>
      <c r="G103" s="70"/>
      <c r="N103" s="71"/>
    </row>
    <row r="104" ht="15.75" customHeight="1">
      <c r="B104" s="70"/>
      <c r="C104" s="70"/>
      <c r="D104" s="70"/>
      <c r="E104" s="70"/>
      <c r="F104" s="70"/>
      <c r="G104" s="70"/>
      <c r="N104" s="71"/>
    </row>
    <row r="105" ht="15.75" customHeight="1">
      <c r="B105" s="70"/>
      <c r="C105" s="70"/>
      <c r="D105" s="70"/>
      <c r="E105" s="70"/>
      <c r="F105" s="70"/>
      <c r="G105" s="70"/>
      <c r="N105" s="71"/>
    </row>
    <row r="106" ht="15.75" customHeight="1">
      <c r="B106" s="70"/>
      <c r="C106" s="70"/>
      <c r="D106" s="70"/>
      <c r="E106" s="70"/>
      <c r="F106" s="70"/>
      <c r="G106" s="70"/>
      <c r="N106" s="71"/>
    </row>
    <row r="107" ht="15.75" customHeight="1">
      <c r="B107" s="70"/>
      <c r="C107" s="70"/>
      <c r="D107" s="70"/>
      <c r="E107" s="70"/>
      <c r="F107" s="70"/>
      <c r="G107" s="70"/>
      <c r="N107" s="71"/>
    </row>
    <row r="108" ht="15.75" customHeight="1">
      <c r="B108" s="70"/>
      <c r="C108" s="70"/>
      <c r="D108" s="70"/>
      <c r="E108" s="70"/>
      <c r="F108" s="70"/>
      <c r="G108" s="70"/>
      <c r="N108" s="71"/>
    </row>
    <row r="109" ht="15.75" customHeight="1">
      <c r="B109" s="70"/>
      <c r="C109" s="70"/>
      <c r="D109" s="70"/>
      <c r="E109" s="70"/>
      <c r="F109" s="70"/>
      <c r="G109" s="70"/>
      <c r="N109" s="71"/>
    </row>
    <row r="110" ht="15.75" customHeight="1">
      <c r="B110" s="70"/>
      <c r="C110" s="70"/>
      <c r="D110" s="70"/>
      <c r="E110" s="70"/>
      <c r="F110" s="70"/>
      <c r="G110" s="70"/>
      <c r="N110" s="71"/>
    </row>
    <row r="111" ht="15.75" customHeight="1">
      <c r="B111" s="70"/>
      <c r="C111" s="70"/>
      <c r="D111" s="70"/>
      <c r="E111" s="70"/>
      <c r="F111" s="70"/>
      <c r="G111" s="70"/>
      <c r="N111" s="71"/>
    </row>
    <row r="112" ht="15.75" customHeight="1">
      <c r="B112" s="70"/>
      <c r="C112" s="70"/>
      <c r="D112" s="70"/>
      <c r="E112" s="70"/>
      <c r="F112" s="70"/>
      <c r="G112" s="70"/>
      <c r="N112" s="71"/>
    </row>
    <row r="113" ht="15.75" customHeight="1">
      <c r="B113" s="70"/>
      <c r="C113" s="70"/>
      <c r="D113" s="70"/>
      <c r="E113" s="70"/>
      <c r="F113" s="70"/>
      <c r="G113" s="70"/>
      <c r="N113" s="71"/>
    </row>
    <row r="114" ht="15.75" customHeight="1">
      <c r="B114" s="70"/>
      <c r="C114" s="70"/>
      <c r="D114" s="70"/>
      <c r="E114" s="70"/>
      <c r="F114" s="70"/>
      <c r="G114" s="70"/>
      <c r="N114" s="71"/>
    </row>
    <row r="115" ht="15.75" customHeight="1">
      <c r="B115" s="70"/>
      <c r="C115" s="70"/>
      <c r="D115" s="70"/>
      <c r="E115" s="70"/>
      <c r="F115" s="70"/>
      <c r="G115" s="70"/>
      <c r="N115" s="71"/>
    </row>
    <row r="116" ht="15.75" customHeight="1">
      <c r="B116" s="70"/>
      <c r="C116" s="70"/>
      <c r="D116" s="70"/>
      <c r="E116" s="70"/>
      <c r="F116" s="70"/>
      <c r="G116" s="70"/>
      <c r="N116" s="71"/>
    </row>
    <row r="117" ht="15.75" customHeight="1">
      <c r="B117" s="70"/>
      <c r="C117" s="70"/>
      <c r="D117" s="70"/>
      <c r="E117" s="70"/>
      <c r="F117" s="70"/>
      <c r="G117" s="70"/>
      <c r="N117" s="71"/>
    </row>
    <row r="118" ht="15.75" customHeight="1">
      <c r="B118" s="70"/>
      <c r="C118" s="70"/>
      <c r="D118" s="70"/>
      <c r="E118" s="70"/>
      <c r="F118" s="70"/>
      <c r="G118" s="70"/>
      <c r="N118" s="71"/>
    </row>
    <row r="119" ht="15.75" customHeight="1">
      <c r="B119" s="70"/>
      <c r="C119" s="70"/>
      <c r="D119" s="70"/>
      <c r="E119" s="70"/>
      <c r="F119" s="70"/>
      <c r="G119" s="70"/>
      <c r="N119" s="71"/>
    </row>
    <row r="120" ht="15.75" customHeight="1">
      <c r="B120" s="70"/>
      <c r="C120" s="70"/>
      <c r="D120" s="70"/>
      <c r="E120" s="70"/>
      <c r="F120" s="70"/>
      <c r="G120" s="70"/>
      <c r="N120" s="71"/>
    </row>
    <row r="121" ht="15.75" customHeight="1">
      <c r="B121" s="70"/>
      <c r="C121" s="70"/>
      <c r="D121" s="70"/>
      <c r="E121" s="70"/>
      <c r="F121" s="70"/>
      <c r="G121" s="70"/>
      <c r="N121" s="71"/>
    </row>
    <row r="122" ht="15.75" customHeight="1">
      <c r="B122" s="70"/>
      <c r="C122" s="70"/>
      <c r="D122" s="70"/>
      <c r="E122" s="70"/>
      <c r="F122" s="70"/>
      <c r="G122" s="70"/>
      <c r="N122" s="71"/>
    </row>
    <row r="123" ht="15.75" customHeight="1">
      <c r="B123" s="70"/>
      <c r="C123" s="70"/>
      <c r="D123" s="70"/>
      <c r="E123" s="70"/>
      <c r="F123" s="70"/>
      <c r="G123" s="70"/>
      <c r="N123" s="71"/>
    </row>
    <row r="124" ht="15.75" customHeight="1">
      <c r="B124" s="70"/>
      <c r="C124" s="70"/>
      <c r="D124" s="70"/>
      <c r="E124" s="70"/>
      <c r="F124" s="70"/>
      <c r="G124" s="70"/>
      <c r="N124" s="71"/>
    </row>
    <row r="125" ht="15.75" customHeight="1">
      <c r="B125" s="70"/>
      <c r="C125" s="70"/>
      <c r="D125" s="70"/>
      <c r="E125" s="70"/>
      <c r="F125" s="70"/>
      <c r="G125" s="70"/>
      <c r="N125" s="71"/>
    </row>
    <row r="126" ht="15.75" customHeight="1">
      <c r="B126" s="70"/>
      <c r="C126" s="70"/>
      <c r="D126" s="70"/>
      <c r="E126" s="70"/>
      <c r="F126" s="70"/>
      <c r="G126" s="70"/>
      <c r="N126" s="71"/>
    </row>
    <row r="127" ht="15.75" customHeight="1">
      <c r="B127" s="70"/>
      <c r="C127" s="70"/>
      <c r="D127" s="70"/>
      <c r="E127" s="70"/>
      <c r="F127" s="70"/>
      <c r="G127" s="70"/>
      <c r="N127" s="71"/>
    </row>
    <row r="128" ht="15.75" customHeight="1">
      <c r="B128" s="70"/>
      <c r="C128" s="70"/>
      <c r="D128" s="70"/>
      <c r="E128" s="70"/>
      <c r="F128" s="70"/>
      <c r="G128" s="70"/>
      <c r="N128" s="71"/>
    </row>
    <row r="129" ht="15.75" customHeight="1">
      <c r="B129" s="70"/>
      <c r="C129" s="70"/>
      <c r="D129" s="70"/>
      <c r="E129" s="70"/>
      <c r="F129" s="70"/>
      <c r="G129" s="70"/>
      <c r="N129" s="71"/>
    </row>
    <row r="130" ht="15.75" customHeight="1">
      <c r="B130" s="70"/>
      <c r="C130" s="70"/>
      <c r="D130" s="70"/>
      <c r="E130" s="70"/>
      <c r="F130" s="70"/>
      <c r="G130" s="70"/>
      <c r="N130" s="71"/>
    </row>
    <row r="131" ht="15.75" customHeight="1">
      <c r="B131" s="70"/>
      <c r="C131" s="70"/>
      <c r="D131" s="70"/>
      <c r="E131" s="70"/>
      <c r="F131" s="70"/>
      <c r="G131" s="70"/>
      <c r="N131" s="71"/>
    </row>
    <row r="132" ht="15.75" customHeight="1">
      <c r="B132" s="70"/>
      <c r="C132" s="70"/>
      <c r="D132" s="70"/>
      <c r="E132" s="70"/>
      <c r="F132" s="70"/>
      <c r="G132" s="70"/>
      <c r="N132" s="71"/>
    </row>
    <row r="133" ht="15.75" customHeight="1">
      <c r="B133" s="70"/>
      <c r="C133" s="70"/>
      <c r="D133" s="70"/>
      <c r="E133" s="70"/>
      <c r="F133" s="70"/>
      <c r="G133" s="70"/>
      <c r="N133" s="71"/>
    </row>
    <row r="134" ht="15.75" customHeight="1">
      <c r="B134" s="70"/>
      <c r="C134" s="70"/>
      <c r="D134" s="70"/>
      <c r="E134" s="70"/>
      <c r="F134" s="70"/>
      <c r="G134" s="70"/>
      <c r="N134" s="71"/>
    </row>
    <row r="135" ht="15.75" customHeight="1">
      <c r="B135" s="70"/>
      <c r="C135" s="70"/>
      <c r="D135" s="70"/>
      <c r="E135" s="70"/>
      <c r="F135" s="70"/>
      <c r="G135" s="70"/>
      <c r="N135" s="71"/>
    </row>
    <row r="136" ht="15.75" customHeight="1">
      <c r="B136" s="70"/>
      <c r="C136" s="70"/>
      <c r="D136" s="70"/>
      <c r="E136" s="70"/>
      <c r="F136" s="70"/>
      <c r="G136" s="70"/>
      <c r="N136" s="71"/>
    </row>
    <row r="137" ht="15.75" customHeight="1">
      <c r="B137" s="70"/>
      <c r="C137" s="70"/>
      <c r="D137" s="70"/>
      <c r="E137" s="70"/>
      <c r="F137" s="70"/>
      <c r="G137" s="70"/>
      <c r="N137" s="71"/>
    </row>
    <row r="138" ht="15.75" customHeight="1">
      <c r="B138" s="70"/>
      <c r="C138" s="70"/>
      <c r="D138" s="70"/>
      <c r="E138" s="70"/>
      <c r="F138" s="70"/>
      <c r="G138" s="70"/>
      <c r="N138" s="71"/>
    </row>
    <row r="139" ht="15.75" customHeight="1">
      <c r="B139" s="70"/>
      <c r="C139" s="70"/>
      <c r="D139" s="70"/>
      <c r="E139" s="70"/>
      <c r="F139" s="70"/>
      <c r="G139" s="70"/>
      <c r="N139" s="71"/>
    </row>
    <row r="140" ht="15.75" customHeight="1">
      <c r="B140" s="70"/>
      <c r="C140" s="70"/>
      <c r="D140" s="70"/>
      <c r="E140" s="70"/>
      <c r="F140" s="70"/>
      <c r="G140" s="70"/>
      <c r="N140" s="71"/>
    </row>
    <row r="141" ht="15.75" customHeight="1">
      <c r="B141" s="70"/>
      <c r="C141" s="70"/>
      <c r="D141" s="70"/>
      <c r="E141" s="70"/>
      <c r="F141" s="70"/>
      <c r="G141" s="70"/>
      <c r="N141" s="71"/>
    </row>
    <row r="142" ht="15.75" customHeight="1">
      <c r="B142" s="70"/>
      <c r="C142" s="70"/>
      <c r="D142" s="70"/>
      <c r="E142" s="70"/>
      <c r="F142" s="70"/>
      <c r="G142" s="70"/>
      <c r="N142" s="71"/>
    </row>
    <row r="143" ht="15.75" customHeight="1">
      <c r="B143" s="70"/>
      <c r="C143" s="70"/>
      <c r="D143" s="70"/>
      <c r="E143" s="70"/>
      <c r="F143" s="70"/>
      <c r="G143" s="70"/>
      <c r="N143" s="71"/>
    </row>
    <row r="144" ht="15.75" customHeight="1">
      <c r="B144" s="70"/>
      <c r="C144" s="70"/>
      <c r="D144" s="70"/>
      <c r="E144" s="70"/>
      <c r="F144" s="70"/>
      <c r="G144" s="70"/>
      <c r="N144" s="71"/>
    </row>
    <row r="145" ht="15.75" customHeight="1">
      <c r="B145" s="70"/>
      <c r="C145" s="70"/>
      <c r="D145" s="70"/>
      <c r="E145" s="70"/>
      <c r="F145" s="70"/>
      <c r="G145" s="70"/>
      <c r="N145" s="71"/>
    </row>
    <row r="146" ht="15.75" customHeight="1">
      <c r="B146" s="70"/>
      <c r="C146" s="70"/>
      <c r="D146" s="70"/>
      <c r="E146" s="70"/>
      <c r="F146" s="70"/>
      <c r="G146" s="70"/>
      <c r="N146" s="71"/>
    </row>
    <row r="147" ht="15.75" customHeight="1">
      <c r="B147" s="70"/>
      <c r="C147" s="70"/>
      <c r="D147" s="70"/>
      <c r="E147" s="70"/>
      <c r="F147" s="70"/>
      <c r="G147" s="70"/>
      <c r="N147" s="71"/>
    </row>
    <row r="148" ht="15.75" customHeight="1">
      <c r="B148" s="70"/>
      <c r="C148" s="70"/>
      <c r="D148" s="70"/>
      <c r="E148" s="70"/>
      <c r="F148" s="70"/>
      <c r="G148" s="70"/>
      <c r="N148" s="71"/>
    </row>
    <row r="149" ht="15.75" customHeight="1">
      <c r="B149" s="70"/>
      <c r="C149" s="70"/>
      <c r="D149" s="70"/>
      <c r="E149" s="70"/>
      <c r="F149" s="70"/>
      <c r="G149" s="70"/>
      <c r="N149" s="71"/>
    </row>
    <row r="150" ht="15.75" customHeight="1">
      <c r="B150" s="70"/>
      <c r="C150" s="70"/>
      <c r="D150" s="70"/>
      <c r="E150" s="70"/>
      <c r="F150" s="70"/>
      <c r="G150" s="70"/>
      <c r="N150" s="71"/>
    </row>
    <row r="151" ht="15.75" customHeight="1">
      <c r="B151" s="70"/>
      <c r="C151" s="70"/>
      <c r="D151" s="70"/>
      <c r="E151" s="70"/>
      <c r="F151" s="70"/>
      <c r="G151" s="70"/>
      <c r="N151" s="71"/>
    </row>
    <row r="152" ht="15.75" customHeight="1">
      <c r="B152" s="70"/>
      <c r="C152" s="70"/>
      <c r="D152" s="70"/>
      <c r="E152" s="70"/>
      <c r="F152" s="70"/>
      <c r="G152" s="70"/>
      <c r="N152" s="71"/>
    </row>
    <row r="153" ht="15.75" customHeight="1">
      <c r="B153" s="70"/>
      <c r="C153" s="70"/>
      <c r="D153" s="70"/>
      <c r="E153" s="70"/>
      <c r="F153" s="70"/>
      <c r="G153" s="70"/>
      <c r="N153" s="71"/>
    </row>
    <row r="154" ht="15.75" customHeight="1">
      <c r="B154" s="70"/>
      <c r="C154" s="70"/>
      <c r="D154" s="70"/>
      <c r="E154" s="70"/>
      <c r="F154" s="70"/>
      <c r="G154" s="70"/>
      <c r="N154" s="71"/>
    </row>
    <row r="155" ht="15.75" customHeight="1">
      <c r="B155" s="70"/>
      <c r="C155" s="70"/>
      <c r="D155" s="70"/>
      <c r="E155" s="70"/>
      <c r="F155" s="70"/>
      <c r="G155" s="70"/>
      <c r="N155" s="71"/>
    </row>
    <row r="156" ht="15.75" customHeight="1">
      <c r="B156" s="70"/>
      <c r="C156" s="70"/>
      <c r="D156" s="70"/>
      <c r="E156" s="70"/>
      <c r="F156" s="70"/>
      <c r="G156" s="70"/>
      <c r="N156" s="71"/>
    </row>
    <row r="157" ht="15.75" customHeight="1">
      <c r="B157" s="70"/>
      <c r="C157" s="70"/>
      <c r="D157" s="70"/>
      <c r="E157" s="70"/>
      <c r="F157" s="70"/>
      <c r="G157" s="70"/>
      <c r="N157" s="71"/>
    </row>
    <row r="158" ht="15.75" customHeight="1">
      <c r="B158" s="70"/>
      <c r="C158" s="70"/>
      <c r="D158" s="70"/>
      <c r="E158" s="70"/>
      <c r="F158" s="70"/>
      <c r="G158" s="70"/>
      <c r="N158" s="71"/>
    </row>
    <row r="159" ht="15.75" customHeight="1">
      <c r="B159" s="70"/>
      <c r="C159" s="70"/>
      <c r="D159" s="70"/>
      <c r="E159" s="70"/>
      <c r="F159" s="70"/>
      <c r="G159" s="70"/>
      <c r="N159" s="71"/>
    </row>
    <row r="160" ht="15.75" customHeight="1">
      <c r="B160" s="70"/>
      <c r="C160" s="70"/>
      <c r="D160" s="70"/>
      <c r="E160" s="70"/>
      <c r="F160" s="70"/>
      <c r="G160" s="70"/>
      <c r="N160" s="71"/>
    </row>
    <row r="161" ht="15.75" customHeight="1">
      <c r="B161" s="70"/>
      <c r="C161" s="70"/>
      <c r="D161" s="70"/>
      <c r="E161" s="70"/>
      <c r="F161" s="70"/>
      <c r="G161" s="70"/>
      <c r="N161" s="71"/>
    </row>
    <row r="162" ht="15.75" customHeight="1">
      <c r="B162" s="70"/>
      <c r="C162" s="70"/>
      <c r="D162" s="70"/>
      <c r="E162" s="70"/>
      <c r="F162" s="70"/>
      <c r="G162" s="70"/>
      <c r="N162" s="71"/>
    </row>
    <row r="163" ht="15.75" customHeight="1">
      <c r="B163" s="70"/>
      <c r="C163" s="70"/>
      <c r="D163" s="70"/>
      <c r="E163" s="70"/>
      <c r="F163" s="70"/>
      <c r="G163" s="70"/>
      <c r="N163" s="71"/>
    </row>
    <row r="164" ht="15.75" customHeight="1">
      <c r="B164" s="70"/>
      <c r="C164" s="70"/>
      <c r="D164" s="70"/>
      <c r="E164" s="70"/>
      <c r="F164" s="70"/>
      <c r="G164" s="70"/>
      <c r="N164" s="71"/>
    </row>
    <row r="165" ht="15.75" customHeight="1">
      <c r="B165" s="70"/>
      <c r="C165" s="70"/>
      <c r="D165" s="70"/>
      <c r="E165" s="70"/>
      <c r="F165" s="70"/>
      <c r="G165" s="70"/>
      <c r="N165" s="71"/>
    </row>
    <row r="166" ht="15.75" customHeight="1">
      <c r="B166" s="70"/>
      <c r="C166" s="70"/>
      <c r="D166" s="70"/>
      <c r="E166" s="70"/>
      <c r="F166" s="70"/>
      <c r="G166" s="70"/>
      <c r="N166" s="71"/>
    </row>
    <row r="167" ht="15.75" customHeight="1">
      <c r="B167" s="70"/>
      <c r="C167" s="70"/>
      <c r="D167" s="70"/>
      <c r="E167" s="70"/>
      <c r="F167" s="70"/>
      <c r="G167" s="70"/>
      <c r="N167" s="71"/>
    </row>
    <row r="168" ht="15.75" customHeight="1">
      <c r="B168" s="70"/>
      <c r="C168" s="70"/>
      <c r="D168" s="70"/>
      <c r="E168" s="70"/>
      <c r="F168" s="70"/>
      <c r="G168" s="70"/>
      <c r="N168" s="71"/>
    </row>
    <row r="169" ht="15.75" customHeight="1">
      <c r="B169" s="70"/>
      <c r="C169" s="70"/>
      <c r="D169" s="70"/>
      <c r="E169" s="70"/>
      <c r="F169" s="70"/>
      <c r="G169" s="70"/>
      <c r="N169" s="71"/>
    </row>
    <row r="170" ht="15.75" customHeight="1">
      <c r="B170" s="70"/>
      <c r="C170" s="70"/>
      <c r="D170" s="70"/>
      <c r="E170" s="70"/>
      <c r="F170" s="70"/>
      <c r="G170" s="70"/>
      <c r="N170" s="71"/>
    </row>
    <row r="171" ht="15.75" customHeight="1">
      <c r="B171" s="70"/>
      <c r="C171" s="70"/>
      <c r="D171" s="70"/>
      <c r="E171" s="70"/>
      <c r="F171" s="70"/>
      <c r="G171" s="70"/>
      <c r="N171" s="71"/>
    </row>
    <row r="172" ht="15.75" customHeight="1">
      <c r="B172" s="70"/>
      <c r="C172" s="70"/>
      <c r="D172" s="70"/>
      <c r="E172" s="70"/>
      <c r="F172" s="70"/>
      <c r="G172" s="70"/>
      <c r="N172" s="71"/>
    </row>
    <row r="173" ht="15.75" customHeight="1">
      <c r="B173" s="70"/>
      <c r="C173" s="70"/>
      <c r="D173" s="70"/>
      <c r="E173" s="70"/>
      <c r="F173" s="70"/>
      <c r="G173" s="70"/>
      <c r="N173" s="71"/>
    </row>
    <row r="174" ht="15.75" customHeight="1">
      <c r="B174" s="70"/>
      <c r="C174" s="70"/>
      <c r="D174" s="70"/>
      <c r="E174" s="70"/>
      <c r="F174" s="70"/>
      <c r="G174" s="70"/>
      <c r="N174" s="71"/>
    </row>
    <row r="175" ht="15.75" customHeight="1">
      <c r="B175" s="70"/>
      <c r="C175" s="70"/>
      <c r="D175" s="70"/>
      <c r="E175" s="70"/>
      <c r="F175" s="70"/>
      <c r="G175" s="70"/>
      <c r="N175" s="71"/>
    </row>
    <row r="176" ht="15.75" customHeight="1">
      <c r="B176" s="70"/>
      <c r="C176" s="70"/>
      <c r="D176" s="70"/>
      <c r="E176" s="70"/>
      <c r="F176" s="70"/>
      <c r="G176" s="70"/>
      <c r="N176" s="71"/>
    </row>
    <row r="177" ht="15.75" customHeight="1">
      <c r="B177" s="70"/>
      <c r="C177" s="70"/>
      <c r="D177" s="70"/>
      <c r="E177" s="70"/>
      <c r="F177" s="70"/>
      <c r="G177" s="70"/>
      <c r="N177" s="71"/>
    </row>
    <row r="178" ht="15.75" customHeight="1">
      <c r="B178" s="70"/>
      <c r="C178" s="70"/>
      <c r="D178" s="70"/>
      <c r="E178" s="70"/>
      <c r="F178" s="70"/>
      <c r="G178" s="70"/>
      <c r="N178" s="71"/>
    </row>
    <row r="179" ht="15.75" customHeight="1">
      <c r="B179" s="70"/>
      <c r="C179" s="70"/>
      <c r="D179" s="70"/>
      <c r="E179" s="70"/>
      <c r="F179" s="70"/>
      <c r="G179" s="70"/>
      <c r="N179" s="71"/>
    </row>
    <row r="180" ht="15.75" customHeight="1">
      <c r="B180" s="70"/>
      <c r="C180" s="70"/>
      <c r="D180" s="70"/>
      <c r="E180" s="70"/>
      <c r="F180" s="70"/>
      <c r="G180" s="70"/>
      <c r="N180" s="71"/>
    </row>
    <row r="181" ht="15.75" customHeight="1">
      <c r="B181" s="70"/>
      <c r="C181" s="70"/>
      <c r="D181" s="70"/>
      <c r="E181" s="70"/>
      <c r="F181" s="70"/>
      <c r="G181" s="70"/>
      <c r="N181" s="71"/>
    </row>
    <row r="182" ht="15.75" customHeight="1">
      <c r="B182" s="70"/>
      <c r="C182" s="70"/>
      <c r="D182" s="70"/>
      <c r="E182" s="70"/>
      <c r="F182" s="70"/>
      <c r="G182" s="70"/>
      <c r="N182" s="71"/>
    </row>
    <row r="183" ht="15.75" customHeight="1">
      <c r="B183" s="70"/>
      <c r="C183" s="70"/>
      <c r="D183" s="70"/>
      <c r="E183" s="70"/>
      <c r="F183" s="70"/>
      <c r="G183" s="70"/>
      <c r="N183" s="71"/>
    </row>
    <row r="184" ht="15.75" customHeight="1">
      <c r="B184" s="70"/>
      <c r="C184" s="70"/>
      <c r="D184" s="70"/>
      <c r="E184" s="70"/>
      <c r="F184" s="70"/>
      <c r="G184" s="70"/>
      <c r="N184" s="71"/>
    </row>
    <row r="185" ht="15.75" customHeight="1">
      <c r="B185" s="70"/>
      <c r="C185" s="70"/>
      <c r="D185" s="70"/>
      <c r="E185" s="70"/>
      <c r="F185" s="70"/>
      <c r="G185" s="70"/>
      <c r="N185" s="71"/>
    </row>
    <row r="186" ht="15.75" customHeight="1">
      <c r="B186" s="70"/>
      <c r="C186" s="70"/>
      <c r="D186" s="70"/>
      <c r="E186" s="70"/>
      <c r="F186" s="70"/>
      <c r="G186" s="70"/>
      <c r="N186" s="71"/>
    </row>
    <row r="187" ht="15.75" customHeight="1">
      <c r="B187" s="70"/>
      <c r="C187" s="70"/>
      <c r="D187" s="70"/>
      <c r="E187" s="70"/>
      <c r="F187" s="70"/>
      <c r="G187" s="70"/>
      <c r="N187" s="71"/>
    </row>
    <row r="188" ht="15.75" customHeight="1">
      <c r="B188" s="70"/>
      <c r="C188" s="70"/>
      <c r="D188" s="70"/>
      <c r="E188" s="70"/>
      <c r="F188" s="70"/>
      <c r="G188" s="70"/>
      <c r="N188" s="71"/>
    </row>
    <row r="189" ht="15.75" customHeight="1">
      <c r="B189" s="70"/>
      <c r="C189" s="70"/>
      <c r="D189" s="70"/>
      <c r="E189" s="70"/>
      <c r="F189" s="70"/>
      <c r="G189" s="70"/>
      <c r="N189" s="71"/>
    </row>
    <row r="190" ht="15.75" customHeight="1">
      <c r="B190" s="70"/>
      <c r="C190" s="70"/>
      <c r="D190" s="70"/>
      <c r="E190" s="70"/>
      <c r="F190" s="70"/>
      <c r="G190" s="70"/>
      <c r="N190" s="71"/>
    </row>
    <row r="191" ht="15.75" customHeight="1">
      <c r="B191" s="70"/>
      <c r="C191" s="70"/>
      <c r="D191" s="70"/>
      <c r="E191" s="70"/>
      <c r="F191" s="70"/>
      <c r="G191" s="70"/>
      <c r="N191" s="71"/>
    </row>
    <row r="192" ht="15.75" customHeight="1">
      <c r="B192" s="70"/>
      <c r="C192" s="70"/>
      <c r="D192" s="70"/>
      <c r="E192" s="70"/>
      <c r="F192" s="70"/>
      <c r="G192" s="70"/>
      <c r="N192" s="71"/>
    </row>
    <row r="193" ht="15.75" customHeight="1">
      <c r="B193" s="70"/>
      <c r="C193" s="70"/>
      <c r="D193" s="70"/>
      <c r="E193" s="70"/>
      <c r="F193" s="70"/>
      <c r="G193" s="70"/>
      <c r="N193" s="71"/>
    </row>
    <row r="194" ht="15.75" customHeight="1">
      <c r="B194" s="70"/>
      <c r="C194" s="70"/>
      <c r="D194" s="70"/>
      <c r="E194" s="70"/>
      <c r="F194" s="70"/>
      <c r="G194" s="70"/>
      <c r="N194" s="71"/>
    </row>
    <row r="195" ht="15.75" customHeight="1">
      <c r="B195" s="70"/>
      <c r="C195" s="70"/>
      <c r="D195" s="70"/>
      <c r="E195" s="70"/>
      <c r="F195" s="70"/>
      <c r="G195" s="70"/>
      <c r="N195" s="71"/>
    </row>
    <row r="196" ht="15.75" customHeight="1">
      <c r="B196" s="70"/>
      <c r="C196" s="70"/>
      <c r="D196" s="70"/>
      <c r="E196" s="70"/>
      <c r="F196" s="70"/>
      <c r="G196" s="70"/>
      <c r="N196" s="71"/>
    </row>
    <row r="197" ht="15.75" customHeight="1">
      <c r="B197" s="70"/>
      <c r="C197" s="70"/>
      <c r="D197" s="70"/>
      <c r="E197" s="70"/>
      <c r="F197" s="70"/>
      <c r="G197" s="70"/>
      <c r="N197" s="71"/>
    </row>
    <row r="198" ht="15.75" customHeight="1">
      <c r="B198" s="70"/>
      <c r="C198" s="70"/>
      <c r="D198" s="70"/>
      <c r="E198" s="70"/>
      <c r="F198" s="70"/>
      <c r="G198" s="70"/>
      <c r="N198" s="71"/>
    </row>
    <row r="199" ht="15.75" customHeight="1">
      <c r="B199" s="70"/>
      <c r="C199" s="70"/>
      <c r="D199" s="70"/>
      <c r="E199" s="70"/>
      <c r="F199" s="70"/>
      <c r="G199" s="70"/>
      <c r="N199" s="71"/>
    </row>
    <row r="200" ht="15.75" customHeight="1">
      <c r="B200" s="70"/>
      <c r="C200" s="70"/>
      <c r="D200" s="70"/>
      <c r="E200" s="70"/>
      <c r="F200" s="70"/>
      <c r="G200" s="70"/>
      <c r="N200" s="71"/>
    </row>
    <row r="201" ht="15.75" customHeight="1">
      <c r="B201" s="70"/>
      <c r="C201" s="70"/>
      <c r="D201" s="70"/>
      <c r="E201" s="70"/>
      <c r="F201" s="70"/>
      <c r="G201" s="70"/>
      <c r="N201" s="71"/>
    </row>
    <row r="202" ht="15.75" customHeight="1">
      <c r="B202" s="70"/>
      <c r="C202" s="70"/>
      <c r="D202" s="70"/>
      <c r="E202" s="70"/>
      <c r="F202" s="70"/>
      <c r="G202" s="70"/>
      <c r="N202" s="71"/>
    </row>
    <row r="203" ht="15.75" customHeight="1">
      <c r="B203" s="70"/>
      <c r="C203" s="70"/>
      <c r="D203" s="70"/>
      <c r="E203" s="70"/>
      <c r="F203" s="70"/>
      <c r="G203" s="70"/>
      <c r="N203" s="71"/>
    </row>
    <row r="204" ht="15.75" customHeight="1">
      <c r="B204" s="70"/>
      <c r="C204" s="70"/>
      <c r="D204" s="70"/>
      <c r="E204" s="70"/>
      <c r="F204" s="70"/>
      <c r="G204" s="70"/>
      <c r="N204" s="71"/>
    </row>
    <row r="205" ht="15.75" customHeight="1">
      <c r="B205" s="70"/>
      <c r="C205" s="70"/>
      <c r="D205" s="70"/>
      <c r="E205" s="70"/>
      <c r="F205" s="70"/>
      <c r="G205" s="70"/>
      <c r="N205" s="71"/>
    </row>
    <row r="206" ht="15.75" customHeight="1">
      <c r="B206" s="70"/>
      <c r="C206" s="70"/>
      <c r="D206" s="70"/>
      <c r="E206" s="70"/>
      <c r="F206" s="70"/>
      <c r="G206" s="70"/>
      <c r="N206" s="71"/>
    </row>
    <row r="207" ht="15.75" customHeight="1">
      <c r="B207" s="70"/>
      <c r="C207" s="70"/>
      <c r="D207" s="70"/>
      <c r="E207" s="70"/>
      <c r="F207" s="70"/>
      <c r="G207" s="70"/>
      <c r="N207" s="71"/>
    </row>
    <row r="208" ht="15.75" customHeight="1">
      <c r="B208" s="70"/>
      <c r="C208" s="70"/>
      <c r="D208" s="70"/>
      <c r="E208" s="70"/>
      <c r="F208" s="70"/>
      <c r="G208" s="70"/>
      <c r="N208" s="71"/>
    </row>
    <row r="209" ht="15.75" customHeight="1">
      <c r="B209" s="70"/>
      <c r="C209" s="70"/>
      <c r="D209" s="70"/>
      <c r="E209" s="70"/>
      <c r="F209" s="70"/>
      <c r="G209" s="70"/>
      <c r="N209" s="71"/>
    </row>
    <row r="210" ht="15.75" customHeight="1">
      <c r="B210" s="70"/>
      <c r="C210" s="70"/>
      <c r="D210" s="70"/>
      <c r="E210" s="70"/>
      <c r="F210" s="70"/>
      <c r="G210" s="70"/>
      <c r="N210" s="71"/>
    </row>
    <row r="211" ht="15.75" customHeight="1">
      <c r="B211" s="70"/>
      <c r="C211" s="70"/>
      <c r="D211" s="70"/>
      <c r="E211" s="70"/>
      <c r="F211" s="70"/>
      <c r="G211" s="70"/>
      <c r="N211" s="71"/>
    </row>
    <row r="212" ht="15.75" customHeight="1">
      <c r="B212" s="70"/>
      <c r="C212" s="70"/>
      <c r="D212" s="70"/>
      <c r="E212" s="70"/>
      <c r="F212" s="70"/>
      <c r="G212" s="70"/>
      <c r="N212" s="71"/>
    </row>
    <row r="213" ht="15.75" customHeight="1">
      <c r="B213" s="70"/>
      <c r="C213" s="70"/>
      <c r="D213" s="70"/>
      <c r="E213" s="70"/>
      <c r="F213" s="70"/>
      <c r="G213" s="70"/>
      <c r="N213" s="71"/>
    </row>
    <row r="214" ht="15.75" customHeight="1">
      <c r="B214" s="70"/>
      <c r="C214" s="70"/>
      <c r="D214" s="70"/>
      <c r="E214" s="70"/>
      <c r="F214" s="70"/>
      <c r="G214" s="70"/>
      <c r="N214" s="71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2.13"/>
    <col customWidth="1" min="2" max="2" width="25.75"/>
    <col customWidth="1" hidden="1" min="3" max="3" width="12.63"/>
    <col customWidth="1" min="4" max="7" width="12.63"/>
  </cols>
  <sheetData>
    <row r="1" ht="15.75" customHeight="1">
      <c r="A1" s="49"/>
      <c r="B1" s="49"/>
      <c r="C1" s="50"/>
      <c r="D1" s="49">
        <v>2026.0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ht="15.75" customHeight="1">
      <c r="A2" s="51" t="s">
        <v>66</v>
      </c>
      <c r="B2" s="52"/>
      <c r="C2" s="53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5.75" customHeight="1">
      <c r="A3" s="54" t="s">
        <v>67</v>
      </c>
      <c r="B3" s="54" t="s">
        <v>68</v>
      </c>
      <c r="C3" s="53"/>
      <c r="D3" s="55" t="s">
        <v>70</v>
      </c>
      <c r="E3" s="55" t="s">
        <v>71</v>
      </c>
      <c r="F3" s="55" t="s">
        <v>72</v>
      </c>
      <c r="G3" s="55" t="s">
        <v>73</v>
      </c>
      <c r="H3" s="55" t="s">
        <v>74</v>
      </c>
      <c r="I3" s="55" t="s">
        <v>75</v>
      </c>
      <c r="J3" s="55" t="s">
        <v>76</v>
      </c>
      <c r="K3" s="55" t="s">
        <v>77</v>
      </c>
      <c r="L3" s="55" t="s">
        <v>78</v>
      </c>
      <c r="M3" s="55" t="s">
        <v>79</v>
      </c>
      <c r="N3" s="55" t="s">
        <v>80</v>
      </c>
      <c r="O3" s="55" t="s">
        <v>81</v>
      </c>
      <c r="P3" s="55" t="s">
        <v>82</v>
      </c>
      <c r="Q3" s="52"/>
    </row>
    <row r="4" ht="15.75" customHeight="1">
      <c r="A4" s="49"/>
      <c r="B4" s="49"/>
      <c r="C4" s="57"/>
      <c r="D4" s="49" t="s">
        <v>35</v>
      </c>
      <c r="E4" s="49">
        <v>1.0</v>
      </c>
      <c r="F4" s="49">
        <v>2.0</v>
      </c>
      <c r="G4" s="49">
        <v>3.0</v>
      </c>
      <c r="H4" s="49">
        <v>4.0</v>
      </c>
      <c r="I4" s="49">
        <v>5.0</v>
      </c>
      <c r="J4" s="49">
        <v>6.0</v>
      </c>
      <c r="K4" s="49">
        <v>7.0</v>
      </c>
      <c r="L4" s="49">
        <v>8.0</v>
      </c>
      <c r="M4" s="49">
        <v>9.0</v>
      </c>
      <c r="N4" s="49">
        <v>10.0</v>
      </c>
      <c r="O4" s="49">
        <v>11.0</v>
      </c>
      <c r="P4" s="49">
        <v>12.0</v>
      </c>
      <c r="Q4" s="49"/>
    </row>
    <row r="5" ht="15.75" customHeight="1">
      <c r="A5" s="58"/>
      <c r="B5" s="59" t="s">
        <v>83</v>
      </c>
      <c r="C5" s="60"/>
      <c r="D5" s="61">
        <f t="shared" ref="D5:D12" si="1">SUM(E5:P5)</f>
        <v>435.86</v>
      </c>
      <c r="E5" s="64">
        <f>sumifs(Dados!$N:$N,Dados!$B:$B,B5,Dados!$H:$H,$D$1,Dados!$G:$G,$E$4)</f>
        <v>0</v>
      </c>
      <c r="F5" s="64">
        <f>sumifs(Dados!$N:$N,Dados!$B:$B,B5,Dados!$H:$H,$D$1,Dados!$G:$G,$F$4)</f>
        <v>0</v>
      </c>
      <c r="G5" s="64">
        <f>sumifs(Dados!$N:$N,Dados!$B:$B,B5,Dados!$H:$H,$D$1,Dados!$G:$G,$G$4)</f>
        <v>0</v>
      </c>
      <c r="H5" s="64">
        <f>sumifs(Dados!$N:$N,Dados!$B:$B,B5,Dados!$H:$H,$D$1,Dados!$G:$G,$H$4)</f>
        <v>0</v>
      </c>
      <c r="I5" s="64">
        <f>sumifs(Dados!$N:$N,Dados!$B:$B,B5,Dados!$H:$H,$D$1,Dados!$G:$G,$I$4)</f>
        <v>0</v>
      </c>
      <c r="J5" s="64">
        <f>sumifs(Dados!$N:$N,Dados!$B:$B,B5,Dados!$H:$H,$D$1,Dados!$G:$G,$J$4)</f>
        <v>435.86</v>
      </c>
      <c r="K5" s="64">
        <f>sumifs(Dados!$N:$N,Dados!$B:$B,B5,Dados!$H:$H,$D$1,Dados!$G:$G,$K$4)</f>
        <v>0</v>
      </c>
      <c r="L5" s="64">
        <f>sumifs(Dados!$N:$N,Dados!$B:$B,B5,Dados!$H:$H,$D$1,Dados!$G:$G,$L$4)</f>
        <v>0</v>
      </c>
      <c r="M5" s="64">
        <f>sumifs(Dados!$N:$N,Dados!$B:$B,B5,Dados!$H:$H,$D$1,Dados!$G:$G,$M$4)</f>
        <v>0</v>
      </c>
      <c r="N5" s="64">
        <f>sumifs(Dados!$N:$N,Dados!$B:$B,B5,Dados!$H:$H,$D$1,Dados!$G:$G,$N$4)</f>
        <v>0</v>
      </c>
      <c r="O5" s="64">
        <f>sumifs(Dados!$N:$N,Dados!$B:$B,B5,Dados!$H:$H,$D$1,Dados!$G:$G,$O$4)</f>
        <v>0</v>
      </c>
      <c r="P5" s="64">
        <f>sumifs(Dados!$N:$N,Dados!$B:$B,B5,Dados!$H:$H,$D$1,Dados!$G:$G,$P$4)</f>
        <v>0</v>
      </c>
      <c r="Q5" s="64"/>
    </row>
    <row r="6" ht="15.75" customHeight="1">
      <c r="A6" s="58"/>
      <c r="B6" s="59" t="s">
        <v>90</v>
      </c>
      <c r="C6" s="60"/>
      <c r="D6" s="61">
        <f t="shared" si="1"/>
        <v>0</v>
      </c>
      <c r="E6" s="64">
        <f>sumifs(Dados!$N:$N,Dados!$B:$B,B6,Dados!$H:$H,$D$1,Dados!$G:$G,$E$4)</f>
        <v>0</v>
      </c>
      <c r="F6" s="64">
        <f>sumifs(Dados!$N:$N,Dados!$B:$B,B6,Dados!$H:$H,$D$1,Dados!$G:$G,$F$4)</f>
        <v>0</v>
      </c>
      <c r="G6" s="64">
        <f>sumifs(Dados!$N:$N,Dados!$B:$B,B6,Dados!$H:$H,$D$1,Dados!$G:$G,$G$4)</f>
        <v>0</v>
      </c>
      <c r="H6" s="64">
        <f>sumifs(Dados!$N:$N,Dados!$B:$B,B6,Dados!$H:$H,$D$1,Dados!$G:$G,$H$4)</f>
        <v>0</v>
      </c>
      <c r="I6" s="64">
        <f>sumifs(Dados!$N:$N,Dados!$B:$B,B6,Dados!$H:$H,$D$1,Dados!$G:$G,$I$4)</f>
        <v>0</v>
      </c>
      <c r="J6" s="64">
        <f>sumifs(Dados!$N:$N,Dados!$B:$B,B6,Dados!$H:$H,$D$1,Dados!$G:$G,$J$4)</f>
        <v>0</v>
      </c>
      <c r="K6" s="64">
        <f>sumifs(Dados!$N:$N,Dados!$B:$B,B6,Dados!$H:$H,$D$1,Dados!$G:$G,$K$4)</f>
        <v>0</v>
      </c>
      <c r="L6" s="64">
        <f>sumifs(Dados!$N:$N,Dados!$B:$B,B6,Dados!$H:$H,$D$1,Dados!$G:$G,$L$4)</f>
        <v>0</v>
      </c>
      <c r="M6" s="64">
        <f>sumifs(Dados!$N:$N,Dados!$B:$B,B6,Dados!$H:$H,$D$1,Dados!$G:$G,$M$4)</f>
        <v>0</v>
      </c>
      <c r="N6" s="64">
        <f>sumifs(Dados!$N:$N,Dados!$B:$B,B6,Dados!$H:$H,$D$1,Dados!$G:$G,$N$4)</f>
        <v>0</v>
      </c>
      <c r="O6" s="64">
        <f>sumifs(Dados!$N:$N,Dados!$B:$B,B6,Dados!$H:$H,$D$1,Dados!$G:$G,$O$4)</f>
        <v>0</v>
      </c>
      <c r="P6" s="64">
        <f>sumifs(Dados!$N:$N,Dados!$B:$B,B6,Dados!$H:$H,$D$1,Dados!$G:$G,$P$4)</f>
        <v>0</v>
      </c>
      <c r="Q6" s="64"/>
    </row>
    <row r="7" ht="15.75" customHeight="1">
      <c r="A7" s="58"/>
      <c r="B7" s="59" t="s">
        <v>94</v>
      </c>
      <c r="C7" s="60"/>
      <c r="D7" s="61">
        <f t="shared" si="1"/>
        <v>285.85</v>
      </c>
      <c r="E7" s="64">
        <f>sumifs(Dados!$N:$N,Dados!$B:$B,B7,Dados!$H:$H,$D$1,Dados!$G:$G,$E$4)</f>
        <v>0</v>
      </c>
      <c r="F7" s="64">
        <f>sumifs(Dados!$N:$N,Dados!$B:$B,B7,Dados!$H:$H,$D$1,Dados!$G:$G,$F$4)</f>
        <v>0</v>
      </c>
      <c r="G7" s="64">
        <f>sumifs(Dados!$N:$N,Dados!$B:$B,B7,Dados!$H:$H,$D$1,Dados!$G:$G,$G$4)</f>
        <v>0</v>
      </c>
      <c r="H7" s="64">
        <f>sumifs(Dados!$N:$N,Dados!$B:$B,B7,Dados!$H:$H,$D$1,Dados!$G:$G,$H$4)</f>
        <v>0</v>
      </c>
      <c r="I7" s="64">
        <f>sumifs(Dados!$N:$N,Dados!$B:$B,B7,Dados!$H:$H,$D$1,Dados!$G:$G,$I$4)</f>
        <v>0</v>
      </c>
      <c r="J7" s="64">
        <f>sumifs(Dados!$N:$N,Dados!$B:$B,B7,Dados!$H:$H,$D$1,Dados!$G:$G,$J$4)</f>
        <v>285.85</v>
      </c>
      <c r="K7" s="64">
        <f>sumifs(Dados!$N:$N,Dados!$B:$B,B7,Dados!$H:$H,$D$1,Dados!$G:$G,$K$4)</f>
        <v>0</v>
      </c>
      <c r="L7" s="64">
        <f>sumifs(Dados!$N:$N,Dados!$B:$B,B7,Dados!$H:$H,$D$1,Dados!$G:$G,$L$4)</f>
        <v>0</v>
      </c>
      <c r="M7" s="64">
        <f>sumifs(Dados!$N:$N,Dados!$B:$B,B7,Dados!$H:$H,$D$1,Dados!$G:$G,$M$4)</f>
        <v>0</v>
      </c>
      <c r="N7" s="64">
        <f>sumifs(Dados!$N:$N,Dados!$B:$B,B7,Dados!$H:$H,$D$1,Dados!$G:$G,$N$4)</f>
        <v>0</v>
      </c>
      <c r="O7" s="64">
        <f>sumifs(Dados!$N:$N,Dados!$B:$B,B7,Dados!$H:$H,$D$1,Dados!$G:$G,$O$4)</f>
        <v>0</v>
      </c>
      <c r="P7" s="64">
        <f>sumifs(Dados!$N:$N,Dados!$B:$B,B7,Dados!$H:$H,$D$1,Dados!$G:$G,$P$4)</f>
        <v>0</v>
      </c>
      <c r="Q7" s="64"/>
    </row>
    <row r="8" ht="15.75" customHeight="1">
      <c r="A8" s="58"/>
      <c r="B8" s="59" t="s">
        <v>98</v>
      </c>
      <c r="C8" s="60"/>
      <c r="D8" s="61">
        <f t="shared" si="1"/>
        <v>0</v>
      </c>
      <c r="E8" s="64">
        <f>sumifs(Dados!$N:$N,Dados!$B:$B,B8,Dados!$H:$H,$D$1,Dados!$G:$G,$E$4)</f>
        <v>0</v>
      </c>
      <c r="F8" s="64">
        <f>sumifs(Dados!$N:$N,Dados!$B:$B,B8,Dados!$H:$H,$D$1,Dados!$G:$G,$F$4)</f>
        <v>0</v>
      </c>
      <c r="G8" s="64">
        <f>sumifs(Dados!$N:$N,Dados!$B:$B,B8,Dados!$H:$H,$D$1,Dados!$G:$G,$G$4)</f>
        <v>0</v>
      </c>
      <c r="H8" s="64">
        <f>sumifs(Dados!$N:$N,Dados!$B:$B,B8,Dados!$H:$H,$D$1,Dados!$G:$G,$H$4)</f>
        <v>0</v>
      </c>
      <c r="I8" s="64">
        <f>sumifs(Dados!$N:$N,Dados!$B:$B,B8,Dados!$H:$H,$D$1,Dados!$G:$G,$I$4)</f>
        <v>0</v>
      </c>
      <c r="J8" s="64">
        <f>sumifs(Dados!$N:$N,Dados!$B:$B,B8,Dados!$H:$H,$D$1,Dados!$G:$G,$J$4)</f>
        <v>0</v>
      </c>
      <c r="K8" s="64">
        <f>sumifs(Dados!$N:$N,Dados!$B:$B,B8,Dados!$H:$H,$D$1,Dados!$G:$G,$K$4)</f>
        <v>0</v>
      </c>
      <c r="L8" s="64">
        <f>sumifs(Dados!$N:$N,Dados!$B:$B,B8,Dados!$H:$H,$D$1,Dados!$G:$G,$L$4)</f>
        <v>0</v>
      </c>
      <c r="M8" s="64">
        <f>sumifs(Dados!$N:$N,Dados!$B:$B,B8,Dados!$H:$H,$D$1,Dados!$G:$G,$M$4)</f>
        <v>0</v>
      </c>
      <c r="N8" s="64">
        <f>sumifs(Dados!$N:$N,Dados!$B:$B,B8,Dados!$H:$H,$D$1,Dados!$G:$G,$N$4)</f>
        <v>0</v>
      </c>
      <c r="O8" s="64">
        <f>sumifs(Dados!$N:$N,Dados!$B:$B,B8,Dados!$H:$H,$D$1,Dados!$G:$G,$O$4)</f>
        <v>0</v>
      </c>
      <c r="P8" s="64">
        <f>sumifs(Dados!$N:$N,Dados!$B:$B,B8,Dados!$H:$H,$D$1,Dados!$G:$G,$P$4)</f>
        <v>0</v>
      </c>
      <c r="Q8" s="64"/>
    </row>
    <row r="9" ht="15.75" customHeight="1">
      <c r="A9" s="58"/>
      <c r="B9" s="59" t="s">
        <v>100</v>
      </c>
      <c r="C9" s="60"/>
      <c r="D9" s="61">
        <f t="shared" si="1"/>
        <v>0</v>
      </c>
      <c r="E9" s="64">
        <f>sumifs(Dados!$N:$N,Dados!$B:$B,B9,Dados!$H:$H,$D$1,Dados!$G:$G,$E$4)</f>
        <v>0</v>
      </c>
      <c r="F9" s="64">
        <f>sumifs(Dados!$N:$N,Dados!$B:$B,B9,Dados!$H:$H,$D$1,Dados!$G:$G,$F$4)</f>
        <v>0</v>
      </c>
      <c r="G9" s="64">
        <f>sumifs(Dados!$N:$N,Dados!$B:$B,B9,Dados!$H:$H,$D$1,Dados!$G:$G,$G$4)</f>
        <v>0</v>
      </c>
      <c r="H9" s="64">
        <f>sumifs(Dados!$N:$N,Dados!$B:$B,B9,Dados!$H:$H,$D$1,Dados!$G:$G,$H$4)</f>
        <v>0</v>
      </c>
      <c r="I9" s="64">
        <f>sumifs(Dados!$N:$N,Dados!$B:$B,B9,Dados!$H:$H,$D$1,Dados!$G:$G,$I$4)</f>
        <v>0</v>
      </c>
      <c r="J9" s="64">
        <f>sumifs(Dados!$N:$N,Dados!$B:$B,B9,Dados!$H:$H,$D$1,Dados!$G:$G,$J$4)</f>
        <v>0</v>
      </c>
      <c r="K9" s="64">
        <f>sumifs(Dados!$N:$N,Dados!$B:$B,B9,Dados!$H:$H,$D$1,Dados!$G:$G,$K$4)</f>
        <v>0</v>
      </c>
      <c r="L9" s="64">
        <f>sumifs(Dados!$N:$N,Dados!$B:$B,B9,Dados!$H:$H,$D$1,Dados!$G:$G,$L$4)</f>
        <v>0</v>
      </c>
      <c r="M9" s="64">
        <f>sumifs(Dados!$N:$N,Dados!$B:$B,B9,Dados!$H:$H,$D$1,Dados!$G:$G,$M$4)</f>
        <v>0</v>
      </c>
      <c r="N9" s="64">
        <f>sumifs(Dados!$N:$N,Dados!$B:$B,B9,Dados!$H:$H,$D$1,Dados!$G:$G,$N$4)</f>
        <v>0</v>
      </c>
      <c r="O9" s="64">
        <f>sumifs(Dados!$N:$N,Dados!$B:$B,B9,Dados!$H:$H,$D$1,Dados!$G:$G,$O$4)</f>
        <v>0</v>
      </c>
      <c r="P9" s="64">
        <f>sumifs(Dados!$N:$N,Dados!$B:$B,B9,Dados!$H:$H,$D$1,Dados!$G:$G,$P$4)</f>
        <v>0</v>
      </c>
      <c r="Q9" s="64"/>
    </row>
    <row r="10" ht="15.75" customHeight="1">
      <c r="A10" s="74"/>
      <c r="B10" s="59" t="s">
        <v>101</v>
      </c>
      <c r="C10" s="60"/>
      <c r="D10" s="61">
        <f t="shared" si="1"/>
        <v>0</v>
      </c>
      <c r="E10" s="64">
        <f>sumifs(Dados!$N:$N,Dados!$B:$B,B10,Dados!$H:$H,$D$1,Dados!$G:$G,$E$4)</f>
        <v>0</v>
      </c>
      <c r="F10" s="64">
        <f>sumifs(Dados!$N:$N,Dados!$B:$B,B10,Dados!$H:$H,$D$1,Dados!$G:$G,$F$4)</f>
        <v>0</v>
      </c>
      <c r="G10" s="64">
        <f>sumifs(Dados!$N:$N,Dados!$B:$B,B10,Dados!$H:$H,$D$1,Dados!$G:$G,$G$4)</f>
        <v>0</v>
      </c>
      <c r="H10" s="64">
        <f>sumifs(Dados!$N:$N,Dados!$B:$B,B10,Dados!$H:$H,$D$1,Dados!$G:$G,$H$4)</f>
        <v>0</v>
      </c>
      <c r="I10" s="64">
        <f>sumifs(Dados!$N:$N,Dados!$B:$B,B10,Dados!$H:$H,$D$1,Dados!$G:$G,$I$4)</f>
        <v>0</v>
      </c>
      <c r="J10" s="64">
        <f>sumifs(Dados!$N:$N,Dados!$B:$B,B10,Dados!$H:$H,$D$1,Dados!$G:$G,$J$4)</f>
        <v>0</v>
      </c>
      <c r="K10" s="64">
        <f>sumifs(Dados!$N:$N,Dados!$B:$B,B10,Dados!$H:$H,$D$1,Dados!$G:$G,$K$4)</f>
        <v>0</v>
      </c>
      <c r="L10" s="64">
        <f>sumifs(Dados!$N:$N,Dados!$B:$B,B10,Dados!$H:$H,$D$1,Dados!$G:$G,$L$4)</f>
        <v>0</v>
      </c>
      <c r="M10" s="64">
        <f>sumifs(Dados!$N:$N,Dados!$B:$B,B10,Dados!$H:$H,$D$1,Dados!$G:$G,$M$4)</f>
        <v>0</v>
      </c>
      <c r="N10" s="64">
        <f>sumifs(Dados!$N:$N,Dados!$B:$B,B10,Dados!$H:$H,$D$1,Dados!$G:$G,$N$4)</f>
        <v>0</v>
      </c>
      <c r="O10" s="64">
        <f>sumifs(Dados!$N:$N,Dados!$B:$B,B10,Dados!$H:$H,$D$1,Dados!$G:$G,$O$4)</f>
        <v>0</v>
      </c>
      <c r="P10" s="64">
        <f>sumifs(Dados!$N:$N,Dados!$B:$B,B10,Dados!$H:$H,$D$1,Dados!$G:$G,$P$4)</f>
        <v>0</v>
      </c>
      <c r="Q10" s="64"/>
    </row>
    <row r="11" ht="15.75" customHeight="1">
      <c r="A11" s="58"/>
      <c r="B11" s="59" t="s">
        <v>104</v>
      </c>
      <c r="C11" s="60"/>
      <c r="D11" s="61">
        <f t="shared" si="1"/>
        <v>0</v>
      </c>
      <c r="E11" s="64">
        <f>sumifs(Dados!$N:$N,Dados!$B:$B,B11,Dados!$H:$H,$D$1,Dados!$G:$G,$E$4)</f>
        <v>0</v>
      </c>
      <c r="F11" s="64">
        <f>sumifs(Dados!$N:$N,Dados!$B:$B,B11,Dados!$H:$H,$D$1,Dados!$G:$G,$F$4)</f>
        <v>0</v>
      </c>
      <c r="G11" s="64">
        <f>sumifs(Dados!$N:$N,Dados!$B:$B,B11,Dados!$H:$H,$D$1,Dados!$G:$G,$G$4)</f>
        <v>0</v>
      </c>
      <c r="H11" s="64">
        <f>sumifs(Dados!$N:$N,Dados!$B:$B,B11,Dados!$H:$H,$D$1,Dados!$G:$G,$H$4)</f>
        <v>0</v>
      </c>
      <c r="I11" s="64">
        <f>sumifs(Dados!$N:$N,Dados!$B:$B,B11,Dados!$H:$H,$D$1,Dados!$G:$G,$I$4)</f>
        <v>0</v>
      </c>
      <c r="J11" s="64">
        <f>sumifs(Dados!$N:$N,Dados!$B:$B,B11,Dados!$H:$H,$D$1,Dados!$G:$G,$J$4)</f>
        <v>0</v>
      </c>
      <c r="K11" s="64">
        <f>sumifs(Dados!$N:$N,Dados!$B:$B,B11,Dados!$H:$H,$D$1,Dados!$G:$G,$K$4)</f>
        <v>0</v>
      </c>
      <c r="L11" s="64">
        <f>sumifs(Dados!$N:$N,Dados!$B:$B,B11,Dados!$H:$H,$D$1,Dados!$G:$G,$L$4)</f>
        <v>0</v>
      </c>
      <c r="M11" s="64">
        <f>sumifs(Dados!$N:$N,Dados!$B:$B,B11,Dados!$H:$H,$D$1,Dados!$G:$G,$M$4)</f>
        <v>0</v>
      </c>
      <c r="N11" s="64">
        <f>sumifs(Dados!$N:$N,Dados!$B:$B,B11,Dados!$H:$H,$D$1,Dados!$G:$G,$N$4)</f>
        <v>0</v>
      </c>
      <c r="O11" s="64">
        <f>sumifs(Dados!$N:$N,Dados!$B:$B,B11,Dados!$H:$H,$D$1,Dados!$G:$G,$O$4)</f>
        <v>0</v>
      </c>
      <c r="P11" s="64">
        <f>sumifs(Dados!$N:$N,Dados!$B:$B,B11,Dados!$H:$H,$D$1,Dados!$G:$G,$P$4)</f>
        <v>0</v>
      </c>
      <c r="Q11" s="64"/>
    </row>
    <row r="12" ht="15.75" customHeight="1">
      <c r="A12" s="58"/>
      <c r="B12" s="59" t="s">
        <v>105</v>
      </c>
      <c r="C12" s="60"/>
      <c r="D12" s="61">
        <f t="shared" si="1"/>
        <v>0</v>
      </c>
      <c r="E12" s="64">
        <f>sumifs(Dados!$N:$N,Dados!$B:$B,B12,Dados!$H:$H,$D$1,Dados!$G:$G,$E$4)</f>
        <v>0</v>
      </c>
      <c r="F12" s="64">
        <f>sumifs(Dados!$N:$N,Dados!$B:$B,B12,Dados!$H:$H,$D$1,Dados!$G:$G,$F$4)</f>
        <v>0</v>
      </c>
      <c r="G12" s="64">
        <f>sumifs(Dados!$N:$N,Dados!$B:$B,B12,Dados!$H:$H,$D$1,Dados!$G:$G,$G$4)</f>
        <v>0</v>
      </c>
      <c r="H12" s="64">
        <f>sumifs(Dados!$N:$N,Dados!$B:$B,B12,Dados!$H:$H,$D$1,Dados!$G:$G,$H$4)</f>
        <v>0</v>
      </c>
      <c r="I12" s="64">
        <f>sumifs(Dados!$N:$N,Dados!$B:$B,B12,Dados!$H:$H,$D$1,Dados!$G:$G,$I$4)</f>
        <v>0</v>
      </c>
      <c r="J12" s="64">
        <f>sumifs(Dados!$N:$N,Dados!$B:$B,B12,Dados!$H:$H,$D$1,Dados!$G:$G,$J$4)</f>
        <v>0</v>
      </c>
      <c r="K12" s="64">
        <f>sumifs(Dados!$N:$N,Dados!$B:$B,B12,Dados!$H:$H,$D$1,Dados!$G:$G,$K$4)</f>
        <v>0</v>
      </c>
      <c r="L12" s="64">
        <f>sumifs(Dados!$N:$N,Dados!$B:$B,B12,Dados!$H:$H,$D$1,Dados!$G:$G,$L$4)</f>
        <v>0</v>
      </c>
      <c r="M12" s="64">
        <f>sumifs(Dados!$N:$N,Dados!$B:$B,B12,Dados!$H:$H,$D$1,Dados!$G:$G,$M$4)</f>
        <v>0</v>
      </c>
      <c r="N12" s="64">
        <f>sumifs(Dados!$N:$N,Dados!$B:$B,B12,Dados!$H:$H,$D$1,Dados!$G:$G,$N$4)</f>
        <v>0</v>
      </c>
      <c r="O12" s="64">
        <f>sumifs(Dados!$N:$N,Dados!$B:$B,B12,Dados!$H:$H,$D$1,Dados!$G:$G,$O$4)</f>
        <v>0</v>
      </c>
      <c r="P12" s="64">
        <f>sumifs(Dados!$N:$N,Dados!$B:$B,B12,Dados!$H:$H,$D$1,Dados!$G:$G,$P$4)</f>
        <v>0</v>
      </c>
      <c r="Q12" s="64"/>
    </row>
    <row r="13" ht="15.75" customHeight="1">
      <c r="A13" s="88" t="s">
        <v>106</v>
      </c>
      <c r="B13" s="89">
        <f>sumifs(Dados!$N:$N,Dados!$A:$A,A13,Dados!$H:$H,$D$1)</f>
        <v>721.71</v>
      </c>
      <c r="C13" s="90">
        <f>B13-D13</f>
        <v>0</v>
      </c>
      <c r="D13" s="89">
        <f t="shared" ref="D13:P13" si="2">SUM(D5:D12)</f>
        <v>721.71</v>
      </c>
      <c r="E13" s="89">
        <f t="shared" si="2"/>
        <v>0</v>
      </c>
      <c r="F13" s="89">
        <f t="shared" si="2"/>
        <v>0</v>
      </c>
      <c r="G13" s="89">
        <f t="shared" si="2"/>
        <v>0</v>
      </c>
      <c r="H13" s="89">
        <f t="shared" si="2"/>
        <v>0</v>
      </c>
      <c r="I13" s="89">
        <f t="shared" si="2"/>
        <v>0</v>
      </c>
      <c r="J13" s="89">
        <f t="shared" si="2"/>
        <v>721.71</v>
      </c>
      <c r="K13" s="89">
        <f t="shared" si="2"/>
        <v>0</v>
      </c>
      <c r="L13" s="89">
        <f t="shared" si="2"/>
        <v>0</v>
      </c>
      <c r="M13" s="89">
        <f t="shared" si="2"/>
        <v>0</v>
      </c>
      <c r="N13" s="89">
        <f t="shared" si="2"/>
        <v>0</v>
      </c>
      <c r="O13" s="89">
        <f t="shared" si="2"/>
        <v>0</v>
      </c>
      <c r="P13" s="89">
        <f t="shared" si="2"/>
        <v>0</v>
      </c>
      <c r="Q13" s="89"/>
    </row>
    <row r="14" ht="15.75" customHeight="1">
      <c r="A14" s="58"/>
      <c r="B14" s="59" t="s">
        <v>107</v>
      </c>
      <c r="C14" s="60"/>
      <c r="D14" s="61">
        <f t="shared" ref="D14:D17" si="3">SUM(E14:P14)</f>
        <v>0</v>
      </c>
      <c r="E14" s="64">
        <f>sumifs(Dados!$N:$N,Dados!$B:$B,B14,Dados!$H:$H,$D$1,Dados!$G:$G,$E$4)</f>
        <v>0</v>
      </c>
      <c r="F14" s="64">
        <f>sumifs(Dados!$N:$N,Dados!$B:$B,B14,Dados!$H:$H,$D$1,Dados!$G:$G,$F$4)</f>
        <v>0</v>
      </c>
      <c r="G14" s="64">
        <f>sumifs(Dados!$N:$N,Dados!$B:$B,B14,Dados!$H:$H,$D$1,Dados!$G:$G,$G$4)</f>
        <v>0</v>
      </c>
      <c r="H14" s="64">
        <f>sumifs(Dados!$N:$N,Dados!$B:$B,B14,Dados!$H:$H,$D$1,Dados!$G:$G,$H$4)</f>
        <v>0</v>
      </c>
      <c r="I14" s="64">
        <f>sumifs(Dados!$N:$N,Dados!$B:$B,B14,Dados!$H:$H,$D$1,Dados!$G:$G,$I$4)</f>
        <v>0</v>
      </c>
      <c r="J14" s="64">
        <f>sumifs(Dados!$N:$N,Dados!$B:$B,B14,Dados!$H:$H,$D$1,Dados!$G:$G,$J$4)</f>
        <v>0</v>
      </c>
      <c r="K14" s="64">
        <f>sumifs(Dados!$N:$N,Dados!$B:$B,B14,Dados!$H:$H,$D$1,Dados!$G:$G,$K$4)</f>
        <v>0</v>
      </c>
      <c r="L14" s="64">
        <f>sumifs(Dados!$N:$N,Dados!$B:$B,B14,Dados!$H:$H,$D$1,Dados!$G:$G,$L$4)</f>
        <v>0</v>
      </c>
      <c r="M14" s="64">
        <f>sumifs(Dados!$N:$N,Dados!$B:$B,B14,Dados!$H:$H,$D$1,Dados!$G:$G,$M$4)</f>
        <v>0</v>
      </c>
      <c r="N14" s="64">
        <f>sumifs(Dados!$N:$N,Dados!$B:$B,B14,Dados!$H:$H,$D$1,Dados!$G:$G,$N$4)</f>
        <v>0</v>
      </c>
      <c r="O14" s="64">
        <f>sumifs(Dados!$N:$N,Dados!$B:$B,B14,Dados!$H:$H,$D$1,Dados!$G:$G,$O$4)</f>
        <v>0</v>
      </c>
      <c r="P14" s="64">
        <f>sumifs(Dados!$N:$N,Dados!$B:$B,B14,Dados!$H:$H,$D$1,Dados!$G:$G,$P$4)</f>
        <v>0</v>
      </c>
      <c r="Q14" s="64"/>
    </row>
    <row r="15" ht="15.75" customHeight="1">
      <c r="A15" s="58"/>
      <c r="B15" s="59" t="s">
        <v>109</v>
      </c>
      <c r="C15" s="60"/>
      <c r="D15" s="61">
        <f t="shared" si="3"/>
        <v>0</v>
      </c>
      <c r="E15" s="64">
        <f>sumifs(Dados!$N:$N,Dados!$B:$B,B15,Dados!$H:$H,$D$1,Dados!$G:$G,$E$4)</f>
        <v>0</v>
      </c>
      <c r="F15" s="64">
        <f>sumifs(Dados!$N:$N,Dados!$B:$B,B15,Dados!$H:$H,$D$1,Dados!$G:$G,$F$4)</f>
        <v>0</v>
      </c>
      <c r="G15" s="64">
        <f>sumifs(Dados!$N:$N,Dados!$B:$B,B15,Dados!$H:$H,$D$1,Dados!$G:$G,$G$4)</f>
        <v>0</v>
      </c>
      <c r="H15" s="64">
        <f>sumifs(Dados!$N:$N,Dados!$B:$B,B15,Dados!$H:$H,$D$1,Dados!$G:$G,$H$4)</f>
        <v>0</v>
      </c>
      <c r="I15" s="64">
        <f>sumifs(Dados!$N:$N,Dados!$B:$B,B15,Dados!$H:$H,$D$1,Dados!$G:$G,$I$4)</f>
        <v>0</v>
      </c>
      <c r="J15" s="64">
        <f>sumifs(Dados!$N:$N,Dados!$B:$B,B15,Dados!$H:$H,$D$1,Dados!$G:$G,$J$4)</f>
        <v>0</v>
      </c>
      <c r="K15" s="64">
        <f>sumifs(Dados!$N:$N,Dados!$B:$B,B15,Dados!$H:$H,$D$1,Dados!$G:$G,$K$4)</f>
        <v>0</v>
      </c>
      <c r="L15" s="64">
        <f>sumifs(Dados!$N:$N,Dados!$B:$B,B15,Dados!$H:$H,$D$1,Dados!$G:$G,$L$4)</f>
        <v>0</v>
      </c>
      <c r="M15" s="64">
        <f>sumifs(Dados!$N:$N,Dados!$B:$B,B15,Dados!$H:$H,$D$1,Dados!$G:$G,$M$4)</f>
        <v>0</v>
      </c>
      <c r="N15" s="64">
        <f>sumifs(Dados!$N:$N,Dados!$B:$B,B15,Dados!$H:$H,$D$1,Dados!$G:$G,$N$4)</f>
        <v>0</v>
      </c>
      <c r="O15" s="64">
        <f>sumifs(Dados!$N:$N,Dados!$B:$B,B15,Dados!$H:$H,$D$1,Dados!$G:$G,$O$4)</f>
        <v>0</v>
      </c>
      <c r="P15" s="64">
        <f>sumifs(Dados!$N:$N,Dados!$B:$B,B15,Dados!$H:$H,$D$1,Dados!$G:$G,$P$4)</f>
        <v>0</v>
      </c>
      <c r="Q15" s="64"/>
    </row>
    <row r="16" ht="15.75" customHeight="1">
      <c r="A16" s="58"/>
      <c r="B16" s="59" t="s">
        <v>111</v>
      </c>
      <c r="C16" s="60"/>
      <c r="D16" s="61">
        <f t="shared" si="3"/>
        <v>0</v>
      </c>
      <c r="E16" s="64">
        <f>sumifs(Dados!$N:$N,Dados!$B:$B,B16,Dados!$H:$H,$D$1,Dados!$G:$G,$E$4)</f>
        <v>0</v>
      </c>
      <c r="F16" s="64">
        <f>sumifs(Dados!$N:$N,Dados!$B:$B,B16,Dados!$H:$H,$D$1,Dados!$G:$G,$F$4)</f>
        <v>0</v>
      </c>
      <c r="G16" s="64">
        <f>sumifs(Dados!$N:$N,Dados!$B:$B,B16,Dados!$H:$H,$D$1,Dados!$G:$G,$G$4)</f>
        <v>0</v>
      </c>
      <c r="H16" s="64">
        <f>sumifs(Dados!$N:$N,Dados!$B:$B,B16,Dados!$H:$H,$D$1,Dados!$G:$G,$H$4)</f>
        <v>0</v>
      </c>
      <c r="I16" s="64">
        <f>sumifs(Dados!$N:$N,Dados!$B:$B,B16,Dados!$H:$H,$D$1,Dados!$G:$G,$I$4)</f>
        <v>0</v>
      </c>
      <c r="J16" s="64">
        <f>sumifs(Dados!$N:$N,Dados!$B:$B,B16,Dados!$H:$H,$D$1,Dados!$G:$G,$J$4)</f>
        <v>0</v>
      </c>
      <c r="K16" s="64">
        <f>sumifs(Dados!$N:$N,Dados!$B:$B,B16,Dados!$H:$H,$D$1,Dados!$G:$G,$K$4)</f>
        <v>0</v>
      </c>
      <c r="L16" s="64">
        <f>sumifs(Dados!$N:$N,Dados!$B:$B,B16,Dados!$H:$H,$D$1,Dados!$G:$G,$L$4)</f>
        <v>0</v>
      </c>
      <c r="M16" s="64">
        <f>sumifs(Dados!$N:$N,Dados!$B:$B,B16,Dados!$H:$H,$D$1,Dados!$G:$G,$M$4)</f>
        <v>0</v>
      </c>
      <c r="N16" s="64">
        <f>sumifs(Dados!$N:$N,Dados!$B:$B,B16,Dados!$H:$H,$D$1,Dados!$G:$G,$N$4)</f>
        <v>0</v>
      </c>
      <c r="O16" s="64">
        <f>sumifs(Dados!$N:$N,Dados!$B:$B,B16,Dados!$H:$H,$D$1,Dados!$G:$G,$O$4)</f>
        <v>0</v>
      </c>
      <c r="P16" s="64">
        <f>sumifs(Dados!$N:$N,Dados!$B:$B,B16,Dados!$H:$H,$D$1,Dados!$G:$G,$P$4)</f>
        <v>0</v>
      </c>
      <c r="Q16" s="64"/>
    </row>
    <row r="17" ht="15.75" customHeight="1">
      <c r="A17" s="58"/>
      <c r="B17" s="59" t="s">
        <v>114</v>
      </c>
      <c r="C17" s="60"/>
      <c r="D17" s="61">
        <f t="shared" si="3"/>
        <v>0</v>
      </c>
      <c r="E17" s="64">
        <f>sumifs(Dados!$N:$N,Dados!$B:$B,B17,Dados!$H:$H,$D$1,Dados!$G:$G,$E$4)</f>
        <v>0</v>
      </c>
      <c r="F17" s="64">
        <f>sumifs(Dados!$N:$N,Dados!$B:$B,B17,Dados!$H:$H,$D$1,Dados!$G:$G,$F$4)</f>
        <v>0</v>
      </c>
      <c r="G17" s="64">
        <f>sumifs(Dados!$N:$N,Dados!$B:$B,B17,Dados!$H:$H,$D$1,Dados!$G:$G,$G$4)</f>
        <v>0</v>
      </c>
      <c r="H17" s="64">
        <f>sumifs(Dados!$N:$N,Dados!$B:$B,B17,Dados!$H:$H,$D$1,Dados!$G:$G,$H$4)</f>
        <v>0</v>
      </c>
      <c r="I17" s="64">
        <f>sumifs(Dados!$N:$N,Dados!$B:$B,B17,Dados!$H:$H,$D$1,Dados!$G:$G,$I$4)</f>
        <v>0</v>
      </c>
      <c r="J17" s="64">
        <f>sumifs(Dados!$N:$N,Dados!$B:$B,B17,Dados!$H:$H,$D$1,Dados!$G:$G,$J$4)</f>
        <v>0</v>
      </c>
      <c r="K17" s="64">
        <f>sumifs(Dados!$N:$N,Dados!$B:$B,B17,Dados!$H:$H,$D$1,Dados!$G:$G,$K$4)</f>
        <v>0</v>
      </c>
      <c r="L17" s="64">
        <f>sumifs(Dados!$N:$N,Dados!$B:$B,B17,Dados!$H:$H,$D$1,Dados!$G:$G,$L$4)</f>
        <v>0</v>
      </c>
      <c r="M17" s="64">
        <f>sumifs(Dados!$N:$N,Dados!$B:$B,B17,Dados!$H:$H,$D$1,Dados!$G:$G,$M$4)</f>
        <v>0</v>
      </c>
      <c r="N17" s="64">
        <f>sumifs(Dados!$N:$N,Dados!$B:$B,B17,Dados!$H:$H,$D$1,Dados!$G:$G,$N$4)</f>
        <v>0</v>
      </c>
      <c r="O17" s="64">
        <f>sumifs(Dados!$N:$N,Dados!$B:$B,B17,Dados!$H:$H,$D$1,Dados!$G:$G,$O$4)</f>
        <v>0</v>
      </c>
      <c r="P17" s="64">
        <f>sumifs(Dados!$N:$N,Dados!$B:$B,B17,Dados!$H:$H,$D$1,Dados!$G:$G,$P$4)</f>
        <v>0</v>
      </c>
      <c r="Q17" s="64"/>
    </row>
    <row r="18" ht="15.75" customHeight="1">
      <c r="A18" s="88" t="s">
        <v>118</v>
      </c>
      <c r="B18" s="89">
        <f>sumifs(Dados!$N:$N,Dados!$A:$A,A18,Dados!$H:$H,$D$1)</f>
        <v>0</v>
      </c>
      <c r="C18" s="90">
        <f>B18-D18</f>
        <v>0</v>
      </c>
      <c r="D18" s="89">
        <f t="shared" ref="D18:P18" si="4">SUM(D14:D17)</f>
        <v>0</v>
      </c>
      <c r="E18" s="89">
        <f t="shared" si="4"/>
        <v>0</v>
      </c>
      <c r="F18" s="89">
        <f t="shared" si="4"/>
        <v>0</v>
      </c>
      <c r="G18" s="89">
        <f t="shared" si="4"/>
        <v>0</v>
      </c>
      <c r="H18" s="89">
        <f t="shared" si="4"/>
        <v>0</v>
      </c>
      <c r="I18" s="89">
        <f t="shared" si="4"/>
        <v>0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89">
        <f t="shared" si="4"/>
        <v>0</v>
      </c>
      <c r="P18" s="89">
        <f t="shared" si="4"/>
        <v>0</v>
      </c>
      <c r="Q18" s="89"/>
    </row>
    <row r="19" ht="15.75" hidden="1" customHeight="1">
      <c r="A19" s="109"/>
      <c r="B19" s="109"/>
      <c r="C19" s="60"/>
      <c r="D19" s="61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ht="15.75" hidden="1" customHeight="1">
      <c r="A20" s="109"/>
      <c r="B20" s="109"/>
      <c r="C20" s="60"/>
      <c r="D20" s="61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ht="15.75" hidden="1" customHeight="1">
      <c r="A21" s="109"/>
      <c r="B21" s="109"/>
      <c r="C21" s="60"/>
      <c r="D21" s="61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</row>
    <row r="22" ht="15.75" hidden="1" customHeight="1">
      <c r="A22" s="109"/>
      <c r="B22" s="109"/>
      <c r="C22" s="60"/>
      <c r="D22" s="61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</row>
    <row r="23" ht="15.75" hidden="1" customHeight="1">
      <c r="A23" s="109"/>
      <c r="B23" s="109"/>
      <c r="C23" s="60"/>
      <c r="D23" s="61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</row>
    <row r="24" ht="15.75" hidden="1" customHeight="1">
      <c r="A24" s="88"/>
      <c r="B24" s="89"/>
      <c r="C24" s="90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</row>
    <row r="25" ht="15.75" customHeight="1">
      <c r="A25" s="109"/>
      <c r="B25" s="59" t="s">
        <v>121</v>
      </c>
      <c r="C25" s="60"/>
      <c r="D25" s="61">
        <f t="shared" ref="D25:D28" si="5">SUM(E25:P25)</f>
        <v>0</v>
      </c>
      <c r="E25" s="64">
        <f>sumifs(Dados!$N:$N,Dados!$B:$B,B25,Dados!$H:$H,$D$1,Dados!$G:$G,$E$4)</f>
        <v>0</v>
      </c>
      <c r="F25" s="64">
        <f>sumifs(Dados!$N:$N,Dados!$B:$B,B25,Dados!$H:$H,$D$1,Dados!$G:$G,$F$4)</f>
        <v>0</v>
      </c>
      <c r="G25" s="64">
        <f>sumifs(Dados!$N:$N,Dados!$B:$B,B25,Dados!$H:$H,$D$1,Dados!$G:$G,$G$4)</f>
        <v>0</v>
      </c>
      <c r="H25" s="64">
        <f>sumifs(Dados!$N:$N,Dados!$B:$B,B25,Dados!$H:$H,$D$1,Dados!$G:$G,$H$4)</f>
        <v>0</v>
      </c>
      <c r="I25" s="64">
        <f>sumifs(Dados!$N:$N,Dados!$B:$B,B25,Dados!$H:$H,$D$1,Dados!$G:$G,$I$4)</f>
        <v>0</v>
      </c>
      <c r="J25" s="64">
        <f>sumifs(Dados!$N:$N,Dados!$B:$B,B25,Dados!$H:$H,$D$1,Dados!$G:$G,$J$4)</f>
        <v>0</v>
      </c>
      <c r="K25" s="64">
        <f>sumifs(Dados!$N:$N,Dados!$B:$B,B25,Dados!$H:$H,$D$1,Dados!$G:$G,$K$4)</f>
        <v>0</v>
      </c>
      <c r="L25" s="64">
        <f>sumifs(Dados!$N:$N,Dados!$B:$B,B25,Dados!$H:$H,$D$1,Dados!$G:$G,$L$4)</f>
        <v>0</v>
      </c>
      <c r="M25" s="64">
        <f>sumifs(Dados!$N:$N,Dados!$B:$B,B25,Dados!$H:$H,$D$1,Dados!$G:$G,$M$4)</f>
        <v>0</v>
      </c>
      <c r="N25" s="64">
        <f>sumifs(Dados!$N:$N,Dados!$B:$B,B25,Dados!$H:$H,$D$1,Dados!$G:$G,$N$4)</f>
        <v>0</v>
      </c>
      <c r="O25" s="64">
        <f>sumifs(Dados!$N:$N,Dados!$B:$B,B25,Dados!$H:$H,$D$1,Dados!$G:$G,$O$4)</f>
        <v>0</v>
      </c>
      <c r="P25" s="64">
        <f>sumifs(Dados!$N:$N,Dados!$B:$B,B25,Dados!$H:$H,$D$1,Dados!$G:$G,$P$4)</f>
        <v>0</v>
      </c>
      <c r="Q25" s="64"/>
    </row>
    <row r="26" ht="15.75" customHeight="1">
      <c r="A26" s="109"/>
      <c r="B26" s="59" t="s">
        <v>125</v>
      </c>
      <c r="C26" s="60"/>
      <c r="D26" s="61">
        <f t="shared" si="5"/>
        <v>0</v>
      </c>
      <c r="E26" s="64">
        <f>sumifs(Dados!$N:$N,Dados!$B:$B,B26,Dados!$H:$H,$D$1,Dados!$G:$G,$E$4)</f>
        <v>0</v>
      </c>
      <c r="F26" s="64">
        <f>sumifs(Dados!$N:$N,Dados!$B:$B,B26,Dados!$H:$H,$D$1,Dados!$G:$G,$F$4)</f>
        <v>0</v>
      </c>
      <c r="G26" s="64">
        <f>sumifs(Dados!$N:$N,Dados!$B:$B,B26,Dados!$H:$H,$D$1,Dados!$G:$G,$G$4)</f>
        <v>0</v>
      </c>
      <c r="H26" s="64">
        <f>sumifs(Dados!$N:$N,Dados!$B:$B,B26,Dados!$H:$H,$D$1,Dados!$G:$G,$H$4)</f>
        <v>0</v>
      </c>
      <c r="I26" s="64">
        <f>sumifs(Dados!$N:$N,Dados!$B:$B,B26,Dados!$H:$H,$D$1,Dados!$G:$G,$I$4)</f>
        <v>0</v>
      </c>
      <c r="J26" s="64">
        <f>sumifs(Dados!$N:$N,Dados!$B:$B,B26,Dados!$H:$H,$D$1,Dados!$G:$G,$J$4)</f>
        <v>0</v>
      </c>
      <c r="K26" s="64">
        <f>sumifs(Dados!$N:$N,Dados!$B:$B,B26,Dados!$H:$H,$D$1,Dados!$G:$G,$K$4)</f>
        <v>0</v>
      </c>
      <c r="L26" s="64">
        <f>sumifs(Dados!$N:$N,Dados!$B:$B,B26,Dados!$H:$H,$D$1,Dados!$G:$G,$L$4)</f>
        <v>0</v>
      </c>
      <c r="M26" s="64">
        <f>sumifs(Dados!$N:$N,Dados!$B:$B,B26,Dados!$H:$H,$D$1,Dados!$G:$G,$M$4)</f>
        <v>0</v>
      </c>
      <c r="N26" s="64">
        <f>sumifs(Dados!$N:$N,Dados!$B:$B,B26,Dados!$H:$H,$D$1,Dados!$G:$G,$N$4)</f>
        <v>0</v>
      </c>
      <c r="O26" s="64">
        <f>sumifs(Dados!$N:$N,Dados!$B:$B,B26,Dados!$H:$H,$D$1,Dados!$G:$G,$O$4)</f>
        <v>0</v>
      </c>
      <c r="P26" s="64">
        <f>sumifs(Dados!$N:$N,Dados!$B:$B,B26,Dados!$H:$H,$D$1,Dados!$G:$G,$P$4)</f>
        <v>0</v>
      </c>
      <c r="Q26" s="64"/>
    </row>
    <row r="27" ht="15.75" customHeight="1">
      <c r="A27" s="74"/>
      <c r="B27" s="59" t="s">
        <v>128</v>
      </c>
      <c r="C27" s="60"/>
      <c r="D27" s="61">
        <f t="shared" si="5"/>
        <v>0</v>
      </c>
      <c r="E27" s="64">
        <f>sumifs(Dados!$N:$N,Dados!$B:$B,$B$27,Dados!$H:$H,$D$1,Dados!$G:$G,E4)</f>
        <v>0</v>
      </c>
      <c r="F27" s="64">
        <f>sumifs(Dados!$N:$N,Dados!$B:$B,$B$27,Dados!$H:$H,$D$1,Dados!$G:$G,F4)</f>
        <v>0</v>
      </c>
      <c r="G27" s="64">
        <f>sumifs(Dados!$N:$N,Dados!$B:$B,$B$27,Dados!$H:$H,$D$1,Dados!$G:$G,G4)</f>
        <v>0</v>
      </c>
      <c r="H27" s="64">
        <f>sumifs(Dados!$N:$N,Dados!$B:$B,$B$27,Dados!$H:$H,$D$1,Dados!$G:$G,H4)</f>
        <v>0</v>
      </c>
      <c r="I27" s="64">
        <f>sumifs(Dados!$N:$N,Dados!$B:$B,$B$27,Dados!$H:$H,$D$1,Dados!$G:$G,I4)</f>
        <v>0</v>
      </c>
      <c r="J27" s="64">
        <f>sumifs(Dados!$N:$N,Dados!$B:$B,$B$27,Dados!$H:$H,$D$1,Dados!$G:$G,J4)</f>
        <v>0</v>
      </c>
      <c r="K27" s="64">
        <f>sumifs(Dados!$N:$N,Dados!$B:$B,$B$27,Dados!$H:$H,$D$1,Dados!$G:$G,K4)</f>
        <v>0</v>
      </c>
      <c r="L27" s="64">
        <f>sumifs(Dados!$N:$N,Dados!$B:$B,$B$27,Dados!$H:$H,$D$1,Dados!$G:$G,L4)</f>
        <v>0</v>
      </c>
      <c r="M27" s="64">
        <f>sumifs(Dados!$N:$N,Dados!$B:$B,$B$27,Dados!$H:$H,$D$1,Dados!$G:$G,M4)</f>
        <v>0</v>
      </c>
      <c r="N27" s="64">
        <f>sumifs(Dados!$N:$N,Dados!$B:$B,$B$27,Dados!$H:$H,$D$1,Dados!$G:$G,N4)</f>
        <v>0</v>
      </c>
      <c r="O27" s="64">
        <f>sumifs(Dados!$N:$N,Dados!$B:$B,$B$27,Dados!$H:$H,$D$1,Dados!$G:$G,O4)</f>
        <v>0</v>
      </c>
      <c r="P27" s="64">
        <f>sumifs(Dados!$N:$N,Dados!$B:$B,$B$27,Dados!$H:$H,$D$1,Dados!$G:$G,P4)</f>
        <v>0</v>
      </c>
      <c r="Q27" s="64"/>
    </row>
    <row r="28" ht="15.75" customHeight="1">
      <c r="A28" s="58"/>
      <c r="B28" s="59" t="s">
        <v>130</v>
      </c>
      <c r="C28" s="60"/>
      <c r="D28" s="61">
        <f t="shared" si="5"/>
        <v>0</v>
      </c>
      <c r="E28" s="64">
        <f>sumifs(Dados!$N:$N,Dados!$B:$B,$B$28,Dados!$H:$H,$D$1,Dados!$G:$G,E4)</f>
        <v>0</v>
      </c>
      <c r="F28" s="64">
        <f>sumifs(Dados!$N:$N,Dados!$B:$B,$B$28,Dados!$H:$H,$D$1,Dados!$G:$G,F4)</f>
        <v>0</v>
      </c>
      <c r="G28" s="64">
        <f>sumifs(Dados!$N:$N,Dados!$B:$B,$B$28,Dados!$H:$H,$D$1,Dados!$G:$G,G4)</f>
        <v>0</v>
      </c>
      <c r="H28" s="64">
        <f>sumifs(Dados!$N:$N,Dados!$B:$B,$B$28,Dados!$H:$H,$D$1,Dados!$G:$G,H4)</f>
        <v>0</v>
      </c>
      <c r="I28" s="64">
        <f>sumifs(Dados!$N:$N,Dados!$B:$B,$B$28,Dados!$H:$H,$D$1,Dados!$G:$G,I4)</f>
        <v>0</v>
      </c>
      <c r="J28" s="64">
        <f>sumifs(Dados!$N:$N,Dados!$B:$B,$B$28,Dados!$H:$H,$D$1,Dados!$G:$G,J4)</f>
        <v>0</v>
      </c>
      <c r="K28" s="64">
        <f>sumifs(Dados!$N:$N,Dados!$B:$B,$B$28,Dados!$H:$H,$D$1,Dados!$G:$G,K4)</f>
        <v>0</v>
      </c>
      <c r="L28" s="64">
        <f>sumifs(Dados!$N:$N,Dados!$B:$B,$B$28,Dados!$H:$H,$D$1,Dados!$G:$G,L4)</f>
        <v>0</v>
      </c>
      <c r="M28" s="64">
        <f>sumifs(Dados!$N:$N,Dados!$B:$B,$B$28,Dados!$H:$H,$D$1,Dados!$G:$G,M4)</f>
        <v>0</v>
      </c>
      <c r="N28" s="64">
        <f>sumifs(Dados!$N:$N,Dados!$B:$B,$B$28,Dados!$H:$H,$D$1,Dados!$G:$G,N4)</f>
        <v>0</v>
      </c>
      <c r="O28" s="64">
        <f>sumifs(Dados!$N:$N,Dados!$B:$B,$B$28,Dados!$H:$H,$D$1,Dados!$G:$G,O4)</f>
        <v>0</v>
      </c>
      <c r="P28" s="64">
        <f>sumifs(Dados!$N:$N,Dados!$B:$B,$B$28,Dados!$H:$H,$D$1,Dados!$G:$G,P4)</f>
        <v>0</v>
      </c>
      <c r="Q28" s="64"/>
    </row>
    <row r="29" ht="15.75" customHeight="1">
      <c r="A29" s="88" t="s">
        <v>131</v>
      </c>
      <c r="B29" s="89">
        <f>sumifs(Dados!$N:$N,Dados!$A:$A,A29,Dados!$H:$H,$D$1)</f>
        <v>0</v>
      </c>
      <c r="C29" s="90">
        <f>B29-D29</f>
        <v>0</v>
      </c>
      <c r="D29" s="89">
        <f t="shared" ref="D29:P29" si="6">SUM(D25:D28)</f>
        <v>0</v>
      </c>
      <c r="E29" s="89">
        <f t="shared" si="6"/>
        <v>0</v>
      </c>
      <c r="F29" s="89">
        <f t="shared" si="6"/>
        <v>0</v>
      </c>
      <c r="G29" s="89">
        <f t="shared" si="6"/>
        <v>0</v>
      </c>
      <c r="H29" s="89">
        <f t="shared" si="6"/>
        <v>0</v>
      </c>
      <c r="I29" s="89">
        <f t="shared" si="6"/>
        <v>0</v>
      </c>
      <c r="J29" s="89">
        <f t="shared" si="6"/>
        <v>0</v>
      </c>
      <c r="K29" s="89">
        <f t="shared" si="6"/>
        <v>0</v>
      </c>
      <c r="L29" s="89">
        <f t="shared" si="6"/>
        <v>0</v>
      </c>
      <c r="M29" s="89">
        <f t="shared" si="6"/>
        <v>0</v>
      </c>
      <c r="N29" s="89">
        <f t="shared" si="6"/>
        <v>0</v>
      </c>
      <c r="O29" s="89">
        <f t="shared" si="6"/>
        <v>0</v>
      </c>
      <c r="P29" s="89">
        <f t="shared" si="6"/>
        <v>0</v>
      </c>
      <c r="Q29" s="89"/>
    </row>
    <row r="30" ht="15.75" customHeight="1">
      <c r="A30" s="58"/>
      <c r="B30" s="59" t="s">
        <v>132</v>
      </c>
      <c r="C30" s="60"/>
      <c r="D30" s="61">
        <f t="shared" ref="D30:D33" si="7">SUM(E30:P30)</f>
        <v>0</v>
      </c>
      <c r="E30" s="64">
        <f>sumifs(Dados!$N:$N,Dados!$B:$B,B30,Dados!$H:$H,$D$1,Dados!$G:$G,$E$4)</f>
        <v>0</v>
      </c>
      <c r="F30" s="64">
        <f>sumifs(Dados!$N:$N,Dados!$B:$B,B30,Dados!$H:$H,$D$1,Dados!$G:$G,$F$4)</f>
        <v>0</v>
      </c>
      <c r="G30" s="64">
        <f>sumifs(Dados!$N:$N,Dados!$B:$B,B30,Dados!$H:$H,$D$1,Dados!$G:$G,$G$4)</f>
        <v>0</v>
      </c>
      <c r="H30" s="64">
        <f>sumifs(Dados!$N:$N,Dados!$B:$B,B30,Dados!$H:$H,$D$1,Dados!$G:$G,$H$4)</f>
        <v>0</v>
      </c>
      <c r="I30" s="64">
        <f>sumifs(Dados!$N:$N,Dados!$B:$B,B30,Dados!$H:$H,$D$1,Dados!$G:$G,$I$4)</f>
        <v>0</v>
      </c>
      <c r="J30" s="64">
        <f>sumifs(Dados!$N:$N,Dados!$B:$B,B30,Dados!$H:$H,$D$1,Dados!$G:$G,$J$4)</f>
        <v>0</v>
      </c>
      <c r="K30" s="64">
        <f>sumifs(Dados!$N:$N,Dados!$B:$B,B30,Dados!$H:$H,$D$1,Dados!$G:$G,$K$4)</f>
        <v>0</v>
      </c>
      <c r="L30" s="64">
        <f>sumifs(Dados!$N:$N,Dados!$B:$B,B30,Dados!$H:$H,$D$1,Dados!$G:$G,$L$4)</f>
        <v>0</v>
      </c>
      <c r="M30" s="64">
        <f>sumifs(Dados!$N:$N,Dados!$B:$B,B30,Dados!$H:$H,$D$1,Dados!$G:$G,$M$4)</f>
        <v>0</v>
      </c>
      <c r="N30" s="64">
        <f>sumifs(Dados!$N:$N,Dados!$B:$B,B30,Dados!$H:$H,$D$1,Dados!$G:$G,$N$4)</f>
        <v>0</v>
      </c>
      <c r="O30" s="64">
        <f>sumifs(Dados!$N:$N,Dados!$B:$B,B30,Dados!$H:$H,$D$1,Dados!$G:$G,$O$4)</f>
        <v>0</v>
      </c>
      <c r="P30" s="64">
        <f>sumifs(Dados!$N:$N,Dados!$B:$B,B30,Dados!$H:$H,$D$1,Dados!$G:$G,$P$4)</f>
        <v>0</v>
      </c>
      <c r="Q30" s="64"/>
    </row>
    <row r="31" ht="15.75" customHeight="1">
      <c r="A31" s="58"/>
      <c r="B31" s="59" t="s">
        <v>38</v>
      </c>
      <c r="C31" s="60"/>
      <c r="D31" s="61">
        <f t="shared" si="7"/>
        <v>49.83</v>
      </c>
      <c r="E31" s="64">
        <f>sumifs(Dados!$N:$N,Dados!$B:$B,$B$31,Dados!$H:$H,$D$1,Dados!$G:$G,E4)</f>
        <v>5.19</v>
      </c>
      <c r="F31" s="64">
        <f>sumifs(Dados!$N:$N,Dados!$B:$B,$B$31,Dados!$H:$H,$D$1,Dados!$G:$G,F4)</f>
        <v>8.31</v>
      </c>
      <c r="G31" s="64">
        <f>sumifs(Dados!$N:$N,Dados!$B:$B,$B$31,Dados!$H:$H,$D$1,Dados!$G:$G,G4)</f>
        <v>5.19</v>
      </c>
      <c r="H31" s="64">
        <f>sumifs(Dados!$N:$N,Dados!$B:$B,$B$31,Dados!$H:$H,$D$1,Dados!$G:$G,H4)</f>
        <v>5.19</v>
      </c>
      <c r="I31" s="64">
        <f>sumifs(Dados!$N:$N,Dados!$B:$B,$B$31,Dados!$H:$H,$D$1,Dados!$G:$G,I4)</f>
        <v>5.19</v>
      </c>
      <c r="J31" s="64">
        <f>sumifs(Dados!$N:$N,Dados!$B:$B,$B$31,Dados!$H:$H,$D$1,Dados!$G:$G,J4)</f>
        <v>5.19</v>
      </c>
      <c r="K31" s="64">
        <f>sumifs(Dados!$N:$N,Dados!$B:$B,$B$31,Dados!$H:$H,$D$1,Dados!$G:$G,K4)</f>
        <v>5.19</v>
      </c>
      <c r="L31" s="64">
        <f>sumifs(Dados!$N:$N,Dados!$B:$B,$B$31,Dados!$H:$H,$D$1,Dados!$G:$G,L4)</f>
        <v>5.19</v>
      </c>
      <c r="M31" s="64">
        <f>sumifs(Dados!$N:$N,Dados!$B:$B,$B$31,Dados!$H:$H,$D$1,Dados!$G:$G,M4)</f>
        <v>5.19</v>
      </c>
      <c r="N31" s="64">
        <f>sumifs(Dados!$N:$N,Dados!$B:$B,$B$31,Dados!$H:$H,$D$1,Dados!$G:$G,N4)</f>
        <v>0</v>
      </c>
      <c r="O31" s="64">
        <f>sumifs(Dados!$N:$N,Dados!$B:$B,$B$31,Dados!$H:$H,$D$1,Dados!$G:$G,O4)</f>
        <v>0</v>
      </c>
      <c r="P31" s="64">
        <f>sumifs(Dados!$N:$N,Dados!$B:$B,$B$31,Dados!$H:$H,$D$1,Dados!$G:$G,P4)</f>
        <v>0</v>
      </c>
      <c r="Q31" s="64"/>
    </row>
    <row r="32" ht="15.75" customHeight="1">
      <c r="A32" s="58"/>
      <c r="B32" s="59" t="s">
        <v>133</v>
      </c>
      <c r="C32" s="60"/>
      <c r="D32" s="61">
        <f t="shared" si="7"/>
        <v>0</v>
      </c>
      <c r="E32" s="64">
        <f>sumifs(Dados!$N:$N,Dados!$B:$B,B32,Dados!$H:$H,$D$1,Dados!$G:$G,$E$4)</f>
        <v>0</v>
      </c>
      <c r="F32" s="64">
        <f>sumifs(Dados!$N:$N,Dados!$B:$B,B32,Dados!$H:$H,$D$1,Dados!$G:$G,$F$4)</f>
        <v>0</v>
      </c>
      <c r="G32" s="64">
        <f>sumifs(Dados!$N:$N,Dados!$B:$B,B32,Dados!$H:$H,$D$1,Dados!$G:$G,$G$4)</f>
        <v>0</v>
      </c>
      <c r="H32" s="64">
        <f>sumifs(Dados!$N:$N,Dados!$B:$B,B32,Dados!$H:$H,$D$1,Dados!$G:$G,$H$4)</f>
        <v>0</v>
      </c>
      <c r="I32" s="64">
        <f>sumifs(Dados!$N:$N,Dados!$B:$B,B32,Dados!$H:$H,$D$1,Dados!$G:$G,$I$4)</f>
        <v>0</v>
      </c>
      <c r="J32" s="64">
        <f>sumifs(Dados!$N:$N,Dados!$B:$B,B32,Dados!$H:$H,$D$1,Dados!$G:$G,$J$4)</f>
        <v>0</v>
      </c>
      <c r="K32" s="64">
        <f>sumifs(Dados!$N:$N,Dados!$B:$B,B32,Dados!$H:$H,$D$1,Dados!$G:$G,$K$4)</f>
        <v>0</v>
      </c>
      <c r="L32" s="64">
        <f>sumifs(Dados!$N:$N,Dados!$B:$B,B32,Dados!$H:$H,$D$1,Dados!$G:$G,$L$4)</f>
        <v>0</v>
      </c>
      <c r="M32" s="64">
        <f>sumifs(Dados!$N:$N,Dados!$B:$B,B32,Dados!$H:$H,$D$1,Dados!$G:$G,$M$4)</f>
        <v>0</v>
      </c>
      <c r="N32" s="64">
        <f>sumifs(Dados!$N:$N,Dados!$B:$B,B32,Dados!$H:$H,$D$1,Dados!$G:$G,$N$4)</f>
        <v>0</v>
      </c>
      <c r="O32" s="64">
        <f>sumifs(Dados!$N:$N,Dados!$B:$B,B32,Dados!$H:$H,$D$1,Dados!$G:$G,$O$4)</f>
        <v>0</v>
      </c>
      <c r="P32" s="64">
        <f>sumifs(Dados!$N:$N,Dados!$B:$B,B32,Dados!$H:$H,$D$1,Dados!$G:$G,$P$4)</f>
        <v>0</v>
      </c>
      <c r="Q32" s="64"/>
    </row>
    <row r="33" ht="15.75" customHeight="1">
      <c r="A33" s="58"/>
      <c r="B33" s="59" t="s">
        <v>134</v>
      </c>
      <c r="C33" s="60"/>
      <c r="D33" s="61">
        <f t="shared" si="7"/>
        <v>21.01</v>
      </c>
      <c r="E33" s="64">
        <f>sumifs(Dados!$N:$N,Dados!$B:$B,B33,Dados!$H:$H,$D$1,Dados!$G:$G,$E$4)</f>
        <v>0</v>
      </c>
      <c r="F33" s="64">
        <f>sumifs(Dados!$N:$N,Dados!$B:$B,B33,Dados!$H:$H,$D$1,Dados!$G:$G,$F$4)</f>
        <v>0</v>
      </c>
      <c r="G33" s="64">
        <f>sumifs(Dados!$N:$N,Dados!$B:$B,B33,Dados!$H:$H,$D$1,Dados!$G:$G,$G$4)</f>
        <v>0</v>
      </c>
      <c r="H33" s="64">
        <f>sumifs(Dados!$N:$N,Dados!$B:$B,B33,Dados!$H:$H,$D$1,Dados!$G:$G,$H$4)</f>
        <v>0</v>
      </c>
      <c r="I33" s="64">
        <f>sumifs(Dados!$N:$N,Dados!$B:$B,B33,Dados!$H:$H,$D$1,Dados!$G:$G,$I$4)</f>
        <v>0</v>
      </c>
      <c r="J33" s="64">
        <f>sumifs(Dados!$N:$N,Dados!$B:$B,B33,Dados!$H:$H,$D$1,Dados!$G:$G,$J$4)</f>
        <v>21.01</v>
      </c>
      <c r="K33" s="64">
        <f>sumifs(Dados!$N:$N,Dados!$B:$B,B33,Dados!$H:$H,$D$1,Dados!$G:$G,$K$4)</f>
        <v>0</v>
      </c>
      <c r="L33" s="64">
        <f>sumifs(Dados!$N:$N,Dados!$B:$B,B33,Dados!$H:$H,$D$1,Dados!$G:$G,$L$4)</f>
        <v>0</v>
      </c>
      <c r="M33" s="64">
        <f>sumifs(Dados!$N:$N,Dados!$B:$B,B33,Dados!$H:$H,$D$1,Dados!$G:$G,$M$4)</f>
        <v>0</v>
      </c>
      <c r="N33" s="64">
        <f>sumifs(Dados!$N:$N,Dados!$B:$B,B33,Dados!$H:$H,$D$1,Dados!$G:$G,$N$4)</f>
        <v>0</v>
      </c>
      <c r="O33" s="64">
        <f>sumifs(Dados!$N:$N,Dados!$B:$B,B33,Dados!$H:$H,$D$1,Dados!$G:$G,$O$4)</f>
        <v>0</v>
      </c>
      <c r="P33" s="64">
        <f>sumifs(Dados!$N:$N,Dados!$B:$B,B33,Dados!$H:$H,$D$1,Dados!$G:$G,$P$4)</f>
        <v>0</v>
      </c>
      <c r="Q33" s="64"/>
    </row>
    <row r="34" ht="15.75" customHeight="1">
      <c r="A34" s="88" t="s">
        <v>136</v>
      </c>
      <c r="B34" s="89">
        <f>sumifs(Dados!$N:$N,Dados!$A:$A,A34,Dados!$H:$H,$D$1)</f>
        <v>70.84</v>
      </c>
      <c r="C34" s="90">
        <f>B34-D34</f>
        <v>0</v>
      </c>
      <c r="D34" s="89">
        <f t="shared" ref="D34:P34" si="8">SUM(D30:D33)</f>
        <v>70.84</v>
      </c>
      <c r="E34" s="89">
        <f t="shared" si="8"/>
        <v>5.19</v>
      </c>
      <c r="F34" s="89">
        <f t="shared" si="8"/>
        <v>8.31</v>
      </c>
      <c r="G34" s="89">
        <f t="shared" si="8"/>
        <v>5.19</v>
      </c>
      <c r="H34" s="89">
        <f t="shared" si="8"/>
        <v>5.19</v>
      </c>
      <c r="I34" s="89">
        <f t="shared" si="8"/>
        <v>5.19</v>
      </c>
      <c r="J34" s="89">
        <f t="shared" si="8"/>
        <v>26.2</v>
      </c>
      <c r="K34" s="89">
        <f t="shared" si="8"/>
        <v>5.19</v>
      </c>
      <c r="L34" s="89">
        <f t="shared" si="8"/>
        <v>5.19</v>
      </c>
      <c r="M34" s="89">
        <f t="shared" si="8"/>
        <v>5.19</v>
      </c>
      <c r="N34" s="89">
        <f t="shared" si="8"/>
        <v>0</v>
      </c>
      <c r="O34" s="89">
        <f t="shared" si="8"/>
        <v>0</v>
      </c>
      <c r="P34" s="89">
        <f t="shared" si="8"/>
        <v>0</v>
      </c>
      <c r="Q34" s="89"/>
    </row>
    <row r="35" ht="15.75" customHeight="1">
      <c r="A35" s="109"/>
      <c r="B35" s="59" t="s">
        <v>137</v>
      </c>
      <c r="C35" s="60"/>
      <c r="D35" s="61">
        <f t="shared" ref="D35:D54" si="9">SUM(E35:P35)</f>
        <v>15.05</v>
      </c>
      <c r="E35" s="64">
        <f>sumifs(Dados!$N:$N,Dados!$B:$B,B35,Dados!$H:$H,$D$1,Dados!$G:$G,$E$4)</f>
        <v>0</v>
      </c>
      <c r="F35" s="64">
        <f>sumifs(Dados!$N:$N,Dados!$B:$B,B35,Dados!$H:$H,$D$1,Dados!$G:$G,$F$4)</f>
        <v>0</v>
      </c>
      <c r="G35" s="64">
        <f>sumifs(Dados!$N:$N,Dados!$B:$B,B35,Dados!$H:$H,$D$1,Dados!$G:$G,$G$4)</f>
        <v>0</v>
      </c>
      <c r="H35" s="64">
        <f>sumifs(Dados!$N:$N,Dados!$B:$B,B35,Dados!$H:$H,$D$1,Dados!$G:$G,$H$4)</f>
        <v>0</v>
      </c>
      <c r="I35" s="64">
        <f>sumifs(Dados!$N:$N,Dados!$B:$B,B35,Dados!$H:$H,$D$1,Dados!$G:$G,$I$4)</f>
        <v>0</v>
      </c>
      <c r="J35" s="64">
        <f>sumifs(Dados!$N:$N,Dados!$B:$B,B35,Dados!$H:$H,$D$1,Dados!$G:$G,$J$4)</f>
        <v>5.1</v>
      </c>
      <c r="K35" s="64">
        <f>sumifs(Dados!$N:$N,Dados!$B:$B,B35,Dados!$H:$H,$D$1,Dados!$G:$G,$K$4)</f>
        <v>1.16</v>
      </c>
      <c r="L35" s="64">
        <f>sumifs(Dados!$N:$N,Dados!$B:$B,B35,Dados!$H:$H,$D$1,Dados!$G:$G,$L$4)</f>
        <v>3.64</v>
      </c>
      <c r="M35" s="64">
        <f>sumifs(Dados!$N:$N,Dados!$B:$B,B35,Dados!$H:$H,$D$1,Dados!$G:$G,$M$4)</f>
        <v>5.15</v>
      </c>
      <c r="N35" s="64">
        <f>sumifs(Dados!$N:$N,Dados!$B:$B,B35,Dados!$H:$H,$D$1,Dados!$G:$G,$N$4)</f>
        <v>0</v>
      </c>
      <c r="O35" s="64">
        <f>sumifs(Dados!$N:$N,Dados!$B:$B,B35,Dados!$H:$H,$D$1,Dados!$G:$G,$O$4)</f>
        <v>0</v>
      </c>
      <c r="P35" s="64">
        <f>sumifs(Dados!$N:$N,Dados!$B:$B,B35,Dados!$H:$H,$D$1,Dados!$G:$G,$P$4)</f>
        <v>0</v>
      </c>
      <c r="Q35" s="64"/>
    </row>
    <row r="36" ht="15.75" customHeight="1">
      <c r="A36" s="58"/>
      <c r="B36" s="59" t="s">
        <v>138</v>
      </c>
      <c r="C36" s="60"/>
      <c r="D36" s="61">
        <f t="shared" si="9"/>
        <v>107.88</v>
      </c>
      <c r="E36" s="64">
        <f>sumifs(Dados!$N:$N,Dados!$B:$B,B36,Dados!$H:$H,$D$1,Dados!$G:$G,$E$4)</f>
        <v>0</v>
      </c>
      <c r="F36" s="64">
        <f>sumifs(Dados!$N:$N,Dados!$B:$B,B36,Dados!$H:$H,$D$1,Dados!$G:$G,$F$4)</f>
        <v>0</v>
      </c>
      <c r="G36" s="64">
        <f>sumifs(Dados!$N:$N,Dados!$B:$B,B36,Dados!$H:$H,$D$1,Dados!$G:$G,$G$4)</f>
        <v>0</v>
      </c>
      <c r="H36" s="64">
        <f>sumifs(Dados!$N:$N,Dados!$B:$B,B36,Dados!$H:$H,$D$1,Dados!$G:$G,$H$4)</f>
        <v>25.08</v>
      </c>
      <c r="I36" s="64">
        <f>sumifs(Dados!$N:$N,Dados!$B:$B,B36,Dados!$H:$H,$D$1,Dados!$G:$G,$I$4)</f>
        <v>10.45</v>
      </c>
      <c r="J36" s="64">
        <f>sumifs(Dados!$N:$N,Dados!$B:$B,B36,Dados!$H:$H,$D$1,Dados!$G:$G,$J$4)</f>
        <v>29.4</v>
      </c>
      <c r="K36" s="64">
        <f>sumifs(Dados!$N:$N,Dados!$B:$B,B36,Dados!$H:$H,$D$1,Dados!$G:$G,$K$4)</f>
        <v>22.05</v>
      </c>
      <c r="L36" s="64">
        <f>sumifs(Dados!$N:$N,Dados!$B:$B,B36,Dados!$H:$H,$D$1,Dados!$G:$G,$L$4)</f>
        <v>20.9</v>
      </c>
      <c r="M36" s="64">
        <f>sumifs(Dados!$N:$N,Dados!$B:$B,B36,Dados!$H:$H,$D$1,Dados!$G:$G,$M$4)</f>
        <v>0</v>
      </c>
      <c r="N36" s="64">
        <f>sumifs(Dados!$N:$N,Dados!$B:$B,B36,Dados!$H:$H,$D$1,Dados!$G:$G,$N$4)</f>
        <v>0</v>
      </c>
      <c r="O36" s="64">
        <f>sumifs(Dados!$N:$N,Dados!$B:$B,B36,Dados!$H:$H,$D$1,Dados!$G:$G,$O$4)</f>
        <v>0</v>
      </c>
      <c r="P36" s="64">
        <f>sumifs(Dados!$N:$N,Dados!$B:$B,B36,Dados!$H:$H,$D$1,Dados!$G:$G,$P$4)</f>
        <v>0</v>
      </c>
      <c r="Q36" s="64"/>
    </row>
    <row r="37" ht="15.75" customHeight="1">
      <c r="A37" s="58"/>
      <c r="B37" s="59" t="s">
        <v>139</v>
      </c>
      <c r="C37" s="60"/>
      <c r="D37" s="61">
        <f t="shared" si="9"/>
        <v>4.29</v>
      </c>
      <c r="E37" s="64">
        <f>sumifs(Dados!$N:$N,Dados!$B:$B,B37,Dados!$H:$H,$D$1,Dados!$G:$G,$E$4)</f>
        <v>0</v>
      </c>
      <c r="F37" s="64">
        <f>sumifs(Dados!$N:$N,Dados!$B:$B,B37,Dados!$H:$H,$D$1,Dados!$G:$G,$F$4)</f>
        <v>0</v>
      </c>
      <c r="G37" s="64">
        <f>sumifs(Dados!$N:$N,Dados!$B:$B,B37,Dados!$H:$H,$D$1,Dados!$G:$G,$G$4)</f>
        <v>0</v>
      </c>
      <c r="H37" s="64">
        <f>sumifs(Dados!$N:$N,Dados!$B:$B,B37,Dados!$H:$H,$D$1,Dados!$G:$G,$H$4)</f>
        <v>4.29</v>
      </c>
      <c r="I37" s="64">
        <f>sumifs(Dados!$N:$N,Dados!$B:$B,B37,Dados!$H:$H,$D$1,Dados!$G:$G,$I$4)</f>
        <v>0</v>
      </c>
      <c r="J37" s="64">
        <f>sumifs(Dados!$N:$N,Dados!$B:$B,B37,Dados!$H:$H,$D$1,Dados!$G:$G,$J$4)</f>
        <v>0</v>
      </c>
      <c r="K37" s="64">
        <f>sumifs(Dados!$N:$N,Dados!$B:$B,B37,Dados!$H:$H,$D$1,Dados!$G:$G,$K$4)</f>
        <v>0</v>
      </c>
      <c r="L37" s="64">
        <f>sumifs(Dados!$N:$N,Dados!$B:$B,B37,Dados!$H:$H,$D$1,Dados!$G:$G,$L$4)</f>
        <v>0</v>
      </c>
      <c r="M37" s="64">
        <f>sumifs(Dados!$N:$N,Dados!$B:$B,B37,Dados!$H:$H,$D$1,Dados!$G:$G,$M$4)</f>
        <v>0</v>
      </c>
      <c r="N37" s="64">
        <f>sumifs(Dados!$N:$N,Dados!$B:$B,B37,Dados!$H:$H,$D$1,Dados!$G:$G,$N$4)</f>
        <v>0</v>
      </c>
      <c r="O37" s="64">
        <f>sumifs(Dados!$N:$N,Dados!$B:$B,B37,Dados!$H:$H,$D$1,Dados!$G:$G,$O$4)</f>
        <v>0</v>
      </c>
      <c r="P37" s="64">
        <f>sumifs(Dados!$N:$N,Dados!$B:$B,B37,Dados!$H:$H,$D$1,Dados!$G:$G,$P$4)</f>
        <v>0</v>
      </c>
      <c r="Q37" s="64"/>
    </row>
    <row r="38" ht="15.75" customHeight="1">
      <c r="A38" s="58"/>
      <c r="B38" s="59" t="s">
        <v>140</v>
      </c>
      <c r="C38" s="60"/>
      <c r="D38" s="61">
        <f t="shared" si="9"/>
        <v>6.85</v>
      </c>
      <c r="E38" s="64">
        <f>sumifs(Dados!$N:$N,Dados!$B:$B,B38,Dados!$H:$H,$D$1,Dados!$G:$G,$E$4)</f>
        <v>0</v>
      </c>
      <c r="F38" s="64">
        <f>sumifs(Dados!$N:$N,Dados!$B:$B,B38,Dados!$H:$H,$D$1,Dados!$G:$G,$F$4)</f>
        <v>0</v>
      </c>
      <c r="G38" s="64">
        <f>sumifs(Dados!$N:$N,Dados!$B:$B,B38,Dados!$H:$H,$D$1,Dados!$G:$G,$G$4)</f>
        <v>0</v>
      </c>
      <c r="H38" s="64">
        <f>sumifs(Dados!$N:$N,Dados!$B:$B,B38,Dados!$H:$H,$D$1,Dados!$G:$G,$H$4)</f>
        <v>2.49</v>
      </c>
      <c r="I38" s="64">
        <f>sumifs(Dados!$N:$N,Dados!$B:$B,B38,Dados!$H:$H,$D$1,Dados!$G:$G,$I$4)</f>
        <v>0</v>
      </c>
      <c r="J38" s="64">
        <f>sumifs(Dados!$N:$N,Dados!$B:$B,B38,Dados!$H:$H,$D$1,Dados!$G:$G,$J$4)</f>
        <v>0</v>
      </c>
      <c r="K38" s="64">
        <f>sumifs(Dados!$N:$N,Dados!$B:$B,B38,Dados!$H:$H,$D$1,Dados!$G:$G,$K$4)</f>
        <v>0</v>
      </c>
      <c r="L38" s="64">
        <f>sumifs(Dados!$N:$N,Dados!$B:$B,B38,Dados!$H:$H,$D$1,Dados!$G:$G,$L$4)</f>
        <v>0</v>
      </c>
      <c r="M38" s="64">
        <f>sumifs(Dados!$N:$N,Dados!$B:$B,B38,Dados!$H:$H,$D$1,Dados!$G:$G,$M$4)</f>
        <v>4.36</v>
      </c>
      <c r="N38" s="64">
        <f>sumifs(Dados!$N:$N,Dados!$B:$B,B38,Dados!$H:$H,$D$1,Dados!$G:$G,$N$4)</f>
        <v>0</v>
      </c>
      <c r="O38" s="64">
        <f>sumifs(Dados!$N:$N,Dados!$B:$B,B38,Dados!$H:$H,$D$1,Dados!$G:$G,$O$4)</f>
        <v>0</v>
      </c>
      <c r="P38" s="64">
        <f>sumifs(Dados!$N:$N,Dados!$B:$B,B38,Dados!$H:$H,$D$1,Dados!$G:$G,$P$4)</f>
        <v>0</v>
      </c>
      <c r="Q38" s="64"/>
    </row>
    <row r="39" ht="15.75" customHeight="1">
      <c r="A39" s="58"/>
      <c r="B39" s="59" t="s">
        <v>146</v>
      </c>
      <c r="C39" s="60"/>
      <c r="D39" s="61">
        <f t="shared" si="9"/>
        <v>507.5</v>
      </c>
      <c r="E39" s="64">
        <f>sumifs(Dados!$N:$N,Dados!$B:$B,B39,Dados!$H:$H,$D$1,Dados!$G:$G,$E$4)</f>
        <v>0</v>
      </c>
      <c r="F39" s="64">
        <f>sumifs(Dados!$N:$N,Dados!$B:$B,B39,Dados!$H:$H,$D$1,Dados!$G:$G,$F$4)</f>
        <v>0</v>
      </c>
      <c r="G39" s="64">
        <f>sumifs(Dados!$N:$N,Dados!$B:$B,B39,Dados!$H:$H,$D$1,Dados!$G:$G,$G$4)</f>
        <v>0</v>
      </c>
      <c r="H39" s="64">
        <f>sumifs(Dados!$N:$N,Dados!$B:$B,B39,Dados!$H:$H,$D$1,Dados!$G:$G,$H$4)</f>
        <v>59</v>
      </c>
      <c r="I39" s="64">
        <f>sumifs(Dados!$N:$N,Dados!$B:$B,B39,Dados!$H:$H,$D$1,Dados!$G:$G,$I$4)</f>
        <v>59.1</v>
      </c>
      <c r="J39" s="64">
        <f>sumifs(Dados!$N:$N,Dados!$B:$B,B39,Dados!$H:$H,$D$1,Dados!$G:$G,$J$4)</f>
        <v>94.6</v>
      </c>
      <c r="K39" s="64">
        <f>sumifs(Dados!$N:$N,Dados!$B:$B,B39,Dados!$H:$H,$D$1,Dados!$G:$G,$K$4)</f>
        <v>121.11</v>
      </c>
      <c r="L39" s="64">
        <f>sumifs(Dados!$N:$N,Dados!$B:$B,B39,Dados!$H:$H,$D$1,Dados!$G:$G,$L$4)</f>
        <v>85.19</v>
      </c>
      <c r="M39" s="64">
        <f>sumifs(Dados!$N:$N,Dados!$B:$B,B39,Dados!$H:$H,$D$1,Dados!$G:$G,$M$4)</f>
        <v>88.5</v>
      </c>
      <c r="N39" s="64">
        <f>sumifs(Dados!$N:$N,Dados!$B:$B,B39,Dados!$H:$H,$D$1,Dados!$G:$G,$N$4)</f>
        <v>0</v>
      </c>
      <c r="O39" s="64">
        <f>sumifs(Dados!$N:$N,Dados!$B:$B,B39,Dados!$H:$H,$D$1,Dados!$G:$G,$O$4)</f>
        <v>0</v>
      </c>
      <c r="P39" s="64">
        <f>sumifs(Dados!$N:$N,Dados!$B:$B,B39,Dados!$H:$H,$D$1,Dados!$G:$G,$P$4)</f>
        <v>0</v>
      </c>
      <c r="Q39" s="64"/>
    </row>
    <row r="40" ht="15.75" customHeight="1">
      <c r="A40" s="109"/>
      <c r="B40" s="59" t="s">
        <v>159</v>
      </c>
      <c r="C40" s="60"/>
      <c r="D40" s="61">
        <f t="shared" si="9"/>
        <v>0</v>
      </c>
      <c r="E40" s="64">
        <f>sumifs(Dados!$N:$N,Dados!$B:$B,B40,Dados!$H:$H,$D$1,Dados!$G:$G,$E$4)</f>
        <v>0</v>
      </c>
      <c r="F40" s="64">
        <f>sumifs(Dados!$N:$N,Dados!$B:$B,B40,Dados!$H:$H,$D$1,Dados!$G:$G,$F$4)</f>
        <v>0</v>
      </c>
      <c r="G40" s="64">
        <f>sumifs(Dados!$N:$N,Dados!$B:$B,B40,Dados!$H:$H,$D$1,Dados!$G:$G,$G$4)</f>
        <v>0</v>
      </c>
      <c r="H40" s="64">
        <f>sumifs(Dados!$N:$N,Dados!$B:$B,B40,Dados!$H:$H,$D$1,Dados!$G:$G,$H$4)</f>
        <v>0</v>
      </c>
      <c r="I40" s="64">
        <f>sumifs(Dados!$N:$N,Dados!$B:$B,B40,Dados!$H:$H,$D$1,Dados!$G:$G,$I$4)</f>
        <v>0</v>
      </c>
      <c r="J40" s="64">
        <f>sumifs(Dados!$N:$N,Dados!$B:$B,B40,Dados!$H:$H,$D$1,Dados!$G:$G,$J$4)</f>
        <v>0</v>
      </c>
      <c r="K40" s="64">
        <f>sumifs(Dados!$N:$N,Dados!$B:$B,B40,Dados!$H:$H,$D$1,Dados!$G:$G,$K$4)</f>
        <v>0</v>
      </c>
      <c r="L40" s="64">
        <f>sumifs(Dados!$N:$N,Dados!$B:$B,B40,Dados!$H:$H,$D$1,Dados!$G:$G,$L$4)</f>
        <v>0</v>
      </c>
      <c r="M40" s="64">
        <f>sumifs(Dados!$N:$N,Dados!$B:$B,B40,Dados!$H:$H,$D$1,Dados!$G:$G,$M$4)</f>
        <v>0</v>
      </c>
      <c r="N40" s="64">
        <f>sumifs(Dados!$N:$N,Dados!$B:$B,B40,Dados!$H:$H,$D$1,Dados!$G:$G,$N$4)</f>
        <v>0</v>
      </c>
      <c r="O40" s="64">
        <f>sumifs(Dados!$N:$N,Dados!$B:$B,B40,Dados!$H:$H,$D$1,Dados!$G:$G,$O$4)</f>
        <v>0</v>
      </c>
      <c r="P40" s="64">
        <f>sumifs(Dados!$N:$N,Dados!$B:$B,B40,Dados!$H:$H,$D$1,Dados!$G:$G,$P$4)</f>
        <v>0</v>
      </c>
      <c r="Q40" s="64"/>
    </row>
    <row r="41" ht="15.75" customHeight="1">
      <c r="A41" s="58"/>
      <c r="B41" s="59" t="s">
        <v>173</v>
      </c>
      <c r="C41" s="60"/>
      <c r="D41" s="61">
        <f t="shared" si="9"/>
        <v>35.88</v>
      </c>
      <c r="E41" s="64">
        <f>sumifs(Dados!$N:$N,Dados!$B:$B,B41,Dados!$H:$H,$D$1,Dados!$G:$G,$E$4)</f>
        <v>0</v>
      </c>
      <c r="F41" s="64">
        <f>sumifs(Dados!$N:$N,Dados!$B:$B,B41,Dados!$H:$H,$D$1,Dados!$G:$G,$F$4)</f>
        <v>0</v>
      </c>
      <c r="G41" s="64">
        <f>sumifs(Dados!$N:$N,Dados!$B:$B,B41,Dados!$H:$H,$D$1,Dados!$G:$G,$G$4)</f>
        <v>0</v>
      </c>
      <c r="H41" s="64">
        <f>sumifs(Dados!$N:$N,Dados!$B:$B,B41,Dados!$H:$H,$D$1,Dados!$G:$G,$H$4)</f>
        <v>8.97</v>
      </c>
      <c r="I41" s="64">
        <f>sumifs(Dados!$N:$N,Dados!$B:$B,B41,Dados!$H:$H,$D$1,Dados!$G:$G,$I$4)</f>
        <v>0</v>
      </c>
      <c r="J41" s="64">
        <f>sumifs(Dados!$N:$N,Dados!$B:$B,B41,Dados!$H:$H,$D$1,Dados!$G:$G,$J$4)</f>
        <v>8.97</v>
      </c>
      <c r="K41" s="64">
        <f>sumifs(Dados!$N:$N,Dados!$B:$B,B41,Dados!$H:$H,$D$1,Dados!$G:$G,$K$4)</f>
        <v>0</v>
      </c>
      <c r="L41" s="64">
        <f>sumifs(Dados!$N:$N,Dados!$B:$B,B41,Dados!$H:$H,$D$1,Dados!$G:$G,$L$4)</f>
        <v>0</v>
      </c>
      <c r="M41" s="64">
        <f>sumifs(Dados!$N:$N,Dados!$B:$B,B41,Dados!$H:$H,$D$1,Dados!$G:$G,$M$4)</f>
        <v>17.94</v>
      </c>
      <c r="N41" s="64">
        <f>sumifs(Dados!$N:$N,Dados!$B:$B,B41,Dados!$H:$H,$D$1,Dados!$G:$G,$N$4)</f>
        <v>0</v>
      </c>
      <c r="O41" s="64">
        <f>sumifs(Dados!$N:$N,Dados!$B:$B,B41,Dados!$H:$H,$D$1,Dados!$G:$G,$O$4)</f>
        <v>0</v>
      </c>
      <c r="P41" s="64">
        <f>sumifs(Dados!$N:$N,Dados!$B:$B,B41,Dados!$H:$H,$D$1,Dados!$G:$G,$P$4)</f>
        <v>0</v>
      </c>
      <c r="Q41" s="64"/>
    </row>
    <row r="42" ht="15.75" customHeight="1">
      <c r="A42" s="58"/>
      <c r="B42" s="59" t="s">
        <v>181</v>
      </c>
      <c r="C42" s="60"/>
      <c r="D42" s="61">
        <f t="shared" si="9"/>
        <v>322.98</v>
      </c>
      <c r="E42" s="64">
        <f>sumifs(Dados!$N:$N,Dados!$B:$B,B42,Dados!$H:$H,$D$1,Dados!$G:$G,$E$4)</f>
        <v>0</v>
      </c>
      <c r="F42" s="64">
        <f>sumifs(Dados!$N:$N,Dados!$B:$B,B42,Dados!$H:$H,$D$1,Dados!$G:$G,$F$4)</f>
        <v>0</v>
      </c>
      <c r="G42" s="64">
        <f>sumifs(Dados!$N:$N,Dados!$B:$B,B42,Dados!$H:$H,$D$1,Dados!$G:$G,$G$4)</f>
        <v>0</v>
      </c>
      <c r="H42" s="64">
        <f>sumifs(Dados!$N:$N,Dados!$B:$B,B42,Dados!$H:$H,$D$1,Dados!$G:$G,$H$4)</f>
        <v>39.8</v>
      </c>
      <c r="I42" s="64">
        <f>sumifs(Dados!$N:$N,Dados!$B:$B,B42,Dados!$H:$H,$D$1,Dados!$G:$G,$I$4)</f>
        <v>59.7</v>
      </c>
      <c r="J42" s="64">
        <f>sumifs(Dados!$N:$N,Dados!$B:$B,B42,Dados!$H:$H,$D$1,Dados!$G:$G,$J$4)</f>
        <v>40.27</v>
      </c>
      <c r="K42" s="64">
        <f>sumifs(Dados!$N:$N,Dados!$B:$B,B42,Dados!$H:$H,$D$1,Dados!$G:$G,$K$4)</f>
        <v>99.5</v>
      </c>
      <c r="L42" s="64">
        <f>sumifs(Dados!$N:$N,Dados!$B:$B,B42,Dados!$H:$H,$D$1,Dados!$G:$G,$L$4)</f>
        <v>37.28</v>
      </c>
      <c r="M42" s="64">
        <f>sumifs(Dados!$N:$N,Dados!$B:$B,B42,Dados!$H:$H,$D$1,Dados!$G:$G,$M$4)</f>
        <v>46.43</v>
      </c>
      <c r="N42" s="64">
        <f>sumifs(Dados!$N:$N,Dados!$B:$B,B42,Dados!$H:$H,$D$1,Dados!$G:$G,$N$4)</f>
        <v>0</v>
      </c>
      <c r="O42" s="64">
        <f>sumifs(Dados!$N:$N,Dados!$B:$B,B42,Dados!$H:$H,$D$1,Dados!$G:$G,$O$4)</f>
        <v>0</v>
      </c>
      <c r="P42" s="64">
        <f>sumifs(Dados!$N:$N,Dados!$B:$B,B42,Dados!$H:$H,$D$1,Dados!$G:$G,$P$4)</f>
        <v>0</v>
      </c>
      <c r="Q42" s="64"/>
    </row>
    <row r="43" ht="15.75" customHeight="1">
      <c r="A43" s="109"/>
      <c r="B43" s="59" t="s">
        <v>182</v>
      </c>
      <c r="C43" s="60"/>
      <c r="D43" s="61">
        <f t="shared" si="9"/>
        <v>25.13</v>
      </c>
      <c r="E43" s="64">
        <f>sumifs(Dados!$N:$N,Dados!$B:$B,B43,Dados!$H:$H,$D$1,Dados!$G:$G,$E$4)</f>
        <v>0</v>
      </c>
      <c r="F43" s="64">
        <f>sumifs(Dados!$N:$N,Dados!$B:$B,B43,Dados!$H:$H,$D$1,Dados!$G:$G,$F$4)</f>
        <v>0</v>
      </c>
      <c r="G43" s="64">
        <f>sumifs(Dados!$N:$N,Dados!$B:$B,B43,Dados!$H:$H,$D$1,Dados!$G:$G,$G$4)</f>
        <v>0</v>
      </c>
      <c r="H43" s="64">
        <f>sumifs(Dados!$N:$N,Dados!$B:$B,B43,Dados!$H:$H,$D$1,Dados!$G:$G,$H$4)</f>
        <v>0</v>
      </c>
      <c r="I43" s="64">
        <f>sumifs(Dados!$N:$N,Dados!$B:$B,B43,Dados!$H:$H,$D$1,Dados!$G:$G,$I$4)</f>
        <v>5.45</v>
      </c>
      <c r="J43" s="64">
        <f>sumifs(Dados!$N:$N,Dados!$B:$B,B43,Dados!$H:$H,$D$1,Dados!$G:$G,$J$4)</f>
        <v>0</v>
      </c>
      <c r="K43" s="64">
        <f>sumifs(Dados!$N:$N,Dados!$B:$B,B43,Dados!$H:$H,$D$1,Dados!$G:$G,$K$4)</f>
        <v>0</v>
      </c>
      <c r="L43" s="64">
        <f>sumifs(Dados!$N:$N,Dados!$B:$B,B43,Dados!$H:$H,$D$1,Dados!$G:$G,$L$4)</f>
        <v>8.51</v>
      </c>
      <c r="M43" s="64">
        <f>sumifs(Dados!$N:$N,Dados!$B:$B,B43,Dados!$H:$H,$D$1,Dados!$G:$G,$M$4)</f>
        <v>11.17</v>
      </c>
      <c r="N43" s="64">
        <f>sumifs(Dados!$N:$N,Dados!$B:$B,B43,Dados!$H:$H,$D$1,Dados!$G:$G,$N$4)</f>
        <v>0</v>
      </c>
      <c r="O43" s="64">
        <f>sumifs(Dados!$N:$N,Dados!$B:$B,B43,Dados!$H:$H,$D$1,Dados!$G:$G,$O$4)</f>
        <v>0</v>
      </c>
      <c r="P43" s="64">
        <f>sumifs(Dados!$N:$N,Dados!$B:$B,B43,Dados!$H:$H,$D$1,Dados!$G:$G,$P$4)</f>
        <v>0</v>
      </c>
      <c r="Q43" s="64"/>
    </row>
    <row r="44" ht="15.75" customHeight="1">
      <c r="A44" s="109"/>
      <c r="B44" s="59" t="s">
        <v>183</v>
      </c>
      <c r="C44" s="60"/>
      <c r="D44" s="61">
        <f t="shared" si="9"/>
        <v>0</v>
      </c>
      <c r="E44" s="64">
        <f>sumifs(Dados!$N:$N,Dados!$B:$B,B44,Dados!$H:$H,$D$1,Dados!$G:$G,$E$4)</f>
        <v>0</v>
      </c>
      <c r="F44" s="64">
        <f>sumifs(Dados!$N:$N,Dados!$B:$B,B44,Dados!$H:$H,$D$1,Dados!$G:$G,$F$4)</f>
        <v>0</v>
      </c>
      <c r="G44" s="64">
        <f>sumifs(Dados!$N:$N,Dados!$B:$B,B44,Dados!$H:$H,$D$1,Dados!$G:$G,$G$4)</f>
        <v>0</v>
      </c>
      <c r="H44" s="64">
        <f>sumifs(Dados!$N:$N,Dados!$B:$B,B44,Dados!$H:$H,$D$1,Dados!$G:$G,$H$4)</f>
        <v>0</v>
      </c>
      <c r="I44" s="64">
        <f>sumifs(Dados!$N:$N,Dados!$B:$B,B44,Dados!$H:$H,$D$1,Dados!$G:$G,$I$4)</f>
        <v>0</v>
      </c>
      <c r="J44" s="64">
        <f>sumifs(Dados!$N:$N,Dados!$B:$B,B44,Dados!$H:$H,$D$1,Dados!$G:$G,$J$4)</f>
        <v>0</v>
      </c>
      <c r="K44" s="64">
        <f>sumifs(Dados!$N:$N,Dados!$B:$B,B44,Dados!$H:$H,$D$1,Dados!$G:$G,$K$4)</f>
        <v>0</v>
      </c>
      <c r="L44" s="64">
        <f>sumifs(Dados!$N:$N,Dados!$B:$B,B44,Dados!$H:$H,$D$1,Dados!$G:$G,$L$4)</f>
        <v>0</v>
      </c>
      <c r="M44" s="64">
        <f>sumifs(Dados!$N:$N,Dados!$B:$B,B44,Dados!$H:$H,$D$1,Dados!$G:$G,$M$4)</f>
        <v>0</v>
      </c>
      <c r="N44" s="64">
        <f>sumifs(Dados!$N:$N,Dados!$B:$B,B44,Dados!$H:$H,$D$1,Dados!$G:$G,$N$4)</f>
        <v>0</v>
      </c>
      <c r="O44" s="64">
        <f>sumifs(Dados!$N:$N,Dados!$B:$B,B44,Dados!$H:$H,$D$1,Dados!$G:$G,$O$4)</f>
        <v>0</v>
      </c>
      <c r="P44" s="64">
        <f>sumifs(Dados!$N:$N,Dados!$B:$B,B44,Dados!$H:$H,$D$1,Dados!$G:$G,$P$4)</f>
        <v>0</v>
      </c>
      <c r="Q44" s="64"/>
    </row>
    <row r="45" ht="15.75" customHeight="1">
      <c r="A45" s="109"/>
      <c r="B45" s="59" t="s">
        <v>184</v>
      </c>
      <c r="C45" s="60"/>
      <c r="D45" s="61">
        <f t="shared" si="9"/>
        <v>282.9</v>
      </c>
      <c r="E45" s="64">
        <f>sumifs(Dados!$N:$N,Dados!$B:$B,B45,Dados!$H:$H,$D$1,Dados!$G:$G,$E$4)</f>
        <v>0</v>
      </c>
      <c r="F45" s="64">
        <f>sumifs(Dados!$N:$N,Dados!$B:$B,B45,Dados!$H:$H,$D$1,Dados!$G:$G,$F$4)</f>
        <v>0</v>
      </c>
      <c r="G45" s="64">
        <f>sumifs(Dados!$N:$N,Dados!$B:$B,B45,Dados!$H:$H,$D$1,Dados!$G:$G,$G$4)</f>
        <v>0</v>
      </c>
      <c r="H45" s="64">
        <f>sumifs(Dados!$N:$N,Dados!$B:$B,B45,Dados!$H:$H,$D$1,Dados!$G:$G,$H$4)</f>
        <v>87.36</v>
      </c>
      <c r="I45" s="64">
        <f>sumifs(Dados!$N:$N,Dados!$B:$B,B45,Dados!$H:$H,$D$1,Dados!$G:$G,$I$4)</f>
        <v>0</v>
      </c>
      <c r="J45" s="64">
        <f>sumifs(Dados!$N:$N,Dados!$B:$B,B45,Dados!$H:$H,$D$1,Dados!$G:$G,$J$4)</f>
        <v>77.41</v>
      </c>
      <c r="K45" s="64">
        <f>sumifs(Dados!$N:$N,Dados!$B:$B,B45,Dados!$H:$H,$D$1,Dados!$G:$G,$K$4)</f>
        <v>59.6</v>
      </c>
      <c r="L45" s="64">
        <f>sumifs(Dados!$N:$N,Dados!$B:$B,B45,Dados!$H:$H,$D$1,Dados!$G:$G,$L$4)</f>
        <v>0</v>
      </c>
      <c r="M45" s="64">
        <f>sumifs(Dados!$N:$N,Dados!$B:$B,B45,Dados!$H:$H,$D$1,Dados!$G:$G,$M$4)</f>
        <v>58.53</v>
      </c>
      <c r="N45" s="64">
        <f>sumifs(Dados!$N:$N,Dados!$B:$B,B45,Dados!$H:$H,$D$1,Dados!$G:$G,$N$4)</f>
        <v>0</v>
      </c>
      <c r="O45" s="64">
        <f>sumifs(Dados!$N:$N,Dados!$B:$B,B45,Dados!$H:$H,$D$1,Dados!$G:$G,$O$4)</f>
        <v>0</v>
      </c>
      <c r="P45" s="64">
        <f>sumifs(Dados!$N:$N,Dados!$B:$B,B45,Dados!$H:$H,$D$1,Dados!$G:$G,$P$4)</f>
        <v>0</v>
      </c>
      <c r="Q45" s="64"/>
    </row>
    <row r="46" ht="15.75" customHeight="1">
      <c r="A46" s="109"/>
      <c r="B46" s="59" t="s">
        <v>185</v>
      </c>
      <c r="C46" s="60"/>
      <c r="D46" s="61">
        <f t="shared" si="9"/>
        <v>489.66</v>
      </c>
      <c r="E46" s="64">
        <f>sumifs(Dados!$N:$N,Dados!$B:$B,B46,Dados!$H:$H,$D$1,Dados!$G:$G,$E$4)</f>
        <v>0</v>
      </c>
      <c r="F46" s="64">
        <f>sumifs(Dados!$N:$N,Dados!$B:$B,B46,Dados!$H:$H,$D$1,Dados!$G:$G,$F$4)</f>
        <v>0</v>
      </c>
      <c r="G46" s="64">
        <f>sumifs(Dados!$N:$N,Dados!$B:$B,B46,Dados!$H:$H,$D$1,Dados!$G:$G,$G$4)</f>
        <v>0</v>
      </c>
      <c r="H46" s="64">
        <f>sumifs(Dados!$N:$N,Dados!$B:$B,B46,Dados!$H:$H,$D$1,Dados!$G:$G,$H$4)</f>
        <v>70.56</v>
      </c>
      <c r="I46" s="64">
        <f>sumifs(Dados!$N:$N,Dados!$B:$B,B46,Dados!$H:$H,$D$1,Dados!$G:$G,$I$4)</f>
        <v>51.6</v>
      </c>
      <c r="J46" s="64">
        <f>sumifs(Dados!$N:$N,Dados!$B:$B,B46,Dados!$H:$H,$D$1,Dados!$G:$G,$J$4)</f>
        <v>77.4</v>
      </c>
      <c r="K46" s="64">
        <f>sumifs(Dados!$N:$N,Dados!$B:$B,B46,Dados!$H:$H,$D$1,Dados!$G:$G,$K$4)</f>
        <v>72.24</v>
      </c>
      <c r="L46" s="64">
        <f>sumifs(Dados!$N:$N,Dados!$B:$B,B46,Dados!$H:$H,$D$1,Dados!$G:$G,$L$4)</f>
        <v>92.88</v>
      </c>
      <c r="M46" s="64">
        <f>sumifs(Dados!$N:$N,Dados!$B:$B,B46,Dados!$H:$H,$D$1,Dados!$G:$G,$M$4)</f>
        <v>124.98</v>
      </c>
      <c r="N46" s="64">
        <f>sumifs(Dados!$N:$N,Dados!$B:$B,B46,Dados!$H:$H,$D$1,Dados!$G:$G,$N$4)</f>
        <v>0</v>
      </c>
      <c r="O46" s="64">
        <f>sumifs(Dados!$N:$N,Dados!$B:$B,B46,Dados!$H:$H,$D$1,Dados!$G:$G,$O$4)</f>
        <v>0</v>
      </c>
      <c r="P46" s="64">
        <f>sumifs(Dados!$N:$N,Dados!$B:$B,B46,Dados!$H:$H,$D$1,Dados!$G:$G,$P$4)</f>
        <v>0</v>
      </c>
      <c r="Q46" s="64"/>
    </row>
    <row r="47" ht="15.75" customHeight="1">
      <c r="A47" s="109"/>
      <c r="B47" s="59" t="s">
        <v>186</v>
      </c>
      <c r="C47" s="60"/>
      <c r="D47" s="61">
        <f t="shared" si="9"/>
        <v>209.4</v>
      </c>
      <c r="E47" s="64">
        <f>sumifs(Dados!$N:$N,Dados!$B:$B,B47,Dados!$H:$H,$D$1,Dados!$G:$G,$E$4)</f>
        <v>0</v>
      </c>
      <c r="F47" s="64">
        <f>sumifs(Dados!$N:$N,Dados!$B:$B,B47,Dados!$H:$H,$D$1,Dados!$G:$G,$F$4)</f>
        <v>0</v>
      </c>
      <c r="G47" s="64">
        <f>sumifs(Dados!$N:$N,Dados!$B:$B,B47,Dados!$H:$H,$D$1,Dados!$G:$G,$G$4)</f>
        <v>0</v>
      </c>
      <c r="H47" s="64">
        <f>sumifs(Dados!$N:$N,Dados!$B:$B,B47,Dados!$H:$H,$D$1,Dados!$G:$G,$H$4)</f>
        <v>34.9</v>
      </c>
      <c r="I47" s="64">
        <f>sumifs(Dados!$N:$N,Dados!$B:$B,B47,Dados!$H:$H,$D$1,Dados!$G:$G,$I$4)</f>
        <v>69.8</v>
      </c>
      <c r="J47" s="64">
        <f>sumifs(Dados!$N:$N,Dados!$B:$B,B47,Dados!$H:$H,$D$1,Dados!$G:$G,$J$4)</f>
        <v>0</v>
      </c>
      <c r="K47" s="64">
        <f>sumifs(Dados!$N:$N,Dados!$B:$B,B47,Dados!$H:$H,$D$1,Dados!$G:$G,$K$4)</f>
        <v>34.9</v>
      </c>
      <c r="L47" s="64">
        <f>sumifs(Dados!$N:$N,Dados!$B:$B,B47,Dados!$H:$H,$D$1,Dados!$G:$G,$L$4)</f>
        <v>34.9</v>
      </c>
      <c r="M47" s="64">
        <f>sumifs(Dados!$N:$N,Dados!$B:$B,B47,Dados!$H:$H,$D$1,Dados!$G:$G,$M$4)</f>
        <v>34.9</v>
      </c>
      <c r="N47" s="64">
        <f>sumifs(Dados!$N:$N,Dados!$B:$B,B47,Dados!$H:$H,$D$1,Dados!$G:$G,$N$4)</f>
        <v>0</v>
      </c>
      <c r="O47" s="64">
        <f>sumifs(Dados!$N:$N,Dados!$B:$B,B47,Dados!$H:$H,$D$1,Dados!$G:$G,$O$4)</f>
        <v>0</v>
      </c>
      <c r="P47" s="64">
        <f>sumifs(Dados!$N:$N,Dados!$B:$B,B47,Dados!$H:$H,$D$1,Dados!$G:$G,$P$4)</f>
        <v>0</v>
      </c>
      <c r="Q47" s="64"/>
    </row>
    <row r="48" ht="15.75" customHeight="1">
      <c r="A48" s="58"/>
      <c r="B48" s="59" t="s">
        <v>187</v>
      </c>
      <c r="C48" s="60"/>
      <c r="D48" s="61">
        <f t="shared" si="9"/>
        <v>36.13</v>
      </c>
      <c r="E48" s="64">
        <f>sumifs(Dados!$N:$N,Dados!$B:$B,B48,Dados!$H:$H,$D$1,Dados!$G:$G,$E$4)</f>
        <v>0</v>
      </c>
      <c r="F48" s="64">
        <f>sumifs(Dados!$N:$N,Dados!$B:$B,B48,Dados!$H:$H,$D$1,Dados!$G:$G,$F$4)</f>
        <v>0</v>
      </c>
      <c r="G48" s="64">
        <f>sumifs(Dados!$N:$N,Dados!$B:$B,B48,Dados!$H:$H,$D$1,Dados!$G:$G,$G$4)</f>
        <v>0</v>
      </c>
      <c r="H48" s="64">
        <f>sumifs(Dados!$N:$N,Dados!$B:$B,B48,Dados!$H:$H,$D$1,Dados!$G:$G,$H$4)</f>
        <v>14.97</v>
      </c>
      <c r="I48" s="64">
        <f>sumifs(Dados!$N:$N,Dados!$B:$B,B48,Dados!$H:$H,$D$1,Dados!$G:$G,$I$4)</f>
        <v>0</v>
      </c>
      <c r="J48" s="64">
        <f>sumifs(Dados!$N:$N,Dados!$B:$B,B48,Dados!$H:$H,$D$1,Dados!$G:$G,$J$4)</f>
        <v>0</v>
      </c>
      <c r="K48" s="64">
        <f>sumifs(Dados!$N:$N,Dados!$B:$B,B48,Dados!$H:$H,$D$1,Dados!$G:$G,$K$4)</f>
        <v>15.87</v>
      </c>
      <c r="L48" s="64">
        <f>sumifs(Dados!$N:$N,Dados!$B:$B,B48,Dados!$H:$H,$D$1,Dados!$G:$G,$L$4)</f>
        <v>0</v>
      </c>
      <c r="M48" s="64">
        <f>sumifs(Dados!$N:$N,Dados!$B:$B,B48,Dados!$H:$H,$D$1,Dados!$G:$G,$M$4)</f>
        <v>5.29</v>
      </c>
      <c r="N48" s="64">
        <f>sumifs(Dados!$N:$N,Dados!$B:$B,B48,Dados!$H:$H,$D$1,Dados!$G:$G,$N$4)</f>
        <v>0</v>
      </c>
      <c r="O48" s="64">
        <f>sumifs(Dados!$N:$N,Dados!$B:$B,B48,Dados!$H:$H,$D$1,Dados!$G:$G,$O$4)</f>
        <v>0</v>
      </c>
      <c r="P48" s="64">
        <f>sumifs(Dados!$N:$N,Dados!$B:$B,B48,Dados!$H:$H,$D$1,Dados!$G:$G,$P$4)</f>
        <v>0</v>
      </c>
      <c r="Q48" s="64"/>
    </row>
    <row r="49" ht="15.75" customHeight="1">
      <c r="A49" s="109"/>
      <c r="B49" s="59" t="s">
        <v>188</v>
      </c>
      <c r="C49" s="60"/>
      <c r="D49" s="61">
        <f t="shared" si="9"/>
        <v>87.27</v>
      </c>
      <c r="E49" s="64">
        <f>sumifs(Dados!$N:$N,Dados!$B:$B,B49,Dados!$H:$H,$D$1,Dados!$G:$G,$E$4)</f>
        <v>0</v>
      </c>
      <c r="F49" s="64">
        <f>sumifs(Dados!$N:$N,Dados!$B:$B,B49,Dados!$H:$H,$D$1,Dados!$G:$G,$F$4)</f>
        <v>0</v>
      </c>
      <c r="G49" s="64">
        <f>sumifs(Dados!$N:$N,Dados!$B:$B,B49,Dados!$H:$H,$D$1,Dados!$G:$G,$G$4)</f>
        <v>0</v>
      </c>
      <c r="H49" s="64">
        <f>sumifs(Dados!$N:$N,Dados!$B:$B,B49,Dados!$H:$H,$D$1,Dados!$G:$G,$H$4)</f>
        <v>0</v>
      </c>
      <c r="I49" s="64">
        <f>sumifs(Dados!$N:$N,Dados!$B:$B,B49,Dados!$H:$H,$D$1,Dados!$G:$G,$I$4)</f>
        <v>24.48</v>
      </c>
      <c r="J49" s="64">
        <f>sumifs(Dados!$N:$N,Dados!$B:$B,B49,Dados!$H:$H,$D$1,Dados!$G:$G,$J$4)</f>
        <v>11.96</v>
      </c>
      <c r="K49" s="64">
        <f>sumifs(Dados!$N:$N,Dados!$B:$B,B49,Dados!$H:$H,$D$1,Dados!$G:$G,$K$4)</f>
        <v>11.96</v>
      </c>
      <c r="L49" s="64">
        <f>sumifs(Dados!$N:$N,Dados!$B:$B,B49,Dados!$H:$H,$D$1,Dados!$G:$G,$L$4)</f>
        <v>20.93</v>
      </c>
      <c r="M49" s="64">
        <f>sumifs(Dados!$N:$N,Dados!$B:$B,B49,Dados!$H:$H,$D$1,Dados!$G:$G,$M$4)</f>
        <v>17.94</v>
      </c>
      <c r="N49" s="64">
        <f>sumifs(Dados!$N:$N,Dados!$B:$B,B49,Dados!$H:$H,$D$1,Dados!$G:$G,$N$4)</f>
        <v>0</v>
      </c>
      <c r="O49" s="64">
        <f>sumifs(Dados!$N:$N,Dados!$B:$B,B49,Dados!$H:$H,$D$1,Dados!$G:$G,$O$4)</f>
        <v>0</v>
      </c>
      <c r="P49" s="64">
        <f>sumifs(Dados!$N:$N,Dados!$B:$B,B49,Dados!$H:$H,$D$1,Dados!$G:$G,$P$4)</f>
        <v>0</v>
      </c>
      <c r="Q49" s="64"/>
    </row>
    <row r="50" ht="15.75" customHeight="1">
      <c r="A50" s="109"/>
      <c r="B50" s="59" t="s">
        <v>189</v>
      </c>
      <c r="C50" s="60"/>
      <c r="D50" s="61">
        <f t="shared" si="9"/>
        <v>0</v>
      </c>
      <c r="E50" s="64">
        <f>sumifs(Dados!$N:$N,Dados!$B:$B,B50,Dados!$H:$H,$D$1,Dados!$G:$G,$E$4)</f>
        <v>0</v>
      </c>
      <c r="F50" s="64">
        <f>sumifs(Dados!$N:$N,Dados!$B:$B,B50,Dados!$H:$H,$D$1,Dados!$G:$G,$F$4)</f>
        <v>0</v>
      </c>
      <c r="G50" s="64">
        <f>sumifs(Dados!$N:$N,Dados!$B:$B,B50,Dados!$H:$H,$D$1,Dados!$G:$G,$G$4)</f>
        <v>0</v>
      </c>
      <c r="H50" s="64">
        <f>sumifs(Dados!$N:$N,Dados!$B:$B,B50,Dados!$H:$H,$D$1,Dados!$G:$G,$H$4)</f>
        <v>0</v>
      </c>
      <c r="I50" s="64">
        <f>sumifs(Dados!$N:$N,Dados!$B:$B,B50,Dados!$H:$H,$D$1,Dados!$G:$G,$I$4)</f>
        <v>0</v>
      </c>
      <c r="J50" s="64">
        <f>sumifs(Dados!$N:$N,Dados!$B:$B,B50,Dados!$H:$H,$D$1,Dados!$G:$G,$J$4)</f>
        <v>0</v>
      </c>
      <c r="K50" s="64">
        <f>sumifs(Dados!$N:$N,Dados!$B:$B,B50,Dados!$H:$H,$D$1,Dados!$G:$G,$K$4)</f>
        <v>0</v>
      </c>
      <c r="L50" s="64">
        <f>sumifs(Dados!$N:$N,Dados!$B:$B,B50,Dados!$H:$H,$D$1,Dados!$G:$G,$L$4)</f>
        <v>0</v>
      </c>
      <c r="M50" s="64">
        <f>sumifs(Dados!$N:$N,Dados!$B:$B,B50,Dados!$H:$H,$D$1,Dados!$G:$G,$M$4)</f>
        <v>0</v>
      </c>
      <c r="N50" s="64">
        <f>sumifs(Dados!$N:$N,Dados!$B:$B,B50,Dados!$H:$H,$D$1,Dados!$G:$G,$N$4)</f>
        <v>0</v>
      </c>
      <c r="O50" s="64">
        <f>sumifs(Dados!$N:$N,Dados!$B:$B,B50,Dados!$H:$H,$D$1,Dados!$G:$G,$O$4)</f>
        <v>0</v>
      </c>
      <c r="P50" s="64">
        <f>sumifs(Dados!$N:$N,Dados!$B:$B,B50,Dados!$H:$H,$D$1,Dados!$G:$G,$P$4)</f>
        <v>0</v>
      </c>
      <c r="Q50" s="64"/>
    </row>
    <row r="51" ht="15.75" customHeight="1">
      <c r="A51" s="109"/>
      <c r="B51" s="59" t="s">
        <v>190</v>
      </c>
      <c r="C51" s="60"/>
      <c r="D51" s="61">
        <f t="shared" si="9"/>
        <v>0</v>
      </c>
      <c r="E51" s="64">
        <f>sumifs(Dados!$N:$N,Dados!$B:$B,$B$51,Dados!$H:$H,$D$1,Dados!$G:$G,E4)</f>
        <v>0</v>
      </c>
      <c r="F51" s="64">
        <f>sumifs(Dados!$N:$N,Dados!$B:$B,$B$51,Dados!$H:$H,$D$1,Dados!$G:$G,F4)</f>
        <v>0</v>
      </c>
      <c r="G51" s="64">
        <f>sumifs(Dados!$N:$N,Dados!$B:$B,$B$51,Dados!$H:$H,$D$1,Dados!$G:$G,G4)</f>
        <v>0</v>
      </c>
      <c r="H51" s="64">
        <f>sumifs(Dados!$N:$N,Dados!$B:$B,$B$51,Dados!$H:$H,$D$1,Dados!$G:$G,H4)</f>
        <v>0</v>
      </c>
      <c r="I51" s="64">
        <f>sumifs(Dados!$N:$N,Dados!$B:$B,$B$51,Dados!$H:$H,$D$1,Dados!$G:$G,I4)</f>
        <v>0</v>
      </c>
      <c r="J51" s="64">
        <f>sumifs(Dados!$N:$N,Dados!$B:$B,$B$51,Dados!$H:$H,$D$1,Dados!$G:$G,J4)</f>
        <v>0</v>
      </c>
      <c r="K51" s="64">
        <f>sumifs(Dados!$N:$N,Dados!$B:$B,$B$51,Dados!$H:$H,$D$1,Dados!$G:$G,K4)</f>
        <v>0</v>
      </c>
      <c r="L51" s="64">
        <f>sumifs(Dados!$N:$N,Dados!$B:$B,$B$51,Dados!$H:$H,$D$1,Dados!$G:$G,L4)</f>
        <v>0</v>
      </c>
      <c r="M51" s="64">
        <f>sumifs(Dados!$N:$N,Dados!$B:$B,$B$51,Dados!$H:$H,$D$1,Dados!$G:$G,M4)</f>
        <v>0</v>
      </c>
      <c r="N51" s="64">
        <f>sumifs(Dados!$N:$N,Dados!$B:$B,$B$51,Dados!$H:$H,$D$1,Dados!$G:$G,N4)</f>
        <v>0</v>
      </c>
      <c r="O51" s="64">
        <f>sumifs(Dados!$N:$N,Dados!$B:$B,$B$51,Dados!$H:$H,$D$1,Dados!$G:$G,O4)</f>
        <v>0</v>
      </c>
      <c r="P51" s="64">
        <f>sumifs(Dados!$N:$N,Dados!$B:$B,$B$51,Dados!$H:$H,$D$1,Dados!$G:$G,P4)</f>
        <v>0</v>
      </c>
      <c r="Q51" s="64"/>
    </row>
    <row r="52" ht="15.75" customHeight="1">
      <c r="A52" s="109"/>
      <c r="B52" s="59" t="s">
        <v>191</v>
      </c>
      <c r="C52" s="60"/>
      <c r="D52" s="61">
        <f t="shared" si="9"/>
        <v>34.6</v>
      </c>
      <c r="E52" s="64">
        <f>sumifs(Dados!$N:$N,Dados!$B:$B,B52,Dados!$H:$H,$D$1,Dados!$G:$G,$E$4)</f>
        <v>0</v>
      </c>
      <c r="F52" s="64">
        <f>sumifs(Dados!$N:$N,Dados!$B:$B,B52,Dados!$H:$H,$D$1,Dados!$G:$G,$F$4)</f>
        <v>0</v>
      </c>
      <c r="G52" s="64">
        <f>sumifs(Dados!$N:$N,Dados!$B:$B,B52,Dados!$H:$H,$D$1,Dados!$G:$G,$G$4)</f>
        <v>0</v>
      </c>
      <c r="H52" s="64">
        <f>sumifs(Dados!$N:$N,Dados!$B:$B,B52,Dados!$H:$H,$D$1,Dados!$G:$G,$H$4)</f>
        <v>0</v>
      </c>
      <c r="I52" s="64">
        <f>sumifs(Dados!$N:$N,Dados!$B:$B,B52,Dados!$H:$H,$D$1,Dados!$G:$G,$I$4)</f>
        <v>0</v>
      </c>
      <c r="J52" s="64">
        <f>sumifs(Dados!$N:$N,Dados!$B:$B,B52,Dados!$H:$H,$D$1,Dados!$G:$G,$J$4)</f>
        <v>14.9</v>
      </c>
      <c r="K52" s="64">
        <f>sumifs(Dados!$N:$N,Dados!$B:$B,B52,Dados!$H:$H,$D$1,Dados!$G:$G,$K$4)</f>
        <v>0</v>
      </c>
      <c r="L52" s="64">
        <f>sumifs(Dados!$N:$N,Dados!$B:$B,B52,Dados!$H:$H,$D$1,Dados!$G:$G,$L$4)</f>
        <v>19.7</v>
      </c>
      <c r="M52" s="64">
        <f>sumifs(Dados!$N:$N,Dados!$B:$B,B52,Dados!$H:$H,$D$1,Dados!$G:$G,$M$4)</f>
        <v>0</v>
      </c>
      <c r="N52" s="64">
        <f>sumifs(Dados!$N:$N,Dados!$B:$B,B52,Dados!$H:$H,$D$1,Dados!$G:$G,$N$4)</f>
        <v>0</v>
      </c>
      <c r="O52" s="64">
        <f>sumifs(Dados!$N:$N,Dados!$B:$B,B52,Dados!$H:$H,$D$1,Dados!$G:$G,$O$4)</f>
        <v>0</v>
      </c>
      <c r="P52" s="64">
        <f>sumifs(Dados!$N:$N,Dados!$B:$B,B52,Dados!$H:$H,$D$1,Dados!$G:$G,$P$4)</f>
        <v>0</v>
      </c>
      <c r="Q52" s="64"/>
    </row>
    <row r="53" ht="15.75" customHeight="1">
      <c r="A53" s="109"/>
      <c r="B53" s="59" t="s">
        <v>192</v>
      </c>
      <c r="C53" s="60"/>
      <c r="D53" s="61">
        <f t="shared" si="9"/>
        <v>15.8</v>
      </c>
      <c r="E53" s="64">
        <f>sumifs(Dados!$N:$N,Dados!$B:$B,B53,Dados!$H:$H,$D$1,Dados!$G:$G,$E$4)</f>
        <v>0</v>
      </c>
      <c r="F53" s="64">
        <f>sumifs(Dados!$N:$N,Dados!$B:$B,B53,Dados!$H:$H,$D$1,Dados!$G:$G,$F$4)</f>
        <v>0</v>
      </c>
      <c r="G53" s="64">
        <f>sumifs(Dados!$N:$N,Dados!$B:$B,B53,Dados!$H:$H,$D$1,Dados!$G:$G,$G$4)</f>
        <v>0</v>
      </c>
      <c r="H53" s="64">
        <f>sumifs(Dados!$N:$N,Dados!$B:$B,B53,Dados!$H:$H,$D$1,Dados!$G:$G,$H$4)</f>
        <v>11.85</v>
      </c>
      <c r="I53" s="64">
        <f>sumifs(Dados!$N:$N,Dados!$B:$B,B53,Dados!$H:$H,$D$1,Dados!$G:$G,$I$4)</f>
        <v>0</v>
      </c>
      <c r="J53" s="64">
        <f>sumifs(Dados!$N:$N,Dados!$B:$B,B53,Dados!$H:$H,$D$1,Dados!$G:$G,$J$4)</f>
        <v>0</v>
      </c>
      <c r="K53" s="64">
        <f>sumifs(Dados!$N:$N,Dados!$B:$B,B53,Dados!$H:$H,$D$1,Dados!$G:$G,$K$4)</f>
        <v>0</v>
      </c>
      <c r="L53" s="64">
        <f>sumifs(Dados!$N:$N,Dados!$B:$B,B53,Dados!$H:$H,$D$1,Dados!$G:$G,$L$4)</f>
        <v>0</v>
      </c>
      <c r="M53" s="64">
        <f>sumifs(Dados!$N:$N,Dados!$B:$B,B53,Dados!$H:$H,$D$1,Dados!$G:$G,$M$4)</f>
        <v>3.95</v>
      </c>
      <c r="N53" s="64">
        <f>sumifs(Dados!$N:$N,Dados!$B:$B,B53,Dados!$H:$H,$D$1,Dados!$G:$G,$N$4)</f>
        <v>0</v>
      </c>
      <c r="O53" s="64">
        <f>sumifs(Dados!$N:$N,Dados!$B:$B,B53,Dados!$H:$H,$D$1,Dados!$G:$G,$O$4)</f>
        <v>0</v>
      </c>
      <c r="P53" s="64">
        <f>sumifs(Dados!$N:$N,Dados!$B:$B,B53,Dados!$H:$H,$D$1,Dados!$G:$G,$P$4)</f>
        <v>0</v>
      </c>
      <c r="Q53" s="64"/>
    </row>
    <row r="54" ht="15.75" customHeight="1">
      <c r="A54" s="109"/>
      <c r="B54" s="59" t="s">
        <v>193</v>
      </c>
      <c r="C54" s="60"/>
      <c r="D54" s="61">
        <f t="shared" si="9"/>
        <v>72</v>
      </c>
      <c r="E54" s="64">
        <f>sumifs(Dados!$N:$N,Dados!$B:$B,B54,Dados!$H:$H,$D$1,Dados!$G:$G,$E$4)</f>
        <v>0</v>
      </c>
      <c r="F54" s="64">
        <f>sumifs(Dados!$N:$N,Dados!$B:$B,B54,Dados!$H:$H,$D$1,Dados!$G:$G,$F$4)</f>
        <v>0</v>
      </c>
      <c r="G54" s="64">
        <f>sumifs(Dados!$N:$N,Dados!$B:$B,B54,Dados!$H:$H,$D$1,Dados!$G:$G,$G$4)</f>
        <v>0</v>
      </c>
      <c r="H54" s="64">
        <f>sumifs(Dados!$N:$N,Dados!$B:$B,B54,Dados!$H:$H,$D$1,Dados!$G:$G,$H$4)</f>
        <v>0</v>
      </c>
      <c r="I54" s="64">
        <f>sumifs(Dados!$N:$N,Dados!$B:$B,B54,Dados!$H:$H,$D$1,Dados!$G:$G,$I$4)</f>
        <v>0</v>
      </c>
      <c r="J54" s="64">
        <f>sumifs(Dados!$N:$N,Dados!$B:$B,B54,Dados!$H:$H,$D$1,Dados!$G:$G,$J$4)</f>
        <v>32.2</v>
      </c>
      <c r="K54" s="64">
        <f>sumifs(Dados!$N:$N,Dados!$B:$B,B54,Dados!$H:$H,$D$1,Dados!$G:$G,$K$4)</f>
        <v>20.84</v>
      </c>
      <c r="L54" s="64">
        <f>sumifs(Dados!$N:$N,Dados!$B:$B,B54,Dados!$H:$H,$D$1,Dados!$G:$G,$L$4)</f>
        <v>0</v>
      </c>
      <c r="M54" s="64">
        <f>sumifs(Dados!$N:$N,Dados!$B:$B,B54,Dados!$H:$H,$D$1,Dados!$G:$G,$M$4)</f>
        <v>18.96</v>
      </c>
      <c r="N54" s="64">
        <f>sumifs(Dados!$N:$N,Dados!$B:$B,B54,Dados!$H:$H,$D$1,Dados!$G:$G,$N$4)</f>
        <v>0</v>
      </c>
      <c r="O54" s="64">
        <f>sumifs(Dados!$N:$N,Dados!$B:$B,B54,Dados!$H:$H,$D$1,Dados!$G:$G,$O$4)</f>
        <v>0</v>
      </c>
      <c r="P54" s="64">
        <f>sumifs(Dados!$N:$N,Dados!$B:$B,B54,Dados!$H:$H,$D$1,Dados!$G:$G,$P$4)</f>
        <v>0</v>
      </c>
      <c r="Q54" s="64"/>
    </row>
    <row r="55" ht="15.75" customHeight="1">
      <c r="A55" s="88" t="s">
        <v>151</v>
      </c>
      <c r="B55" s="89">
        <f>sumifs(Dados!$N:$N,Dados!$A:$A,A55,Dados!$H:$H,$D$1)</f>
        <v>2253.32</v>
      </c>
      <c r="C55" s="90">
        <f>B55-D55</f>
        <v>0</v>
      </c>
      <c r="D55" s="89">
        <f t="shared" ref="D55:P55" si="10">SUM(D35:D54)</f>
        <v>2253.32</v>
      </c>
      <c r="E55" s="89">
        <f t="shared" si="10"/>
        <v>0</v>
      </c>
      <c r="F55" s="89">
        <f t="shared" si="10"/>
        <v>0</v>
      </c>
      <c r="G55" s="89">
        <f t="shared" si="10"/>
        <v>0</v>
      </c>
      <c r="H55" s="89">
        <f t="shared" si="10"/>
        <v>359.27</v>
      </c>
      <c r="I55" s="89">
        <f t="shared" si="10"/>
        <v>280.58</v>
      </c>
      <c r="J55" s="89">
        <f t="shared" si="10"/>
        <v>392.21</v>
      </c>
      <c r="K55" s="89">
        <f t="shared" si="10"/>
        <v>459.23</v>
      </c>
      <c r="L55" s="89">
        <f t="shared" si="10"/>
        <v>323.93</v>
      </c>
      <c r="M55" s="89">
        <f t="shared" si="10"/>
        <v>438.1</v>
      </c>
      <c r="N55" s="89">
        <f t="shared" si="10"/>
        <v>0</v>
      </c>
      <c r="O55" s="89">
        <f t="shared" si="10"/>
        <v>0</v>
      </c>
      <c r="P55" s="89">
        <f t="shared" si="10"/>
        <v>0</v>
      </c>
      <c r="Q55" s="89"/>
    </row>
    <row r="56" ht="15.75" customHeight="1">
      <c r="A56" s="58"/>
      <c r="B56" s="59" t="s">
        <v>204</v>
      </c>
      <c r="C56" s="60"/>
      <c r="D56" s="61">
        <f t="shared" ref="D56:D67" si="11">SUM(E56:P56)</f>
        <v>3.96</v>
      </c>
      <c r="E56" s="64">
        <f>sumifs(Dados!$N:$N,Dados!$B:$B,B56,Dados!$H:$H,$D$1,Dados!$G:$G,$E$4)</f>
        <v>0</v>
      </c>
      <c r="F56" s="64">
        <f>sumifs(Dados!$N:$N,Dados!$B:$B,B56,Dados!$H:$H,$D$1,Dados!$G:$G,$F$4)</f>
        <v>0</v>
      </c>
      <c r="G56" s="64">
        <f>sumifs(Dados!$N:$N,Dados!$B:$B,B56,Dados!$H:$H,$D$1,Dados!$G:$G,$G$4)</f>
        <v>0</v>
      </c>
      <c r="H56" s="64">
        <f>sumifs(Dados!$N:$N,Dados!$B:$B,B56,Dados!$H:$H,$D$1,Dados!$G:$G,$H$4)</f>
        <v>0</v>
      </c>
      <c r="I56" s="64">
        <f>sumifs(Dados!$N:$N,Dados!$B:$B,B56,Dados!$H:$H,$D$1,Dados!$G:$G,$I$4)</f>
        <v>0</v>
      </c>
      <c r="J56" s="64">
        <f>sumifs(Dados!$N:$N,Dados!$B:$B,B56,Dados!$H:$H,$D$1,Dados!$G:$G,$J$4)</f>
        <v>3.96</v>
      </c>
      <c r="K56" s="64">
        <f>sumifs(Dados!$N:$N,Dados!$B:$B,B56,Dados!$H:$H,$D$1,Dados!$G:$G,$K$4)</f>
        <v>0</v>
      </c>
      <c r="L56" s="64">
        <f>sumifs(Dados!$N:$N,Dados!$B:$B,B56,Dados!$H:$H,$D$1,Dados!$G:$G,$L$4)</f>
        <v>0</v>
      </c>
      <c r="M56" s="64">
        <f>sumifs(Dados!$N:$N,Dados!$B:$B,B56,Dados!$H:$H,$D$1,Dados!$G:$G,$M$4)</f>
        <v>0</v>
      </c>
      <c r="N56" s="64">
        <f>sumifs(Dados!$N:$N,Dados!$B:$B,B56,Dados!$H:$H,$D$1,Dados!$G:$G,$N$4)</f>
        <v>0</v>
      </c>
      <c r="O56" s="64">
        <f>sumifs(Dados!$N:$N,Dados!$B:$B,B56,Dados!$H:$H,$D$1,Dados!$G:$G,$O$4)</f>
        <v>0</v>
      </c>
      <c r="P56" s="64">
        <f>sumifs(Dados!$N:$N,Dados!$B:$B,B56,Dados!$H:$H,$D$1,Dados!$G:$G,$P$4)</f>
        <v>0</v>
      </c>
      <c r="Q56" s="64"/>
    </row>
    <row r="57" ht="15.75" customHeight="1">
      <c r="A57" s="58"/>
      <c r="B57" s="59" t="s">
        <v>220</v>
      </c>
      <c r="C57" s="60"/>
      <c r="D57" s="61">
        <f t="shared" si="11"/>
        <v>2.07</v>
      </c>
      <c r="E57" s="64">
        <f>sumifs(Dados!$N:$N,Dados!$B:$B,B57,Dados!$H:$H,$D$1,Dados!$G:$G,$E$4)</f>
        <v>0</v>
      </c>
      <c r="F57" s="64">
        <f>sumifs(Dados!$N:$N,Dados!$B:$B,B57,Dados!$H:$H,$D$1,Dados!$G:$G,$F$4)</f>
        <v>0</v>
      </c>
      <c r="G57" s="64">
        <f>sumifs(Dados!$N:$N,Dados!$B:$B,B57,Dados!$H:$H,$D$1,Dados!$G:$G,$G$4)</f>
        <v>0</v>
      </c>
      <c r="H57" s="64">
        <f>sumifs(Dados!$N:$N,Dados!$B:$B,B57,Dados!$H:$H,$D$1,Dados!$G:$G,$H$4)</f>
        <v>0</v>
      </c>
      <c r="I57" s="64">
        <f>sumifs(Dados!$N:$N,Dados!$B:$B,B57,Dados!$H:$H,$D$1,Dados!$G:$G,$I$4)</f>
        <v>0</v>
      </c>
      <c r="J57" s="64">
        <f>sumifs(Dados!$N:$N,Dados!$B:$B,B57,Dados!$H:$H,$D$1,Dados!$G:$G,$J$4)</f>
        <v>0</v>
      </c>
      <c r="K57" s="64">
        <f>sumifs(Dados!$N:$N,Dados!$B:$B,B57,Dados!$H:$H,$D$1,Dados!$G:$G,$K$4)</f>
        <v>0</v>
      </c>
      <c r="L57" s="64">
        <f>sumifs(Dados!$N:$N,Dados!$B:$B,B57,Dados!$H:$H,$D$1,Dados!$G:$G,$L$4)</f>
        <v>0</v>
      </c>
      <c r="M57" s="64">
        <f>sumifs(Dados!$N:$N,Dados!$B:$B,B57,Dados!$H:$H,$D$1,Dados!$G:$G,$M$4)</f>
        <v>2.07</v>
      </c>
      <c r="N57" s="64">
        <f>sumifs(Dados!$N:$N,Dados!$B:$B,B57,Dados!$H:$H,$D$1,Dados!$G:$G,$N$4)</f>
        <v>0</v>
      </c>
      <c r="O57" s="64">
        <f>sumifs(Dados!$N:$N,Dados!$B:$B,B57,Dados!$H:$H,$D$1,Dados!$G:$G,$O$4)</f>
        <v>0</v>
      </c>
      <c r="P57" s="64">
        <f>sumifs(Dados!$N:$N,Dados!$B:$B,B57,Dados!$H:$H,$D$1,Dados!$G:$G,$P$4)</f>
        <v>0</v>
      </c>
      <c r="Q57" s="64"/>
    </row>
    <row r="58" ht="15.75" customHeight="1">
      <c r="A58" s="58"/>
      <c r="B58" s="59" t="s">
        <v>230</v>
      </c>
      <c r="C58" s="60"/>
      <c r="D58" s="61">
        <f t="shared" si="11"/>
        <v>79.33</v>
      </c>
      <c r="E58" s="64">
        <f>sumifs(Dados!$N:$N,Dados!$B:$B,B58,Dados!$H:$H,$D$1,Dados!$G:$G,$E$4)</f>
        <v>0</v>
      </c>
      <c r="F58" s="64">
        <f>sumifs(Dados!$N:$N,Dados!$B:$B,B58,Dados!$H:$H,$D$1,Dados!$G:$G,$F$4)</f>
        <v>0</v>
      </c>
      <c r="G58" s="64">
        <f>sumifs(Dados!$N:$N,Dados!$B:$B,B58,Dados!$H:$H,$D$1,Dados!$G:$G,$G$4)</f>
        <v>0</v>
      </c>
      <c r="H58" s="64">
        <f>sumifs(Dados!$N:$N,Dados!$B:$B,B58,Dados!$H:$H,$D$1,Dados!$G:$G,$H$4)</f>
        <v>41.87</v>
      </c>
      <c r="I58" s="64">
        <f>sumifs(Dados!$N:$N,Dados!$B:$B,B58,Dados!$H:$H,$D$1,Dados!$G:$G,$I$4)</f>
        <v>0</v>
      </c>
      <c r="J58" s="64">
        <f>sumifs(Dados!$N:$N,Dados!$B:$B,B58,Dados!$H:$H,$D$1,Dados!$G:$G,$J$4)</f>
        <v>0</v>
      </c>
      <c r="K58" s="64">
        <f>sumifs(Dados!$N:$N,Dados!$B:$B,B58,Dados!$H:$H,$D$1,Dados!$G:$G,$K$4)</f>
        <v>28.47</v>
      </c>
      <c r="L58" s="64">
        <f>sumifs(Dados!$N:$N,Dados!$B:$B,B58,Dados!$H:$H,$D$1,Dados!$G:$G,$L$4)</f>
        <v>8.99</v>
      </c>
      <c r="M58" s="64">
        <f>sumifs(Dados!$N:$N,Dados!$B:$B,B58,Dados!$H:$H,$D$1,Dados!$G:$G,$M$4)</f>
        <v>0</v>
      </c>
      <c r="N58" s="64">
        <f>sumifs(Dados!$N:$N,Dados!$B:$B,B58,Dados!$H:$H,$D$1,Dados!$G:$G,$N$4)</f>
        <v>0</v>
      </c>
      <c r="O58" s="64">
        <f>sumifs(Dados!$N:$N,Dados!$B:$B,B58,Dados!$H:$H,$D$1,Dados!$G:$G,$O$4)</f>
        <v>0</v>
      </c>
      <c r="P58" s="64">
        <f>sumifs(Dados!$N:$N,Dados!$B:$B,B58,Dados!$H:$H,$D$1,Dados!$G:$G,$P$4)</f>
        <v>0</v>
      </c>
      <c r="Q58" s="64"/>
    </row>
    <row r="59" ht="15.75" customHeight="1">
      <c r="A59" s="58"/>
      <c r="B59" s="59" t="s">
        <v>231</v>
      </c>
      <c r="C59" s="60"/>
      <c r="D59" s="61">
        <f t="shared" si="11"/>
        <v>199.38</v>
      </c>
      <c r="E59" s="64">
        <f>sumifs(Dados!$N:$N,Dados!$B:$B,B59,Dados!$H:$H,$D$1,Dados!$G:$G,$E$4)</f>
        <v>0</v>
      </c>
      <c r="F59" s="64">
        <f>sumifs(Dados!$N:$N,Dados!$B:$B,B59,Dados!$H:$H,$D$1,Dados!$G:$G,$F$4)</f>
        <v>0</v>
      </c>
      <c r="G59" s="64">
        <f>sumifs(Dados!$N:$N,Dados!$B:$B,B59,Dados!$H:$H,$D$1,Dados!$G:$G,$G$4)</f>
        <v>0</v>
      </c>
      <c r="H59" s="64">
        <f>sumifs(Dados!$N:$N,Dados!$B:$B,B59,Dados!$H:$H,$D$1,Dados!$G:$G,$H$4)</f>
        <v>131.44</v>
      </c>
      <c r="I59" s="64">
        <f>sumifs(Dados!$N:$N,Dados!$B:$B,B59,Dados!$H:$H,$D$1,Dados!$G:$G,$I$4)</f>
        <v>16.77</v>
      </c>
      <c r="J59" s="64">
        <f>sumifs(Dados!$N:$N,Dados!$B:$B,B59,Dados!$H:$H,$D$1,Dados!$G:$G,$J$4)</f>
        <v>11.95</v>
      </c>
      <c r="K59" s="64">
        <f>sumifs(Dados!$N:$N,Dados!$B:$B,B59,Dados!$H:$H,$D$1,Dados!$G:$G,$K$4)</f>
        <v>8.07</v>
      </c>
      <c r="L59" s="64">
        <f>sumifs(Dados!$N:$N,Dados!$B:$B,B59,Dados!$H:$H,$D$1,Dados!$G:$G,$L$4)</f>
        <v>3.96</v>
      </c>
      <c r="M59" s="64">
        <f>sumifs(Dados!$N:$N,Dados!$B:$B,B59,Dados!$H:$H,$D$1,Dados!$G:$G,$M$4)</f>
        <v>27.19</v>
      </c>
      <c r="N59" s="64">
        <f>sumifs(Dados!$N:$N,Dados!$B:$B,B59,Dados!$H:$H,$D$1,Dados!$G:$G,$N$4)</f>
        <v>0</v>
      </c>
      <c r="O59" s="64">
        <f>sumifs(Dados!$N:$N,Dados!$B:$B,B59,Dados!$H:$H,$D$1,Dados!$G:$G,$O$4)</f>
        <v>0</v>
      </c>
      <c r="P59" s="64">
        <f>sumifs(Dados!$N:$N,Dados!$B:$B,B59,Dados!$H:$H,$D$1,Dados!$G:$G,$P$4)</f>
        <v>0</v>
      </c>
      <c r="Q59" s="64"/>
    </row>
    <row r="60" ht="15.75" customHeight="1">
      <c r="A60" s="74"/>
      <c r="B60" s="59" t="s">
        <v>233</v>
      </c>
      <c r="C60" s="60"/>
      <c r="D60" s="61">
        <f t="shared" si="11"/>
        <v>20.4</v>
      </c>
      <c r="E60" s="64">
        <f>sumifs(Dados!$N:$N,Dados!$B:$B,B60,Dados!$H:$H,$D$1,Dados!$G:$G,$E$4)</f>
        <v>0</v>
      </c>
      <c r="F60" s="64">
        <f>sumifs(Dados!$N:$N,Dados!$B:$B,B60,Dados!$H:$H,$D$1,Dados!$G:$G,$F$4)</f>
        <v>0</v>
      </c>
      <c r="G60" s="64">
        <f>sumifs(Dados!$N:$N,Dados!$B:$B,B60,Dados!$H:$H,$D$1,Dados!$G:$G,$G$4)</f>
        <v>0</v>
      </c>
      <c r="H60" s="64">
        <f>sumifs(Dados!$N:$N,Dados!$B:$B,B60,Dados!$H:$H,$D$1,Dados!$G:$G,$H$4)</f>
        <v>10.2</v>
      </c>
      <c r="I60" s="64">
        <f>sumifs(Dados!$N:$N,Dados!$B:$B,B60,Dados!$H:$H,$D$1,Dados!$G:$G,$I$4)</f>
        <v>0</v>
      </c>
      <c r="J60" s="64">
        <f>sumifs(Dados!$N:$N,Dados!$B:$B,B60,Dados!$H:$H,$D$1,Dados!$G:$G,$J$4)</f>
        <v>0</v>
      </c>
      <c r="K60" s="64">
        <f>sumifs(Dados!$N:$N,Dados!$B:$B,B60,Dados!$H:$H,$D$1,Dados!$G:$G,$K$4)</f>
        <v>10.2</v>
      </c>
      <c r="L60" s="64">
        <f>sumifs(Dados!$N:$N,Dados!$B:$B,B60,Dados!$H:$H,$D$1,Dados!$G:$G,$L$4)</f>
        <v>0</v>
      </c>
      <c r="M60" s="64">
        <f>sumifs(Dados!$N:$N,Dados!$B:$B,B60,Dados!$H:$H,$D$1,Dados!$G:$G,$M$4)</f>
        <v>0</v>
      </c>
      <c r="N60" s="64">
        <f>sumifs(Dados!$N:$N,Dados!$B:$B,B60,Dados!$H:$H,$D$1,Dados!$G:$G,$N$4)</f>
        <v>0</v>
      </c>
      <c r="O60" s="64">
        <f>sumifs(Dados!$N:$N,Dados!$B:$B,B60,Dados!$H:$H,$D$1,Dados!$G:$G,$O$4)</f>
        <v>0</v>
      </c>
      <c r="P60" s="64">
        <f>sumifs(Dados!$N:$N,Dados!$B:$B,B60,Dados!$H:$H,$D$1,Dados!$G:$G,$P$4)</f>
        <v>0</v>
      </c>
      <c r="Q60" s="64"/>
    </row>
    <row r="61" ht="15.75" customHeight="1">
      <c r="A61" s="58"/>
      <c r="B61" s="59" t="s">
        <v>235</v>
      </c>
      <c r="C61" s="60"/>
      <c r="D61" s="61">
        <f t="shared" si="11"/>
        <v>6.5</v>
      </c>
      <c r="E61" s="64">
        <f>sumifs(Dados!$N:$N,Dados!$B:$B,B61,Dados!$H:$H,$D$1,Dados!$G:$G,$E$4)</f>
        <v>0</v>
      </c>
      <c r="F61" s="64">
        <f>sumifs(Dados!$N:$N,Dados!$B:$B,B61,Dados!$H:$H,$D$1,Dados!$G:$G,$F$4)</f>
        <v>0</v>
      </c>
      <c r="G61" s="64">
        <f>sumifs(Dados!$N:$N,Dados!$B:$B,B61,Dados!$H:$H,$D$1,Dados!$G:$G,$G$4)</f>
        <v>0</v>
      </c>
      <c r="H61" s="64">
        <f>sumifs(Dados!$N:$N,Dados!$B:$B,B61,Dados!$H:$H,$D$1,Dados!$G:$G,$H$4)</f>
        <v>6.5</v>
      </c>
      <c r="I61" s="64">
        <f>sumifs(Dados!$N:$N,Dados!$B:$B,B61,Dados!$H:$H,$D$1,Dados!$G:$G,$I$4)</f>
        <v>0</v>
      </c>
      <c r="J61" s="64">
        <f>sumifs(Dados!$N:$N,Dados!$B:$B,B61,Dados!$H:$H,$D$1,Dados!$G:$G,$J$4)</f>
        <v>0</v>
      </c>
      <c r="K61" s="64">
        <f>sumifs(Dados!$N:$N,Dados!$B:$B,B61,Dados!$H:$H,$D$1,Dados!$G:$G,$K$4)</f>
        <v>0</v>
      </c>
      <c r="L61" s="64">
        <f>sumifs(Dados!$N:$N,Dados!$B:$B,B61,Dados!$H:$H,$D$1,Dados!$G:$G,$L$4)</f>
        <v>0</v>
      </c>
      <c r="M61" s="64">
        <f>sumifs(Dados!$N:$N,Dados!$B:$B,B61,Dados!$H:$H,$D$1,Dados!$G:$G,$M$4)</f>
        <v>0</v>
      </c>
      <c r="N61" s="64">
        <f>sumifs(Dados!$N:$N,Dados!$B:$B,B61,Dados!$H:$H,$D$1,Dados!$G:$G,$N$4)</f>
        <v>0</v>
      </c>
      <c r="O61" s="64">
        <f>sumifs(Dados!$N:$N,Dados!$B:$B,B61,Dados!$H:$H,$D$1,Dados!$G:$G,$O$4)</f>
        <v>0</v>
      </c>
      <c r="P61" s="64">
        <f>sumifs(Dados!$N:$N,Dados!$B:$B,B61,Dados!$H:$H,$D$1,Dados!$G:$G,$P$4)</f>
        <v>0</v>
      </c>
      <c r="Q61" s="64"/>
    </row>
    <row r="62" ht="15.75" customHeight="1">
      <c r="A62" s="58"/>
      <c r="B62" s="59" t="s">
        <v>236</v>
      </c>
      <c r="C62" s="60"/>
      <c r="D62" s="61">
        <f t="shared" si="11"/>
        <v>0</v>
      </c>
      <c r="E62" s="64">
        <f>sumifs(Dados!$N:$N,Dados!$B:$B,B62,Dados!$H:$H,$D$1,Dados!$G:$G,$E$4)</f>
        <v>0</v>
      </c>
      <c r="F62" s="64">
        <f>sumifs(Dados!$N:$N,Dados!$B:$B,B62,Dados!$H:$H,$D$1,Dados!$G:$G,$F$4)</f>
        <v>0</v>
      </c>
      <c r="G62" s="64">
        <f>sumifs(Dados!$N:$N,Dados!$B:$B,B62,Dados!$H:$H,$D$1,Dados!$G:$G,$G$4)</f>
        <v>0</v>
      </c>
      <c r="H62" s="64">
        <f>sumifs(Dados!$N:$N,Dados!$B:$B,B62,Dados!$H:$H,$D$1,Dados!$G:$G,$H$4)</f>
        <v>0</v>
      </c>
      <c r="I62" s="64">
        <f>sumifs(Dados!$N:$N,Dados!$B:$B,B62,Dados!$H:$H,$D$1,Dados!$G:$G,$I$4)</f>
        <v>0</v>
      </c>
      <c r="J62" s="64">
        <f>sumifs(Dados!$N:$N,Dados!$B:$B,B62,Dados!$H:$H,$D$1,Dados!$G:$G,$J$4)</f>
        <v>0</v>
      </c>
      <c r="K62" s="64">
        <f>sumifs(Dados!$N:$N,Dados!$B:$B,B62,Dados!$H:$H,$D$1,Dados!$G:$G,$K$4)</f>
        <v>0</v>
      </c>
      <c r="L62" s="64">
        <f>sumifs(Dados!$N:$N,Dados!$B:$B,B62,Dados!$H:$H,$D$1,Dados!$G:$G,$L$4)</f>
        <v>0</v>
      </c>
      <c r="M62" s="64">
        <f>sumifs(Dados!$N:$N,Dados!$B:$B,B62,Dados!$H:$H,$D$1,Dados!$G:$G,$M$4)</f>
        <v>0</v>
      </c>
      <c r="N62" s="64">
        <f>sumifs(Dados!$N:$N,Dados!$B:$B,B62,Dados!$H:$H,$D$1,Dados!$G:$G,$N$4)</f>
        <v>0</v>
      </c>
      <c r="O62" s="64">
        <f>sumifs(Dados!$N:$N,Dados!$B:$B,B62,Dados!$H:$H,$D$1,Dados!$G:$G,$O$4)</f>
        <v>0</v>
      </c>
      <c r="P62" s="64">
        <f>sumifs(Dados!$N:$N,Dados!$B:$B,B62,Dados!$H:$H,$D$1,Dados!$G:$G,$P$4)</f>
        <v>0</v>
      </c>
      <c r="Q62" s="64"/>
    </row>
    <row r="63" ht="15.75" customHeight="1">
      <c r="A63" s="74"/>
      <c r="B63" s="59" t="s">
        <v>239</v>
      </c>
      <c r="C63" s="60"/>
      <c r="D63" s="61">
        <f t="shared" si="11"/>
        <v>38.01</v>
      </c>
      <c r="E63" s="64">
        <f>sumifs(Dados!$N:$N,Dados!$B:$B,B63,Dados!$H:$H,$D$1,Dados!$G:$G,$E$4)</f>
        <v>0</v>
      </c>
      <c r="F63" s="64">
        <f>sumifs(Dados!$N:$N,Dados!$B:$B,B63,Dados!$H:$H,$D$1,Dados!$G:$G,$F$4)</f>
        <v>0</v>
      </c>
      <c r="G63" s="64">
        <f>sumifs(Dados!$N:$N,Dados!$B:$B,B63,Dados!$H:$H,$D$1,Dados!$G:$G,$G$4)</f>
        <v>0</v>
      </c>
      <c r="H63" s="64">
        <f>sumifs(Dados!$N:$N,Dados!$B:$B,B63,Dados!$H:$H,$D$1,Dados!$G:$G,$H$4)</f>
        <v>19.61</v>
      </c>
      <c r="I63" s="64">
        <f>sumifs(Dados!$N:$N,Dados!$B:$B,B63,Dados!$H:$H,$D$1,Dados!$G:$G,$I$4)</f>
        <v>0</v>
      </c>
      <c r="J63" s="64">
        <f>sumifs(Dados!$N:$N,Dados!$B:$B,B63,Dados!$H:$H,$D$1,Dados!$G:$G,$J$4)</f>
        <v>0</v>
      </c>
      <c r="K63" s="64">
        <f>sumifs(Dados!$N:$N,Dados!$B:$B,B63,Dados!$H:$H,$D$1,Dados!$G:$G,$K$4)</f>
        <v>18.4</v>
      </c>
      <c r="L63" s="64">
        <f>sumifs(Dados!$N:$N,Dados!$B:$B,B63,Dados!$H:$H,$D$1,Dados!$G:$G,$L$4)</f>
        <v>0</v>
      </c>
      <c r="M63" s="64">
        <f>sumifs(Dados!$N:$N,Dados!$B:$B,B63,Dados!$H:$H,$D$1,Dados!$G:$G,$M$4)</f>
        <v>0</v>
      </c>
      <c r="N63" s="64">
        <f>sumifs(Dados!$N:$N,Dados!$B:$B,B63,Dados!$H:$H,$D$1,Dados!$G:$G,$N$4)</f>
        <v>0</v>
      </c>
      <c r="O63" s="64">
        <f>sumifs(Dados!$N:$N,Dados!$B:$B,B63,Dados!$H:$H,$D$1,Dados!$G:$G,$O$4)</f>
        <v>0</v>
      </c>
      <c r="P63" s="64">
        <f>sumifs(Dados!$N:$N,Dados!$B:$B,B63,Dados!$H:$H,$D$1,Dados!$G:$G,$P$4)</f>
        <v>0</v>
      </c>
      <c r="Q63" s="64"/>
    </row>
    <row r="64" ht="15.75" customHeight="1">
      <c r="A64" s="74"/>
      <c r="B64" s="59" t="s">
        <v>241</v>
      </c>
      <c r="C64" s="60"/>
      <c r="D64" s="61">
        <f t="shared" si="11"/>
        <v>60.86</v>
      </c>
      <c r="E64" s="64">
        <f>sumifs(Dados!$N:$N,Dados!$B:$B,B64,Dados!$H:$H,$D$1,Dados!$G:$G,$E$4)</f>
        <v>0</v>
      </c>
      <c r="F64" s="64">
        <f>sumifs(Dados!$N:$N,Dados!$B:$B,B64,Dados!$H:$H,$D$1,Dados!$G:$G,$F$4)</f>
        <v>0</v>
      </c>
      <c r="G64" s="64">
        <f>sumifs(Dados!$N:$N,Dados!$B:$B,B64,Dados!$H:$H,$D$1,Dados!$G:$G,$G$4)</f>
        <v>0</v>
      </c>
      <c r="H64" s="64">
        <f>sumifs(Dados!$N:$N,Dados!$B:$B,B64,Dados!$H:$H,$D$1,Dados!$G:$G,$H$4)</f>
        <v>14.32</v>
      </c>
      <c r="I64" s="64">
        <f>sumifs(Dados!$N:$N,Dados!$B:$B,B64,Dados!$H:$H,$D$1,Dados!$G:$G,$I$4)</f>
        <v>0</v>
      </c>
      <c r="J64" s="64">
        <f>sumifs(Dados!$N:$N,Dados!$B:$B,B64,Dados!$H:$H,$D$1,Dados!$G:$G,$J$4)</f>
        <v>8.95</v>
      </c>
      <c r="K64" s="64">
        <f>sumifs(Dados!$N:$N,Dados!$B:$B,B64,Dados!$H:$H,$D$1,Dados!$G:$G,$K$4)</f>
        <v>17.9</v>
      </c>
      <c r="L64" s="64">
        <f>sumifs(Dados!$N:$N,Dados!$B:$B,B64,Dados!$H:$H,$D$1,Dados!$G:$G,$L$4)</f>
        <v>0</v>
      </c>
      <c r="M64" s="64">
        <f>sumifs(Dados!$N:$N,Dados!$B:$B,B64,Dados!$H:$H,$D$1,Dados!$G:$G,$M$4)</f>
        <v>19.69</v>
      </c>
      <c r="N64" s="64">
        <f>sumifs(Dados!$N:$N,Dados!$B:$B,B64,Dados!$H:$H,$D$1,Dados!$G:$G,$N$4)</f>
        <v>0</v>
      </c>
      <c r="O64" s="64">
        <f>sumifs(Dados!$N:$N,Dados!$B:$B,B64,Dados!$H:$H,$D$1,Dados!$G:$G,$O$4)</f>
        <v>0</v>
      </c>
      <c r="P64" s="64">
        <f>sumifs(Dados!$N:$N,Dados!$B:$B,B64,Dados!$H:$H,$D$1,Dados!$G:$G,$P$4)</f>
        <v>0</v>
      </c>
      <c r="Q64" s="64"/>
    </row>
    <row r="65" ht="15.75" customHeight="1">
      <c r="A65" s="74"/>
      <c r="B65" s="59" t="s">
        <v>243</v>
      </c>
      <c r="C65" s="60"/>
      <c r="D65" s="61">
        <f t="shared" si="11"/>
        <v>4.45</v>
      </c>
      <c r="E65" s="64">
        <f>sumifs(Dados!$N:$N,Dados!$B:$B,B65,Dados!$H:$H,$D$1,Dados!$G:$G,$E$4)</f>
        <v>0</v>
      </c>
      <c r="F65" s="64">
        <f>sumifs(Dados!$N:$N,Dados!$B:$B,B65,Dados!$H:$H,$D$1,Dados!$G:$G,$F$4)</f>
        <v>0</v>
      </c>
      <c r="G65" s="64">
        <f>sumifs(Dados!$N:$N,Dados!$B:$B,B65,Dados!$H:$H,$D$1,Dados!$G:$G,$G$4)</f>
        <v>0</v>
      </c>
      <c r="H65" s="64">
        <f>sumifs(Dados!$N:$N,Dados!$B:$B,B65,Dados!$H:$H,$D$1,Dados!$G:$G,$H$4)</f>
        <v>0</v>
      </c>
      <c r="I65" s="64">
        <f>sumifs(Dados!$N:$N,Dados!$B:$B,B65,Dados!$H:$H,$D$1,Dados!$G:$G,$I$4)</f>
        <v>0</v>
      </c>
      <c r="J65" s="64">
        <f>sumifs(Dados!$N:$N,Dados!$B:$B,B65,Dados!$H:$H,$D$1,Dados!$G:$G,$J$4)</f>
        <v>0</v>
      </c>
      <c r="K65" s="64">
        <f>sumifs(Dados!$N:$N,Dados!$B:$B,B65,Dados!$H:$H,$D$1,Dados!$G:$G,$K$4)</f>
        <v>0</v>
      </c>
      <c r="L65" s="64">
        <f>sumifs(Dados!$N:$N,Dados!$B:$B,B65,Dados!$H:$H,$D$1,Dados!$G:$G,$L$4)</f>
        <v>0</v>
      </c>
      <c r="M65" s="64">
        <f>sumifs(Dados!$N:$N,Dados!$B:$B,B65,Dados!$H:$H,$D$1,Dados!$G:$G,$M$4)</f>
        <v>4.45</v>
      </c>
      <c r="N65" s="64">
        <f>sumifs(Dados!$N:$N,Dados!$B:$B,B65,Dados!$H:$H,$D$1,Dados!$G:$G,$N$4)</f>
        <v>0</v>
      </c>
      <c r="O65" s="64">
        <f>sumifs(Dados!$N:$N,Dados!$B:$B,B65,Dados!$H:$H,$D$1,Dados!$G:$G,$O$4)</f>
        <v>0</v>
      </c>
      <c r="P65" s="64">
        <f>sumifs(Dados!$N:$N,Dados!$B:$B,B65,Dados!$H:$H,$D$1,Dados!$G:$G,$P$4)</f>
        <v>0</v>
      </c>
      <c r="Q65" s="64"/>
    </row>
    <row r="66" ht="15.75" customHeight="1">
      <c r="A66" s="58"/>
      <c r="B66" s="59" t="s">
        <v>246</v>
      </c>
      <c r="C66" s="60"/>
      <c r="D66" s="61">
        <f t="shared" si="11"/>
        <v>43.89</v>
      </c>
      <c r="E66" s="64">
        <f>sumifs(Dados!$N:$N,Dados!$B:$B,B66,Dados!$H:$H,$D$1,Dados!$G:$G,$E$4)</f>
        <v>0</v>
      </c>
      <c r="F66" s="64">
        <f>sumifs(Dados!$N:$N,Dados!$B:$B,B66,Dados!$H:$H,$D$1,Dados!$G:$G,$F$4)</f>
        <v>0</v>
      </c>
      <c r="G66" s="64">
        <f>sumifs(Dados!$N:$N,Dados!$B:$B,B66,Dados!$H:$H,$D$1,Dados!$G:$G,$G$4)</f>
        <v>0</v>
      </c>
      <c r="H66" s="64">
        <f>sumifs(Dados!$N:$N,Dados!$B:$B,B66,Dados!$H:$H,$D$1,Dados!$G:$G,$H$4)</f>
        <v>0</v>
      </c>
      <c r="I66" s="64">
        <f>sumifs(Dados!$N:$N,Dados!$B:$B,B66,Dados!$H:$H,$D$1,Dados!$G:$G,$I$4)</f>
        <v>0</v>
      </c>
      <c r="J66" s="64">
        <f>sumifs(Dados!$N:$N,Dados!$B:$B,B66,Dados!$H:$H,$D$1,Dados!$G:$G,$J$4)</f>
        <v>29.04</v>
      </c>
      <c r="K66" s="64">
        <f>sumifs(Dados!$N:$N,Dados!$B:$B,B66,Dados!$H:$H,$D$1,Dados!$G:$G,$K$4)</f>
        <v>0</v>
      </c>
      <c r="L66" s="64">
        <f>sumifs(Dados!$N:$N,Dados!$B:$B,B66,Dados!$H:$H,$D$1,Dados!$G:$G,$L$4)</f>
        <v>14.85</v>
      </c>
      <c r="M66" s="64">
        <f>sumifs(Dados!$N:$N,Dados!$B:$B,B66,Dados!$H:$H,$D$1,Dados!$G:$G,$M$4)</f>
        <v>0</v>
      </c>
      <c r="N66" s="64">
        <f>sumifs(Dados!$N:$N,Dados!$B:$B,B66,Dados!$H:$H,$D$1,Dados!$G:$G,$N$4)</f>
        <v>0</v>
      </c>
      <c r="O66" s="64">
        <f>sumifs(Dados!$N:$N,Dados!$B:$B,B66,Dados!$H:$H,$D$1,Dados!$G:$G,$O$4)</f>
        <v>0</v>
      </c>
      <c r="P66" s="64">
        <f>sumifs(Dados!$N:$N,Dados!$B:$B,B66,Dados!$H:$H,$D$1,Dados!$G:$G,$P$4)</f>
        <v>0</v>
      </c>
      <c r="Q66" s="64"/>
    </row>
    <row r="67" ht="15.75" customHeight="1">
      <c r="A67" s="58"/>
      <c r="B67" s="59" t="s">
        <v>248</v>
      </c>
      <c r="C67" s="60"/>
      <c r="D67" s="61">
        <f t="shared" si="11"/>
        <v>30.87</v>
      </c>
      <c r="E67" s="64">
        <f>sumifs(Dados!$N:$N,Dados!$B:$B,B67,Dados!$H:$H,$D$1,Dados!$G:$G,$E$4)</f>
        <v>0</v>
      </c>
      <c r="F67" s="64">
        <f>sumifs(Dados!$N:$N,Dados!$B:$B,B67,Dados!$H:$H,$D$1,Dados!$G:$G,$F$4)</f>
        <v>0</v>
      </c>
      <c r="G67" s="64">
        <f>sumifs(Dados!$N:$N,Dados!$B:$B,B67,Dados!$H:$H,$D$1,Dados!$G:$G,$G$4)</f>
        <v>0</v>
      </c>
      <c r="H67" s="64">
        <f>sumifs(Dados!$N:$N,Dados!$B:$B,B67,Dados!$H:$H,$D$1,Dados!$G:$G,$H$4)</f>
        <v>0</v>
      </c>
      <c r="I67" s="64">
        <f>sumifs(Dados!$N:$N,Dados!$B:$B,B67,Dados!$H:$H,$D$1,Dados!$G:$G,$I$4)</f>
        <v>0</v>
      </c>
      <c r="J67" s="64">
        <f>sumifs(Dados!$N:$N,Dados!$B:$B,B67,Dados!$H:$H,$D$1,Dados!$G:$G,$J$4)</f>
        <v>0</v>
      </c>
      <c r="K67" s="64">
        <f>sumifs(Dados!$N:$N,Dados!$B:$B,B67,Dados!$H:$H,$D$1,Dados!$G:$G,$K$4)</f>
        <v>0</v>
      </c>
      <c r="L67" s="64">
        <f>sumifs(Dados!$N:$N,Dados!$B:$B,B67,Dados!$H:$H,$D$1,Dados!$G:$G,$L$4)</f>
        <v>0</v>
      </c>
      <c r="M67" s="64">
        <f>sumifs(Dados!$N:$N,Dados!$B:$B,B67,Dados!$H:$H,$D$1,Dados!$G:$G,$M$4)</f>
        <v>30.87</v>
      </c>
      <c r="N67" s="64">
        <f>sumifs(Dados!$N:$N,Dados!$B:$B,B67,Dados!$H:$H,$D$1,Dados!$G:$G,$N$4)</f>
        <v>0</v>
      </c>
      <c r="O67" s="64">
        <f>sumifs(Dados!$N:$N,Dados!$B:$B,B67,Dados!$H:$H,$D$1,Dados!$G:$G,$O$4)</f>
        <v>0</v>
      </c>
      <c r="P67" s="64">
        <f>sumifs(Dados!$N:$N,Dados!$B:$B,B67,Dados!$H:$H,$D$1,Dados!$G:$G,$P$4)</f>
        <v>0</v>
      </c>
      <c r="Q67" s="64"/>
    </row>
    <row r="68" ht="15.75" customHeight="1">
      <c r="A68" s="88" t="s">
        <v>154</v>
      </c>
      <c r="B68" s="89">
        <f>sumifs(Dados!$N:$N,Dados!$A:$A,A68,Dados!$H:$H,$D$1)</f>
        <v>489.72</v>
      </c>
      <c r="C68" s="90">
        <f>B68-D68</f>
        <v>0</v>
      </c>
      <c r="D68" s="89">
        <f t="shared" ref="D68:P68" si="12">SUM(D56:D67)</f>
        <v>489.72</v>
      </c>
      <c r="E68" s="89">
        <f t="shared" si="12"/>
        <v>0</v>
      </c>
      <c r="F68" s="89">
        <f t="shared" si="12"/>
        <v>0</v>
      </c>
      <c r="G68" s="89">
        <f t="shared" si="12"/>
        <v>0</v>
      </c>
      <c r="H68" s="89">
        <f t="shared" si="12"/>
        <v>223.94</v>
      </c>
      <c r="I68" s="89">
        <f t="shared" si="12"/>
        <v>16.77</v>
      </c>
      <c r="J68" s="89">
        <f t="shared" si="12"/>
        <v>53.9</v>
      </c>
      <c r="K68" s="89">
        <f t="shared" si="12"/>
        <v>83.04</v>
      </c>
      <c r="L68" s="89">
        <f t="shared" si="12"/>
        <v>27.8</v>
      </c>
      <c r="M68" s="89">
        <f t="shared" si="12"/>
        <v>84.27</v>
      </c>
      <c r="N68" s="89">
        <f t="shared" si="12"/>
        <v>0</v>
      </c>
      <c r="O68" s="89">
        <f t="shared" si="12"/>
        <v>0</v>
      </c>
      <c r="P68" s="89">
        <f t="shared" si="12"/>
        <v>0</v>
      </c>
      <c r="Q68" s="89"/>
    </row>
    <row r="69" ht="15.75" customHeight="1">
      <c r="A69" s="58"/>
      <c r="B69" s="58" t="s">
        <v>250</v>
      </c>
      <c r="C69" s="60"/>
      <c r="D69" s="61">
        <f t="shared" ref="D69:D75" si="13">SUM(E69:P69)</f>
        <v>334.45</v>
      </c>
      <c r="E69" s="64">
        <f>sumifs(Dados!$N:$N,Dados!$B:$B,B69,Dados!$H:$H,$D$1,Dados!$G:$G,$E$4)</f>
        <v>0</v>
      </c>
      <c r="F69" s="64">
        <f>sumifs(Dados!$N:$N,Dados!$B:$B,B69,Dados!$H:$H,$D$1,Dados!$G:$G,$F$4)</f>
        <v>0</v>
      </c>
      <c r="G69" s="64">
        <f>sumifs(Dados!$N:$N,Dados!$B:$B,B69,Dados!$H:$H,$D$1,Dados!$G:$G,$G$4)</f>
        <v>0</v>
      </c>
      <c r="H69" s="64">
        <f>sumifs(Dados!$N:$N,Dados!$B:$B,B69,Dados!$H:$H,$D$1,Dados!$G:$G,$H$4)</f>
        <v>0</v>
      </c>
      <c r="I69" s="64">
        <f>sumifs(Dados!$N:$N,Dados!$B:$B,B69,Dados!$H:$H,$D$1,Dados!$G:$G,$I$4)</f>
        <v>334.45</v>
      </c>
      <c r="J69" s="64">
        <f>sumifs(Dados!$N:$N,Dados!$B:$B,B69,Dados!$H:$H,$D$1,Dados!$G:$G,$J$4)</f>
        <v>0</v>
      </c>
      <c r="K69" s="64">
        <f>sumifs(Dados!$N:$N,Dados!$B:$B,B69,Dados!$H:$H,$D$1,Dados!$G:$G,$K$4)</f>
        <v>0</v>
      </c>
      <c r="L69" s="64">
        <f>sumifs(Dados!$N:$N,Dados!$B:$B,B69,Dados!$H:$H,$D$1,Dados!$G:$G,$L$4)</f>
        <v>0</v>
      </c>
      <c r="M69" s="64">
        <f>sumifs(Dados!$N:$N,Dados!$B:$B,B69,Dados!$H:$H,$D$1,Dados!$G:$G,$M$4)</f>
        <v>0</v>
      </c>
      <c r="N69" s="64">
        <f>sumifs(Dados!$N:$N,Dados!$B:$B,B69,Dados!$H:$H,$D$1,Dados!$G:$G,$N$4)</f>
        <v>0</v>
      </c>
      <c r="O69" s="64">
        <f>sumifs(Dados!$N:$N,Dados!$B:$B,B69,Dados!$H:$H,$D$1,Dados!$G:$G,$O$4)</f>
        <v>0</v>
      </c>
      <c r="P69" s="64">
        <f>sumifs(Dados!$N:$N,Dados!$B:$B,B69,Dados!$H:$H,$D$1,Dados!$G:$G,$P$4)</f>
        <v>0</v>
      </c>
      <c r="Q69" s="64"/>
    </row>
    <row r="70" ht="15.75" customHeight="1">
      <c r="A70" s="58"/>
      <c r="B70" s="58" t="s">
        <v>252</v>
      </c>
      <c r="C70" s="60"/>
      <c r="D70" s="61">
        <f t="shared" si="13"/>
        <v>0</v>
      </c>
      <c r="E70" s="64">
        <f>sumifs(Dados!$N:$N,Dados!$B:$B,B70,Dados!$H:$H,$D$1,Dados!$G:$G,$E$4)</f>
        <v>0</v>
      </c>
      <c r="F70" s="64">
        <f>sumifs(Dados!$N:$N,Dados!$B:$B,B70,Dados!$H:$H,$D$1,Dados!$G:$G,$F$4)</f>
        <v>0</v>
      </c>
      <c r="G70" s="64">
        <f>sumifs(Dados!$N:$N,Dados!$B:$B,B70,Dados!$H:$H,$D$1,Dados!$G:$G,$G$4)</f>
        <v>0</v>
      </c>
      <c r="H70" s="64">
        <f>sumifs(Dados!$N:$N,Dados!$B:$B,B70,Dados!$H:$H,$D$1,Dados!$G:$G,$H$4)</f>
        <v>0</v>
      </c>
      <c r="I70" s="64">
        <f>sumifs(Dados!$N:$N,Dados!$B:$B,B70,Dados!$H:$H,$D$1,Dados!$G:$G,$I$4)</f>
        <v>0</v>
      </c>
      <c r="J70" s="64">
        <f>sumifs(Dados!$N:$N,Dados!$B:$B,B70,Dados!$H:$H,$D$1,Dados!$G:$G,$J$4)</f>
        <v>0</v>
      </c>
      <c r="K70" s="64">
        <f>sumifs(Dados!$N:$N,Dados!$B:$B,B70,Dados!$H:$H,$D$1,Dados!$G:$G,$K$4)</f>
        <v>0</v>
      </c>
      <c r="L70" s="64">
        <f>sumifs(Dados!$N:$N,Dados!$B:$B,B70,Dados!$H:$H,$D$1,Dados!$G:$G,$L$4)</f>
        <v>0</v>
      </c>
      <c r="M70" s="64">
        <f>sumifs(Dados!$N:$N,Dados!$B:$B,B70,Dados!$H:$H,$D$1,Dados!$G:$G,$M$4)</f>
        <v>0</v>
      </c>
      <c r="N70" s="64">
        <f>sumifs(Dados!$N:$N,Dados!$B:$B,B70,Dados!$H:$H,$D$1,Dados!$G:$G,$N$4)</f>
        <v>0</v>
      </c>
      <c r="O70" s="64">
        <f>sumifs(Dados!$N:$N,Dados!$B:$B,B70,Dados!$H:$H,$D$1,Dados!$G:$G,$O$4)</f>
        <v>0</v>
      </c>
      <c r="P70" s="64">
        <f>sumifs(Dados!$N:$N,Dados!$B:$B,B70,Dados!$H:$H,$D$1,Dados!$G:$G,$P$4)</f>
        <v>0</v>
      </c>
      <c r="Q70" s="64"/>
    </row>
    <row r="71" ht="15.75" customHeight="1">
      <c r="A71" s="58"/>
      <c r="B71" s="58" t="s">
        <v>254</v>
      </c>
      <c r="C71" s="60"/>
      <c r="D71" s="61">
        <f t="shared" si="13"/>
        <v>334.45</v>
      </c>
      <c r="E71" s="64">
        <f>sumifs(Dados!$N:$N,Dados!$B:$B,$B$71,Dados!$H:$H,$D$1,Dados!$G:$G,E4)</f>
        <v>0</v>
      </c>
      <c r="F71" s="64">
        <f>sumifs(Dados!$N:$N,Dados!$B:$B,$B$71,Dados!$H:$H,$D$1,Dados!$G:$G,F4)</f>
        <v>0</v>
      </c>
      <c r="G71" s="64">
        <f>sumifs(Dados!$N:$N,Dados!$B:$B,$B$71,Dados!$H:$H,$D$1,Dados!$G:$G,G4)</f>
        <v>0</v>
      </c>
      <c r="H71" s="64">
        <f>sumifs(Dados!$N:$N,Dados!$B:$B,$B$71,Dados!$H:$H,$D$1,Dados!$G:$G,H4)</f>
        <v>0</v>
      </c>
      <c r="I71" s="64">
        <f>sumifs(Dados!$N:$N,Dados!$B:$B,$B$71,Dados!$H:$H,$D$1,Dados!$G:$G,I4)</f>
        <v>0</v>
      </c>
      <c r="J71" s="64">
        <f>sumifs(Dados!$N:$N,Dados!$B:$B,$B$71,Dados!$H:$H,$D$1,Dados!$G:$G,J4)</f>
        <v>0</v>
      </c>
      <c r="K71" s="64">
        <f>sumifs(Dados!$N:$N,Dados!$B:$B,$B$71,Dados!$H:$H,$D$1,Dados!$G:$G,K4)</f>
        <v>0</v>
      </c>
      <c r="L71" s="64">
        <f>sumifs(Dados!$N:$N,Dados!$B:$B,$B$71,Dados!$H:$H,$D$1,Dados!$G:$G,L4)</f>
        <v>334.45</v>
      </c>
      <c r="M71" s="64">
        <f>sumifs(Dados!$N:$N,Dados!$B:$B,$B$71,Dados!$H:$H,$D$1,Dados!$G:$G,M4)</f>
        <v>0</v>
      </c>
      <c r="N71" s="64">
        <f>sumifs(Dados!$N:$N,Dados!$B:$B,$B$71,Dados!$H:$H,$D$1,Dados!$G:$G,N4)</f>
        <v>0</v>
      </c>
      <c r="O71" s="64">
        <f>sumifs(Dados!$N:$N,Dados!$B:$B,$B$71,Dados!$H:$H,$D$1,Dados!$G:$G,O4)</f>
        <v>0</v>
      </c>
      <c r="P71" s="64">
        <f>sumifs(Dados!$N:$N,Dados!$B:$B,$B$71,Dados!$H:$H,$D$1,Dados!$G:$G,P4)</f>
        <v>0</v>
      </c>
      <c r="Q71" s="64"/>
    </row>
    <row r="72" ht="15.75" customHeight="1">
      <c r="A72" s="109"/>
      <c r="B72" s="109" t="s">
        <v>255</v>
      </c>
      <c r="C72" s="60"/>
      <c r="D72" s="61">
        <f t="shared" si="13"/>
        <v>2286.98</v>
      </c>
      <c r="E72" s="64">
        <f>sumifs(Dados!$N:$N,Dados!$B:$B,B72,Dados!$H:$H,$D$1,Dados!$G:$G,$E$4)</f>
        <v>0</v>
      </c>
      <c r="F72" s="64">
        <f>sumifs(Dados!$N:$N,Dados!$B:$B,B72,Dados!$H:$H,$D$1,Dados!$G:$G,$F$4)</f>
        <v>0</v>
      </c>
      <c r="G72" s="64">
        <f>sumifs(Dados!$N:$N,Dados!$B:$B,B72,Dados!$H:$H,$D$1,Dados!$G:$G,$G$4)</f>
        <v>0</v>
      </c>
      <c r="H72" s="64">
        <f>sumifs(Dados!$N:$N,Dados!$B:$B,B72,Dados!$H:$H,$D$1,Dados!$G:$G,$H$4)</f>
        <v>0</v>
      </c>
      <c r="I72" s="64">
        <f>sumifs(Dados!$N:$N,Dados!$B:$B,B72,Dados!$H:$H,$D$1,Dados!$G:$G,$I$4)</f>
        <v>0</v>
      </c>
      <c r="J72" s="64">
        <f>sumifs(Dados!$N:$N,Dados!$B:$B,B72,Dados!$H:$H,$D$1,Dados!$G:$G,$J$4)</f>
        <v>648.98</v>
      </c>
      <c r="K72" s="64">
        <f>sumifs(Dados!$N:$N,Dados!$B:$B,B72,Dados!$H:$H,$D$1,Dados!$G:$G,$K$4)</f>
        <v>819</v>
      </c>
      <c r="L72" s="64">
        <f>sumifs(Dados!$N:$N,Dados!$B:$B,B72,Dados!$H:$H,$D$1,Dados!$G:$G,$L$4)</f>
        <v>819</v>
      </c>
      <c r="M72" s="64">
        <f>sumifs(Dados!$N:$N,Dados!$B:$B,B72,Dados!$H:$H,$D$1,Dados!$G:$G,$M$4)</f>
        <v>0</v>
      </c>
      <c r="N72" s="64">
        <f>sumifs(Dados!$N:$N,Dados!$B:$B,B72,Dados!$H:$H,$D$1,Dados!$G:$G,$N$4)</f>
        <v>0</v>
      </c>
      <c r="O72" s="64">
        <f>sumifs(Dados!$N:$N,Dados!$B:$B,B72,Dados!$H:$H,$D$1,Dados!$G:$G,$O$4)</f>
        <v>0</v>
      </c>
      <c r="P72" s="64">
        <f>sumifs(Dados!$N:$N,Dados!$B:$B,B72,Dados!$H:$H,$D$1,Dados!$G:$G,$P$4)</f>
        <v>0</v>
      </c>
      <c r="Q72" s="64"/>
    </row>
    <row r="73" ht="15.75" customHeight="1">
      <c r="A73" s="58"/>
      <c r="B73" s="58" t="s">
        <v>45</v>
      </c>
      <c r="C73" s="60"/>
      <c r="D73" s="61">
        <f t="shared" si="13"/>
        <v>224.05</v>
      </c>
      <c r="E73" s="64">
        <f>sumifs(Dados!$N:$N,Dados!$B:$B,B73,Dados!$H:$H,$D$1,Dados!$G:$G,$E$4)</f>
        <v>0</v>
      </c>
      <c r="F73" s="64">
        <f>sumifs(Dados!$N:$N,Dados!$B:$B,B73,Dados!$H:$H,$D$1,Dados!$G:$G,$F$4)</f>
        <v>224.05</v>
      </c>
      <c r="G73" s="64">
        <f>sumifs(Dados!$N:$N,Dados!$B:$B,B73,Dados!$H:$H,$D$1,Dados!$G:$G,$G$4)</f>
        <v>0</v>
      </c>
      <c r="H73" s="64">
        <f>sumifs(Dados!$N:$N,Dados!$B:$B,B73,Dados!$H:$H,$D$1,Dados!$G:$G,$H$4)</f>
        <v>0</v>
      </c>
      <c r="I73" s="64">
        <f>sumifs(Dados!$N:$N,Dados!$B:$B,B73,Dados!$H:$H,$D$1,Dados!$G:$G,$I$4)</f>
        <v>0</v>
      </c>
      <c r="J73" s="64">
        <f>sumifs(Dados!$N:$N,Dados!$B:$B,B73,Dados!$H:$H,$D$1,Dados!$G:$G,$J$4)</f>
        <v>0</v>
      </c>
      <c r="K73" s="64">
        <f>sumifs(Dados!$N:$N,Dados!$B:$B,B73,Dados!$H:$H,$D$1,Dados!$G:$G,$K$4)</f>
        <v>0</v>
      </c>
      <c r="L73" s="64">
        <f>sumifs(Dados!$N:$N,Dados!$B:$B,B73,Dados!$H:$H,$D$1,Dados!$G:$G,$L$4)</f>
        <v>0</v>
      </c>
      <c r="M73" s="64">
        <f>sumifs(Dados!$N:$N,Dados!$B:$B,B73,Dados!$H:$H,$D$1,Dados!$G:$G,$M$4)</f>
        <v>0</v>
      </c>
      <c r="N73" s="64">
        <f>sumifs(Dados!$N:$N,Dados!$B:$B,B73,Dados!$H:$H,$D$1,Dados!$G:$G,$N$4)</f>
        <v>0</v>
      </c>
      <c r="O73" s="64">
        <f>sumifs(Dados!$N:$N,Dados!$B:$B,B73,Dados!$H:$H,$D$1,Dados!$G:$G,$O$4)</f>
        <v>0</v>
      </c>
      <c r="P73" s="64">
        <f>sumifs(Dados!$N:$N,Dados!$B:$B,B73,Dados!$H:$H,$D$1,Dados!$G:$G,$P$4)</f>
        <v>0</v>
      </c>
      <c r="Q73" s="64"/>
    </row>
    <row r="74" ht="15.75" customHeight="1">
      <c r="A74" s="74"/>
      <c r="B74" s="74" t="s">
        <v>256</v>
      </c>
      <c r="C74" s="60"/>
      <c r="D74" s="61">
        <f t="shared" si="13"/>
        <v>112</v>
      </c>
      <c r="E74" s="64">
        <f>sumifs(Dados!$N:$N,Dados!$B:$B,B74,Dados!$H:$H,$D$1,Dados!$G:$G,$E$4)</f>
        <v>0</v>
      </c>
      <c r="F74" s="64">
        <f>sumifs(Dados!$N:$N,Dados!$B:$B,B74,Dados!$H:$H,$D$1,Dados!$G:$G,$F$4)</f>
        <v>0</v>
      </c>
      <c r="G74" s="64">
        <f>sumifs(Dados!$N:$N,Dados!$B:$B,B74,Dados!$H:$H,$D$1,Dados!$G:$G,$G$4)</f>
        <v>0</v>
      </c>
      <c r="H74" s="64">
        <f>sumifs(Dados!$N:$N,Dados!$B:$B,B74,Dados!$H:$H,$D$1,Dados!$G:$G,$H$4)</f>
        <v>0</v>
      </c>
      <c r="I74" s="64">
        <f>sumifs(Dados!$N:$N,Dados!$B:$B,B74,Dados!$H:$H,$D$1,Dados!$G:$G,$I$4)</f>
        <v>112</v>
      </c>
      <c r="J74" s="64">
        <f>sumifs(Dados!$N:$N,Dados!$B:$B,B74,Dados!$H:$H,$D$1,Dados!$G:$G,$J$4)</f>
        <v>0</v>
      </c>
      <c r="K74" s="64">
        <f>sumifs(Dados!$N:$N,Dados!$B:$B,B74,Dados!$H:$H,$D$1,Dados!$G:$G,$K$4)</f>
        <v>0</v>
      </c>
      <c r="L74" s="64">
        <f>sumifs(Dados!$N:$N,Dados!$B:$B,B74,Dados!$H:$H,$D$1,Dados!$G:$G,$L$4)</f>
        <v>0</v>
      </c>
      <c r="M74" s="64">
        <f>sumifs(Dados!$N:$N,Dados!$B:$B,B74,Dados!$H:$H,$D$1,Dados!$G:$G,$M$4)</f>
        <v>0</v>
      </c>
      <c r="N74" s="64">
        <f>sumifs(Dados!$N:$N,Dados!$B:$B,B74,Dados!$H:$H,$D$1,Dados!$G:$G,$N$4)</f>
        <v>0</v>
      </c>
      <c r="O74" s="64">
        <f>sumifs(Dados!$N:$N,Dados!$B:$B,B74,Dados!$H:$H,$D$1,Dados!$G:$G,$O$4)</f>
        <v>0</v>
      </c>
      <c r="P74" s="64">
        <f>sumifs(Dados!$N:$N,Dados!$B:$B,B74,Dados!$H:$H,$D$1,Dados!$G:$G,$P$4)</f>
        <v>0</v>
      </c>
      <c r="Q74" s="64"/>
    </row>
    <row r="75" ht="15.75" customHeight="1">
      <c r="A75" s="58"/>
      <c r="B75" s="58" t="s">
        <v>44</v>
      </c>
      <c r="C75" s="60"/>
      <c r="D75" s="61">
        <f t="shared" si="13"/>
        <v>3589.15</v>
      </c>
      <c r="E75" s="64">
        <f>sumifs(Dados!$N:$N,Dados!$B:$B,B75,Dados!$H:$H,$D$1,Dados!$G:$G,$E$4)</f>
        <v>0</v>
      </c>
      <c r="F75" s="64">
        <f>sumifs(Dados!$N:$N,Dados!$B:$B,B75,Dados!$H:$H,$D$1,Dados!$G:$G,$F$4)</f>
        <v>188.1</v>
      </c>
      <c r="G75" s="64">
        <f>sumifs(Dados!$N:$N,Dados!$B:$B,B75,Dados!$H:$H,$D$1,Dados!$G:$G,$G$4)</f>
        <v>0</v>
      </c>
      <c r="H75" s="64">
        <f>sumifs(Dados!$N:$N,Dados!$B:$B,B75,Dados!$H:$H,$D$1,Dados!$G:$G,$H$4)</f>
        <v>564.3</v>
      </c>
      <c r="I75" s="64">
        <f>sumifs(Dados!$N:$N,Dados!$B:$B,B75,Dados!$H:$H,$D$1,Dados!$G:$G,$I$4)</f>
        <v>20</v>
      </c>
      <c r="J75" s="64">
        <f>sumifs(Dados!$N:$N,Dados!$B:$B,B75,Dados!$H:$H,$D$1,Dados!$G:$G,$J$4)</f>
        <v>20</v>
      </c>
      <c r="K75" s="64">
        <f>sumifs(Dados!$N:$N,Dados!$B:$B,B75,Dados!$H:$H,$D$1,Dados!$G:$G,$K$4)</f>
        <v>20</v>
      </c>
      <c r="L75" s="64">
        <f>sumifs(Dados!$N:$N,Dados!$B:$B,B75,Dados!$H:$H,$D$1,Dados!$G:$G,$L$4)</f>
        <v>2397.47</v>
      </c>
      <c r="M75" s="64">
        <f>sumifs(Dados!$N:$N,Dados!$B:$B,B75,Dados!$H:$H,$D$1,Dados!$G:$G,$M$4)</f>
        <v>379.28</v>
      </c>
      <c r="N75" s="64">
        <f>sumifs(Dados!$N:$N,Dados!$B:$B,B75,Dados!$H:$H,$D$1,Dados!$G:$G,$N$4)</f>
        <v>0</v>
      </c>
      <c r="O75" s="64">
        <f>sumifs(Dados!$N:$N,Dados!$B:$B,B75,Dados!$H:$H,$D$1,Dados!$G:$G,$O$4)</f>
        <v>0</v>
      </c>
      <c r="P75" s="64">
        <f>sumifs(Dados!$N:$N,Dados!$B:$B,B75,Dados!$H:$H,$D$1,Dados!$G:$G,$P$4)</f>
        <v>0</v>
      </c>
      <c r="Q75" s="64"/>
    </row>
    <row r="76" ht="15.75" customHeight="1">
      <c r="A76" s="88" t="s">
        <v>156</v>
      </c>
      <c r="B76" s="89">
        <f>sumifs(Dados!$N:$N,Dados!$A:$A,A76,Dados!$H:$H,$D$1)</f>
        <v>6881.08</v>
      </c>
      <c r="C76" s="90">
        <f>B76-D76</f>
        <v>0</v>
      </c>
      <c r="D76" s="89">
        <f t="shared" ref="D76:P76" si="14">SUM(D69:D75)</f>
        <v>6881.08</v>
      </c>
      <c r="E76" s="89">
        <f t="shared" si="14"/>
        <v>0</v>
      </c>
      <c r="F76" s="89">
        <f t="shared" si="14"/>
        <v>412.15</v>
      </c>
      <c r="G76" s="89">
        <f t="shared" si="14"/>
        <v>0</v>
      </c>
      <c r="H76" s="89">
        <f t="shared" si="14"/>
        <v>564.3</v>
      </c>
      <c r="I76" s="89">
        <f t="shared" si="14"/>
        <v>466.45</v>
      </c>
      <c r="J76" s="89">
        <f t="shared" si="14"/>
        <v>668.98</v>
      </c>
      <c r="K76" s="89">
        <f t="shared" si="14"/>
        <v>839</v>
      </c>
      <c r="L76" s="89">
        <f t="shared" si="14"/>
        <v>3550.92</v>
      </c>
      <c r="M76" s="89">
        <f t="shared" si="14"/>
        <v>379.28</v>
      </c>
      <c r="N76" s="89">
        <f t="shared" si="14"/>
        <v>0</v>
      </c>
      <c r="O76" s="89">
        <f t="shared" si="14"/>
        <v>0</v>
      </c>
      <c r="P76" s="89">
        <f t="shared" si="14"/>
        <v>0</v>
      </c>
      <c r="Q76" s="89"/>
    </row>
    <row r="77" ht="15.75" customHeight="1">
      <c r="A77" s="58"/>
      <c r="B77" s="58" t="s">
        <v>258</v>
      </c>
      <c r="C77" s="60"/>
      <c r="D77" s="61">
        <f t="shared" ref="D77:D82" si="15">SUM(E77:P77)</f>
        <v>0</v>
      </c>
      <c r="E77" s="64">
        <f>sumifs(Dados!$N:$N,Dados!$B:$B,B77,Dados!$H:$H,$D$1,Dados!$G:$G,$E$4)</f>
        <v>0</v>
      </c>
      <c r="F77" s="64">
        <f>sumifs(Dados!$N:$N,Dados!$B:$B,B77,Dados!$H:$H,$D$1,Dados!$G:$G,$F$4)</f>
        <v>0</v>
      </c>
      <c r="G77" s="64">
        <f>sumifs(Dados!$N:$N,Dados!$B:$B,B77,Dados!$H:$H,$D$1,Dados!$G:$G,$G$4)</f>
        <v>0</v>
      </c>
      <c r="H77" s="64">
        <f>sumifs(Dados!$N:$N,Dados!$B:$B,B77,Dados!$H:$H,$D$1,Dados!$G:$G,$H$4)</f>
        <v>0</v>
      </c>
      <c r="I77" s="64">
        <f>sumifs(Dados!$N:$N,Dados!$B:$B,B77,Dados!$H:$H,$D$1,Dados!$G:$G,$I$4)</f>
        <v>0</v>
      </c>
      <c r="J77" s="64">
        <f>sumifs(Dados!$N:$N,Dados!$B:$B,B77,Dados!$H:$H,$D$1,Dados!$G:$G,$J$4)</f>
        <v>0</v>
      </c>
      <c r="K77" s="64">
        <f>sumifs(Dados!$N:$N,Dados!$B:$B,B77,Dados!$H:$H,$D$1,Dados!$G:$G,$K$4)</f>
        <v>0</v>
      </c>
      <c r="L77" s="64">
        <f>sumifs(Dados!$N:$N,Dados!$B:$B,B77,Dados!$H:$H,$D$1,Dados!$G:$G,$L$4)</f>
        <v>0</v>
      </c>
      <c r="M77" s="64">
        <f>sumifs(Dados!$N:$N,Dados!$B:$B,B77,Dados!$H:$H,$D$1,Dados!$G:$G,$M$4)</f>
        <v>0</v>
      </c>
      <c r="N77" s="64">
        <f>sumifs(Dados!$N:$N,Dados!$B:$B,B77,Dados!$H:$H,$D$1,Dados!$G:$G,$N$4)</f>
        <v>0</v>
      </c>
      <c r="O77" s="64">
        <f>sumifs(Dados!$N:$N,Dados!$B:$B,B77,Dados!$H:$H,$D$1,Dados!$G:$G,$O$4)</f>
        <v>0</v>
      </c>
      <c r="P77" s="64">
        <f>sumifs(Dados!$N:$N,Dados!$B:$B,B77,Dados!$H:$H,$D$1,Dados!$G:$G,$P$4)</f>
        <v>0</v>
      </c>
      <c r="Q77" s="64"/>
    </row>
    <row r="78" ht="15.75" customHeight="1">
      <c r="A78" s="58"/>
      <c r="B78" s="58" t="s">
        <v>261</v>
      </c>
      <c r="C78" s="60"/>
      <c r="D78" s="61">
        <f t="shared" si="15"/>
        <v>246.04</v>
      </c>
      <c r="E78" s="64">
        <f>sumifs(Dados!$N:$N,Dados!$B:$B,B78,Dados!$H:$H,$D$1,Dados!$G:$G,$E$4)</f>
        <v>0</v>
      </c>
      <c r="F78" s="64">
        <f>sumifs(Dados!$N:$N,Dados!$B:$B,B78,Dados!$H:$H,$D$1,Dados!$G:$G,$F$4)</f>
        <v>0</v>
      </c>
      <c r="G78" s="64">
        <f>sumifs(Dados!$N:$N,Dados!$B:$B,B78,Dados!$H:$H,$D$1,Dados!$G:$G,$G$4)</f>
        <v>0</v>
      </c>
      <c r="H78" s="64">
        <f>sumifs(Dados!$N:$N,Dados!$B:$B,B78,Dados!$H:$H,$D$1,Dados!$G:$G,$H$4)</f>
        <v>0</v>
      </c>
      <c r="I78" s="64">
        <f>sumifs(Dados!$N:$N,Dados!$B:$B,B78,Dados!$H:$H,$D$1,Dados!$G:$G,$I$4)</f>
        <v>0</v>
      </c>
      <c r="J78" s="64">
        <f>sumifs(Dados!$N:$N,Dados!$B:$B,B78,Dados!$H:$H,$D$1,Dados!$G:$G,$J$4)</f>
        <v>0</v>
      </c>
      <c r="K78" s="64">
        <f>sumifs(Dados!$N:$N,Dados!$B:$B,B78,Dados!$H:$H,$D$1,Dados!$G:$G,$K$4)</f>
        <v>0</v>
      </c>
      <c r="L78" s="64">
        <f>sumifs(Dados!$N:$N,Dados!$B:$B,B78,Dados!$H:$H,$D$1,Dados!$G:$G,$L$4)</f>
        <v>0</v>
      </c>
      <c r="M78" s="64">
        <f>sumifs(Dados!$N:$N,Dados!$B:$B,B78,Dados!$H:$H,$D$1,Dados!$G:$G,$M$4)</f>
        <v>246.04</v>
      </c>
      <c r="N78" s="64">
        <f>sumifs(Dados!$N:$N,Dados!$B:$B,B78,Dados!$H:$H,$D$1,Dados!$G:$G,$N$4)</f>
        <v>0</v>
      </c>
      <c r="O78" s="64">
        <f>sumifs(Dados!$N:$N,Dados!$B:$B,B78,Dados!$H:$H,$D$1,Dados!$G:$G,$O$4)</f>
        <v>0</v>
      </c>
      <c r="P78" s="64">
        <f>sumifs(Dados!$N:$N,Dados!$B:$B,B78,Dados!$H:$H,$D$1,Dados!$G:$G,$P$4)</f>
        <v>0</v>
      </c>
      <c r="Q78" s="64"/>
    </row>
    <row r="79" ht="15.75" customHeight="1">
      <c r="A79" s="58"/>
      <c r="B79" s="58" t="s">
        <v>263</v>
      </c>
      <c r="C79" s="60"/>
      <c r="D79" s="61">
        <f t="shared" si="15"/>
        <v>0</v>
      </c>
      <c r="E79" s="64">
        <f>sumifs(Dados!$N:$N,Dados!$B:$B,B79,Dados!$H:$H,$D$1,Dados!$G:$G,$E$4)</f>
        <v>0</v>
      </c>
      <c r="F79" s="64">
        <f>sumifs(Dados!$N:$N,Dados!$B:$B,B79,Dados!$H:$H,$D$1,Dados!$G:$G,$F$4)</f>
        <v>0</v>
      </c>
      <c r="G79" s="64">
        <f>sumifs(Dados!$N:$N,Dados!$B:$B,B79,Dados!$H:$H,$D$1,Dados!$G:$G,$G$4)</f>
        <v>0</v>
      </c>
      <c r="H79" s="64">
        <f>sumifs(Dados!$N:$N,Dados!$B:$B,B79,Dados!$H:$H,$D$1,Dados!$G:$G,$H$4)</f>
        <v>0</v>
      </c>
      <c r="I79" s="64">
        <f>sumifs(Dados!$N:$N,Dados!$B:$B,B79,Dados!$H:$H,$D$1,Dados!$G:$G,$I$4)</f>
        <v>0</v>
      </c>
      <c r="J79" s="64">
        <f>sumifs(Dados!$N:$N,Dados!$B:$B,B79,Dados!$H:$H,$D$1,Dados!$G:$G,$J$4)</f>
        <v>0</v>
      </c>
      <c r="K79" s="64">
        <f>sumifs(Dados!$N:$N,Dados!$B:$B,B79,Dados!$H:$H,$D$1,Dados!$G:$G,$K$4)</f>
        <v>0</v>
      </c>
      <c r="L79" s="64">
        <f>sumifs(Dados!$N:$N,Dados!$B:$B,B79,Dados!$H:$H,$D$1,Dados!$G:$G,$L$4)</f>
        <v>0</v>
      </c>
      <c r="M79" s="64">
        <f>sumifs(Dados!$N:$N,Dados!$B:$B,B79,Dados!$H:$H,$D$1,Dados!$G:$G,$M$4)</f>
        <v>0</v>
      </c>
      <c r="N79" s="64">
        <f>sumifs(Dados!$N:$N,Dados!$B:$B,B79,Dados!$H:$H,$D$1,Dados!$G:$G,$N$4)</f>
        <v>0</v>
      </c>
      <c r="O79" s="64">
        <f>sumifs(Dados!$N:$N,Dados!$B:$B,B79,Dados!$H:$H,$D$1,Dados!$G:$G,$O$4)</f>
        <v>0</v>
      </c>
      <c r="P79" s="64">
        <f>sumifs(Dados!$N:$N,Dados!$B:$B,B79,Dados!$H:$H,$D$1,Dados!$G:$G,$P$4)</f>
        <v>0</v>
      </c>
      <c r="Q79" s="64"/>
    </row>
    <row r="80" ht="15.75" customHeight="1">
      <c r="A80" s="58"/>
      <c r="B80" s="58" t="s">
        <v>264</v>
      </c>
      <c r="C80" s="60"/>
      <c r="D80" s="61">
        <f t="shared" si="15"/>
        <v>191.99</v>
      </c>
      <c r="E80" s="64">
        <f>sumifs(Dados!$N:$N,Dados!$B:$B,B80,Dados!$H:$H,$D$1,Dados!$G:$G,$E$4)</f>
        <v>0</v>
      </c>
      <c r="F80" s="64">
        <f>sumifs(Dados!$N:$N,Dados!$B:$B,B80,Dados!$H:$H,$D$1,Dados!$G:$G,$F$4)</f>
        <v>0</v>
      </c>
      <c r="G80" s="64">
        <f>sumifs(Dados!$N:$N,Dados!$B:$B,B80,Dados!$H:$H,$D$1,Dados!$G:$G,$G$4)</f>
        <v>0</v>
      </c>
      <c r="H80" s="64">
        <f>sumifs(Dados!$N:$N,Dados!$B:$B,B80,Dados!$H:$H,$D$1,Dados!$G:$G,$H$4)</f>
        <v>0</v>
      </c>
      <c r="I80" s="64">
        <f>sumifs(Dados!$N:$N,Dados!$B:$B,B80,Dados!$H:$H,$D$1,Dados!$G:$G,$I$4)</f>
        <v>0</v>
      </c>
      <c r="J80" s="64">
        <f>sumifs(Dados!$N:$N,Dados!$B:$B,B80,Dados!$H:$H,$D$1,Dados!$G:$G,$J$4)</f>
        <v>0</v>
      </c>
      <c r="K80" s="64">
        <f>sumifs(Dados!$N:$N,Dados!$B:$B,B80,Dados!$H:$H,$D$1,Dados!$G:$G,$K$4)</f>
        <v>0</v>
      </c>
      <c r="L80" s="64">
        <f>sumifs(Dados!$N:$N,Dados!$B:$B,B80,Dados!$H:$H,$D$1,Dados!$G:$G,$L$4)</f>
        <v>0</v>
      </c>
      <c r="M80" s="64">
        <f>sumifs(Dados!$N:$N,Dados!$B:$B,B80,Dados!$H:$H,$D$1,Dados!$G:$G,$M$4)</f>
        <v>191.99</v>
      </c>
      <c r="N80" s="64">
        <f>sumifs(Dados!$N:$N,Dados!$B:$B,B80,Dados!$H:$H,$D$1,Dados!$G:$G,$N$4)</f>
        <v>0</v>
      </c>
      <c r="O80" s="64">
        <f>sumifs(Dados!$N:$N,Dados!$B:$B,B80,Dados!$H:$H,$D$1,Dados!$G:$G,$O$4)</f>
        <v>0</v>
      </c>
      <c r="P80" s="64">
        <f>sumifs(Dados!$N:$N,Dados!$B:$B,B80,Dados!$H:$H,$D$1,Dados!$G:$G,$P$4)</f>
        <v>0</v>
      </c>
      <c r="Q80" s="64"/>
    </row>
    <row r="81" ht="15.75" customHeight="1">
      <c r="A81" s="58"/>
      <c r="B81" s="58" t="s">
        <v>39</v>
      </c>
      <c r="C81" s="60"/>
      <c r="D81" s="61">
        <f t="shared" si="15"/>
        <v>1330.28</v>
      </c>
      <c r="E81" s="64">
        <f>sumifs(Dados!$N:$N,Dados!$B:$B,B81,Dados!$H:$H,$D$1,Dados!$G:$G,$E$4)</f>
        <v>88.59</v>
      </c>
      <c r="F81" s="64">
        <f>sumifs(Dados!$N:$N,Dados!$B:$B,B81,Dados!$H:$H,$D$1,Dados!$G:$G,$F$4)</f>
        <v>88.59</v>
      </c>
      <c r="G81" s="64">
        <f>sumifs(Dados!$N:$N,Dados!$B:$B,B81,Dados!$H:$H,$D$1,Dados!$G:$G,$G$4)</f>
        <v>345.56</v>
      </c>
      <c r="H81" s="64">
        <f>sumifs(Dados!$N:$N,Dados!$B:$B,B81,Dados!$H:$H,$D$1,Dados!$G:$G,$H$4)</f>
        <v>88.59</v>
      </c>
      <c r="I81" s="64">
        <f>sumifs(Dados!$N:$N,Dados!$B:$B,B81,Dados!$H:$H,$D$1,Dados!$G:$G,$I$4)</f>
        <v>88.59</v>
      </c>
      <c r="J81" s="64">
        <f>sumifs(Dados!$N:$N,Dados!$B:$B,B81,Dados!$H:$H,$D$1,Dados!$G:$G,$J$4)</f>
        <v>-46.41</v>
      </c>
      <c r="K81" s="64">
        <f>sumifs(Dados!$N:$N,Dados!$B:$B,B81,Dados!$H:$H,$D$1,Dados!$G:$G,$K$4)</f>
        <v>499.59</v>
      </c>
      <c r="L81" s="64">
        <f>sumifs(Dados!$N:$N,Dados!$B:$B,B81,Dados!$H:$H,$D$1,Dados!$G:$G,$L$4)</f>
        <v>88.59</v>
      </c>
      <c r="M81" s="64">
        <f>sumifs(Dados!$N:$N,Dados!$B:$B,B81,Dados!$H:$H,$D$1,Dados!$G:$G,$M$4)</f>
        <v>88.59</v>
      </c>
      <c r="N81" s="64">
        <f>sumifs(Dados!$N:$N,Dados!$B:$B,B81,Dados!$H:$H,$D$1,Dados!$G:$G,$N$4)</f>
        <v>0</v>
      </c>
      <c r="O81" s="64">
        <f>sumifs(Dados!$N:$N,Dados!$B:$B,B81,Dados!$H:$H,$D$1,Dados!$G:$G,$O$4)</f>
        <v>0</v>
      </c>
      <c r="P81" s="64">
        <f>sumifs(Dados!$N:$N,Dados!$B:$B,B81,Dados!$H:$H,$D$1,Dados!$G:$G,$P$4)</f>
        <v>0</v>
      </c>
      <c r="Q81" s="64"/>
    </row>
    <row r="82" ht="15.75" customHeight="1">
      <c r="A82" s="58"/>
      <c r="B82" s="58" t="s">
        <v>42</v>
      </c>
      <c r="C82" s="60"/>
      <c r="D82" s="61">
        <f t="shared" si="15"/>
        <v>780</v>
      </c>
      <c r="E82" s="64">
        <f>sumifs(Dados!$N:$N,Dados!$B:$B,B82,Dados!$H:$H,$D$1,Dados!$G:$G,$E$4)</f>
        <v>369</v>
      </c>
      <c r="F82" s="64">
        <f>sumifs(Dados!$N:$N,Dados!$B:$B,B82,Dados!$H:$H,$D$1,Dados!$G:$G,$F$4)</f>
        <v>0</v>
      </c>
      <c r="G82" s="64">
        <f>sumifs(Dados!$N:$N,Dados!$B:$B,B82,Dados!$H:$H,$D$1,Dados!$G:$G,$G$4)</f>
        <v>0</v>
      </c>
      <c r="H82" s="64">
        <f>sumifs(Dados!$N:$N,Dados!$B:$B,B82,Dados!$H:$H,$D$1,Dados!$G:$G,$H$4)</f>
        <v>411</v>
      </c>
      <c r="I82" s="64">
        <f>sumifs(Dados!$N:$N,Dados!$B:$B,B82,Dados!$H:$H,$D$1,Dados!$G:$G,$I$4)</f>
        <v>0</v>
      </c>
      <c r="J82" s="64">
        <f>sumifs(Dados!$N:$N,Dados!$B:$B,B82,Dados!$H:$H,$D$1,Dados!$G:$G,$J$4)</f>
        <v>0</v>
      </c>
      <c r="K82" s="64">
        <f>sumifs(Dados!$N:$N,Dados!$B:$B,B82,Dados!$H:$H,$D$1,Dados!$G:$G,$K$4)</f>
        <v>0</v>
      </c>
      <c r="L82" s="64">
        <f>sumifs(Dados!$N:$N,Dados!$B:$B,B82,Dados!$H:$H,$D$1,Dados!$G:$G,$L$4)</f>
        <v>0</v>
      </c>
      <c r="M82" s="64">
        <f>sumifs(Dados!$N:$N,Dados!$B:$B,B82,Dados!$H:$H,$D$1,Dados!$G:$G,$M$4)</f>
        <v>0</v>
      </c>
      <c r="N82" s="64">
        <f>sumifs(Dados!$N:$N,Dados!$B:$B,B82,Dados!$H:$H,$D$1,Dados!$G:$G,$N$4)</f>
        <v>0</v>
      </c>
      <c r="O82" s="64">
        <f>sumifs(Dados!$N:$N,Dados!$B:$B,B82,Dados!$H:$H,$D$1,Dados!$G:$G,$O$4)</f>
        <v>0</v>
      </c>
      <c r="P82" s="64">
        <f>sumifs(Dados!$N:$N,Dados!$B:$B,B82,Dados!$H:$H,$D$1,Dados!$G:$G,$P$4)</f>
        <v>0</v>
      </c>
      <c r="Q82" s="64"/>
    </row>
    <row r="83" ht="15.75" customHeight="1">
      <c r="A83" s="88" t="s">
        <v>160</v>
      </c>
      <c r="B83" s="89">
        <f>sumifs(Dados!$N:$N,Dados!$A:$A,A83,Dados!$H:$H,$D$1)</f>
        <v>2548.31</v>
      </c>
      <c r="C83" s="90">
        <f>B83-D83</f>
        <v>0</v>
      </c>
      <c r="D83" s="89">
        <f t="shared" ref="D83:P83" si="16">SUM(D77:D82)</f>
        <v>2548.31</v>
      </c>
      <c r="E83" s="89">
        <f t="shared" si="16"/>
        <v>457.59</v>
      </c>
      <c r="F83" s="89">
        <f t="shared" si="16"/>
        <v>88.59</v>
      </c>
      <c r="G83" s="89">
        <f t="shared" si="16"/>
        <v>345.56</v>
      </c>
      <c r="H83" s="89">
        <f t="shared" si="16"/>
        <v>499.59</v>
      </c>
      <c r="I83" s="89">
        <f t="shared" si="16"/>
        <v>88.59</v>
      </c>
      <c r="J83" s="89">
        <f t="shared" si="16"/>
        <v>-46.41</v>
      </c>
      <c r="K83" s="89">
        <f t="shared" si="16"/>
        <v>499.59</v>
      </c>
      <c r="L83" s="89">
        <f t="shared" si="16"/>
        <v>88.59</v>
      </c>
      <c r="M83" s="89">
        <f t="shared" si="16"/>
        <v>526.62</v>
      </c>
      <c r="N83" s="89">
        <f t="shared" si="16"/>
        <v>0</v>
      </c>
      <c r="O83" s="89">
        <f t="shared" si="16"/>
        <v>0</v>
      </c>
      <c r="P83" s="89">
        <f t="shared" si="16"/>
        <v>0</v>
      </c>
      <c r="Q83" s="89"/>
    </row>
    <row r="84" ht="15.75" customHeight="1">
      <c r="A84" s="58"/>
      <c r="B84" s="58" t="s">
        <v>267</v>
      </c>
      <c r="C84" s="60"/>
      <c r="D84" s="61">
        <f t="shared" ref="D84:D85" si="17">SUM(E84:P84)</f>
        <v>0</v>
      </c>
      <c r="E84" s="64">
        <f>sumifs(Dados!$N:$N,Dados!$B:$B,B84,Dados!$H:$H,$D$1,Dados!$G:$G,$E$4)</f>
        <v>0</v>
      </c>
      <c r="F84" s="64">
        <f>sumifs(Dados!$N:$N,Dados!$B:$B,B84,Dados!$H:$H,$D$1,Dados!$G:$G,$F$4)</f>
        <v>0</v>
      </c>
      <c r="G84" s="64">
        <f>sumifs(Dados!$N:$N,Dados!$B:$B,B84,Dados!$H:$H,$D$1,Dados!$G:$G,$G$4)</f>
        <v>0</v>
      </c>
      <c r="H84" s="64">
        <f>sumifs(Dados!$N:$N,Dados!$B:$B,B84,Dados!$H:$H,$D$1,Dados!$G:$G,$H$4)</f>
        <v>0</v>
      </c>
      <c r="I84" s="64">
        <f>sumifs(Dados!$N:$N,Dados!$B:$B,B84,Dados!$H:$H,$D$1,Dados!$G:$G,$I$4)</f>
        <v>0</v>
      </c>
      <c r="J84" s="64">
        <f>sumifs(Dados!$N:$N,Dados!$B:$B,B84,Dados!$H:$H,$D$1,Dados!$G:$G,$J$4)</f>
        <v>0</v>
      </c>
      <c r="K84" s="64">
        <f>sumifs(Dados!$N:$N,Dados!$B:$B,B84,Dados!$H:$H,$D$1,Dados!$G:$G,$K$4)</f>
        <v>0</v>
      </c>
      <c r="L84" s="64">
        <f>sumifs(Dados!$N:$N,Dados!$B:$B,B84,Dados!$H:$H,$D$1,Dados!$G:$G,$L$4)</f>
        <v>0</v>
      </c>
      <c r="M84" s="64">
        <f>sumifs(Dados!$N:$N,Dados!$B:$B,B84,Dados!$H:$H,$D$1,Dados!$G:$G,$M$4)</f>
        <v>0</v>
      </c>
      <c r="N84" s="64">
        <f>sumifs(Dados!$N:$N,Dados!$B:$B,B84,Dados!$H:$H,$D$1,Dados!$G:$G,$N$4)</f>
        <v>0</v>
      </c>
      <c r="O84" s="64">
        <f>sumifs(Dados!$N:$N,Dados!$B:$B,B84,Dados!$H:$H,$D$1,Dados!$G:$G,$O$4)</f>
        <v>0</v>
      </c>
      <c r="P84" s="64">
        <f>sumifs(Dados!$N:$N,Dados!$B:$B,B84,Dados!$H:$H,$D$1,Dados!$G:$G,$P$4)</f>
        <v>0</v>
      </c>
      <c r="Q84" s="64"/>
    </row>
    <row r="85" ht="15.75" customHeight="1">
      <c r="A85" s="154"/>
      <c r="B85" s="154" t="s">
        <v>268</v>
      </c>
      <c r="C85" s="60"/>
      <c r="D85" s="61">
        <f t="shared" si="17"/>
        <v>0</v>
      </c>
      <c r="E85" s="64">
        <f>sumifs(Dados!$N:$N,Dados!$B:$B,B85,Dados!$H:$H,$D$1,Dados!$G:$G,$E$4)</f>
        <v>0</v>
      </c>
      <c r="F85" s="64">
        <f>sumifs(Dados!$N:$N,Dados!$B:$B,B85,Dados!$H:$H,$D$1,Dados!$G:$G,$F$4)</f>
        <v>0</v>
      </c>
      <c r="G85" s="64">
        <f>sumifs(Dados!$N:$N,Dados!$B:$B,B85,Dados!$H:$H,$D$1,Dados!$G:$G,$G$4)</f>
        <v>0</v>
      </c>
      <c r="H85" s="64">
        <f>sumifs(Dados!$N:$N,Dados!$B:$B,B85,Dados!$H:$H,$D$1,Dados!$G:$G,$H$4)</f>
        <v>0</v>
      </c>
      <c r="I85" s="64">
        <f>sumifs(Dados!$N:$N,Dados!$B:$B,B85,Dados!$H:$H,$D$1,Dados!$G:$G,$I$4)</f>
        <v>0</v>
      </c>
      <c r="J85" s="64">
        <f>sumifs(Dados!$N:$N,Dados!$B:$B,B85,Dados!$H:$H,$D$1,Dados!$G:$G,$J$4)</f>
        <v>0</v>
      </c>
      <c r="K85" s="64">
        <f>sumifs(Dados!$N:$N,Dados!$B:$B,B85,Dados!$H:$H,$D$1,Dados!$G:$G,$K$4)</f>
        <v>0</v>
      </c>
      <c r="L85" s="64">
        <f>sumifs(Dados!$N:$N,Dados!$B:$B,B85,Dados!$H:$H,$D$1,Dados!$G:$G,$L$4)</f>
        <v>0</v>
      </c>
      <c r="M85" s="64">
        <f>sumifs(Dados!$N:$N,Dados!$B:$B,B85,Dados!$H:$H,$D$1,Dados!$G:$G,$M$4)</f>
        <v>0</v>
      </c>
      <c r="N85" s="64">
        <f>sumifs(Dados!$N:$N,Dados!$B:$B,B85,Dados!$H:$H,$D$1,Dados!$G:$G,$N$4)</f>
        <v>0</v>
      </c>
      <c r="O85" s="64">
        <f>sumifs(Dados!$N:$N,Dados!$B:$B,B85,Dados!$H:$H,$D$1,Dados!$G:$G,$O$4)</f>
        <v>0</v>
      </c>
      <c r="P85" s="64">
        <f>sumifs(Dados!$N:$N,Dados!$B:$B,B85,Dados!$H:$H,$D$1,Dados!$G:$G,$P$4)</f>
        <v>0</v>
      </c>
      <c r="Q85" s="64"/>
    </row>
    <row r="86" ht="15.75" customHeight="1">
      <c r="A86" s="88" t="s">
        <v>201</v>
      </c>
      <c r="B86" s="89">
        <f>sumifs(Dados!$N:$N,Dados!$A:$A,A86,Dados!$H:$H,$D$1)</f>
        <v>0</v>
      </c>
      <c r="C86" s="90">
        <f>B86-D86</f>
        <v>0</v>
      </c>
      <c r="D86" s="89">
        <f t="shared" ref="D86:P86" si="18">SUM(D84:D85)</f>
        <v>0</v>
      </c>
      <c r="E86" s="89">
        <f t="shared" si="18"/>
        <v>0</v>
      </c>
      <c r="F86" s="89">
        <f t="shared" si="18"/>
        <v>0</v>
      </c>
      <c r="G86" s="89">
        <f t="shared" si="18"/>
        <v>0</v>
      </c>
      <c r="H86" s="89">
        <f t="shared" si="18"/>
        <v>0</v>
      </c>
      <c r="I86" s="89">
        <f t="shared" si="18"/>
        <v>0</v>
      </c>
      <c r="J86" s="89">
        <f t="shared" si="18"/>
        <v>0</v>
      </c>
      <c r="K86" s="89">
        <f t="shared" si="18"/>
        <v>0</v>
      </c>
      <c r="L86" s="89">
        <f t="shared" si="18"/>
        <v>0</v>
      </c>
      <c r="M86" s="89">
        <f t="shared" si="18"/>
        <v>0</v>
      </c>
      <c r="N86" s="89">
        <f t="shared" si="18"/>
        <v>0</v>
      </c>
      <c r="O86" s="89">
        <f t="shared" si="18"/>
        <v>0</v>
      </c>
      <c r="P86" s="89">
        <f t="shared" si="18"/>
        <v>0</v>
      </c>
      <c r="Q86" s="89"/>
    </row>
    <row r="87" ht="15.75" customHeight="1">
      <c r="A87" s="58"/>
      <c r="B87" s="58" t="s">
        <v>270</v>
      </c>
      <c r="C87" s="60"/>
      <c r="D87" s="61">
        <f>SUM(E87:P87)</f>
        <v>149.51</v>
      </c>
      <c r="E87" s="64">
        <f>sumifs(Dados!$N:$N,Dados!$B:$B,$B$87,Dados!$H:$H,$D$1,Dados!$G:$G,E4)</f>
        <v>0</v>
      </c>
      <c r="F87" s="64">
        <f>sumifs(Dados!$N:$N,Dados!$B:$B,$B$87,Dados!$H:$H,$D$1,Dados!$G:$G,F4)</f>
        <v>0</v>
      </c>
      <c r="G87" s="64">
        <f>sumifs(Dados!$N:$N,Dados!$B:$B,$B$87,Dados!$H:$H,$D$1,Dados!$G:$G,G4)</f>
        <v>56</v>
      </c>
      <c r="H87" s="64">
        <f>sumifs(Dados!$N:$N,Dados!$B:$B,$B$87,Dados!$H:$H,$D$1,Dados!$G:$G,H4)</f>
        <v>62.73</v>
      </c>
      <c r="I87" s="64">
        <f>sumifs(Dados!$N:$N,Dados!$B:$B,$B$87,Dados!$H:$H,$D$1,Dados!$G:$G,I4)</f>
        <v>0</v>
      </c>
      <c r="J87" s="64">
        <f>sumifs(Dados!$N:$N,Dados!$B:$B,$B$87,Dados!$H:$H,$D$1,Dados!$G:$G,J4)</f>
        <v>0</v>
      </c>
      <c r="K87" s="64">
        <f>sumifs(Dados!$N:$N,Dados!$B:$B,$B$87,Dados!$H:$H,$D$1,Dados!$G:$G,K4)</f>
        <v>0</v>
      </c>
      <c r="L87" s="64">
        <f>sumifs(Dados!$N:$N,Dados!$B:$B,$B$87,Dados!$H:$H,$D$1,Dados!$G:$G,L4)</f>
        <v>0</v>
      </c>
      <c r="M87" s="64">
        <f>sumifs(Dados!$N:$N,Dados!$B:$B,$B$87,Dados!$H:$H,$D$1,Dados!$G:$G,M4)</f>
        <v>30.78</v>
      </c>
      <c r="N87" s="64">
        <f>sumifs(Dados!$N:$N,Dados!$B:$B,$B$87,Dados!$H:$H,$D$1,Dados!$G:$G,N4)</f>
        <v>0</v>
      </c>
      <c r="O87" s="64">
        <f>sumifs(Dados!$N:$N,Dados!$B:$B,$B$87,Dados!$H:$H,$D$1,Dados!$G:$G,O4)</f>
        <v>0</v>
      </c>
      <c r="P87" s="64">
        <f>sumifs(Dados!$N:$N,Dados!$B:$B,$B$87,Dados!$H:$H,$D$1,Dados!$G:$G,P4)</f>
        <v>0</v>
      </c>
      <c r="Q87" s="64"/>
    </row>
    <row r="88" ht="15.75" customHeight="1">
      <c r="A88" s="88" t="s">
        <v>164</v>
      </c>
      <c r="B88" s="89">
        <f>sumifs(Dados!$N:$N,Dados!$A:$A,A88,Dados!$H:$H,$D$1)</f>
        <v>149.51</v>
      </c>
      <c r="C88" s="90">
        <f>B88-D88</f>
        <v>0</v>
      </c>
      <c r="D88" s="89">
        <f t="shared" ref="D88:P88" si="19">SUM(D87)</f>
        <v>149.51</v>
      </c>
      <c r="E88" s="89">
        <f t="shared" si="19"/>
        <v>0</v>
      </c>
      <c r="F88" s="89">
        <f t="shared" si="19"/>
        <v>0</v>
      </c>
      <c r="G88" s="89">
        <f t="shared" si="19"/>
        <v>56</v>
      </c>
      <c r="H88" s="89">
        <f t="shared" si="19"/>
        <v>62.73</v>
      </c>
      <c r="I88" s="89">
        <f t="shared" si="19"/>
        <v>0</v>
      </c>
      <c r="J88" s="89">
        <f t="shared" si="19"/>
        <v>0</v>
      </c>
      <c r="K88" s="89">
        <f t="shared" si="19"/>
        <v>0</v>
      </c>
      <c r="L88" s="89">
        <f t="shared" si="19"/>
        <v>0</v>
      </c>
      <c r="M88" s="89">
        <f t="shared" si="19"/>
        <v>30.78</v>
      </c>
      <c r="N88" s="89">
        <f t="shared" si="19"/>
        <v>0</v>
      </c>
      <c r="O88" s="89">
        <f t="shared" si="19"/>
        <v>0</v>
      </c>
      <c r="P88" s="89">
        <f t="shared" si="19"/>
        <v>0</v>
      </c>
      <c r="Q88" s="89"/>
    </row>
    <row r="89" ht="15.75" customHeight="1">
      <c r="A89" s="58"/>
      <c r="B89" s="59" t="s">
        <v>41</v>
      </c>
      <c r="C89" s="60"/>
      <c r="D89" s="61">
        <f t="shared" ref="D89:D96" si="20">SUM(E89:P89)</f>
        <v>2314.65</v>
      </c>
      <c r="E89" s="64">
        <f>sumifs(Dados!$N:$N,Dados!$B:$B,B89,Dados!$H:$H,$D$1,Dados!$G:$G,$E$4)</f>
        <v>88.87</v>
      </c>
      <c r="F89" s="64">
        <f>sumifs(Dados!$N:$N,Dados!$B:$B,B89,Dados!$H:$H,$D$1,Dados!$G:$G,$F$4)</f>
        <v>93.33</v>
      </c>
      <c r="G89" s="64">
        <f>sumifs(Dados!$N:$N,Dados!$B:$B,B89,Dados!$H:$H,$D$1,Dados!$G:$G,$G$4)</f>
        <v>97.04</v>
      </c>
      <c r="H89" s="64">
        <f>sumifs(Dados!$N:$N,Dados!$B:$B,B89,Dados!$H:$H,$D$1,Dados!$G:$G,$H$4)</f>
        <v>125.08</v>
      </c>
      <c r="I89" s="64">
        <f>sumifs(Dados!$N:$N,Dados!$B:$B,B89,Dados!$H:$H,$D$1,Dados!$G:$G,$I$4)</f>
        <v>90.38</v>
      </c>
      <c r="J89" s="64">
        <f>sumifs(Dados!$N:$N,Dados!$B:$B,B89,Dados!$H:$H,$D$1,Dados!$G:$G,$J$4)</f>
        <v>149.15</v>
      </c>
      <c r="K89" s="64">
        <f>sumifs(Dados!$N:$N,Dados!$B:$B,B89,Dados!$H:$H,$D$1,Dados!$G:$G,$K$4)</f>
        <v>411.6</v>
      </c>
      <c r="L89" s="64">
        <f>sumifs(Dados!$N:$N,Dados!$B:$B,B89,Dados!$H:$H,$D$1,Dados!$G:$G,$L$4)</f>
        <v>589.55</v>
      </c>
      <c r="M89" s="64">
        <f>sumifs(Dados!$N:$N,Dados!$B:$B,B89,Dados!$H:$H,$D$1,Dados!$G:$G,$M$4)</f>
        <v>669.65</v>
      </c>
      <c r="N89" s="64">
        <f>sumifs(Dados!$N:$N,Dados!$B:$B,B89,Dados!$H:$H,$D$1,Dados!$G:$G,$N$4)</f>
        <v>0</v>
      </c>
      <c r="O89" s="64">
        <f>sumifs(Dados!$N:$N,Dados!$B:$B,B89,Dados!$H:$H,$D$1,Dados!$G:$G,$O$4)</f>
        <v>0</v>
      </c>
      <c r="P89" s="64">
        <f>sumifs(Dados!$N:$N,Dados!$B:$B,B89,Dados!$H:$H,$D$1,Dados!$G:$G,$P$4)</f>
        <v>0</v>
      </c>
      <c r="Q89" s="64"/>
    </row>
    <row r="90" ht="15.75" customHeight="1">
      <c r="A90" s="109"/>
      <c r="B90" s="59" t="s">
        <v>61</v>
      </c>
      <c r="C90" s="60"/>
      <c r="D90" s="61">
        <f t="shared" si="20"/>
        <v>5504</v>
      </c>
      <c r="E90" s="64">
        <f>sumifs(Dados!$N:$N,Dados!$B:$B,B90,Dados!$H:$H,$D$1,Dados!$G:$G,$E$4)</f>
        <v>0</v>
      </c>
      <c r="F90" s="64">
        <f>sumifs(Dados!$N:$N,Dados!$B:$B,B90,Dados!$H:$H,$D$1,Dados!$G:$G,$F$4)</f>
        <v>0</v>
      </c>
      <c r="G90" s="64">
        <f>sumifs(Dados!$N:$N,Dados!$B:$B,B90,Dados!$H:$H,$D$1,Dados!$G:$G,$G$4)</f>
        <v>0</v>
      </c>
      <c r="H90" s="64">
        <f>sumifs(Dados!$N:$N,Dados!$B:$B,B90,Dados!$H:$H,$D$1,Dados!$G:$G,$H$4)</f>
        <v>0</v>
      </c>
      <c r="I90" s="64">
        <f>sumifs(Dados!$N:$N,Dados!$B:$B,B90,Dados!$H:$H,$D$1,Dados!$G:$G,$I$4)</f>
        <v>0</v>
      </c>
      <c r="J90" s="64">
        <f>sumifs(Dados!$N:$N,Dados!$B:$B,B90,Dados!$H:$H,$D$1,Dados!$G:$G,$J$4)</f>
        <v>578</v>
      </c>
      <c r="K90" s="64">
        <f>sumifs(Dados!$N:$N,Dados!$B:$B,B90,Dados!$H:$H,$D$1,Dados!$G:$G,$K$4)</f>
        <v>1332</v>
      </c>
      <c r="L90" s="64">
        <f>sumifs(Dados!$N:$N,Dados!$B:$B,B90,Dados!$H:$H,$D$1,Dados!$G:$G,$L$4)</f>
        <v>1184</v>
      </c>
      <c r="M90" s="64">
        <f>sumifs(Dados!$N:$N,Dados!$B:$B,B90,Dados!$H:$H,$D$1,Dados!$G:$G,$M$4)</f>
        <v>0</v>
      </c>
      <c r="N90" s="64">
        <f>sumifs(Dados!$N:$N,Dados!$B:$B,B90,Dados!$H:$H,$D$1,Dados!$G:$G,$N$4)</f>
        <v>2410</v>
      </c>
      <c r="O90" s="64">
        <f>sumifs(Dados!$N:$N,Dados!$B:$B,B90,Dados!$H:$H,$D$1,Dados!$G:$G,$O$4)</f>
        <v>0</v>
      </c>
      <c r="P90" s="64">
        <f>sumifs(Dados!$N:$N,Dados!$B:$B,B90,Dados!$H:$H,$D$1,Dados!$G:$G,$P$4)</f>
        <v>0</v>
      </c>
      <c r="Q90" s="64"/>
    </row>
    <row r="91" ht="15.75" customHeight="1">
      <c r="A91" s="109"/>
      <c r="B91" s="59" t="s">
        <v>49</v>
      </c>
      <c r="C91" s="60"/>
      <c r="D91" s="61">
        <f t="shared" si="20"/>
        <v>523.8</v>
      </c>
      <c r="E91" s="64">
        <f>sumifs(Dados!$N:$N,Dados!$B:$B,B91,Dados!$H:$H,$D$1,Dados!$G:$G,$E$4)</f>
        <v>0</v>
      </c>
      <c r="F91" s="64">
        <f>sumifs(Dados!$N:$N,Dados!$B:$B,B91,Dados!$H:$H,$D$1,Dados!$G:$G,$F$4)</f>
        <v>0</v>
      </c>
      <c r="G91" s="64">
        <f>sumifs(Dados!$N:$N,Dados!$B:$B,B91,Dados!$H:$H,$D$1,Dados!$G:$G,$G$4)</f>
        <v>0</v>
      </c>
      <c r="H91" s="64">
        <f>sumifs(Dados!$N:$N,Dados!$B:$B,B91,Dados!$H:$H,$D$1,Dados!$G:$G,$H$4)</f>
        <v>87.3</v>
      </c>
      <c r="I91" s="64">
        <f>sumifs(Dados!$N:$N,Dados!$B:$B,B91,Dados!$H:$H,$D$1,Dados!$G:$G,$I$4)</f>
        <v>87.3</v>
      </c>
      <c r="J91" s="64">
        <f>sumifs(Dados!$N:$N,Dados!$B:$B,B91,Dados!$H:$H,$D$1,Dados!$G:$G,$J$4)</f>
        <v>87.3</v>
      </c>
      <c r="K91" s="64">
        <f>sumifs(Dados!$N:$N,Dados!$B:$B,B91,Dados!$H:$H,$D$1,Dados!$G:$G,$K$4)</f>
        <v>174.6</v>
      </c>
      <c r="L91" s="64">
        <f>sumifs(Dados!$N:$N,Dados!$B:$B,B91,Dados!$H:$H,$D$1,Dados!$G:$G,$L$4)</f>
        <v>87.3</v>
      </c>
      <c r="M91" s="64">
        <f>sumifs(Dados!$N:$N,Dados!$B:$B,B91,Dados!$H:$H,$D$1,Dados!$G:$G,$M$4)</f>
        <v>0</v>
      </c>
      <c r="N91" s="64">
        <f>sumifs(Dados!$N:$N,Dados!$B:$B,B91,Dados!$H:$H,$D$1,Dados!$G:$G,$N$4)</f>
        <v>0</v>
      </c>
      <c r="O91" s="64">
        <f>sumifs(Dados!$N:$N,Dados!$B:$B,B91,Dados!$H:$H,$D$1,Dados!$G:$G,$O$4)</f>
        <v>0</v>
      </c>
      <c r="P91" s="64">
        <f>sumifs(Dados!$N:$N,Dados!$B:$B,B91,Dados!$H:$H,$D$1,Dados!$G:$G,$P$4)</f>
        <v>0</v>
      </c>
      <c r="Q91" s="64"/>
    </row>
    <row r="92" ht="15.75" customHeight="1">
      <c r="A92" s="58"/>
      <c r="B92" s="59" t="s">
        <v>32</v>
      </c>
      <c r="C92" s="60"/>
      <c r="D92" s="61">
        <f t="shared" si="20"/>
        <v>3835</v>
      </c>
      <c r="E92" s="64">
        <f>sumifs(Dados!$N:$N,Dados!$B:$B,B92,Dados!$H:$H,$D$1,Dados!$G:$G,$E$4)</f>
        <v>815</v>
      </c>
      <c r="F92" s="64">
        <f>sumifs(Dados!$N:$N,Dados!$B:$B,B92,Dados!$H:$H,$D$1,Dados!$G:$G,$F$4)</f>
        <v>115</v>
      </c>
      <c r="G92" s="64">
        <f>sumifs(Dados!$N:$N,Dados!$B:$B,B92,Dados!$H:$H,$D$1,Dados!$G:$G,$G$4)</f>
        <v>0</v>
      </c>
      <c r="H92" s="64">
        <f>sumifs(Dados!$N:$N,Dados!$B:$B,B92,Dados!$H:$H,$D$1,Dados!$G:$G,$H$4)</f>
        <v>115</v>
      </c>
      <c r="I92" s="64">
        <f>sumifs(Dados!$N:$N,Dados!$B:$B,B92,Dados!$H:$H,$D$1,Dados!$G:$G,$I$4)</f>
        <v>595</v>
      </c>
      <c r="J92" s="64">
        <f>sumifs(Dados!$N:$N,Dados!$B:$B,B92,Dados!$H:$H,$D$1,Dados!$G:$G,$J$4)</f>
        <v>115</v>
      </c>
      <c r="K92" s="64">
        <f>sumifs(Dados!$N:$N,Dados!$B:$B,B92,Dados!$H:$H,$D$1,Dados!$G:$G,$K$4)</f>
        <v>620</v>
      </c>
      <c r="L92" s="64">
        <f>sumifs(Dados!$N:$N,Dados!$B:$B,B92,Dados!$H:$H,$D$1,Dados!$G:$G,$L$4)</f>
        <v>230</v>
      </c>
      <c r="M92" s="64">
        <f>sumifs(Dados!$N:$N,Dados!$B:$B,B92,Dados!$H:$H,$D$1,Dados!$G:$G,$M$4)</f>
        <v>1230</v>
      </c>
      <c r="N92" s="64">
        <f>sumifs(Dados!$N:$N,Dados!$B:$B,B92,Dados!$H:$H,$D$1,Dados!$G:$G,$N$4)</f>
        <v>0</v>
      </c>
      <c r="O92" s="64">
        <f>sumifs(Dados!$N:$N,Dados!$B:$B,B92,Dados!$H:$H,$D$1,Dados!$G:$G,$O$4)</f>
        <v>0</v>
      </c>
      <c r="P92" s="64">
        <f>sumifs(Dados!$N:$N,Dados!$B:$B,B92,Dados!$H:$H,$D$1,Dados!$G:$G,$P$4)</f>
        <v>0</v>
      </c>
      <c r="Q92" s="64"/>
    </row>
    <row r="93" ht="15.75" customHeight="1">
      <c r="A93" s="58"/>
      <c r="B93" s="59" t="s">
        <v>40</v>
      </c>
      <c r="C93" s="60"/>
      <c r="D93" s="61">
        <f t="shared" si="20"/>
        <v>2431.18</v>
      </c>
      <c r="E93" s="64">
        <f>sumifs(Dados!$N:$N,Dados!$B:$B,B93,Dados!$H:$H,$D$1,Dados!$G:$G,$E$4)</f>
        <v>122.35</v>
      </c>
      <c r="F93" s="64">
        <f>sumifs(Dados!$N:$N,Dados!$B:$B,B93,Dados!$H:$H,$D$1,Dados!$G:$G,$F$4)</f>
        <v>158.61</v>
      </c>
      <c r="G93" s="64">
        <f>sumifs(Dados!$N:$N,Dados!$B:$B,B93,Dados!$H:$H,$D$1,Dados!$G:$G,$G$4)</f>
        <v>219.01</v>
      </c>
      <c r="H93" s="64">
        <f>sumifs(Dados!$N:$N,Dados!$B:$B,B93,Dados!$H:$H,$D$1,Dados!$G:$G,$H$4)</f>
        <v>149.88</v>
      </c>
      <c r="I93" s="64">
        <f>sumifs(Dados!$N:$N,Dados!$B:$B,B93,Dados!$H:$H,$D$1,Dados!$G:$G,$I$4)</f>
        <v>132.28</v>
      </c>
      <c r="J93" s="64">
        <f>sumifs(Dados!$N:$N,Dados!$B:$B,B93,Dados!$H:$H,$D$1,Dados!$G:$G,$J$4)</f>
        <v>257.51</v>
      </c>
      <c r="K93" s="64">
        <f>sumifs(Dados!$N:$N,Dados!$B:$B,B93,Dados!$H:$H,$D$1,Dados!$G:$G,$K$4)</f>
        <v>422.3</v>
      </c>
      <c r="L93" s="64">
        <f>sumifs(Dados!$N:$N,Dados!$B:$B,B93,Dados!$H:$H,$D$1,Dados!$G:$G,$L$4)</f>
        <v>468.92</v>
      </c>
      <c r="M93" s="64">
        <f>sumifs(Dados!$N:$N,Dados!$B:$B,B93,Dados!$H:$H,$D$1,Dados!$G:$G,$M$4)</f>
        <v>500.32</v>
      </c>
      <c r="N93" s="64">
        <f>sumifs(Dados!$N:$N,Dados!$B:$B,B93,Dados!$H:$H,$D$1,Dados!$G:$G,$N$4)</f>
        <v>0</v>
      </c>
      <c r="O93" s="64">
        <f>sumifs(Dados!$N:$N,Dados!$B:$B,B93,Dados!$H:$H,$D$1,Dados!$G:$G,$O$4)</f>
        <v>0</v>
      </c>
      <c r="P93" s="64">
        <f>sumifs(Dados!$N:$N,Dados!$B:$B,B93,Dados!$H:$H,$D$1,Dados!$G:$G,$P$4)</f>
        <v>0</v>
      </c>
      <c r="Q93" s="64"/>
    </row>
    <row r="94" ht="15.75" customHeight="1">
      <c r="A94" s="109"/>
      <c r="B94" s="59" t="s">
        <v>161</v>
      </c>
      <c r="C94" s="60"/>
      <c r="D94" s="61">
        <f t="shared" si="20"/>
        <v>244</v>
      </c>
      <c r="E94" s="64">
        <f>sumifs(Dados!$N:$N,Dados!$B:$B,B94,Dados!$H:$H,$D$1,Dados!$G:$G,$E$4)</f>
        <v>0</v>
      </c>
      <c r="F94" s="64">
        <f>sumifs(Dados!$N:$N,Dados!$B:$B,B94,Dados!$H:$H,$D$1,Dados!$G:$G,$F$4)</f>
        <v>0</v>
      </c>
      <c r="G94" s="64">
        <f>sumifs(Dados!$N:$N,Dados!$B:$B,B94,Dados!$H:$H,$D$1,Dados!$G:$G,$G$4)</f>
        <v>0</v>
      </c>
      <c r="H94" s="64">
        <f>sumifs(Dados!$N:$N,Dados!$B:$B,B94,Dados!$H:$H,$D$1,Dados!$G:$G,$H$4)</f>
        <v>0</v>
      </c>
      <c r="I94" s="64">
        <f>sumifs(Dados!$N:$N,Dados!$B:$B,B94,Dados!$H:$H,$D$1,Dados!$G:$G,$I$4)</f>
        <v>84</v>
      </c>
      <c r="J94" s="64">
        <f>sumifs(Dados!$N:$N,Dados!$B:$B,B94,Dados!$H:$H,$D$1,Dados!$G:$G,$J$4)</f>
        <v>40</v>
      </c>
      <c r="K94" s="64">
        <f>sumifs(Dados!$N:$N,Dados!$B:$B,B94,Dados!$H:$H,$D$1,Dados!$G:$G,$K$4)</f>
        <v>40</v>
      </c>
      <c r="L94" s="64">
        <f>sumifs(Dados!$N:$N,Dados!$B:$B,B94,Dados!$H:$H,$D$1,Dados!$G:$G,$L$4)</f>
        <v>0</v>
      </c>
      <c r="M94" s="64">
        <f>sumifs(Dados!$N:$N,Dados!$B:$B,B94,Dados!$H:$H,$D$1,Dados!$G:$G,$M$4)</f>
        <v>80</v>
      </c>
      <c r="N94" s="64">
        <f>sumifs(Dados!$N:$N,Dados!$B:$B,B94,Dados!$H:$H,$D$1,Dados!$G:$G,$N$4)</f>
        <v>0</v>
      </c>
      <c r="O94" s="64">
        <f>sumifs(Dados!$N:$N,Dados!$B:$B,B94,Dados!$H:$H,$D$1,Dados!$G:$G,$O$4)</f>
        <v>0</v>
      </c>
      <c r="P94" s="64">
        <f>sumifs(Dados!$N:$N,Dados!$B:$B,B94,Dados!$H:$H,$D$1,Dados!$G:$G,$P$4)</f>
        <v>0</v>
      </c>
      <c r="Q94" s="64"/>
    </row>
    <row r="95" ht="15.75" customHeight="1">
      <c r="A95" s="109"/>
      <c r="B95" s="59" t="s">
        <v>37</v>
      </c>
      <c r="C95" s="60"/>
      <c r="D95" s="61">
        <f t="shared" si="20"/>
        <v>594.52</v>
      </c>
      <c r="E95" s="64">
        <f>sumifs(Dados!$N:$N,Dados!$B:$B,B95,Dados!$H:$H,$D$1,Dados!$G:$G,$E$4)</f>
        <v>61.8</v>
      </c>
      <c r="F95" s="64">
        <f>sumifs(Dados!$N:$N,Dados!$B:$B,B95,Dados!$H:$H,$D$1,Dados!$G:$G,$F$4)</f>
        <v>66.44</v>
      </c>
      <c r="G95" s="64">
        <f>sumifs(Dados!$N:$N,Dados!$B:$B,B95,Dados!$H:$H,$D$1,Dados!$G:$G,$G$4)</f>
        <v>67.84</v>
      </c>
      <c r="H95" s="64">
        <f>sumifs(Dados!$N:$N,Dados!$B:$B,B95,Dados!$H:$H,$D$1,Dados!$G:$G,$H$4)</f>
        <v>67.6</v>
      </c>
      <c r="I95" s="64">
        <f>sumifs(Dados!$N:$N,Dados!$B:$B,B95,Dados!$H:$H,$D$1,Dados!$G:$G,$I$4)</f>
        <v>62.86</v>
      </c>
      <c r="J95" s="64">
        <f>sumifs(Dados!$N:$N,Dados!$B:$B,B95,Dados!$H:$H,$D$1,Dados!$G:$G,$J$4)</f>
        <v>64.45</v>
      </c>
      <c r="K95" s="64">
        <f>sumifs(Dados!$N:$N,Dados!$B:$B,B95,Dados!$H:$H,$D$1,Dados!$G:$G,$K$4)</f>
        <v>75.57</v>
      </c>
      <c r="L95" s="64">
        <f>sumifs(Dados!$N:$N,Dados!$B:$B,B95,Dados!$H:$H,$D$1,Dados!$G:$G,$L$4)</f>
        <v>63.76</v>
      </c>
      <c r="M95" s="64">
        <f>sumifs(Dados!$N:$N,Dados!$B:$B,B95,Dados!$H:$H,$D$1,Dados!$G:$G,$M$4)</f>
        <v>64.2</v>
      </c>
      <c r="N95" s="64">
        <f>sumifs(Dados!$N:$N,Dados!$B:$B,B95,Dados!$H:$H,$D$1,Dados!$G:$G,$N$4)</f>
        <v>0</v>
      </c>
      <c r="O95" s="64">
        <f>sumifs(Dados!$N:$N,Dados!$B:$B,B95,Dados!$H:$H,$D$1,Dados!$G:$G,$O$4)</f>
        <v>0</v>
      </c>
      <c r="P95" s="64">
        <f>sumifs(Dados!$N:$N,Dados!$B:$B,B95,Dados!$H:$H,$D$1,Dados!$G:$G,$P$4)</f>
        <v>0</v>
      </c>
      <c r="Q95" s="64"/>
    </row>
    <row r="96" ht="15.75" customHeight="1">
      <c r="A96" s="109"/>
      <c r="B96" s="59" t="s">
        <v>168</v>
      </c>
      <c r="C96" s="60"/>
      <c r="D96" s="61">
        <f t="shared" si="20"/>
        <v>0</v>
      </c>
      <c r="E96" s="64">
        <f>sumifs(Dados!$N:$N,Dados!$B:$B,B96,Dados!$H:$H,$D$1,Dados!$G:$G,$E$4)</f>
        <v>0</v>
      </c>
      <c r="F96" s="64">
        <f>sumifs(Dados!$N:$N,Dados!$B:$B,B96,Dados!$H:$H,$D$1,Dados!$G:$G,$F$4)</f>
        <v>0</v>
      </c>
      <c r="G96" s="64">
        <f>sumifs(Dados!$N:$N,Dados!$B:$B,B96,Dados!$H:$H,$D$1,Dados!$G:$G,$G$4)</f>
        <v>0</v>
      </c>
      <c r="H96" s="64">
        <f>sumifs(Dados!$N:$N,Dados!$B:$B,B96,Dados!$H:$H,$D$1,Dados!$G:$G,$H$4)</f>
        <v>0</v>
      </c>
      <c r="I96" s="64">
        <f>sumifs(Dados!$N:$N,Dados!$B:$B,B96,Dados!$H:$H,$D$1,Dados!$G:$G,$I$4)</f>
        <v>0</v>
      </c>
      <c r="J96" s="64">
        <f>sumifs(Dados!$N:$N,Dados!$B:$B,B96,Dados!$H:$H,$D$1,Dados!$G:$G,$J$4)</f>
        <v>0</v>
      </c>
      <c r="K96" s="64">
        <f>sumifs(Dados!$N:$N,Dados!$B:$B,B96,Dados!$H:$H,$D$1,Dados!$G:$G,$K$4)</f>
        <v>0</v>
      </c>
      <c r="L96" s="64">
        <f>sumifs(Dados!$N:$N,Dados!$B:$B,B96,Dados!$H:$H,$D$1,Dados!$G:$G,$L$4)</f>
        <v>0</v>
      </c>
      <c r="M96" s="64">
        <f>sumifs(Dados!$N:$N,Dados!$B:$B,B96,Dados!$H:$H,$D$1,Dados!$G:$G,$M$4)</f>
        <v>0</v>
      </c>
      <c r="N96" s="64">
        <f>sumifs(Dados!$N:$N,Dados!$B:$B,B96,Dados!$H:$H,$D$1,Dados!$G:$G,$N$4)</f>
        <v>0</v>
      </c>
      <c r="O96" s="64">
        <f>sumifs(Dados!$N:$N,Dados!$B:$B,B96,Dados!$H:$H,$D$1,Dados!$G:$G,$O$4)</f>
        <v>0</v>
      </c>
      <c r="P96" s="64">
        <f>sumifs(Dados!$N:$N,Dados!$B:$B,B96,Dados!$H:$H,$D$1,Dados!$G:$G,$P$4)</f>
        <v>0</v>
      </c>
      <c r="Q96" s="64"/>
    </row>
    <row r="97" ht="15.75" customHeight="1">
      <c r="A97" s="88" t="s">
        <v>167</v>
      </c>
      <c r="B97" s="89">
        <f>sumifs(Dados!$N:$N,Dados!$A:$A,A97,Dados!$H:$H,$D$1)</f>
        <v>15447.15</v>
      </c>
      <c r="C97" s="90">
        <f>B97-D97</f>
        <v>0</v>
      </c>
      <c r="D97" s="89">
        <f t="shared" ref="D97:P97" si="21">SUM(D89:D96)</f>
        <v>15447.15</v>
      </c>
      <c r="E97" s="89">
        <f t="shared" si="21"/>
        <v>1088.02</v>
      </c>
      <c r="F97" s="89">
        <f t="shared" si="21"/>
        <v>433.38</v>
      </c>
      <c r="G97" s="89">
        <f t="shared" si="21"/>
        <v>383.89</v>
      </c>
      <c r="H97" s="89">
        <f t="shared" si="21"/>
        <v>544.86</v>
      </c>
      <c r="I97" s="89">
        <f t="shared" si="21"/>
        <v>1051.82</v>
      </c>
      <c r="J97" s="89">
        <f t="shared" si="21"/>
        <v>1291.41</v>
      </c>
      <c r="K97" s="89">
        <f t="shared" si="21"/>
        <v>3076.07</v>
      </c>
      <c r="L97" s="89">
        <f t="shared" si="21"/>
        <v>2623.53</v>
      </c>
      <c r="M97" s="89">
        <f t="shared" si="21"/>
        <v>2544.17</v>
      </c>
      <c r="N97" s="89">
        <f t="shared" si="21"/>
        <v>2410</v>
      </c>
      <c r="O97" s="89">
        <f t="shared" si="21"/>
        <v>0</v>
      </c>
      <c r="P97" s="89">
        <f t="shared" si="21"/>
        <v>0</v>
      </c>
      <c r="Q97" s="89"/>
    </row>
    <row r="98" ht="15.75" customHeight="1">
      <c r="A98" s="109"/>
      <c r="B98" s="59" t="s">
        <v>277</v>
      </c>
      <c r="C98" s="60"/>
      <c r="D98" s="61">
        <f t="shared" ref="D98:D107" si="22">SUM(E98:P98)</f>
        <v>28.92</v>
      </c>
      <c r="E98" s="64">
        <f>sumifs(Dados!$N:$N,Dados!$B:$B,B98,Dados!$H:$H,$D$1,Dados!$G:$G,$E$4)</f>
        <v>0</v>
      </c>
      <c r="F98" s="64">
        <f>sumifs(Dados!$N:$N,Dados!$B:$B,B98,Dados!$H:$H,$D$1,Dados!$G:$G,$F$4)</f>
        <v>0</v>
      </c>
      <c r="G98" s="64">
        <f>sumifs(Dados!$N:$N,Dados!$B:$B,B98,Dados!$H:$H,$D$1,Dados!$G:$G,$G$4)</f>
        <v>0</v>
      </c>
      <c r="H98" s="64">
        <f>sumifs(Dados!$N:$N,Dados!$B:$B,B98,Dados!$H:$H,$D$1,Dados!$G:$G,$H$4)</f>
        <v>0</v>
      </c>
      <c r="I98" s="64">
        <f>sumifs(Dados!$N:$N,Dados!$B:$B,B98,Dados!$H:$H,$D$1,Dados!$G:$G,$I$4)</f>
        <v>28.92</v>
      </c>
      <c r="J98" s="64">
        <f>sumifs(Dados!$N:$N,Dados!$B:$B,B98,Dados!$H:$H,$D$1,Dados!$G:$G,$J$4)</f>
        <v>0</v>
      </c>
      <c r="K98" s="64">
        <f>sumifs(Dados!$N:$N,Dados!$B:$B,B98,Dados!$H:$H,$D$1,Dados!$G:$G,$K$4)</f>
        <v>0</v>
      </c>
      <c r="L98" s="64">
        <f>sumifs(Dados!$N:$N,Dados!$B:$B,B98,Dados!$H:$H,$D$1,Dados!$G:$G,$L$4)</f>
        <v>0</v>
      </c>
      <c r="M98" s="64">
        <f>sumifs(Dados!$N:$N,Dados!$B:$B,B98,Dados!$H:$H,$D$1,Dados!$G:$G,$M$4)</f>
        <v>0</v>
      </c>
      <c r="N98" s="64">
        <f>sumifs(Dados!$N:$N,Dados!$B:$B,B98,Dados!$H:$H,$D$1,Dados!$G:$G,$N$4)</f>
        <v>0</v>
      </c>
      <c r="O98" s="64">
        <f>sumifs(Dados!$N:$N,Dados!$B:$B,B98,Dados!$H:$H,$D$1,Dados!$G:$G,$O$4)</f>
        <v>0</v>
      </c>
      <c r="P98" s="64">
        <f>sumifs(Dados!$N:$N,Dados!$B:$B,B98,Dados!$H:$H,$D$1,Dados!$G:$G,$P$4)</f>
        <v>0</v>
      </c>
      <c r="Q98" s="64"/>
    </row>
    <row r="99" ht="15.75" customHeight="1">
      <c r="A99" s="109"/>
      <c r="B99" s="59" t="s">
        <v>279</v>
      </c>
      <c r="C99" s="60"/>
      <c r="D99" s="61">
        <f t="shared" si="22"/>
        <v>0</v>
      </c>
      <c r="E99" s="64">
        <f>sumifs(Dados!$N:$N,Dados!$B:$B,B99,Dados!$H:$H,$D$1,Dados!$G:$G,$E$4)</f>
        <v>0</v>
      </c>
      <c r="F99" s="64">
        <f>sumifs(Dados!$N:$N,Dados!$B:$B,B99,Dados!$H:$H,$D$1,Dados!$G:$G,$F$4)</f>
        <v>0</v>
      </c>
      <c r="G99" s="64">
        <f>sumifs(Dados!$N:$N,Dados!$B:$B,B99,Dados!$H:$H,$D$1,Dados!$G:$G,$G$4)</f>
        <v>0</v>
      </c>
      <c r="H99" s="64">
        <f>sumifs(Dados!$N:$N,Dados!$B:$B,B99,Dados!$H:$H,$D$1,Dados!$G:$G,$H$4)</f>
        <v>0</v>
      </c>
      <c r="I99" s="64">
        <f>sumifs(Dados!$N:$N,Dados!$B:$B,B99,Dados!$H:$H,$D$1,Dados!$G:$G,$I$4)</f>
        <v>0</v>
      </c>
      <c r="J99" s="64">
        <f>sumifs(Dados!$N:$N,Dados!$B:$B,B99,Dados!$H:$H,$D$1,Dados!$G:$G,$J$4)</f>
        <v>0</v>
      </c>
      <c r="K99" s="64">
        <f>sumifs(Dados!$N:$N,Dados!$B:$B,B99,Dados!$H:$H,$D$1,Dados!$G:$G,$K$4)</f>
        <v>0</v>
      </c>
      <c r="L99" s="64">
        <f>sumifs(Dados!$N:$N,Dados!$B:$B,B99,Dados!$H:$H,$D$1,Dados!$G:$G,$L$4)</f>
        <v>0</v>
      </c>
      <c r="M99" s="64">
        <f>sumifs(Dados!$N:$N,Dados!$B:$B,B99,Dados!$H:$H,$D$1,Dados!$G:$G,$M$4)</f>
        <v>0</v>
      </c>
      <c r="N99" s="64">
        <f>sumifs(Dados!$N:$N,Dados!$B:$B,B99,Dados!$H:$H,$D$1,Dados!$G:$G,$N$4)</f>
        <v>0</v>
      </c>
      <c r="O99" s="64">
        <f>sumifs(Dados!$N:$N,Dados!$B:$B,B99,Dados!$H:$H,$D$1,Dados!$G:$G,$O$4)</f>
        <v>0</v>
      </c>
      <c r="P99" s="64">
        <f>sumifs(Dados!$N:$N,Dados!$B:$B,B99,Dados!$H:$H,$D$1,Dados!$G:$G,$P$4)</f>
        <v>0</v>
      </c>
      <c r="Q99" s="64"/>
    </row>
    <row r="100" ht="15.75" customHeight="1">
      <c r="A100" s="58"/>
      <c r="B100" s="59" t="s">
        <v>280</v>
      </c>
      <c r="C100" s="60"/>
      <c r="D100" s="61">
        <f t="shared" si="22"/>
        <v>93.6</v>
      </c>
      <c r="E100" s="64">
        <f>sumifs(Dados!$N:$N,Dados!$B:$B,B100,Dados!$H:$H,$D$1,Dados!$G:$G,$E$4)</f>
        <v>0</v>
      </c>
      <c r="F100" s="64">
        <f>sumifs(Dados!$N:$N,Dados!$B:$B,B100,Dados!$H:$H,$D$1,Dados!$G:$G,$F$4)</f>
        <v>0</v>
      </c>
      <c r="G100" s="64">
        <f>sumifs(Dados!$N:$N,Dados!$B:$B,B100,Dados!$H:$H,$D$1,Dados!$G:$G,$G$4)</f>
        <v>0</v>
      </c>
      <c r="H100" s="64">
        <f>sumifs(Dados!$N:$N,Dados!$B:$B,B100,Dados!$H:$H,$D$1,Dados!$G:$G,$H$4)</f>
        <v>0</v>
      </c>
      <c r="I100" s="64">
        <f>sumifs(Dados!$N:$N,Dados!$B:$B,B100,Dados!$H:$H,$D$1,Dados!$G:$G,$I$4)</f>
        <v>46.8</v>
      </c>
      <c r="J100" s="64">
        <f>sumifs(Dados!$N:$N,Dados!$B:$B,B100,Dados!$H:$H,$D$1,Dados!$G:$G,$J$4)</f>
        <v>15.6</v>
      </c>
      <c r="K100" s="64">
        <f>sumifs(Dados!$N:$N,Dados!$B:$B,B100,Dados!$H:$H,$D$1,Dados!$G:$G,$K$4)</f>
        <v>15.6</v>
      </c>
      <c r="L100" s="64">
        <f>sumifs(Dados!$N:$N,Dados!$B:$B,B100,Dados!$H:$H,$D$1,Dados!$G:$G,$L$4)</f>
        <v>15.6</v>
      </c>
      <c r="M100" s="64">
        <f>sumifs(Dados!$N:$N,Dados!$B:$B,B100,Dados!$H:$H,$D$1,Dados!$G:$G,$M$4)</f>
        <v>0</v>
      </c>
      <c r="N100" s="64">
        <f>sumifs(Dados!$N:$N,Dados!$B:$B,B100,Dados!$H:$H,$D$1,Dados!$G:$G,$N$4)</f>
        <v>0</v>
      </c>
      <c r="O100" s="64">
        <f>sumifs(Dados!$N:$N,Dados!$B:$B,B100,Dados!$H:$H,$D$1,Dados!$G:$G,$O$4)</f>
        <v>0</v>
      </c>
      <c r="P100" s="64">
        <f>sumifs(Dados!$N:$N,Dados!$B:$B,B100,Dados!$H:$H,$D$1,Dados!$G:$G,$P$4)</f>
        <v>0</v>
      </c>
      <c r="Q100" s="64"/>
    </row>
    <row r="101" ht="15.75" customHeight="1">
      <c r="A101" s="58"/>
      <c r="B101" s="59" t="s">
        <v>281</v>
      </c>
      <c r="C101" s="60"/>
      <c r="D101" s="61">
        <f t="shared" si="22"/>
        <v>251.79</v>
      </c>
      <c r="E101" s="64">
        <f>sumifs(Dados!$N:$N,Dados!$B:$B,B101,Dados!$H:$H,$D$1,Dados!$G:$G,$E$4)</f>
        <v>0</v>
      </c>
      <c r="F101" s="64">
        <f>sumifs(Dados!$N:$N,Dados!$B:$B,B101,Dados!$H:$H,$D$1,Dados!$G:$G,$F$4)</f>
        <v>0</v>
      </c>
      <c r="G101" s="64">
        <f>sumifs(Dados!$N:$N,Dados!$B:$B,B101,Dados!$H:$H,$D$1,Dados!$G:$G,$G$4)</f>
        <v>0</v>
      </c>
      <c r="H101" s="64">
        <f>sumifs(Dados!$N:$N,Dados!$B:$B,B101,Dados!$H:$H,$D$1,Dados!$G:$G,$H$4)</f>
        <v>0</v>
      </c>
      <c r="I101" s="64">
        <f>sumifs(Dados!$N:$N,Dados!$B:$B,B101,Dados!$H:$H,$D$1,Dados!$G:$G,$I$4)</f>
        <v>56.29</v>
      </c>
      <c r="J101" s="64">
        <f>sumifs(Dados!$N:$N,Dados!$B:$B,B101,Dados!$H:$H,$D$1,Dados!$G:$G,$J$4)</f>
        <v>42.63</v>
      </c>
      <c r="K101" s="64">
        <f>sumifs(Dados!$N:$N,Dados!$B:$B,B101,Dados!$H:$H,$D$1,Dados!$G:$G,$K$4)</f>
        <v>69.4</v>
      </c>
      <c r="L101" s="64">
        <f>sumifs(Dados!$N:$N,Dados!$B:$B,B101,Dados!$H:$H,$D$1,Dados!$G:$G,$L$4)</f>
        <v>39.08</v>
      </c>
      <c r="M101" s="64">
        <f>sumifs(Dados!$N:$N,Dados!$B:$B,B101,Dados!$H:$H,$D$1,Dados!$G:$G,$M$4)</f>
        <v>44.39</v>
      </c>
      <c r="N101" s="64">
        <f>sumifs(Dados!$N:$N,Dados!$B:$B,B101,Dados!$H:$H,$D$1,Dados!$G:$G,$N$4)</f>
        <v>0</v>
      </c>
      <c r="O101" s="64">
        <f>sumifs(Dados!$N:$N,Dados!$B:$B,B101,Dados!$H:$H,$D$1,Dados!$G:$G,$O$4)</f>
        <v>0</v>
      </c>
      <c r="P101" s="64">
        <f>sumifs(Dados!$N:$N,Dados!$B:$B,B101,Dados!$H:$H,$D$1,Dados!$G:$G,$P$4)</f>
        <v>0</v>
      </c>
      <c r="Q101" s="64"/>
    </row>
    <row r="102" ht="15.75" customHeight="1">
      <c r="A102" s="109"/>
      <c r="B102" s="59" t="s">
        <v>285</v>
      </c>
      <c r="C102" s="60"/>
      <c r="D102" s="61">
        <f t="shared" si="22"/>
        <v>128.4</v>
      </c>
      <c r="E102" s="64">
        <f>sumifs(Dados!$N:$N,Dados!$B:$B,B102,Dados!$H:$H,$D$1,Dados!$G:$G,$E$4)</f>
        <v>0</v>
      </c>
      <c r="F102" s="64">
        <f>sumifs(Dados!$N:$N,Dados!$B:$B,B102,Dados!$H:$H,$D$1,Dados!$G:$G,$F$4)</f>
        <v>0</v>
      </c>
      <c r="G102" s="64">
        <f>sumifs(Dados!$N:$N,Dados!$B:$B,B102,Dados!$H:$H,$D$1,Dados!$G:$G,$G$4)</f>
        <v>0</v>
      </c>
      <c r="H102" s="64">
        <f>sumifs(Dados!$N:$N,Dados!$B:$B,B102,Dados!$H:$H,$D$1,Dados!$G:$G,$H$4)</f>
        <v>0</v>
      </c>
      <c r="I102" s="64">
        <f>sumifs(Dados!$N:$N,Dados!$B:$B,B102,Dados!$H:$H,$D$1,Dados!$G:$G,$I$4)</f>
        <v>0</v>
      </c>
      <c r="J102" s="64">
        <f>sumifs(Dados!$N:$N,Dados!$B:$B,B102,Dados!$H:$H,$D$1,Dados!$G:$G,$J$4)</f>
        <v>0</v>
      </c>
      <c r="K102" s="64">
        <f>sumifs(Dados!$N:$N,Dados!$B:$B,B102,Dados!$H:$H,$D$1,Dados!$G:$G,$K$4)</f>
        <v>64.2</v>
      </c>
      <c r="L102" s="64">
        <f>sumifs(Dados!$N:$N,Dados!$B:$B,B102,Dados!$H:$H,$D$1,Dados!$G:$G,$L$4)</f>
        <v>21.4</v>
      </c>
      <c r="M102" s="64">
        <f>sumifs(Dados!$N:$N,Dados!$B:$B,B102,Dados!$H:$H,$D$1,Dados!$G:$G,$M$4)</f>
        <v>42.8</v>
      </c>
      <c r="N102" s="64">
        <f>sumifs(Dados!$N:$N,Dados!$B:$B,B102,Dados!$H:$H,$D$1,Dados!$G:$G,$N$4)</f>
        <v>0</v>
      </c>
      <c r="O102" s="64">
        <f>sumifs(Dados!$N:$N,Dados!$B:$B,B102,Dados!$H:$H,$D$1,Dados!$G:$G,$O$4)</f>
        <v>0</v>
      </c>
      <c r="P102" s="64">
        <f>sumifs(Dados!$N:$N,Dados!$B:$B,B102,Dados!$H:$H,$D$1,Dados!$G:$G,$P$4)</f>
        <v>0</v>
      </c>
      <c r="Q102" s="64"/>
    </row>
    <row r="103" ht="15.75" customHeight="1">
      <c r="A103" s="58"/>
      <c r="B103" s="59" t="s">
        <v>288</v>
      </c>
      <c r="C103" s="60"/>
      <c r="D103" s="61">
        <f t="shared" si="22"/>
        <v>106.8</v>
      </c>
      <c r="E103" s="64">
        <f>sumifs(Dados!$N:$N,Dados!$B:$B,B103,Dados!$H:$H,$D$1,Dados!$G:$G,$E$4)</f>
        <v>0</v>
      </c>
      <c r="F103" s="64">
        <f>sumifs(Dados!$N:$N,Dados!$B:$B,B103,Dados!$H:$H,$D$1,Dados!$G:$G,$F$4)</f>
        <v>0</v>
      </c>
      <c r="G103" s="64">
        <f>sumifs(Dados!$N:$N,Dados!$B:$B,B103,Dados!$H:$H,$D$1,Dados!$G:$G,$G$4)</f>
        <v>0</v>
      </c>
      <c r="H103" s="64">
        <f>sumifs(Dados!$N:$N,Dados!$B:$B,B103,Dados!$H:$H,$D$1,Dados!$G:$G,$H$4)</f>
        <v>0</v>
      </c>
      <c r="I103" s="64">
        <f>sumifs(Dados!$N:$N,Dados!$B:$B,B103,Dados!$H:$H,$D$1,Dados!$G:$G,$I$4)</f>
        <v>35</v>
      </c>
      <c r="J103" s="64">
        <f>sumifs(Dados!$N:$N,Dados!$B:$B,B103,Dados!$H:$H,$D$1,Dados!$G:$G,$J$4)</f>
        <v>17.95</v>
      </c>
      <c r="K103" s="64">
        <f>sumifs(Dados!$N:$N,Dados!$B:$B,B103,Dados!$H:$H,$D$1,Dados!$G:$G,$K$4)</f>
        <v>17.95</v>
      </c>
      <c r="L103" s="64">
        <f>sumifs(Dados!$N:$N,Dados!$B:$B,B103,Dados!$H:$H,$D$1,Dados!$G:$G,$L$4)</f>
        <v>35.9</v>
      </c>
      <c r="M103" s="64">
        <f>sumifs(Dados!$N:$N,Dados!$B:$B,B103,Dados!$H:$H,$D$1,Dados!$G:$G,$M$4)</f>
        <v>0</v>
      </c>
      <c r="N103" s="64">
        <f>sumifs(Dados!$N:$N,Dados!$B:$B,B103,Dados!$H:$H,$D$1,Dados!$G:$G,$N$4)</f>
        <v>0</v>
      </c>
      <c r="O103" s="64">
        <f>sumifs(Dados!$N:$N,Dados!$B:$B,B103,Dados!$H:$H,$D$1,Dados!$G:$G,$O$4)</f>
        <v>0</v>
      </c>
      <c r="P103" s="64">
        <f>sumifs(Dados!$N:$N,Dados!$B:$B,B103,Dados!$H:$H,$D$1,Dados!$G:$G,$P$4)</f>
        <v>0</v>
      </c>
      <c r="Q103" s="64"/>
    </row>
    <row r="104" ht="15.75" customHeight="1">
      <c r="A104" s="109"/>
      <c r="B104" s="59" t="s">
        <v>290</v>
      </c>
      <c r="C104" s="60"/>
      <c r="D104" s="61">
        <f t="shared" si="22"/>
        <v>409.2</v>
      </c>
      <c r="E104" s="64">
        <f>sumifs(Dados!$N:$N,Dados!$B:$B,B104,Dados!$H:$H,$D$1,Dados!$G:$G,$E$4)</f>
        <v>0</v>
      </c>
      <c r="F104" s="64">
        <f>sumifs(Dados!$N:$N,Dados!$B:$B,B104,Dados!$H:$H,$D$1,Dados!$G:$G,$F$4)</f>
        <v>0</v>
      </c>
      <c r="G104" s="64">
        <f>sumifs(Dados!$N:$N,Dados!$B:$B,B104,Dados!$H:$H,$D$1,Dados!$G:$G,$G$4)</f>
        <v>0</v>
      </c>
      <c r="H104" s="64">
        <f>sumifs(Dados!$N:$N,Dados!$B:$B,B104,Dados!$H:$H,$D$1,Dados!$G:$G,$H$4)</f>
        <v>0</v>
      </c>
      <c r="I104" s="64">
        <f>sumifs(Dados!$N:$N,Dados!$B:$B,B104,Dados!$H:$H,$D$1,Dados!$G:$G,$I$4)</f>
        <v>55.8</v>
      </c>
      <c r="J104" s="64">
        <f>sumifs(Dados!$N:$N,Dados!$B:$B,B104,Dados!$H:$H,$D$1,Dados!$G:$G,$J$4)</f>
        <v>74.4</v>
      </c>
      <c r="K104" s="64">
        <f>sumifs(Dados!$N:$N,Dados!$B:$B,B104,Dados!$H:$H,$D$1,Dados!$G:$G,$K$4)</f>
        <v>148.8</v>
      </c>
      <c r="L104" s="64">
        <f>sumifs(Dados!$N:$N,Dados!$B:$B,B104,Dados!$H:$H,$D$1,Dados!$G:$G,$L$4)</f>
        <v>55.8</v>
      </c>
      <c r="M104" s="64">
        <f>sumifs(Dados!$N:$N,Dados!$B:$B,B104,Dados!$H:$H,$D$1,Dados!$G:$G,$M$4)</f>
        <v>74.4</v>
      </c>
      <c r="N104" s="64">
        <f>sumifs(Dados!$N:$N,Dados!$B:$B,B104,Dados!$H:$H,$D$1,Dados!$G:$G,$N$4)</f>
        <v>0</v>
      </c>
      <c r="O104" s="64">
        <f>sumifs(Dados!$N:$N,Dados!$B:$B,B104,Dados!$H:$H,$D$1,Dados!$G:$G,$O$4)</f>
        <v>0</v>
      </c>
      <c r="P104" s="64">
        <f>sumifs(Dados!$N:$N,Dados!$B:$B,B104,Dados!$H:$H,$D$1,Dados!$G:$G,$P$4)</f>
        <v>0</v>
      </c>
      <c r="Q104" s="64"/>
    </row>
    <row r="105" ht="15.75" customHeight="1">
      <c r="A105" s="74"/>
      <c r="B105" s="59" t="s">
        <v>291</v>
      </c>
      <c r="C105" s="60"/>
      <c r="D105" s="61">
        <f t="shared" si="22"/>
        <v>271.8</v>
      </c>
      <c r="E105" s="64">
        <f>sumifs(Dados!$N:$N,Dados!$B:$B,B105,Dados!$H:$H,$D$1,Dados!$G:$G,$E$4)</f>
        <v>0</v>
      </c>
      <c r="F105" s="64">
        <f>sumifs(Dados!$N:$N,Dados!$B:$B,B105,Dados!$H:$H,$D$1,Dados!$G:$G,$F$4)</f>
        <v>0</v>
      </c>
      <c r="G105" s="64">
        <f>sumifs(Dados!$N:$N,Dados!$B:$B,B105,Dados!$H:$H,$D$1,Dados!$G:$G,$G$4)</f>
        <v>0</v>
      </c>
      <c r="H105" s="64">
        <f>sumifs(Dados!$N:$N,Dados!$B:$B,B105,Dados!$H:$H,$D$1,Dados!$G:$G,$H$4)</f>
        <v>0</v>
      </c>
      <c r="I105" s="64">
        <f>sumifs(Dados!$N:$N,Dados!$B:$B,B105,Dados!$H:$H,$D$1,Dados!$G:$G,$I$4)</f>
        <v>64.2</v>
      </c>
      <c r="J105" s="64">
        <f>sumifs(Dados!$N:$N,Dados!$B:$B,B105,Dados!$H:$H,$D$1,Dados!$G:$G,$J$4)</f>
        <v>63.4</v>
      </c>
      <c r="K105" s="64">
        <f>sumifs(Dados!$N:$N,Dados!$B:$B,B105,Dados!$H:$H,$D$1,Dados!$G:$G,$K$4)</f>
        <v>41.2</v>
      </c>
      <c r="L105" s="64">
        <f>sumifs(Dados!$N:$N,Dados!$B:$B,B105,Dados!$H:$H,$D$1,Dados!$G:$G,$L$4)</f>
        <v>41.2</v>
      </c>
      <c r="M105" s="64">
        <f>sumifs(Dados!$N:$N,Dados!$B:$B,B105,Dados!$H:$H,$D$1,Dados!$G:$G,$M$4)</f>
        <v>61.8</v>
      </c>
      <c r="N105" s="64">
        <f>sumifs(Dados!$N:$N,Dados!$B:$B,B105,Dados!$H:$H,$D$1,Dados!$G:$G,$N$4)</f>
        <v>0</v>
      </c>
      <c r="O105" s="64">
        <f>sumifs(Dados!$N:$N,Dados!$B:$B,B105,Dados!$H:$H,$D$1,Dados!$G:$G,$O$4)</f>
        <v>0</v>
      </c>
      <c r="P105" s="64">
        <f>sumifs(Dados!$N:$N,Dados!$B:$B,B105,Dados!$H:$H,$D$1,Dados!$G:$G,$P$4)</f>
        <v>0</v>
      </c>
      <c r="Q105" s="64"/>
    </row>
    <row r="106" ht="15.75" customHeight="1">
      <c r="A106" s="109"/>
      <c r="B106" s="59" t="s">
        <v>292</v>
      </c>
      <c r="C106" s="60"/>
      <c r="D106" s="61">
        <f t="shared" si="22"/>
        <v>14</v>
      </c>
      <c r="E106" s="64">
        <f>sumifs(Dados!$N:$N,Dados!$B:$B,$B$106,Dados!$H:$H,$D$1,Dados!$G:$G,E4)</f>
        <v>0</v>
      </c>
      <c r="F106" s="64">
        <f>sumifs(Dados!$N:$N,Dados!$B:$B,$B$106,Dados!$H:$H,$D$1,Dados!$G:$G,F4)</f>
        <v>0</v>
      </c>
      <c r="G106" s="64">
        <f>sumifs(Dados!$N:$N,Dados!$B:$B,$B$106,Dados!$H:$H,$D$1,Dados!$G:$G,G4)</f>
        <v>0</v>
      </c>
      <c r="H106" s="64">
        <f>sumifs(Dados!$N:$N,Dados!$B:$B,$B$106,Dados!$H:$H,$D$1,Dados!$G:$G,H4)</f>
        <v>0</v>
      </c>
      <c r="I106" s="64">
        <f>sumifs(Dados!$N:$N,Dados!$B:$B,$B$106,Dados!$H:$H,$D$1,Dados!$G:$G,I4)</f>
        <v>0</v>
      </c>
      <c r="J106" s="64">
        <f>sumifs(Dados!$N:$N,Dados!$B:$B,$B$106,Dados!$H:$H,$D$1,Dados!$G:$G,J4)</f>
        <v>0</v>
      </c>
      <c r="K106" s="64">
        <f>sumifs(Dados!$N:$N,Dados!$B:$B,$B$106,Dados!$H:$H,$D$1,Dados!$G:$G,K4)</f>
        <v>0</v>
      </c>
      <c r="L106" s="64">
        <f>sumifs(Dados!$N:$N,Dados!$B:$B,$B$106,Dados!$H:$H,$D$1,Dados!$G:$G,L4)</f>
        <v>0</v>
      </c>
      <c r="M106" s="64">
        <f>sumifs(Dados!$N:$N,Dados!$B:$B,$B$106,Dados!$H:$H,$D$1,Dados!$G:$G,M4)</f>
        <v>14</v>
      </c>
      <c r="N106" s="64">
        <f>sumifs(Dados!$N:$N,Dados!$B:$B,$B$106,Dados!$H:$H,$D$1,Dados!$G:$G,N4)</f>
        <v>0</v>
      </c>
      <c r="O106" s="64">
        <f>sumifs(Dados!$N:$N,Dados!$B:$B,$B$106,Dados!$H:$H,$D$1,Dados!$G:$G,O4)</f>
        <v>0</v>
      </c>
      <c r="P106" s="64">
        <f>sumifs(Dados!$N:$N,Dados!$B:$B,$B$106,Dados!$H:$H,$D$1,Dados!$G:$G,P4)</f>
        <v>0</v>
      </c>
      <c r="Q106" s="64"/>
    </row>
    <row r="107" ht="15.75" customHeight="1">
      <c r="A107" s="109"/>
      <c r="B107" s="59" t="s">
        <v>293</v>
      </c>
      <c r="C107" s="60"/>
      <c r="D107" s="61">
        <f t="shared" si="22"/>
        <v>42</v>
      </c>
      <c r="E107" s="64">
        <f>sumifs(Dados!$N:$N,Dados!$B:$B,B107,Dados!$H:$H,$D$1,Dados!$G:$G,$E$4)</f>
        <v>0</v>
      </c>
      <c r="F107" s="64">
        <f>sumifs(Dados!$N:$N,Dados!$B:$B,B107,Dados!$H:$H,$D$1,Dados!$G:$G,$F$4)</f>
        <v>0</v>
      </c>
      <c r="G107" s="64">
        <f>sumifs(Dados!$N:$N,Dados!$B:$B,B107,Dados!$H:$H,$D$1,Dados!$G:$G,$G$4)</f>
        <v>0</v>
      </c>
      <c r="H107" s="64">
        <f>sumifs(Dados!$N:$N,Dados!$B:$B,B107,Dados!$H:$H,$D$1,Dados!$G:$G,$H$4)</f>
        <v>0</v>
      </c>
      <c r="I107" s="64">
        <f>sumifs(Dados!$N:$N,Dados!$B:$B,B107,Dados!$H:$H,$D$1,Dados!$G:$G,$I$4)</f>
        <v>14</v>
      </c>
      <c r="J107" s="64">
        <f>sumifs(Dados!$N:$N,Dados!$B:$B,B107,Dados!$H:$H,$D$1,Dados!$G:$G,$J$4)</f>
        <v>14</v>
      </c>
      <c r="K107" s="64">
        <f>sumifs(Dados!$N:$N,Dados!$B:$B,B107,Dados!$H:$H,$D$1,Dados!$G:$G,$K$4)</f>
        <v>14</v>
      </c>
      <c r="L107" s="64">
        <f>sumifs(Dados!$N:$N,Dados!$B:$B,B107,Dados!$H:$H,$D$1,Dados!$G:$G,$L$4)</f>
        <v>0</v>
      </c>
      <c r="M107" s="64">
        <f>sumifs(Dados!$N:$N,Dados!$B:$B,B107,Dados!$H:$H,$D$1,Dados!$G:$G,$M$4)</f>
        <v>0</v>
      </c>
      <c r="N107" s="64">
        <f>sumifs(Dados!$N:$N,Dados!$B:$B,B107,Dados!$H:$H,$D$1,Dados!$G:$G,$N$4)</f>
        <v>0</v>
      </c>
      <c r="O107" s="64">
        <f>sumifs(Dados!$N:$N,Dados!$B:$B,B107,Dados!$H:$H,$D$1,Dados!$G:$G,$O$4)</f>
        <v>0</v>
      </c>
      <c r="P107" s="64">
        <f>sumifs(Dados!$N:$N,Dados!$B:$B,B107,Dados!$H:$H,$D$1,Dados!$G:$G,$P$4)</f>
        <v>0</v>
      </c>
      <c r="Q107" s="64"/>
    </row>
    <row r="108" ht="15.75" customHeight="1">
      <c r="A108" s="88" t="s">
        <v>172</v>
      </c>
      <c r="B108" s="89">
        <f>sumifs(Dados!$N:$N,Dados!$A:$A,A108,Dados!$H:$H,$D$1)</f>
        <v>1346.51</v>
      </c>
      <c r="C108" s="90">
        <f>B108-D108</f>
        <v>0</v>
      </c>
      <c r="D108" s="89">
        <f t="shared" ref="D108:P108" si="23">SUM(D98:D107)</f>
        <v>1346.51</v>
      </c>
      <c r="E108" s="89">
        <f t="shared" si="23"/>
        <v>0</v>
      </c>
      <c r="F108" s="89">
        <f t="shared" si="23"/>
        <v>0</v>
      </c>
      <c r="G108" s="89">
        <f t="shared" si="23"/>
        <v>0</v>
      </c>
      <c r="H108" s="89">
        <f t="shared" si="23"/>
        <v>0</v>
      </c>
      <c r="I108" s="89">
        <f t="shared" si="23"/>
        <v>301.01</v>
      </c>
      <c r="J108" s="89">
        <f t="shared" si="23"/>
        <v>227.98</v>
      </c>
      <c r="K108" s="89">
        <f t="shared" si="23"/>
        <v>371.15</v>
      </c>
      <c r="L108" s="89">
        <f t="shared" si="23"/>
        <v>208.98</v>
      </c>
      <c r="M108" s="89">
        <f t="shared" si="23"/>
        <v>237.39</v>
      </c>
      <c r="N108" s="89">
        <f t="shared" si="23"/>
        <v>0</v>
      </c>
      <c r="O108" s="89">
        <f t="shared" si="23"/>
        <v>0</v>
      </c>
      <c r="P108" s="89">
        <f t="shared" si="23"/>
        <v>0</v>
      </c>
      <c r="Q108" s="89"/>
    </row>
    <row r="109" ht="15.75" customHeight="1">
      <c r="A109" s="109"/>
      <c r="B109" s="59" t="s">
        <v>294</v>
      </c>
      <c r="C109" s="60"/>
      <c r="D109" s="61">
        <f t="shared" ref="D109:D115" si="24">SUM(E109:P109)</f>
        <v>0</v>
      </c>
      <c r="E109" s="64">
        <f>sumifs(Dados!$N:$N,Dados!$B:$B,B109,Dados!$H:$H,$D$1,Dados!$G:$G,$E$4)</f>
        <v>0</v>
      </c>
      <c r="F109" s="64">
        <f>sumifs(Dados!$N:$N,Dados!$B:$B,B109,Dados!$H:$H,$D$1,Dados!$G:$G,$F$4)</f>
        <v>0</v>
      </c>
      <c r="G109" s="64">
        <f>sumifs(Dados!$N:$N,Dados!$B:$B,B109,Dados!$H:$H,$D$1,Dados!$G:$G,$G$4)</f>
        <v>0</v>
      </c>
      <c r="H109" s="64">
        <f>sumifs(Dados!$N:$N,Dados!$B:$B,B109,Dados!$H:$H,$D$1,Dados!$G:$G,$H$4)</f>
        <v>0</v>
      </c>
      <c r="I109" s="64">
        <f>sumifs(Dados!$N:$N,Dados!$B:$B,B109,Dados!$H:$H,$D$1,Dados!$G:$G,$I$4)</f>
        <v>0</v>
      </c>
      <c r="J109" s="64">
        <f>sumifs(Dados!$N:$N,Dados!$B:$B,B109,Dados!$H:$H,$D$1,Dados!$G:$G,$J$4)</f>
        <v>0</v>
      </c>
      <c r="K109" s="64">
        <f>sumifs(Dados!$N:$N,Dados!$B:$B,B109,Dados!$H:$H,$D$1,Dados!$G:$G,$K$4)</f>
        <v>0</v>
      </c>
      <c r="L109" s="64">
        <f>sumifs(Dados!$N:$N,Dados!$B:$B,B109,Dados!$H:$H,$D$1,Dados!$G:$G,$L$4)</f>
        <v>0</v>
      </c>
      <c r="M109" s="64">
        <f>sumifs(Dados!$N:$N,Dados!$B:$B,B109,Dados!$H:$H,$D$1,Dados!$G:$G,$M$4)</f>
        <v>0</v>
      </c>
      <c r="N109" s="64">
        <f>sumifs(Dados!$N:$N,Dados!$B:$B,B109,Dados!$H:$H,$D$1,Dados!$G:$G,$N$4)</f>
        <v>0</v>
      </c>
      <c r="O109" s="64">
        <f>sumifs(Dados!$N:$N,Dados!$B:$B,B109,Dados!$H:$H,$D$1,Dados!$G:$G,$O$4)</f>
        <v>0</v>
      </c>
      <c r="P109" s="64">
        <f>sumifs(Dados!$N:$N,Dados!$B:$B,B109,Dados!$H:$H,$D$1,Dados!$G:$G,$P$4)</f>
        <v>0</v>
      </c>
      <c r="Q109" s="64"/>
    </row>
    <row r="110" ht="15.75" customHeight="1">
      <c r="A110" s="27"/>
      <c r="B110" s="59" t="s">
        <v>295</v>
      </c>
      <c r="C110" s="60"/>
      <c r="D110" s="61">
        <f t="shared" si="24"/>
        <v>0</v>
      </c>
      <c r="E110" s="64">
        <f>sumifs(Dados!$N:$N,Dados!$B:$B,B110,Dados!$H:$H,$D$1,Dados!$G:$G,$E$4)</f>
        <v>0</v>
      </c>
      <c r="F110" s="64">
        <f>sumifs(Dados!$N:$N,Dados!$B:$B,B110,Dados!$H:$H,$D$1,Dados!$G:$G,$F$4)</f>
        <v>0</v>
      </c>
      <c r="G110" s="64">
        <f>sumifs(Dados!$N:$N,Dados!$B:$B,B110,Dados!$H:$H,$D$1,Dados!$G:$G,$G$4)</f>
        <v>0</v>
      </c>
      <c r="H110" s="64">
        <f>sumifs(Dados!$N:$N,Dados!$B:$B,B110,Dados!$H:$H,$D$1,Dados!$G:$G,$H$4)</f>
        <v>0</v>
      </c>
      <c r="I110" s="64">
        <f>sumifs(Dados!$N:$N,Dados!$B:$B,B110,Dados!$H:$H,$D$1,Dados!$G:$G,$I$4)</f>
        <v>0</v>
      </c>
      <c r="J110" s="64">
        <f>sumifs(Dados!$N:$N,Dados!$B:$B,B110,Dados!$H:$H,$D$1,Dados!$G:$G,$J$4)</f>
        <v>0</v>
      </c>
      <c r="K110" s="64">
        <f>sumifs(Dados!$N:$N,Dados!$B:$B,B110,Dados!$H:$H,$D$1,Dados!$G:$G,$K$4)</f>
        <v>0</v>
      </c>
      <c r="L110" s="64">
        <f>sumifs(Dados!$N:$N,Dados!$B:$B,B110,Dados!$H:$H,$D$1,Dados!$G:$G,$L$4)</f>
        <v>0</v>
      </c>
      <c r="M110" s="64">
        <f>sumifs(Dados!$N:$N,Dados!$B:$B,B110,Dados!$H:$H,$D$1,Dados!$G:$G,$M$4)</f>
        <v>0</v>
      </c>
      <c r="N110" s="64">
        <f>sumifs(Dados!$N:$N,Dados!$B:$B,B110,Dados!$H:$H,$D$1,Dados!$G:$G,$N$4)</f>
        <v>0</v>
      </c>
      <c r="O110" s="64">
        <f>sumifs(Dados!$N:$N,Dados!$B:$B,B110,Dados!$H:$H,$D$1,Dados!$G:$G,$O$4)</f>
        <v>0</v>
      </c>
      <c r="P110" s="64">
        <f>sumifs(Dados!$N:$N,Dados!$B:$B,B110,Dados!$H:$H,$D$1,Dados!$G:$G,$P$4)</f>
        <v>0</v>
      </c>
      <c r="Q110" s="64"/>
    </row>
    <row r="111" ht="15.75" customHeight="1">
      <c r="A111" s="27"/>
      <c r="B111" s="59" t="s">
        <v>296</v>
      </c>
      <c r="C111" s="60"/>
      <c r="D111" s="61">
        <f t="shared" si="24"/>
        <v>124.06</v>
      </c>
      <c r="E111" s="64">
        <f>sumifs(Dados!$N:$N,Dados!$B:$B,B111,Dados!$H:$H,$D$1,Dados!$G:$G,$E$4)</f>
        <v>0</v>
      </c>
      <c r="F111" s="64">
        <f>sumifs(Dados!$N:$N,Dados!$B:$B,B111,Dados!$H:$H,$D$1,Dados!$G:$G,$F$4)</f>
        <v>0</v>
      </c>
      <c r="G111" s="64">
        <f>sumifs(Dados!$N:$N,Dados!$B:$B,B111,Dados!$H:$H,$D$1,Dados!$G:$G,$G$4)</f>
        <v>0</v>
      </c>
      <c r="H111" s="64">
        <f>sumifs(Dados!$N:$N,Dados!$B:$B,B111,Dados!$H:$H,$D$1,Dados!$G:$G,$H$4)</f>
        <v>0</v>
      </c>
      <c r="I111" s="64">
        <f>sumifs(Dados!$N:$N,Dados!$B:$B,B111,Dados!$H:$H,$D$1,Dados!$G:$G,$I$4)</f>
        <v>64.67</v>
      </c>
      <c r="J111" s="64">
        <f>sumifs(Dados!$N:$N,Dados!$B:$B,B111,Dados!$H:$H,$D$1,Dados!$G:$G,$J$4)</f>
        <v>12.99</v>
      </c>
      <c r="K111" s="64">
        <f>sumifs(Dados!$N:$N,Dados!$B:$B,B111,Dados!$H:$H,$D$1,Dados!$G:$G,$K$4)</f>
        <v>42.15</v>
      </c>
      <c r="L111" s="64">
        <f>sumifs(Dados!$N:$N,Dados!$B:$B,B111,Dados!$H:$H,$D$1,Dados!$G:$G,$L$4)</f>
        <v>4.25</v>
      </c>
      <c r="M111" s="64">
        <f>sumifs(Dados!$N:$N,Dados!$B:$B,B111,Dados!$H:$H,$D$1,Dados!$G:$G,$M$4)</f>
        <v>0</v>
      </c>
      <c r="N111" s="64">
        <f>sumifs(Dados!$N:$N,Dados!$B:$B,B111,Dados!$H:$H,$D$1,Dados!$G:$G,$N$4)</f>
        <v>0</v>
      </c>
      <c r="O111" s="64">
        <f>sumifs(Dados!$N:$N,Dados!$B:$B,B111,Dados!$H:$H,$D$1,Dados!$G:$G,$O$4)</f>
        <v>0</v>
      </c>
      <c r="P111" s="64">
        <f>sumifs(Dados!$N:$N,Dados!$B:$B,B111,Dados!$H:$H,$D$1,Dados!$G:$G,$P$4)</f>
        <v>0</v>
      </c>
      <c r="Q111" s="64"/>
    </row>
    <row r="112" ht="15.75" customHeight="1">
      <c r="A112" s="74"/>
      <c r="B112" s="59" t="s">
        <v>297</v>
      </c>
      <c r="C112" s="60"/>
      <c r="D112" s="61">
        <f t="shared" si="24"/>
        <v>0</v>
      </c>
      <c r="E112" s="64">
        <f>sumifs(Dados!$N:$N,Dados!$B:$B,B112,Dados!$H:$H,$D$1,Dados!$G:$G,$E$4)</f>
        <v>0</v>
      </c>
      <c r="F112" s="64">
        <f>sumifs(Dados!$N:$N,Dados!$B:$B,B112,Dados!$H:$H,$D$1,Dados!$G:$G,$F$4)</f>
        <v>0</v>
      </c>
      <c r="G112" s="64">
        <f>sumifs(Dados!$N:$N,Dados!$B:$B,B112,Dados!$H:$H,$D$1,Dados!$G:$G,$G$4)</f>
        <v>0</v>
      </c>
      <c r="H112" s="64">
        <f>sumifs(Dados!$N:$N,Dados!$B:$B,B112,Dados!$H:$H,$D$1,Dados!$G:$G,$H$4)</f>
        <v>0</v>
      </c>
      <c r="I112" s="64">
        <f>sumifs(Dados!$N:$N,Dados!$B:$B,B112,Dados!$H:$H,$D$1,Dados!$G:$G,$I$4)</f>
        <v>0</v>
      </c>
      <c r="J112" s="64">
        <f>sumifs(Dados!$N:$N,Dados!$B:$B,B112,Dados!$H:$H,$D$1,Dados!$G:$G,$J$4)</f>
        <v>0</v>
      </c>
      <c r="K112" s="64">
        <f>sumifs(Dados!$N:$N,Dados!$B:$B,B112,Dados!$H:$H,$D$1,Dados!$G:$G,$K$4)</f>
        <v>0</v>
      </c>
      <c r="L112" s="64">
        <f>sumifs(Dados!$N:$N,Dados!$B:$B,B112,Dados!$H:$H,$D$1,Dados!$G:$G,$L$4)</f>
        <v>0</v>
      </c>
      <c r="M112" s="64">
        <f>sumifs(Dados!$N:$N,Dados!$B:$B,B112,Dados!$H:$H,$D$1,Dados!$G:$G,$M$4)</f>
        <v>0</v>
      </c>
      <c r="N112" s="64">
        <f>sumifs(Dados!$N:$N,Dados!$B:$B,B112,Dados!$H:$H,$D$1,Dados!$G:$G,$N$4)</f>
        <v>0</v>
      </c>
      <c r="O112" s="64">
        <f>sumifs(Dados!$N:$N,Dados!$B:$B,B112,Dados!$H:$H,$D$1,Dados!$G:$G,$O$4)</f>
        <v>0</v>
      </c>
      <c r="P112" s="64">
        <f>sumifs(Dados!$N:$N,Dados!$B:$B,B112,Dados!$H:$H,$D$1,Dados!$G:$G,$P$4)</f>
        <v>0</v>
      </c>
      <c r="Q112" s="64"/>
    </row>
    <row r="113" ht="15.75" customHeight="1">
      <c r="A113" s="27"/>
      <c r="B113" s="59" t="s">
        <v>298</v>
      </c>
      <c r="C113" s="60"/>
      <c r="D113" s="61">
        <f t="shared" si="24"/>
        <v>0</v>
      </c>
      <c r="E113" s="64">
        <f>sumifs(Dados!$N:$N,Dados!$B:$B,B113,Dados!$H:$H,$D$1,Dados!$G:$G,$E$4)</f>
        <v>0</v>
      </c>
      <c r="F113" s="64">
        <f>sumifs(Dados!$N:$N,Dados!$B:$B,B113,Dados!$H:$H,$D$1,Dados!$G:$G,$F$4)</f>
        <v>0</v>
      </c>
      <c r="G113" s="64">
        <f>sumifs(Dados!$N:$N,Dados!$B:$B,B113,Dados!$H:$H,$D$1,Dados!$G:$G,$G$4)</f>
        <v>0</v>
      </c>
      <c r="H113" s="64">
        <f>sumifs(Dados!$N:$N,Dados!$B:$B,B113,Dados!$H:$H,$D$1,Dados!$G:$G,$H$4)</f>
        <v>0</v>
      </c>
      <c r="I113" s="64">
        <f>sumifs(Dados!$N:$N,Dados!$B:$B,B113,Dados!$H:$H,$D$1,Dados!$G:$G,$I$4)</f>
        <v>0</v>
      </c>
      <c r="J113" s="64">
        <f>sumifs(Dados!$N:$N,Dados!$B:$B,B113,Dados!$H:$H,$D$1,Dados!$G:$G,$J$4)</f>
        <v>0</v>
      </c>
      <c r="K113" s="64">
        <f>sumifs(Dados!$N:$N,Dados!$B:$B,B113,Dados!$H:$H,$D$1,Dados!$G:$G,$K$4)</f>
        <v>0</v>
      </c>
      <c r="L113" s="64">
        <f>sumifs(Dados!$N:$N,Dados!$B:$B,B113,Dados!$H:$H,$D$1,Dados!$G:$G,$L$4)</f>
        <v>0</v>
      </c>
      <c r="M113" s="64">
        <f>sumifs(Dados!$N:$N,Dados!$B:$B,B113,Dados!$H:$H,$D$1,Dados!$G:$G,$M$4)</f>
        <v>0</v>
      </c>
      <c r="N113" s="64">
        <f>sumifs(Dados!$N:$N,Dados!$B:$B,B113,Dados!$H:$H,$D$1,Dados!$G:$G,$N$4)</f>
        <v>0</v>
      </c>
      <c r="O113" s="64">
        <f>sumifs(Dados!$N:$N,Dados!$B:$B,B113,Dados!$H:$H,$D$1,Dados!$G:$G,$O$4)</f>
        <v>0</v>
      </c>
      <c r="P113" s="64">
        <f>sumifs(Dados!$N:$N,Dados!$B:$B,B113,Dados!$H:$H,$D$1,Dados!$G:$G,$P$4)</f>
        <v>0</v>
      </c>
      <c r="Q113" s="64"/>
    </row>
    <row r="114" ht="15.75" customHeight="1">
      <c r="A114" s="58"/>
      <c r="B114" s="59" t="s">
        <v>299</v>
      </c>
      <c r="C114" s="60"/>
      <c r="D114" s="61">
        <f t="shared" si="24"/>
        <v>240.1</v>
      </c>
      <c r="E114" s="64">
        <f>sumifs(Dados!$N:$N,Dados!$B:$B,B114,Dados!$H:$H,$D$1,Dados!$G:$G,$E$4)</f>
        <v>0</v>
      </c>
      <c r="F114" s="64">
        <f>sumifs(Dados!$N:$N,Dados!$B:$B,B114,Dados!$H:$H,$D$1,Dados!$G:$G,$F$4)</f>
        <v>0</v>
      </c>
      <c r="G114" s="64">
        <f>sumifs(Dados!$N:$N,Dados!$B:$B,B114,Dados!$H:$H,$D$1,Dados!$G:$G,$G$4)</f>
        <v>0</v>
      </c>
      <c r="H114" s="64">
        <f>sumifs(Dados!$N:$N,Dados!$B:$B,B114,Dados!$H:$H,$D$1,Dados!$G:$G,$H$4)</f>
        <v>0</v>
      </c>
      <c r="I114" s="64">
        <f>sumifs(Dados!$N:$N,Dados!$B:$B,B114,Dados!$H:$H,$D$1,Dados!$G:$G,$I$4)</f>
        <v>0</v>
      </c>
      <c r="J114" s="64">
        <f>sumifs(Dados!$N:$N,Dados!$B:$B,B114,Dados!$H:$H,$D$1,Dados!$G:$G,$J$4)</f>
        <v>0</v>
      </c>
      <c r="K114" s="64">
        <f>sumifs(Dados!$N:$N,Dados!$B:$B,B114,Dados!$H:$H,$D$1,Dados!$G:$G,$K$4)</f>
        <v>0</v>
      </c>
      <c r="L114" s="64">
        <f>sumifs(Dados!$N:$N,Dados!$B:$B,B114,Dados!$H:$H,$D$1,Dados!$G:$G,$L$4)</f>
        <v>218.9</v>
      </c>
      <c r="M114" s="64">
        <f>sumifs(Dados!$N:$N,Dados!$B:$B,B114,Dados!$H:$H,$D$1,Dados!$G:$G,$M$4)</f>
        <v>21.2</v>
      </c>
      <c r="N114" s="64">
        <f>sumifs(Dados!$N:$N,Dados!$B:$B,B114,Dados!$H:$H,$D$1,Dados!$G:$G,$N$4)</f>
        <v>0</v>
      </c>
      <c r="O114" s="64">
        <f>sumifs(Dados!$N:$N,Dados!$B:$B,B114,Dados!$H:$H,$D$1,Dados!$G:$G,$O$4)</f>
        <v>0</v>
      </c>
      <c r="P114" s="64">
        <f>sumifs(Dados!$N:$N,Dados!$B:$B,B114,Dados!$H:$H,$D$1,Dados!$G:$G,$P$4)</f>
        <v>0</v>
      </c>
      <c r="Q114" s="64"/>
    </row>
    <row r="115" ht="15.75" customHeight="1">
      <c r="A115" s="109"/>
      <c r="B115" s="59" t="s">
        <v>300</v>
      </c>
      <c r="C115" s="60"/>
      <c r="D115" s="61">
        <f t="shared" si="24"/>
        <v>0</v>
      </c>
      <c r="E115" s="64">
        <f>sumifs(Dados!$N:$N,Dados!$B:$B,B115,Dados!$H:$H,$D$1,Dados!$G:$G,$E$4)</f>
        <v>0</v>
      </c>
      <c r="F115" s="64">
        <f>sumifs(Dados!$N:$N,Dados!$B:$B,B115,Dados!$H:$H,$D$1,Dados!$G:$G,$F$4)</f>
        <v>0</v>
      </c>
      <c r="G115" s="64">
        <f>sumifs(Dados!$N:$N,Dados!$B:$B,B115,Dados!$H:$H,$D$1,Dados!$G:$G,$G$4)</f>
        <v>0</v>
      </c>
      <c r="H115" s="64">
        <f>sumifs(Dados!$N:$N,Dados!$B:$B,B115,Dados!$H:$H,$D$1,Dados!$G:$G,$H$4)</f>
        <v>0</v>
      </c>
      <c r="I115" s="64">
        <f>sumifs(Dados!$N:$N,Dados!$B:$B,B115,Dados!$H:$H,$D$1,Dados!$G:$G,$I$4)</f>
        <v>0</v>
      </c>
      <c r="J115" s="64">
        <f>sumifs(Dados!$N:$N,Dados!$B:$B,B115,Dados!$H:$H,$D$1,Dados!$G:$G,$J$4)</f>
        <v>0</v>
      </c>
      <c r="K115" s="64">
        <f>sumifs(Dados!$N:$N,Dados!$B:$B,B115,Dados!$H:$H,$D$1,Dados!$G:$G,$K$4)</f>
        <v>0</v>
      </c>
      <c r="L115" s="64">
        <f>sumifs(Dados!$N:$N,Dados!$B:$B,B115,Dados!$H:$H,$D$1,Dados!$G:$G,$L$4)</f>
        <v>0</v>
      </c>
      <c r="M115" s="64">
        <f>sumifs(Dados!$N:$N,Dados!$B:$B,B115,Dados!$H:$H,$D$1,Dados!$G:$G,$M$4)</f>
        <v>0</v>
      </c>
      <c r="N115" s="64">
        <f>sumifs(Dados!$N:$N,Dados!$B:$B,B115,Dados!$H:$H,$D$1,Dados!$G:$G,$N$4)</f>
        <v>0</v>
      </c>
      <c r="O115" s="64">
        <f>sumifs(Dados!$N:$N,Dados!$B:$B,B115,Dados!$H:$H,$D$1,Dados!$G:$G,$O$4)</f>
        <v>0</v>
      </c>
      <c r="P115" s="64">
        <f>sumifs(Dados!$N:$N,Dados!$B:$B,B115,Dados!$H:$H,$D$1,Dados!$G:$G,$P$4)</f>
        <v>0</v>
      </c>
      <c r="Q115" s="64"/>
    </row>
    <row r="116" ht="15.75" customHeight="1">
      <c r="A116" s="88" t="s">
        <v>175</v>
      </c>
      <c r="B116" s="89">
        <f>sumifs(Dados!$N:$N,Dados!$A:$A,A116,Dados!$H:$H,$D$1)</f>
        <v>364.16</v>
      </c>
      <c r="C116" s="90">
        <f>B116-D116</f>
        <v>0</v>
      </c>
      <c r="D116" s="89">
        <f t="shared" ref="D116:P116" si="25">SUM(D109:D115)</f>
        <v>364.16</v>
      </c>
      <c r="E116" s="89">
        <f t="shared" si="25"/>
        <v>0</v>
      </c>
      <c r="F116" s="89">
        <f t="shared" si="25"/>
        <v>0</v>
      </c>
      <c r="G116" s="89">
        <f t="shared" si="25"/>
        <v>0</v>
      </c>
      <c r="H116" s="89">
        <f t="shared" si="25"/>
        <v>0</v>
      </c>
      <c r="I116" s="89">
        <f t="shared" si="25"/>
        <v>64.67</v>
      </c>
      <c r="J116" s="89">
        <f t="shared" si="25"/>
        <v>12.99</v>
      </c>
      <c r="K116" s="89">
        <f t="shared" si="25"/>
        <v>42.15</v>
      </c>
      <c r="L116" s="89">
        <f t="shared" si="25"/>
        <v>223.15</v>
      </c>
      <c r="M116" s="89">
        <f t="shared" si="25"/>
        <v>21.2</v>
      </c>
      <c r="N116" s="89">
        <f t="shared" si="25"/>
        <v>0</v>
      </c>
      <c r="O116" s="89">
        <f t="shared" si="25"/>
        <v>0</v>
      </c>
      <c r="P116" s="89">
        <f t="shared" si="25"/>
        <v>0</v>
      </c>
      <c r="Q116" s="89"/>
    </row>
    <row r="117" ht="15.75" customHeight="1">
      <c r="A117" s="58"/>
      <c r="B117" s="59" t="s">
        <v>301</v>
      </c>
      <c r="C117" s="60"/>
      <c r="D117" s="61">
        <f t="shared" ref="D117:D128" si="26">SUM(E117:P117)</f>
        <v>0</v>
      </c>
      <c r="E117" s="64">
        <f>sumifs(Dados!$N:$N,Dados!$B:$B,B117,Dados!$H:$H,$D$1,Dados!$G:$G,$E$4)</f>
        <v>0</v>
      </c>
      <c r="F117" s="64">
        <f>sumifs(Dados!$N:$N,Dados!$B:$B,B117,Dados!$H:$H,$D$1,Dados!$G:$G,$F$4)</f>
        <v>0</v>
      </c>
      <c r="G117" s="64">
        <f>sumifs(Dados!$N:$N,Dados!$B:$B,B117,Dados!$H:$H,$D$1,Dados!$G:$G,$G$4)</f>
        <v>0</v>
      </c>
      <c r="H117" s="64">
        <f>sumifs(Dados!$N:$N,Dados!$B:$B,B117,Dados!$H:$H,$D$1,Dados!$G:$G,$H$4)</f>
        <v>0</v>
      </c>
      <c r="I117" s="64">
        <f>sumifs(Dados!$N:$N,Dados!$B:$B,B117,Dados!$H:$H,$D$1,Dados!$G:$G,$I$4)</f>
        <v>0</v>
      </c>
      <c r="J117" s="64">
        <f>sumifs(Dados!$N:$N,Dados!$B:$B,B117,Dados!$H:$H,$D$1,Dados!$G:$G,$J$4)</f>
        <v>0</v>
      </c>
      <c r="K117" s="64">
        <f>sumifs(Dados!$N:$N,Dados!$B:$B,B117,Dados!$H:$H,$D$1,Dados!$G:$G,$K$4)</f>
        <v>0</v>
      </c>
      <c r="L117" s="64">
        <f>sumifs(Dados!$N:$N,Dados!$B:$B,B117,Dados!$H:$H,$D$1,Dados!$G:$G,$L$4)</f>
        <v>0</v>
      </c>
      <c r="M117" s="64">
        <f>sumifs(Dados!$N:$N,Dados!$B:$B,B117,Dados!$H:$H,$D$1,Dados!$G:$G,$M$4)</f>
        <v>0</v>
      </c>
      <c r="N117" s="64">
        <f>sumifs(Dados!$N:$N,Dados!$B:$B,B117,Dados!$H:$H,$D$1,Dados!$G:$G,$N$4)</f>
        <v>0</v>
      </c>
      <c r="O117" s="64">
        <f>sumifs(Dados!$N:$N,Dados!$B:$B,B117,Dados!$H:$H,$D$1,Dados!$G:$G,$O$4)</f>
        <v>0</v>
      </c>
      <c r="P117" s="64">
        <f>sumifs(Dados!$N:$N,Dados!$B:$B,B117,Dados!$H:$H,$D$1,Dados!$G:$G,$P$4)</f>
        <v>0</v>
      </c>
      <c r="Q117" s="64"/>
    </row>
    <row r="118" ht="15.75" customHeight="1">
      <c r="A118" s="58"/>
      <c r="B118" s="59" t="s">
        <v>302</v>
      </c>
      <c r="C118" s="60"/>
      <c r="D118" s="61">
        <f t="shared" si="26"/>
        <v>0</v>
      </c>
      <c r="E118" s="64">
        <f>sumifs(Dados!$N:$N,Dados!$B:$B,B118,Dados!$H:$H,$D$1,Dados!$G:$G,$E$4)</f>
        <v>0</v>
      </c>
      <c r="F118" s="64">
        <f>sumifs(Dados!$N:$N,Dados!$B:$B,B118,Dados!$H:$H,$D$1,Dados!$G:$G,$F$4)</f>
        <v>0</v>
      </c>
      <c r="G118" s="64">
        <f>sumifs(Dados!$N:$N,Dados!$B:$B,B118,Dados!$H:$H,$D$1,Dados!$G:$G,$G$4)</f>
        <v>0</v>
      </c>
      <c r="H118" s="64">
        <f>sumifs(Dados!$N:$N,Dados!$B:$B,B118,Dados!$H:$H,$D$1,Dados!$G:$G,$H$4)</f>
        <v>0</v>
      </c>
      <c r="I118" s="64">
        <f>sumifs(Dados!$N:$N,Dados!$B:$B,B118,Dados!$H:$H,$D$1,Dados!$G:$G,$I$4)</f>
        <v>0</v>
      </c>
      <c r="J118" s="64">
        <f>sumifs(Dados!$N:$N,Dados!$B:$B,B118,Dados!$H:$H,$D$1,Dados!$G:$G,$J$4)</f>
        <v>0</v>
      </c>
      <c r="K118" s="64">
        <f>sumifs(Dados!$N:$N,Dados!$B:$B,B118,Dados!$H:$H,$D$1,Dados!$G:$G,$K$4)</f>
        <v>0</v>
      </c>
      <c r="L118" s="64">
        <f>sumifs(Dados!$N:$N,Dados!$B:$B,B118,Dados!$H:$H,$D$1,Dados!$G:$G,$L$4)</f>
        <v>0</v>
      </c>
      <c r="M118" s="64">
        <f>sumifs(Dados!$N:$N,Dados!$B:$B,B118,Dados!$H:$H,$D$1,Dados!$G:$G,$M$4)</f>
        <v>0</v>
      </c>
      <c r="N118" s="64">
        <f>sumifs(Dados!$N:$N,Dados!$B:$B,B118,Dados!$H:$H,$D$1,Dados!$G:$G,$N$4)</f>
        <v>0</v>
      </c>
      <c r="O118" s="64">
        <f>sumifs(Dados!$N:$N,Dados!$B:$B,B118,Dados!$H:$H,$D$1,Dados!$G:$G,$O$4)</f>
        <v>0</v>
      </c>
      <c r="P118" s="64">
        <f>sumifs(Dados!$N:$N,Dados!$B:$B,B118,Dados!$H:$H,$D$1,Dados!$G:$G,$P$4)</f>
        <v>0</v>
      </c>
      <c r="Q118" s="64"/>
    </row>
    <row r="119" ht="15.75" customHeight="1">
      <c r="A119" s="58"/>
      <c r="B119" s="59" t="s">
        <v>303</v>
      </c>
      <c r="C119" s="60"/>
      <c r="D119" s="61">
        <f t="shared" si="26"/>
        <v>0</v>
      </c>
      <c r="E119" s="64">
        <f>sumifs(Dados!$N:$N,Dados!$B:$B,B119,Dados!$H:$H,$D$1,Dados!$G:$G,$E$4)</f>
        <v>0</v>
      </c>
      <c r="F119" s="64">
        <f>sumifs(Dados!$N:$N,Dados!$B:$B,B119,Dados!$H:$H,$D$1,Dados!$G:$G,$F$4)</f>
        <v>0</v>
      </c>
      <c r="G119" s="64">
        <f>sumifs(Dados!$N:$N,Dados!$B:$B,B119,Dados!$H:$H,$D$1,Dados!$G:$G,$G$4)</f>
        <v>0</v>
      </c>
      <c r="H119" s="64">
        <f>sumifs(Dados!$N:$N,Dados!$B:$B,B119,Dados!$H:$H,$D$1,Dados!$G:$G,$H$4)</f>
        <v>0</v>
      </c>
      <c r="I119" s="64">
        <f>sumifs(Dados!$N:$N,Dados!$B:$B,B119,Dados!$H:$H,$D$1,Dados!$G:$G,$I$4)</f>
        <v>0</v>
      </c>
      <c r="J119" s="64">
        <f>sumifs(Dados!$N:$N,Dados!$B:$B,B119,Dados!$H:$H,$D$1,Dados!$G:$G,$J$4)</f>
        <v>0</v>
      </c>
      <c r="K119" s="64">
        <f>sumifs(Dados!$N:$N,Dados!$B:$B,B119,Dados!$H:$H,$D$1,Dados!$G:$G,$K$4)</f>
        <v>0</v>
      </c>
      <c r="L119" s="64">
        <f>sumifs(Dados!$N:$N,Dados!$B:$B,B119,Dados!$H:$H,$D$1,Dados!$G:$G,$L$4)</f>
        <v>0</v>
      </c>
      <c r="M119" s="64">
        <f>sumifs(Dados!$N:$N,Dados!$B:$B,B119,Dados!$H:$H,$D$1,Dados!$G:$G,$M$4)</f>
        <v>0</v>
      </c>
      <c r="N119" s="64">
        <f>sumifs(Dados!$N:$N,Dados!$B:$B,B119,Dados!$H:$H,$D$1,Dados!$G:$G,$N$4)</f>
        <v>0</v>
      </c>
      <c r="O119" s="64">
        <f>sumifs(Dados!$N:$N,Dados!$B:$B,B119,Dados!$H:$H,$D$1,Dados!$G:$G,$O$4)</f>
        <v>0</v>
      </c>
      <c r="P119" s="64">
        <f>sumifs(Dados!$N:$N,Dados!$B:$B,B119,Dados!$H:$H,$D$1,Dados!$G:$G,$P$4)</f>
        <v>0</v>
      </c>
      <c r="Q119" s="64"/>
    </row>
    <row r="120" ht="15.75" customHeight="1">
      <c r="A120" s="74"/>
      <c r="B120" s="59" t="s">
        <v>154</v>
      </c>
      <c r="C120" s="60"/>
      <c r="D120" s="61">
        <f t="shared" si="26"/>
        <v>9743.2</v>
      </c>
      <c r="E120" s="64">
        <f>sumifs(Dados!$N:$N,Dados!$B:$B,$B$120,Dados!$H:$H,$D$1,Dados!$G:$G,E4)</f>
        <v>0</v>
      </c>
      <c r="F120" s="64">
        <f>sumifs(Dados!$N:$N,Dados!$B:$B,$B$120,Dados!$H:$H,$D$1,Dados!$G:$G,F4)</f>
        <v>0</v>
      </c>
      <c r="G120" s="64">
        <f>sumifs(Dados!$N:$N,Dados!$B:$B,$B$120,Dados!$H:$H,$D$1,Dados!$G:$G,G4)</f>
        <v>0</v>
      </c>
      <c r="H120" s="64">
        <f>sumifs(Dados!$N:$N,Dados!$B:$B,$B$120,Dados!$H:$H,$D$1,Dados!$G:$G,H4)</f>
        <v>0</v>
      </c>
      <c r="I120" s="64">
        <f>sumifs(Dados!$N:$N,Dados!$B:$B,$B$120,Dados!$H:$H,$D$1,Dados!$G:$G,I4)</f>
        <v>0</v>
      </c>
      <c r="J120" s="64">
        <f>sumifs(Dados!$N:$N,Dados!$B:$B,$B$120,Dados!$H:$H,$D$1,Dados!$G:$G,J4)</f>
        <v>4821.6</v>
      </c>
      <c r="K120" s="64">
        <f>sumifs(Dados!$N:$N,Dados!$B:$B,$B$120,Dados!$H:$H,$D$1,Dados!$G:$G,K4)</f>
        <v>0</v>
      </c>
      <c r="L120" s="64">
        <f>sumifs(Dados!$N:$N,Dados!$B:$B,$B$120,Dados!$H:$H,$D$1,Dados!$G:$G,L4)</f>
        <v>2410.8</v>
      </c>
      <c r="M120" s="64">
        <f>sumifs(Dados!$N:$N,Dados!$B:$B,$B$120,Dados!$H:$H,$D$1,Dados!$G:$G,M4)</f>
        <v>100</v>
      </c>
      <c r="N120" s="64">
        <f>sumifs(Dados!$N:$N,Dados!$B:$B,$B$120,Dados!$H:$H,$D$1,Dados!$G:$G,N4)</f>
        <v>2410.8</v>
      </c>
      <c r="O120" s="64">
        <f>sumifs(Dados!$N:$N,Dados!$B:$B,$B$120,Dados!$H:$H,$D$1,Dados!$G:$G,O4)</f>
        <v>0</v>
      </c>
      <c r="P120" s="64">
        <f>sumifs(Dados!$N:$N,Dados!$B:$B,$B$120,Dados!$H:$H,$D$1,Dados!$G:$G,P4)</f>
        <v>0</v>
      </c>
      <c r="Q120" s="64"/>
    </row>
    <row r="121" ht="15.75" customHeight="1">
      <c r="A121" s="58"/>
      <c r="B121" s="59" t="s">
        <v>304</v>
      </c>
      <c r="C121" s="60"/>
      <c r="D121" s="61">
        <f t="shared" si="26"/>
        <v>0</v>
      </c>
      <c r="E121" s="64">
        <f>sumifs(Dados!$N:$N,Dados!$B:$B,B121,Dados!$H:$H,$D$1,Dados!$G:$G,$E$4)</f>
        <v>0</v>
      </c>
      <c r="F121" s="64">
        <f>sumifs(Dados!$N:$N,Dados!$B:$B,B121,Dados!$H:$H,$D$1,Dados!$G:$G,$F$4)</f>
        <v>0</v>
      </c>
      <c r="G121" s="64">
        <f>sumifs(Dados!$N:$N,Dados!$B:$B,B121,Dados!$H:$H,$D$1,Dados!$G:$G,$G$4)</f>
        <v>0</v>
      </c>
      <c r="H121" s="64">
        <f>sumifs(Dados!$N:$N,Dados!$B:$B,B121,Dados!$H:$H,$D$1,Dados!$G:$G,$H$4)</f>
        <v>0</v>
      </c>
      <c r="I121" s="64">
        <f>sumifs(Dados!$N:$N,Dados!$B:$B,B121,Dados!$H:$H,$D$1,Dados!$G:$G,$I$4)</f>
        <v>0</v>
      </c>
      <c r="J121" s="64">
        <f>sumifs(Dados!$N:$N,Dados!$B:$B,B121,Dados!$H:$H,$D$1,Dados!$G:$G,$J$4)</f>
        <v>0</v>
      </c>
      <c r="K121" s="64">
        <f>sumifs(Dados!$N:$N,Dados!$B:$B,B121,Dados!$H:$H,$D$1,Dados!$G:$G,$K$4)</f>
        <v>0</v>
      </c>
      <c r="L121" s="64">
        <f>sumifs(Dados!$N:$N,Dados!$B:$B,B121,Dados!$H:$H,$D$1,Dados!$G:$G,$L$4)</f>
        <v>0</v>
      </c>
      <c r="M121" s="64">
        <f>sumifs(Dados!$N:$N,Dados!$B:$B,B121,Dados!$H:$H,$D$1,Dados!$G:$G,$M$4)</f>
        <v>0</v>
      </c>
      <c r="N121" s="64">
        <f>sumifs(Dados!$N:$N,Dados!$B:$B,B121,Dados!$H:$H,$D$1,Dados!$G:$G,$N$4)</f>
        <v>0</v>
      </c>
      <c r="O121" s="64">
        <f>sumifs(Dados!$N:$N,Dados!$B:$B,B121,Dados!$H:$H,$D$1,Dados!$G:$G,$O$4)</f>
        <v>0</v>
      </c>
      <c r="P121" s="64">
        <f>sumifs(Dados!$N:$N,Dados!$B:$B,B121,Dados!$H:$H,$D$1,Dados!$G:$G,$P$4)</f>
        <v>0</v>
      </c>
      <c r="Q121" s="64"/>
    </row>
    <row r="122" ht="15.75" customHeight="1">
      <c r="A122" s="58"/>
      <c r="B122" s="59" t="s">
        <v>305</v>
      </c>
      <c r="C122" s="60"/>
      <c r="D122" s="61">
        <f t="shared" si="26"/>
        <v>0</v>
      </c>
      <c r="E122" s="64">
        <f>sumifs(Dados!$N:$N,Dados!$B:$B,B122,Dados!$H:$H,$D$1,Dados!$G:$G,$E$4)</f>
        <v>0</v>
      </c>
      <c r="F122" s="64">
        <f>sumifs(Dados!$N:$N,Dados!$B:$B,B122,Dados!$H:$H,$D$1,Dados!$G:$G,$F$4)</f>
        <v>0</v>
      </c>
      <c r="G122" s="64">
        <f>sumifs(Dados!$N:$N,Dados!$B:$B,B122,Dados!$H:$H,$D$1,Dados!$G:$G,$G$4)</f>
        <v>0</v>
      </c>
      <c r="H122" s="64">
        <f>sumifs(Dados!$N:$N,Dados!$B:$B,B122,Dados!$H:$H,$D$1,Dados!$G:$G,$H$4)</f>
        <v>0</v>
      </c>
      <c r="I122" s="64">
        <f>sumifs(Dados!$N:$N,Dados!$B:$B,B122,Dados!$H:$H,$D$1,Dados!$G:$G,$I$4)</f>
        <v>0</v>
      </c>
      <c r="J122" s="64">
        <f>sumifs(Dados!$N:$N,Dados!$B:$B,B122,Dados!$H:$H,$D$1,Dados!$G:$G,$J$4)</f>
        <v>0</v>
      </c>
      <c r="K122" s="64">
        <f>sumifs(Dados!$N:$N,Dados!$B:$B,B122,Dados!$H:$H,$D$1,Dados!$G:$G,$K$4)</f>
        <v>0</v>
      </c>
      <c r="L122" s="64">
        <f>sumifs(Dados!$N:$N,Dados!$B:$B,B122,Dados!$H:$H,$D$1,Dados!$G:$G,$L$4)</f>
        <v>0</v>
      </c>
      <c r="M122" s="64">
        <f>sumifs(Dados!$N:$N,Dados!$B:$B,B122,Dados!$H:$H,$D$1,Dados!$G:$G,$M$4)</f>
        <v>0</v>
      </c>
      <c r="N122" s="64">
        <f>sumifs(Dados!$N:$N,Dados!$B:$B,B122,Dados!$H:$H,$D$1,Dados!$G:$G,$N$4)</f>
        <v>0</v>
      </c>
      <c r="O122" s="64">
        <f>sumifs(Dados!$N:$N,Dados!$B:$B,B122,Dados!$H:$H,$D$1,Dados!$G:$G,$O$4)</f>
        <v>0</v>
      </c>
      <c r="P122" s="64">
        <f>sumifs(Dados!$N:$N,Dados!$B:$B,B122,Dados!$H:$H,$D$1,Dados!$G:$G,$P$4)</f>
        <v>0</v>
      </c>
      <c r="Q122" s="64"/>
    </row>
    <row r="123" ht="15.75" customHeight="1">
      <c r="A123" s="58"/>
      <c r="B123" s="59" t="s">
        <v>306</v>
      </c>
      <c r="C123" s="60"/>
      <c r="D123" s="61">
        <f t="shared" si="26"/>
        <v>0</v>
      </c>
      <c r="E123" s="64">
        <f>sumifs(Dados!$N:$N,Dados!$B:$B,$B$123,Dados!$H:$H,$D$1,Dados!$G:$G,E4)</f>
        <v>0</v>
      </c>
      <c r="F123" s="64">
        <f>sumifs(Dados!$N:$N,Dados!$B:$B,$B$123,Dados!$H:$H,$D$1,Dados!$G:$G,F4)</f>
        <v>0</v>
      </c>
      <c r="G123" s="64">
        <f>sumifs(Dados!$N:$N,Dados!$B:$B,$B$123,Dados!$H:$H,$D$1,Dados!$G:$G,G4)</f>
        <v>0</v>
      </c>
      <c r="H123" s="64">
        <f>sumifs(Dados!$N:$N,Dados!$B:$B,$B$123,Dados!$H:$H,$D$1,Dados!$G:$G,H4)</f>
        <v>0</v>
      </c>
      <c r="I123" s="64">
        <f>sumifs(Dados!$N:$N,Dados!$B:$B,$B$123,Dados!$H:$H,$D$1,Dados!$G:$G,I4)</f>
        <v>0</v>
      </c>
      <c r="J123" s="64">
        <f>sumifs(Dados!$N:$N,Dados!$B:$B,$B$123,Dados!$H:$H,$D$1,Dados!$G:$G,J4)</f>
        <v>0</v>
      </c>
      <c r="K123" s="64">
        <f>sumifs(Dados!$N:$N,Dados!$B:$B,$B$123,Dados!$H:$H,$D$1,Dados!$G:$G,K4)</f>
        <v>0</v>
      </c>
      <c r="L123" s="64">
        <f>sumifs(Dados!$N:$N,Dados!$B:$B,$B$123,Dados!$H:$H,$D$1,Dados!$G:$G,L4)</f>
        <v>0</v>
      </c>
      <c r="M123" s="64">
        <f>sumifs(Dados!$N:$N,Dados!$B:$B,$B$123,Dados!$H:$H,$D$1,Dados!$G:$G,M4)</f>
        <v>0</v>
      </c>
      <c r="N123" s="64">
        <f>sumifs(Dados!$N:$N,Dados!$B:$B,$B$123,Dados!$H:$H,$D$1,Dados!$G:$G,N4)</f>
        <v>0</v>
      </c>
      <c r="O123" s="64">
        <f>sumifs(Dados!$N:$N,Dados!$B:$B,$B$123,Dados!$H:$H,$D$1,Dados!$G:$G,O4)</f>
        <v>0</v>
      </c>
      <c r="P123" s="64">
        <f>sumifs(Dados!$N:$N,Dados!$B:$B,$B$123,Dados!$H:$H,$D$1,Dados!$G:$G,P4)</f>
        <v>0</v>
      </c>
      <c r="Q123" s="64"/>
    </row>
    <row r="124" ht="15.75" customHeight="1">
      <c r="A124" s="58"/>
      <c r="B124" s="59" t="s">
        <v>307</v>
      </c>
      <c r="C124" s="60"/>
      <c r="D124" s="61">
        <f t="shared" si="26"/>
        <v>0</v>
      </c>
      <c r="E124" s="64">
        <f>sumifs(Dados!$N:$N,Dados!$B:$B,B124,Dados!$H:$H,$D$1,Dados!$G:$G,$E$4)</f>
        <v>0</v>
      </c>
      <c r="F124" s="64">
        <f>sumifs(Dados!$N:$N,Dados!$B:$B,B124,Dados!$H:$H,$D$1,Dados!$G:$G,$F$4)</f>
        <v>0</v>
      </c>
      <c r="G124" s="64">
        <f>sumifs(Dados!$N:$N,Dados!$B:$B,B124,Dados!$H:$H,$D$1,Dados!$G:$G,$G$4)</f>
        <v>0</v>
      </c>
      <c r="H124" s="64">
        <f>sumifs(Dados!$N:$N,Dados!$B:$B,B124,Dados!$H:$H,$D$1,Dados!$G:$G,$H$4)</f>
        <v>0</v>
      </c>
      <c r="I124" s="64">
        <f>sumifs(Dados!$N:$N,Dados!$B:$B,B124,Dados!$H:$H,$D$1,Dados!$G:$G,$I$4)</f>
        <v>0</v>
      </c>
      <c r="J124" s="64">
        <f>sumifs(Dados!$N:$N,Dados!$B:$B,B124,Dados!$H:$H,$D$1,Dados!$G:$G,$J$4)</f>
        <v>0</v>
      </c>
      <c r="K124" s="64">
        <f>sumifs(Dados!$N:$N,Dados!$B:$B,B124,Dados!$H:$H,$D$1,Dados!$G:$G,$K$4)</f>
        <v>0</v>
      </c>
      <c r="L124" s="64">
        <f>sumifs(Dados!$N:$N,Dados!$B:$B,B124,Dados!$H:$H,$D$1,Dados!$G:$G,$L$4)</f>
        <v>0</v>
      </c>
      <c r="M124" s="64">
        <f>sumifs(Dados!$N:$N,Dados!$B:$B,B124,Dados!$H:$H,$D$1,Dados!$G:$G,$M$4)</f>
        <v>0</v>
      </c>
      <c r="N124" s="64">
        <f>sumifs(Dados!$N:$N,Dados!$B:$B,B124,Dados!$H:$H,$D$1,Dados!$G:$G,$N$4)</f>
        <v>0</v>
      </c>
      <c r="O124" s="64">
        <f>sumifs(Dados!$N:$N,Dados!$B:$B,B124,Dados!$H:$H,$D$1,Dados!$G:$G,$O$4)</f>
        <v>0</v>
      </c>
      <c r="P124" s="64">
        <f>sumifs(Dados!$N:$N,Dados!$B:$B,B124,Dados!$H:$H,$D$1,Dados!$G:$G,$P$4)</f>
        <v>0</v>
      </c>
      <c r="Q124" s="64"/>
    </row>
    <row r="125" ht="15.75" customHeight="1">
      <c r="A125" s="58"/>
      <c r="B125" s="59" t="s">
        <v>308</v>
      </c>
      <c r="C125" s="60"/>
      <c r="D125" s="61">
        <f t="shared" si="26"/>
        <v>0</v>
      </c>
      <c r="E125" s="64">
        <f>sumifs(Dados!$N:$N,Dados!$B:$B,B125,Dados!$H:$H,$D$1,Dados!$G:$G,$E$4)</f>
        <v>0</v>
      </c>
      <c r="F125" s="64">
        <f>sumifs(Dados!$N:$N,Dados!$B:$B,B125,Dados!$H:$H,$D$1,Dados!$G:$G,$F$4)</f>
        <v>0</v>
      </c>
      <c r="G125" s="64">
        <f>sumifs(Dados!$N:$N,Dados!$B:$B,B125,Dados!$H:$H,$D$1,Dados!$G:$G,$G$4)</f>
        <v>0</v>
      </c>
      <c r="H125" s="64">
        <f>sumifs(Dados!$N:$N,Dados!$B:$B,B125,Dados!$H:$H,$D$1,Dados!$G:$G,$H$4)</f>
        <v>0</v>
      </c>
      <c r="I125" s="64">
        <f>sumifs(Dados!$N:$N,Dados!$B:$B,B125,Dados!$H:$H,$D$1,Dados!$G:$G,$I$4)</f>
        <v>0</v>
      </c>
      <c r="J125" s="64">
        <f>sumifs(Dados!$N:$N,Dados!$B:$B,B125,Dados!$H:$H,$D$1,Dados!$G:$G,$J$4)</f>
        <v>0</v>
      </c>
      <c r="K125" s="64">
        <f>sumifs(Dados!$N:$N,Dados!$B:$B,B125,Dados!$H:$H,$D$1,Dados!$G:$G,$K$4)</f>
        <v>0</v>
      </c>
      <c r="L125" s="64">
        <f>sumifs(Dados!$N:$N,Dados!$B:$B,B125,Dados!$H:$H,$D$1,Dados!$G:$G,$L$4)</f>
        <v>0</v>
      </c>
      <c r="M125" s="64">
        <f>sumifs(Dados!$N:$N,Dados!$B:$B,B125,Dados!$H:$H,$D$1,Dados!$G:$G,$M$4)</f>
        <v>0</v>
      </c>
      <c r="N125" s="64">
        <f>sumifs(Dados!$N:$N,Dados!$B:$B,B125,Dados!$H:$H,$D$1,Dados!$G:$G,$N$4)</f>
        <v>0</v>
      </c>
      <c r="O125" s="64">
        <f>sumifs(Dados!$N:$N,Dados!$B:$B,B125,Dados!$H:$H,$D$1,Dados!$G:$G,$O$4)</f>
        <v>0</v>
      </c>
      <c r="P125" s="64">
        <f>sumifs(Dados!$N:$N,Dados!$B:$B,B125,Dados!$H:$H,$D$1,Dados!$G:$G,$P$4)</f>
        <v>0</v>
      </c>
      <c r="Q125" s="64"/>
    </row>
    <row r="126" ht="15.75" customHeight="1">
      <c r="A126" s="58"/>
      <c r="B126" s="59" t="s">
        <v>309</v>
      </c>
      <c r="C126" s="60"/>
      <c r="D126" s="61">
        <f t="shared" si="26"/>
        <v>4977.5</v>
      </c>
      <c r="E126" s="64">
        <f>sumifs(Dados!$N:$N,Dados!$B:$B,$B$126,Dados!$H:$H,$D$1,Dados!$G:$G,E4)</f>
        <v>0</v>
      </c>
      <c r="F126" s="64">
        <f>sumifs(Dados!$N:$N,Dados!$B:$B,$B$126,Dados!$H:$H,$D$1,Dados!$G:$G,F4)</f>
        <v>0</v>
      </c>
      <c r="G126" s="64">
        <f>sumifs(Dados!$N:$N,Dados!$B:$B,$B$126,Dados!$H:$H,$D$1,Dados!$G:$G,G4)</f>
        <v>0</v>
      </c>
      <c r="H126" s="64">
        <f>sumifs(Dados!$N:$N,Dados!$B:$B,$B$126,Dados!$H:$H,$D$1,Dados!$G:$G,H4)</f>
        <v>0</v>
      </c>
      <c r="I126" s="64">
        <f>sumifs(Dados!$N:$N,Dados!$B:$B,$B$126,Dados!$H:$H,$D$1,Dados!$G:$G,I4)</f>
        <v>0</v>
      </c>
      <c r="J126" s="64">
        <f>sumifs(Dados!$N:$N,Dados!$B:$B,$B$126,Dados!$H:$H,$D$1,Dados!$G:$G,J4)</f>
        <v>752.5</v>
      </c>
      <c r="K126" s="64">
        <f>sumifs(Dados!$N:$N,Dados!$B:$B,$B$126,Dados!$H:$H,$D$1,Dados!$G:$G,K4)</f>
        <v>0</v>
      </c>
      <c r="L126" s="64">
        <f>sumifs(Dados!$N:$N,Dados!$B:$B,$B$126,Dados!$H:$H,$D$1,Dados!$G:$G,L4)</f>
        <v>2150</v>
      </c>
      <c r="M126" s="64">
        <f>sumifs(Dados!$N:$N,Dados!$B:$B,$B$126,Dados!$H:$H,$D$1,Dados!$G:$G,M4)</f>
        <v>175</v>
      </c>
      <c r="N126" s="64">
        <f>sumifs(Dados!$N:$N,Dados!$B:$B,$B$126,Dados!$H:$H,$D$1,Dados!$G:$G,N4)</f>
        <v>1900</v>
      </c>
      <c r="O126" s="64">
        <f>sumifs(Dados!$N:$N,Dados!$B:$B,$B$126,Dados!$H:$H,$D$1,Dados!$G:$G,O4)</f>
        <v>0</v>
      </c>
      <c r="P126" s="64">
        <f>sumifs(Dados!$N:$N,Dados!$B:$B,$B$126,Dados!$H:$H,$D$1,Dados!$G:$G,P4)</f>
        <v>0</v>
      </c>
      <c r="Q126" s="64"/>
    </row>
    <row r="127" ht="15.75" customHeight="1">
      <c r="A127" s="58"/>
      <c r="B127" s="59" t="s">
        <v>310</v>
      </c>
      <c r="C127" s="60"/>
      <c r="D127" s="61">
        <f t="shared" si="26"/>
        <v>7595</v>
      </c>
      <c r="E127" s="64">
        <f>sumifs(Dados!$N:$N,Dados!$B:$B,B127,Dados!$H:$H,$D$1,Dados!$G:$G,$E$4)</f>
        <v>0</v>
      </c>
      <c r="F127" s="64">
        <f>sumifs(Dados!$N:$N,Dados!$B:$B,B127,Dados!$H:$H,$D$1,Dados!$G:$G,$F$4)</f>
        <v>0</v>
      </c>
      <c r="G127" s="64">
        <f>sumifs(Dados!$N:$N,Dados!$B:$B,B127,Dados!$H:$H,$D$1,Dados!$G:$G,$G$4)</f>
        <v>0</v>
      </c>
      <c r="H127" s="64">
        <f>sumifs(Dados!$N:$N,Dados!$B:$B,B127,Dados!$H:$H,$D$1,Dados!$G:$G,$H$4)</f>
        <v>0</v>
      </c>
      <c r="I127" s="64">
        <f>sumifs(Dados!$N:$N,Dados!$B:$B,B127,Dados!$H:$H,$D$1,Dados!$G:$G,$I$4)</f>
        <v>1000</v>
      </c>
      <c r="J127" s="64">
        <f>sumifs(Dados!$N:$N,Dados!$B:$B,B127,Dados!$H:$H,$D$1,Dados!$G:$G,$J$4)</f>
        <v>1490</v>
      </c>
      <c r="K127" s="64">
        <f>sumifs(Dados!$N:$N,Dados!$B:$B,B127,Dados!$H:$H,$D$1,Dados!$G:$G,$K$4)</f>
        <v>2285</v>
      </c>
      <c r="L127" s="64">
        <f>sumifs(Dados!$N:$N,Dados!$B:$B,B127,Dados!$H:$H,$D$1,Dados!$G:$G,$L$4)</f>
        <v>1420</v>
      </c>
      <c r="M127" s="64">
        <f>sumifs(Dados!$N:$N,Dados!$B:$B,B127,Dados!$H:$H,$D$1,Dados!$G:$G,$M$4)</f>
        <v>1400</v>
      </c>
      <c r="N127" s="64">
        <f>sumifs(Dados!$N:$N,Dados!$B:$B,B127,Dados!$H:$H,$D$1,Dados!$G:$G,$N$4)</f>
        <v>0</v>
      </c>
      <c r="O127" s="64">
        <f>sumifs(Dados!$N:$N,Dados!$B:$B,B127,Dados!$H:$H,$D$1,Dados!$G:$G,$O$4)</f>
        <v>0</v>
      </c>
      <c r="P127" s="64">
        <f>sumifs(Dados!$N:$N,Dados!$B:$B,B127,Dados!$H:$H,$D$1,Dados!$G:$G,$P$4)</f>
        <v>0</v>
      </c>
      <c r="Q127" s="64"/>
    </row>
    <row r="128" ht="15.75" customHeight="1">
      <c r="A128" s="58"/>
      <c r="B128" s="59" t="s">
        <v>311</v>
      </c>
      <c r="C128" s="60"/>
      <c r="D128" s="61">
        <f t="shared" si="26"/>
        <v>18400.65</v>
      </c>
      <c r="E128" s="64">
        <f>sumifs(Dados!$N:$N,Dados!$B:$B,B128,Dados!$H:$H,$D$1,Dados!$G:$G,$E$4)</f>
        <v>0</v>
      </c>
      <c r="F128" s="64">
        <f>sumifs(Dados!$N:$N,Dados!$B:$B,B128,Dados!$H:$H,$D$1,Dados!$G:$G,$F$4)</f>
        <v>0</v>
      </c>
      <c r="G128" s="64">
        <f>sumifs(Dados!$N:$N,Dados!$B:$B,B128,Dados!$H:$H,$D$1,Dados!$G:$G,$G$4)</f>
        <v>0</v>
      </c>
      <c r="H128" s="64">
        <f>sumifs(Dados!$N:$N,Dados!$B:$B,B128,Dados!$H:$H,$D$1,Dados!$G:$G,$H$4)</f>
        <v>0</v>
      </c>
      <c r="I128" s="64">
        <f>sumifs(Dados!$N:$N,Dados!$B:$B,B128,Dados!$H:$H,$D$1,Dados!$G:$G,$I$4)</f>
        <v>1930</v>
      </c>
      <c r="J128" s="64">
        <f>sumifs(Dados!$N:$N,Dados!$B:$B,B128,Dados!$H:$H,$D$1,Dados!$G:$G,$J$4)</f>
        <v>2850.27</v>
      </c>
      <c r="K128" s="64">
        <f>sumifs(Dados!$N:$N,Dados!$B:$B,B128,Dados!$H:$H,$D$1,Dados!$G:$G,$K$4)</f>
        <v>6529.58</v>
      </c>
      <c r="L128" s="64">
        <f>sumifs(Dados!$N:$N,Dados!$B:$B,B128,Dados!$H:$H,$D$1,Dados!$G:$G,$L$4)</f>
        <v>4810.8</v>
      </c>
      <c r="M128" s="64">
        <f>sumifs(Dados!$N:$N,Dados!$B:$B,B128,Dados!$H:$H,$D$1,Dados!$G:$G,$M$4)</f>
        <v>1325</v>
      </c>
      <c r="N128" s="64">
        <f>sumifs(Dados!$N:$N,Dados!$B:$B,B128,Dados!$H:$H,$D$1,Dados!$G:$G,$N$4)</f>
        <v>955</v>
      </c>
      <c r="O128" s="64">
        <f>sumifs(Dados!$N:$N,Dados!$B:$B,B128,Dados!$H:$H,$D$1,Dados!$G:$G,$O$4)</f>
        <v>0</v>
      </c>
      <c r="P128" s="64">
        <f>sumifs(Dados!$N:$N,Dados!$B:$B,B128,Dados!$H:$H,$D$1,Dados!$G:$G,$P$4)</f>
        <v>0</v>
      </c>
      <c r="Q128" s="64"/>
    </row>
    <row r="129" ht="15.75" customHeight="1">
      <c r="A129" s="88" t="s">
        <v>178</v>
      </c>
      <c r="B129" s="89">
        <f>sumifs(Dados!$N:$N,Dados!$A:$A,A129,Dados!$H:$H,$D$1)</f>
        <v>40716.35</v>
      </c>
      <c r="C129" s="90">
        <f>B129-D129</f>
        <v>0</v>
      </c>
      <c r="D129" s="89">
        <f t="shared" ref="D129:P129" si="27">SUM(D117:D128)</f>
        <v>40716.35</v>
      </c>
      <c r="E129" s="89">
        <f t="shared" si="27"/>
        <v>0</v>
      </c>
      <c r="F129" s="89">
        <f t="shared" si="27"/>
        <v>0</v>
      </c>
      <c r="G129" s="89">
        <f t="shared" si="27"/>
        <v>0</v>
      </c>
      <c r="H129" s="89">
        <f t="shared" si="27"/>
        <v>0</v>
      </c>
      <c r="I129" s="89">
        <f t="shared" si="27"/>
        <v>2930</v>
      </c>
      <c r="J129" s="89">
        <f t="shared" si="27"/>
        <v>9914.37</v>
      </c>
      <c r="K129" s="89">
        <f t="shared" si="27"/>
        <v>8814.58</v>
      </c>
      <c r="L129" s="89">
        <f t="shared" si="27"/>
        <v>10791.6</v>
      </c>
      <c r="M129" s="89">
        <f t="shared" si="27"/>
        <v>3000</v>
      </c>
      <c r="N129" s="89">
        <f t="shared" si="27"/>
        <v>5265.8</v>
      </c>
      <c r="O129" s="89">
        <f t="shared" si="27"/>
        <v>0</v>
      </c>
      <c r="P129" s="89">
        <f t="shared" si="27"/>
        <v>0</v>
      </c>
      <c r="Q129" s="89"/>
    </row>
    <row r="130" ht="15.75" customHeight="1">
      <c r="A130" s="58"/>
      <c r="B130" s="58" t="s">
        <v>312</v>
      </c>
      <c r="C130" s="60"/>
      <c r="D130" s="61">
        <f t="shared" ref="D130:D135" si="28">SUM(E130:P130)</f>
        <v>0</v>
      </c>
      <c r="E130" s="64">
        <f>sumifs(Dados!$N:$N,Dados!$B:$B,B130,Dados!$H:$H,$D$1,Dados!$G:$G,$E$4)</f>
        <v>0</v>
      </c>
      <c r="F130" s="64">
        <f>sumifs(Dados!$N:$N,Dados!$B:$B,B130,Dados!$H:$H,$D$1,Dados!$G:$G,$F$4)</f>
        <v>0</v>
      </c>
      <c r="G130" s="64">
        <f>sumifs(Dados!$N:$N,Dados!$B:$B,B130,Dados!$H:$H,$D$1,Dados!$G:$G,$G$4)</f>
        <v>0</v>
      </c>
      <c r="H130" s="64">
        <f>sumifs(Dados!$N:$N,Dados!$B:$B,B130,Dados!$H:$H,$D$1,Dados!$G:$G,$H$4)</f>
        <v>0</v>
      </c>
      <c r="I130" s="64">
        <f>sumifs(Dados!$N:$N,Dados!$B:$B,B130,Dados!$H:$H,$D$1,Dados!$G:$G,$I$4)</f>
        <v>0</v>
      </c>
      <c r="J130" s="64">
        <f>sumifs(Dados!$N:$N,Dados!$B:$B,B130,Dados!$H:$H,$D$1,Dados!$G:$G,$J$4)</f>
        <v>0</v>
      </c>
      <c r="K130" s="64">
        <f>sumifs(Dados!$N:$N,Dados!$B:$B,B130,Dados!$H:$H,$D$1,Dados!$G:$G,$K$4)</f>
        <v>0</v>
      </c>
      <c r="L130" s="64">
        <f>sumifs(Dados!$N:$N,Dados!$B:$B,B130,Dados!$H:$H,$D$1,Dados!$G:$G,$L$4)</f>
        <v>0</v>
      </c>
      <c r="M130" s="64">
        <f>sumifs(Dados!$N:$N,Dados!$B:$B,B130,Dados!$H:$H,$D$1,Dados!$G:$G,$M$4)</f>
        <v>0</v>
      </c>
      <c r="N130" s="64">
        <f>sumifs(Dados!$N:$N,Dados!$B:$B,B130,Dados!$H:$H,$D$1,Dados!$G:$G,$N$4)</f>
        <v>0</v>
      </c>
      <c r="O130" s="64">
        <f>sumifs(Dados!$N:$N,Dados!$B:$B,B130,Dados!$H:$H,$D$1,Dados!$G:$G,$O$4)</f>
        <v>0</v>
      </c>
      <c r="P130" s="64">
        <f>sumifs(Dados!$N:$N,Dados!$B:$B,B130,Dados!$H:$H,$D$1,Dados!$G:$G,$P$4)</f>
        <v>0</v>
      </c>
      <c r="Q130" s="64"/>
    </row>
    <row r="131" ht="15.75" customHeight="1">
      <c r="A131" s="58"/>
      <c r="B131" s="58" t="s">
        <v>47</v>
      </c>
      <c r="C131" s="60"/>
      <c r="D131" s="61">
        <f t="shared" si="28"/>
        <v>51.59</v>
      </c>
      <c r="E131" s="64">
        <f>sumifs(Dados!$N:$N,Dados!$B:$B,B131,Dados!$H:$H,$D$1,Dados!$G:$G,$E$4)</f>
        <v>0</v>
      </c>
      <c r="F131" s="64">
        <f>sumifs(Dados!$N:$N,Dados!$B:$B,B131,Dados!$H:$H,$D$1,Dados!$G:$G,$F$4)</f>
        <v>0</v>
      </c>
      <c r="G131" s="64">
        <f>sumifs(Dados!$N:$N,Dados!$B:$B,B131,Dados!$H:$H,$D$1,Dados!$G:$G,$G$4)</f>
        <v>34.66</v>
      </c>
      <c r="H131" s="64">
        <f>sumifs(Dados!$N:$N,Dados!$B:$B,B131,Dados!$H:$H,$D$1,Dados!$G:$G,$H$4)</f>
        <v>0</v>
      </c>
      <c r="I131" s="64">
        <f>sumifs(Dados!$N:$N,Dados!$B:$B,B131,Dados!$H:$H,$D$1,Dados!$G:$G,$I$4)</f>
        <v>0</v>
      </c>
      <c r="J131" s="64">
        <f>sumifs(Dados!$N:$N,Dados!$B:$B,B131,Dados!$H:$H,$D$1,Dados!$G:$G,$J$4)</f>
        <v>0</v>
      </c>
      <c r="K131" s="64">
        <f>sumifs(Dados!$N:$N,Dados!$B:$B,B131,Dados!$H:$H,$D$1,Dados!$G:$G,$K$4)</f>
        <v>13</v>
      </c>
      <c r="L131" s="64">
        <f>sumifs(Dados!$N:$N,Dados!$B:$B,B131,Dados!$H:$H,$D$1,Dados!$G:$G,$L$4)</f>
        <v>3.93</v>
      </c>
      <c r="M131" s="64">
        <f>sumifs(Dados!$N:$N,Dados!$B:$B,B131,Dados!$H:$H,$D$1,Dados!$G:$G,$M$4)</f>
        <v>0</v>
      </c>
      <c r="N131" s="64">
        <f>sumifs(Dados!$N:$N,Dados!$B:$B,B131,Dados!$H:$H,$D$1,Dados!$G:$G,$N$4)</f>
        <v>0</v>
      </c>
      <c r="O131" s="64">
        <f>sumifs(Dados!$N:$N,Dados!$B:$B,B131,Dados!$H:$H,$D$1,Dados!$G:$G,$O$4)</f>
        <v>0</v>
      </c>
      <c r="P131" s="64">
        <f>sumifs(Dados!$N:$N,Dados!$B:$B,B131,Dados!$H:$H,$D$1,Dados!$G:$G,$P$4)</f>
        <v>0</v>
      </c>
      <c r="Q131" s="64"/>
    </row>
    <row r="132" ht="15.75" customHeight="1">
      <c r="A132" s="88" t="s">
        <v>177</v>
      </c>
      <c r="B132" s="89">
        <f>sumifs(Dados!$N:$N,Dados!$A:$A,A132,Dados!$H:$H,$D$1)</f>
        <v>51.59</v>
      </c>
      <c r="C132" s="90">
        <f>B132-D132</f>
        <v>0</v>
      </c>
      <c r="D132" s="89">
        <f t="shared" si="28"/>
        <v>51.59</v>
      </c>
      <c r="E132" s="89">
        <f t="shared" ref="E132:P132" si="29">SUM(E130:E131)</f>
        <v>0</v>
      </c>
      <c r="F132" s="89">
        <f t="shared" si="29"/>
        <v>0</v>
      </c>
      <c r="G132" s="89">
        <f t="shared" si="29"/>
        <v>34.66</v>
      </c>
      <c r="H132" s="89">
        <f t="shared" si="29"/>
        <v>0</v>
      </c>
      <c r="I132" s="89">
        <f t="shared" si="29"/>
        <v>0</v>
      </c>
      <c r="J132" s="89">
        <f t="shared" si="29"/>
        <v>0</v>
      </c>
      <c r="K132" s="89">
        <f t="shared" si="29"/>
        <v>13</v>
      </c>
      <c r="L132" s="89">
        <f t="shared" si="29"/>
        <v>3.93</v>
      </c>
      <c r="M132" s="89">
        <f t="shared" si="29"/>
        <v>0</v>
      </c>
      <c r="N132" s="89">
        <f t="shared" si="29"/>
        <v>0</v>
      </c>
      <c r="O132" s="89">
        <f t="shared" si="29"/>
        <v>0</v>
      </c>
      <c r="P132" s="89">
        <f t="shared" si="29"/>
        <v>0</v>
      </c>
      <c r="Q132" s="89"/>
    </row>
    <row r="133" ht="15.75" customHeight="1">
      <c r="A133" s="58"/>
      <c r="B133" s="58" t="s">
        <v>313</v>
      </c>
      <c r="C133" s="60"/>
      <c r="D133" s="61">
        <f t="shared" si="28"/>
        <v>43.5</v>
      </c>
      <c r="E133" s="64">
        <f>sumifs(Dados!$N:$N,Dados!$B:$B,B133,Dados!$H:$H,$D$1,Dados!$G:$G,$E$4)</f>
        <v>0</v>
      </c>
      <c r="F133" s="64">
        <f>sumifs(Dados!$N:$N,Dados!$B:$B,B133,Dados!$H:$H,$D$1,Dados!$G:$G,$F$4)</f>
        <v>0</v>
      </c>
      <c r="G133" s="64">
        <f>sumifs(Dados!$N:$N,Dados!$B:$B,B133,Dados!$H:$H,$D$1,Dados!$G:$G,$G$4)</f>
        <v>0</v>
      </c>
      <c r="H133" s="64">
        <f>sumifs(Dados!$N:$N,Dados!$B:$B,B133,Dados!$H:$H,$D$1,Dados!$G:$G,$H$4)</f>
        <v>0</v>
      </c>
      <c r="I133" s="64">
        <f>sumifs(Dados!$N:$N,Dados!$B:$B,B133,Dados!$H:$H,$D$1,Dados!$G:$G,$I$4)</f>
        <v>0</v>
      </c>
      <c r="J133" s="64">
        <f>sumifs(Dados!$N:$N,Dados!$B:$B,B133,Dados!$H:$H,$D$1,Dados!$G:$G,$J$4)</f>
        <v>5</v>
      </c>
      <c r="K133" s="64">
        <f>sumifs(Dados!$N:$N,Dados!$B:$B,B133,Dados!$H:$H,$D$1,Dados!$G:$G,$K$4)</f>
        <v>3.5</v>
      </c>
      <c r="L133" s="64">
        <f>sumifs(Dados!$N:$N,Dados!$B:$B,B133,Dados!$H:$H,$D$1,Dados!$G:$G,$L$4)</f>
        <v>35</v>
      </c>
      <c r="M133" s="64">
        <f>sumifs(Dados!$N:$N,Dados!$B:$B,B133,Dados!$H:$H,$D$1,Dados!$G:$G,$M$4)</f>
        <v>0</v>
      </c>
      <c r="N133" s="64">
        <f>sumifs(Dados!$N:$N,Dados!$B:$B,B133,Dados!$H:$H,$D$1,Dados!$G:$G,$N$4)</f>
        <v>0</v>
      </c>
      <c r="O133" s="64">
        <f>sumifs(Dados!$N:$N,Dados!$B:$B,B133,Dados!$H:$H,$D$1,Dados!$G:$G,$O$4)</f>
        <v>0</v>
      </c>
      <c r="P133" s="64">
        <f>sumifs(Dados!$N:$N,Dados!$B:$B,B133,Dados!$H:$H,$D$1,Dados!$G:$G,$P$4)</f>
        <v>0</v>
      </c>
      <c r="Q133" s="64"/>
    </row>
    <row r="134" ht="15.75" customHeight="1">
      <c r="A134" s="58"/>
      <c r="B134" s="58" t="s">
        <v>314</v>
      </c>
      <c r="C134" s="60"/>
      <c r="D134" s="61">
        <f t="shared" si="28"/>
        <v>124.88</v>
      </c>
      <c r="E134" s="64">
        <f>sumifs(Dados!$N:$N,Dados!$B:$B,B134,Dados!$H:$H,$D$1,Dados!$G:$G,$E$4)</f>
        <v>0</v>
      </c>
      <c r="F134" s="64">
        <f>sumifs(Dados!$N:$N,Dados!$B:$B,B134,Dados!$H:$H,$D$1,Dados!$G:$G,$F$4)</f>
        <v>0</v>
      </c>
      <c r="G134" s="64">
        <f>sumifs(Dados!$N:$N,Dados!$B:$B,B134,Dados!$H:$H,$D$1,Dados!$G:$G,$G$4)</f>
        <v>0</v>
      </c>
      <c r="H134" s="64">
        <f>sumifs(Dados!$N:$N,Dados!$B:$B,B134,Dados!$H:$H,$D$1,Dados!$G:$G,$H$4)</f>
        <v>0</v>
      </c>
      <c r="I134" s="64">
        <f>sumifs(Dados!$N:$N,Dados!$B:$B,B134,Dados!$H:$H,$D$1,Dados!$G:$G,$I$4)</f>
        <v>70</v>
      </c>
      <c r="J134" s="64">
        <f>sumifs(Dados!$N:$N,Dados!$B:$B,B134,Dados!$H:$H,$D$1,Dados!$G:$G,$J$4)</f>
        <v>31.16</v>
      </c>
      <c r="K134" s="64">
        <f>sumifs(Dados!$N:$N,Dados!$B:$B,B134,Dados!$H:$H,$D$1,Dados!$G:$G,$K$4)</f>
        <v>2</v>
      </c>
      <c r="L134" s="64">
        <f>sumifs(Dados!$N:$N,Dados!$B:$B,B134,Dados!$H:$H,$D$1,Dados!$G:$G,$L$4)</f>
        <v>0</v>
      </c>
      <c r="M134" s="64">
        <f>sumifs(Dados!$N:$N,Dados!$B:$B,B134,Dados!$H:$H,$D$1,Dados!$G:$G,$M$4)</f>
        <v>4.47</v>
      </c>
      <c r="N134" s="64">
        <f>sumifs(Dados!$N:$N,Dados!$B:$B,B134,Dados!$H:$H,$D$1,Dados!$G:$G,$N$4)</f>
        <v>17.25</v>
      </c>
      <c r="O134" s="64">
        <f>sumifs(Dados!$N:$N,Dados!$B:$B,B134,Dados!$H:$H,$D$1,Dados!$G:$G,$O$4)</f>
        <v>0</v>
      </c>
      <c r="P134" s="64">
        <f>sumifs(Dados!$N:$N,Dados!$B:$B,B134,Dados!$H:$H,$D$1,Dados!$G:$G,$P$4)</f>
        <v>0</v>
      </c>
      <c r="Q134" s="64"/>
    </row>
    <row r="135" ht="15.75" customHeight="1">
      <c r="A135" s="58"/>
      <c r="B135" s="58" t="s">
        <v>315</v>
      </c>
      <c r="C135" s="60"/>
      <c r="D135" s="61">
        <f t="shared" si="28"/>
        <v>54</v>
      </c>
      <c r="E135" s="64">
        <f>sumifs(Dados!$N:$N,Dados!$B:$B,B135,Dados!$H:$H,$D$1,Dados!$G:$G,$E$4)</f>
        <v>0</v>
      </c>
      <c r="F135" s="64">
        <f>sumifs(Dados!$N:$N,Dados!$B:$B,B135,Dados!$H:$H,$D$1,Dados!$G:$G,$F$4)</f>
        <v>0</v>
      </c>
      <c r="G135" s="64">
        <f>sumifs(Dados!$N:$N,Dados!$B:$B,B135,Dados!$H:$H,$D$1,Dados!$G:$G,$G$4)</f>
        <v>0</v>
      </c>
      <c r="H135" s="64">
        <f>sumifs(Dados!$N:$N,Dados!$B:$B,B135,Dados!$H:$H,$D$1,Dados!$G:$G,$H$4)</f>
        <v>0</v>
      </c>
      <c r="I135" s="64">
        <f>sumifs(Dados!$N:$N,Dados!$B:$B,B135,Dados!$H:$H,$D$1,Dados!$G:$G,$I$4)</f>
        <v>10</v>
      </c>
      <c r="J135" s="64">
        <f>sumifs(Dados!$N:$N,Dados!$B:$B,B135,Dados!$H:$H,$D$1,Dados!$G:$G,$J$4)</f>
        <v>6</v>
      </c>
      <c r="K135" s="64">
        <f>sumifs(Dados!$N:$N,Dados!$B:$B,B135,Dados!$H:$H,$D$1,Dados!$G:$G,$K$4)</f>
        <v>8.5</v>
      </c>
      <c r="L135" s="64">
        <f>sumifs(Dados!$N:$N,Dados!$B:$B,B135,Dados!$H:$H,$D$1,Dados!$G:$G,$L$4)</f>
        <v>29.5</v>
      </c>
      <c r="M135" s="64">
        <f>sumifs(Dados!$N:$N,Dados!$B:$B,B135,Dados!$H:$H,$D$1,Dados!$G:$G,$M$4)</f>
        <v>0</v>
      </c>
      <c r="N135" s="64">
        <f>sumifs(Dados!$N:$N,Dados!$B:$B,B135,Dados!$H:$H,$D$1,Dados!$G:$G,$N$4)</f>
        <v>0</v>
      </c>
      <c r="O135" s="64">
        <f>sumifs(Dados!$N:$N,Dados!$B:$B,B135,Dados!$H:$H,$D$1,Dados!$G:$G,$O$4)</f>
        <v>0</v>
      </c>
      <c r="P135" s="64">
        <f>sumifs(Dados!$N:$N,Dados!$B:$B,B135,Dados!$H:$H,$D$1,Dados!$G:$G,$P$4)</f>
        <v>0</v>
      </c>
      <c r="Q135" s="64"/>
    </row>
    <row r="136" ht="15.75" customHeight="1">
      <c r="A136" s="88" t="s">
        <v>153</v>
      </c>
      <c r="B136" s="89">
        <f>sumifs(Dados!$N:$N,Dados!$A:$A,A136,Dados!$H:$H,$D$1)</f>
        <v>222.38</v>
      </c>
      <c r="C136" s="90">
        <f>B136-D136</f>
        <v>0</v>
      </c>
      <c r="D136" s="89">
        <f t="shared" ref="D136:P136" si="30">SUM(D133:D135)</f>
        <v>222.38</v>
      </c>
      <c r="E136" s="89">
        <f t="shared" si="30"/>
        <v>0</v>
      </c>
      <c r="F136" s="89">
        <f t="shared" si="30"/>
        <v>0</v>
      </c>
      <c r="G136" s="89">
        <f t="shared" si="30"/>
        <v>0</v>
      </c>
      <c r="H136" s="89">
        <f t="shared" si="30"/>
        <v>0</v>
      </c>
      <c r="I136" s="89">
        <f t="shared" si="30"/>
        <v>80</v>
      </c>
      <c r="J136" s="89">
        <f t="shared" si="30"/>
        <v>42.16</v>
      </c>
      <c r="K136" s="89">
        <f t="shared" si="30"/>
        <v>14</v>
      </c>
      <c r="L136" s="89">
        <f t="shared" si="30"/>
        <v>64.5</v>
      </c>
      <c r="M136" s="89">
        <f t="shared" si="30"/>
        <v>4.47</v>
      </c>
      <c r="N136" s="89">
        <f t="shared" si="30"/>
        <v>17.25</v>
      </c>
      <c r="O136" s="89">
        <f t="shared" si="30"/>
        <v>0</v>
      </c>
      <c r="P136" s="89">
        <f t="shared" si="30"/>
        <v>0</v>
      </c>
      <c r="Q136" s="89"/>
    </row>
    <row r="137" ht="15.75" customHeight="1">
      <c r="A137" s="168" t="s">
        <v>115</v>
      </c>
      <c r="B137" s="169">
        <f>D13+D18+D24+D29+D34+D55+D68+D76+D83+D86+D88+D97+D108+D116+D129+D136+B132</f>
        <v>71262.63</v>
      </c>
      <c r="C137" s="170"/>
      <c r="D137" s="171"/>
      <c r="E137" s="171">
        <f t="shared" ref="E137:P137" si="31">E13+E18+E24+E29+E34+E55+E68+E76+E83+E86+E88+E97+E108+E116+E129+E132+E136</f>
        <v>1550.8</v>
      </c>
      <c r="F137" s="171">
        <f t="shared" si="31"/>
        <v>942.43</v>
      </c>
      <c r="G137" s="171">
        <f t="shared" si="31"/>
        <v>825.3</v>
      </c>
      <c r="H137" s="171">
        <f t="shared" si="31"/>
        <v>2259.88</v>
      </c>
      <c r="I137" s="171">
        <f t="shared" si="31"/>
        <v>5285.08</v>
      </c>
      <c r="J137" s="171">
        <f t="shared" si="31"/>
        <v>13305.5</v>
      </c>
      <c r="K137" s="171">
        <f t="shared" si="31"/>
        <v>14217</v>
      </c>
      <c r="L137" s="171">
        <f t="shared" si="31"/>
        <v>17912.12</v>
      </c>
      <c r="M137" s="171">
        <f t="shared" si="31"/>
        <v>7271.47</v>
      </c>
      <c r="N137" s="171">
        <f t="shared" si="31"/>
        <v>7693.05</v>
      </c>
      <c r="O137" s="171">
        <f t="shared" si="31"/>
        <v>0</v>
      </c>
      <c r="P137" s="171">
        <f t="shared" si="31"/>
        <v>0</v>
      </c>
      <c r="Q137" s="172">
        <f>R13+R18+R24+R29+R34+R55+R68+R76+R83+R86+R88+R97+R108+R116+R129+R136</f>
        <v>0</v>
      </c>
    </row>
    <row r="138" ht="15.75" customHeight="1"/>
    <row r="139" ht="15.75" customHeight="1">
      <c r="A139" s="109"/>
      <c r="B139" s="109" t="s">
        <v>316</v>
      </c>
      <c r="C139" s="60"/>
      <c r="D139" s="61">
        <f t="shared" ref="D139:D143" si="32">SUM(E139:P139)</f>
        <v>0</v>
      </c>
      <c r="E139" s="64">
        <f>sumifs(Dados!$N:$N,Dados!$B:$B,B139,Dados!$H:$H,$D$1,Dados!$G:$G,$E$4)</f>
        <v>0</v>
      </c>
      <c r="F139" s="64">
        <f>sumifs(Dados!$N:$N,Dados!$B:$B,B139,Dados!$H:$H,$D$1,Dados!$G:$G,$F$4)</f>
        <v>0</v>
      </c>
      <c r="G139" s="64">
        <f>sumifs(Dados!$N:$N,Dados!$B:$B,B139,Dados!$H:$H,$D$1,Dados!$G:$G,$G$4)</f>
        <v>0</v>
      </c>
      <c r="H139" s="64">
        <f>sumifs(Dados!$N:$N,Dados!$B:$B,B139,Dados!$H:$H,$D$1,Dados!$G:$G,$H$4)</f>
        <v>0</v>
      </c>
      <c r="I139" s="64">
        <f>sumifs(Dados!$N:$N,Dados!$B:$B,B139,Dados!$H:$H,$D$1,Dados!$G:$G,$I$4)</f>
        <v>0</v>
      </c>
      <c r="J139" s="64">
        <f>sumifs(Dados!$N:$N,Dados!$B:$B,B139,Dados!$H:$H,$D$1,Dados!$G:$G,$J$4)</f>
        <v>0</v>
      </c>
      <c r="K139" s="64">
        <f>sumifs(Dados!$N:$N,Dados!$B:$B,B139,Dados!$H:$H,$D$1,Dados!$G:$G,$K$4)</f>
        <v>0</v>
      </c>
      <c r="L139" s="64">
        <f>sumifs(Dados!$N:$N,Dados!$B:$B,B139,Dados!$H:$H,$D$1,Dados!$G:$G,$L$4)</f>
        <v>0</v>
      </c>
      <c r="M139" s="64">
        <f>sumifs(Dados!$N:$N,Dados!$B:$B,B139,Dados!$H:$H,$D$1,Dados!$G:$G,$M$4)</f>
        <v>0</v>
      </c>
      <c r="N139" s="64">
        <f>sumifs(Dados!$N:$N,Dados!$B:$B,B139,Dados!$H:$H,$D$1,Dados!$G:$G,$N$4)</f>
        <v>0</v>
      </c>
      <c r="O139" s="64">
        <f>sumifs(Dados!$N:$N,Dados!$B:$B,B139,Dados!$H:$H,$D$1,Dados!$G:$G,$O$4)</f>
        <v>0</v>
      </c>
      <c r="P139" s="64">
        <f>sumifs(Dados!$N:$N,Dados!$B:$B,B139,Dados!$H:$H,$D$1,Dados!$G:$G,$P$4)</f>
        <v>0</v>
      </c>
      <c r="Q139" s="64"/>
    </row>
    <row r="140" ht="15.75" customHeight="1">
      <c r="A140" s="109"/>
      <c r="B140" s="109" t="s">
        <v>317</v>
      </c>
      <c r="C140" s="60"/>
      <c r="D140" s="61">
        <f t="shared" si="32"/>
        <v>0</v>
      </c>
      <c r="E140" s="64">
        <f>sumifs(Dados!$N:$N,Dados!$B:$B,B140,Dados!$H:$H,$D$1,Dados!$G:$G,$E$4)</f>
        <v>0</v>
      </c>
      <c r="F140" s="64">
        <f>sumifs(Dados!$N:$N,Dados!$B:$B,B140,Dados!$H:$H,$D$1,Dados!$G:$G,$F$4)</f>
        <v>0</v>
      </c>
      <c r="G140" s="64">
        <f>sumifs(Dados!$N:$N,Dados!$B:$B,B140,Dados!$H:$H,$D$1,Dados!$G:$G,$G$4)</f>
        <v>0</v>
      </c>
      <c r="H140" s="64">
        <f>sumifs(Dados!$N:$N,Dados!$B:$B,B140,Dados!$H:$H,$D$1,Dados!$G:$G,$H$4)</f>
        <v>0</v>
      </c>
      <c r="I140" s="64">
        <f>sumifs(Dados!$N:$N,Dados!$B:$B,B140,Dados!$H:$H,$D$1,Dados!$G:$G,$I$4)</f>
        <v>0</v>
      </c>
      <c r="J140" s="64">
        <f>sumifs(Dados!$N:$N,Dados!$B:$B,B140,Dados!$H:$H,$D$1,Dados!$G:$G,$J$4)</f>
        <v>0</v>
      </c>
      <c r="K140" s="64">
        <f>sumifs(Dados!$N:$N,Dados!$B:$B,B140,Dados!$H:$H,$D$1,Dados!$G:$G,$K$4)</f>
        <v>0</v>
      </c>
      <c r="L140" s="64">
        <f>sumifs(Dados!$N:$N,Dados!$B:$B,B140,Dados!$H:$H,$D$1,Dados!$G:$G,$L$4)</f>
        <v>0</v>
      </c>
      <c r="M140" s="64">
        <f>sumifs(Dados!$N:$N,Dados!$B:$B,B140,Dados!$H:$H,$D$1,Dados!$G:$G,$M$4)</f>
        <v>0</v>
      </c>
      <c r="N140" s="64">
        <f>sumifs(Dados!$N:$N,Dados!$B:$B,B140,Dados!$H:$H,$D$1,Dados!$G:$G,$N$4)</f>
        <v>0</v>
      </c>
      <c r="O140" s="64">
        <f>sumifs(Dados!$N:$N,Dados!$B:$B,B140,Dados!$H:$H,$D$1,Dados!$G:$G,$O$4)</f>
        <v>0</v>
      </c>
      <c r="P140" s="64">
        <f>sumifs(Dados!$N:$N,Dados!$B:$B,B140,Dados!$H:$H,$D$1,Dados!$G:$G,$P$4)</f>
        <v>0</v>
      </c>
      <c r="Q140" s="64"/>
    </row>
    <row r="141" ht="15.75" customHeight="1">
      <c r="A141" s="109"/>
      <c r="B141" s="109" t="s">
        <v>318</v>
      </c>
      <c r="C141" s="60"/>
      <c r="D141" s="61">
        <f t="shared" si="32"/>
        <v>0</v>
      </c>
      <c r="E141" s="64">
        <f>sumifs(Dados!$N:$N,Dados!$B:$B,B141,Dados!$H:$H,$D$1,Dados!$G:$G,$E$4)</f>
        <v>0</v>
      </c>
      <c r="F141" s="64">
        <f>sumifs(Dados!$N:$N,Dados!$B:$B,B141,Dados!$H:$H,$D$1,Dados!$G:$G,$F$4)</f>
        <v>0</v>
      </c>
      <c r="G141" s="64">
        <f>sumifs(Dados!$N:$N,Dados!$B:$B,B141,Dados!$H:$H,$D$1,Dados!$G:$G,$G$4)</f>
        <v>0</v>
      </c>
      <c r="H141" s="64">
        <f>sumifs(Dados!$N:$N,Dados!$B:$B,B141,Dados!$H:$H,$D$1,Dados!$G:$G,$H$4)</f>
        <v>0</v>
      </c>
      <c r="I141" s="64">
        <f>sumifs(Dados!$N:$N,Dados!$B:$B,B141,Dados!$H:$H,$D$1,Dados!$G:$G,$I$4)</f>
        <v>0</v>
      </c>
      <c r="J141" s="64">
        <f>sumifs(Dados!$N:$N,Dados!$B:$B,B141,Dados!$H:$H,$D$1,Dados!$G:$G,$J$4)</f>
        <v>0</v>
      </c>
      <c r="K141" s="64">
        <f>sumifs(Dados!$N:$N,Dados!$B:$B,B141,Dados!$H:$H,$D$1,Dados!$G:$G,$K$4)</f>
        <v>0</v>
      </c>
      <c r="L141" s="64">
        <f>sumifs(Dados!$N:$N,Dados!$B:$B,B141,Dados!$H:$H,$D$1,Dados!$G:$G,$L$4)</f>
        <v>0</v>
      </c>
      <c r="M141" s="64">
        <f>sumifs(Dados!$N:$N,Dados!$B:$B,B141,Dados!$H:$H,$D$1,Dados!$G:$G,$M$4)</f>
        <v>0</v>
      </c>
      <c r="N141" s="64">
        <f>sumifs(Dados!$N:$N,Dados!$B:$B,B141,Dados!$H:$H,$D$1,Dados!$G:$G,$N$4)</f>
        <v>0</v>
      </c>
      <c r="O141" s="64">
        <f>sumifs(Dados!$N:$N,Dados!$B:$B,B141,Dados!$H:$H,$D$1,Dados!$G:$G,$O$4)</f>
        <v>0</v>
      </c>
      <c r="P141" s="64">
        <f>sumifs(Dados!$N:$N,Dados!$B:$B,B141,Dados!$H:$H,$D$1,Dados!$G:$G,$P$4)</f>
        <v>0</v>
      </c>
      <c r="Q141" s="64"/>
    </row>
    <row r="142" ht="15.75" customHeight="1">
      <c r="A142" s="109"/>
      <c r="B142" s="109" t="s">
        <v>323</v>
      </c>
      <c r="C142" s="60"/>
      <c r="D142" s="61">
        <f t="shared" si="32"/>
        <v>0</v>
      </c>
      <c r="E142" s="64">
        <f>sumifs(Dados!$N:$N,Dados!$B:$B,B142,Dados!$H:$H,$D$1,Dados!$G:$G,$E$4)</f>
        <v>0</v>
      </c>
      <c r="F142" s="64">
        <f>sumifs(Dados!$N:$N,Dados!$B:$B,B142,Dados!$H:$H,$D$1,Dados!$G:$G,$F$4)</f>
        <v>0</v>
      </c>
      <c r="G142" s="64">
        <f>sumifs(Dados!$N:$N,Dados!$B:$B,B142,Dados!$H:$H,$D$1,Dados!$G:$G,$G$4)</f>
        <v>0</v>
      </c>
      <c r="H142" s="64">
        <f>sumifs(Dados!$N:$N,Dados!$B:$B,B142,Dados!$H:$H,$D$1,Dados!$G:$G,$H$4)</f>
        <v>0</v>
      </c>
      <c r="I142" s="64">
        <f>sumifs(Dados!$N:$N,Dados!$B:$B,B142,Dados!$H:$H,$D$1,Dados!$G:$G,$I$4)</f>
        <v>0</v>
      </c>
      <c r="J142" s="64">
        <f>sumifs(Dados!$N:$N,Dados!$B:$B,B142,Dados!$H:$H,$D$1,Dados!$G:$G,$J$4)</f>
        <v>0</v>
      </c>
      <c r="K142" s="64">
        <f>sumifs(Dados!$N:$N,Dados!$B:$B,B142,Dados!$H:$H,$D$1,Dados!$G:$G,$K$4)</f>
        <v>0</v>
      </c>
      <c r="L142" s="64">
        <f>sumifs(Dados!$N:$N,Dados!$B:$B,B142,Dados!$H:$H,$D$1,Dados!$G:$G,$L$4)</f>
        <v>0</v>
      </c>
      <c r="M142" s="64">
        <f>sumifs(Dados!$N:$N,Dados!$B:$B,B142,Dados!$H:$H,$D$1,Dados!$G:$G,$M$4)</f>
        <v>0</v>
      </c>
      <c r="N142" s="64">
        <f>sumifs(Dados!$N:$N,Dados!$B:$B,B142,Dados!$H:$H,$D$1,Dados!$G:$G,$N$4)</f>
        <v>0</v>
      </c>
      <c r="O142" s="64">
        <f>sumifs(Dados!$N:$N,Dados!$B:$B,B142,Dados!$H:$H,$D$1,Dados!$G:$G,$O$4)</f>
        <v>0</v>
      </c>
      <c r="P142" s="64">
        <f>sumifs(Dados!$N:$N,Dados!$B:$B,B142,Dados!$H:$H,$D$1,Dados!$G:$G,$P$4)</f>
        <v>0</v>
      </c>
      <c r="Q142" s="64"/>
    </row>
    <row r="143" ht="15.75" customHeight="1">
      <c r="A143" s="109"/>
      <c r="B143" s="109" t="s">
        <v>332</v>
      </c>
      <c r="C143" s="60"/>
      <c r="D143" s="61">
        <f t="shared" si="32"/>
        <v>0</v>
      </c>
      <c r="E143" s="64">
        <f>sumifs(Dados!$N:$N,Dados!$B:$B,B143,Dados!$H:$H,$D$1,Dados!$G:$G,$E$4)</f>
        <v>0</v>
      </c>
      <c r="F143" s="64">
        <f>sumifs(Dados!$N:$N,Dados!$B:$B,B143,Dados!$H:$H,$D$1,Dados!$G:$G,$F$4)</f>
        <v>0</v>
      </c>
      <c r="G143" s="64">
        <f>sumifs(Dados!$N:$N,Dados!$B:$B,B143,Dados!$H:$H,$D$1,Dados!$G:$G,$G$4)</f>
        <v>0</v>
      </c>
      <c r="H143" s="64">
        <f>sumifs(Dados!$N:$N,Dados!$B:$B,B143,Dados!$H:$H,$D$1,Dados!$G:$G,$H$4)</f>
        <v>0</v>
      </c>
      <c r="I143" s="64">
        <f>sumifs(Dados!$N:$N,Dados!$B:$B,B143,Dados!$H:$H,$D$1,Dados!$G:$G,$I$4)</f>
        <v>0</v>
      </c>
      <c r="J143" s="64">
        <f>sumifs(Dados!$N:$N,Dados!$B:$B,B143,Dados!$H:$H,$D$1,Dados!$G:$G,$J$4)</f>
        <v>0</v>
      </c>
      <c r="K143" s="64">
        <f>sumifs(Dados!$N:$N,Dados!$B:$B,B143,Dados!$H:$H,$D$1,Dados!$G:$G,$K$4)</f>
        <v>0</v>
      </c>
      <c r="L143" s="64">
        <f>sumifs(Dados!$N:$N,Dados!$B:$B,B143,Dados!$H:$H,$D$1,Dados!$G:$G,$L$4)</f>
        <v>0</v>
      </c>
      <c r="M143" s="64">
        <f>sumifs(Dados!$N:$N,Dados!$B:$B,B143,Dados!$H:$H,$D$1,Dados!$G:$G,$M$4)</f>
        <v>0</v>
      </c>
      <c r="N143" s="64">
        <f>sumifs(Dados!$N:$N,Dados!$B:$B,B143,Dados!$H:$H,$D$1,Dados!$G:$G,$N$4)</f>
        <v>0</v>
      </c>
      <c r="O143" s="64">
        <f>sumifs(Dados!$N:$N,Dados!$B:$B,B143,Dados!$H:$H,$D$1,Dados!$G:$G,$O$4)</f>
        <v>0</v>
      </c>
      <c r="P143" s="64">
        <f>sumifs(Dados!$N:$N,Dados!$B:$B,B143,Dados!$H:$H,$D$1,Dados!$G:$G,$P$4)</f>
        <v>0</v>
      </c>
      <c r="Q143" s="64"/>
    </row>
    <row r="144" ht="15.75" customHeight="1">
      <c r="A144" s="88" t="s">
        <v>148</v>
      </c>
      <c r="B144" s="89">
        <f>sumifs(Dados!$N:$N,Dados!$A:$A,A144,Dados!$H:$H,$D$1)</f>
        <v>0</v>
      </c>
      <c r="C144" s="90">
        <f>B144-D144</f>
        <v>0</v>
      </c>
      <c r="D144" s="89">
        <f t="shared" ref="D144:P144" si="33">SUM(D139:D143)</f>
        <v>0</v>
      </c>
      <c r="E144" s="89">
        <f t="shared" si="33"/>
        <v>0</v>
      </c>
      <c r="F144" s="89">
        <f t="shared" si="33"/>
        <v>0</v>
      </c>
      <c r="G144" s="89">
        <f t="shared" si="33"/>
        <v>0</v>
      </c>
      <c r="H144" s="89">
        <f t="shared" si="33"/>
        <v>0</v>
      </c>
      <c r="I144" s="89">
        <f t="shared" si="33"/>
        <v>0</v>
      </c>
      <c r="J144" s="89">
        <f t="shared" si="33"/>
        <v>0</v>
      </c>
      <c r="K144" s="89">
        <f t="shared" si="33"/>
        <v>0</v>
      </c>
      <c r="L144" s="89">
        <f t="shared" si="33"/>
        <v>0</v>
      </c>
      <c r="M144" s="89">
        <f t="shared" si="33"/>
        <v>0</v>
      </c>
      <c r="N144" s="89">
        <f t="shared" si="33"/>
        <v>0</v>
      </c>
      <c r="O144" s="89">
        <f t="shared" si="33"/>
        <v>0</v>
      </c>
      <c r="P144" s="89">
        <f t="shared" si="33"/>
        <v>0</v>
      </c>
      <c r="Q144" s="89"/>
    </row>
    <row r="145" ht="15.75" customHeight="1">
      <c r="A145" s="58"/>
      <c r="B145" s="59" t="s">
        <v>346</v>
      </c>
      <c r="C145" s="60"/>
      <c r="D145" s="61">
        <f t="shared" ref="D145:D156" si="34">SUM(E145:P145)</f>
        <v>0</v>
      </c>
      <c r="E145" s="64">
        <f>sumifs(Dados!$N:$N,Dados!$B:$B,B145,Dados!$H:$H,$D$1,Dados!$G:$G,$E$4)</f>
        <v>0</v>
      </c>
      <c r="F145" s="64">
        <f>sumifs(Dados!$N:$N,Dados!$B:$B,B145,Dados!$H:$H,$D$1,Dados!$G:$G,$F$4)</f>
        <v>0</v>
      </c>
      <c r="G145" s="64">
        <f>sumifs(Dados!$N:$N,Dados!$B:$B,B145,Dados!$H:$H,$D$1,Dados!$G:$G,$G$4)</f>
        <v>0</v>
      </c>
      <c r="H145" s="64">
        <f>sumifs(Dados!$N:$N,Dados!$B:$B,B145,Dados!$H:$H,$D$1,Dados!$G:$G,$H$4)</f>
        <v>0</v>
      </c>
      <c r="I145" s="64">
        <f>sumifs(Dados!$N:$N,Dados!$B:$B,B145,Dados!$H:$H,$D$1,Dados!$G:$G,$I$4)</f>
        <v>0</v>
      </c>
      <c r="J145" s="64">
        <f>sumifs(Dados!$N:$N,Dados!$B:$B,B145,Dados!$H:$H,$D$1,Dados!$G:$G,$J$4)</f>
        <v>0</v>
      </c>
      <c r="K145" s="64">
        <f>sumifs(Dados!$N:$N,Dados!$B:$B,B145,Dados!$H:$H,$D$1,Dados!$G:$G,$K$4)</f>
        <v>0</v>
      </c>
      <c r="L145" s="64">
        <f>sumifs(Dados!$N:$N,Dados!$B:$B,B145,Dados!$H:$H,$D$1,Dados!$G:$G,$L$4)</f>
        <v>0</v>
      </c>
      <c r="M145" s="64">
        <f>sumifs(Dados!$N:$N,Dados!$B:$B,B145,Dados!$H:$H,$D$1,Dados!$G:$G,$M$4)</f>
        <v>0</v>
      </c>
      <c r="N145" s="64">
        <f>sumifs(Dados!$N:$N,Dados!$B:$B,B145,Dados!$H:$H,$D$1,Dados!$G:$G,$N$4)</f>
        <v>0</v>
      </c>
      <c r="O145" s="64">
        <f>sumifs(Dados!$N:$N,Dados!$B:$B,B145,Dados!$H:$H,$D$1,Dados!$G:$G,$O$4)</f>
        <v>0</v>
      </c>
      <c r="P145" s="64">
        <f>sumifs(Dados!$N:$N,Dados!$B:$B,B145,Dados!$H:$H,$D$1,Dados!$G:$G,$P$4)</f>
        <v>0</v>
      </c>
      <c r="Q145" s="64"/>
    </row>
    <row r="146" ht="15.75" customHeight="1">
      <c r="A146" s="58"/>
      <c r="B146" s="58" t="s">
        <v>354</v>
      </c>
      <c r="C146" s="60"/>
      <c r="D146" s="61">
        <f t="shared" si="34"/>
        <v>0</v>
      </c>
      <c r="E146" s="64">
        <f>sumifs(Dados!$N:$N,Dados!$B:$B,$B$146,Dados!$H:$H,$D$1,Dados!$G:$G,E4)</f>
        <v>0</v>
      </c>
      <c r="F146" s="64">
        <f>sumifs(Dados!$N:$N,Dados!$B:$B,$B$146,Dados!$H:$H,$D$1,Dados!$G:$G,F4)</f>
        <v>0</v>
      </c>
      <c r="G146" s="64">
        <f>sumifs(Dados!$N:$N,Dados!$B:$B,$B$146,Dados!$H:$H,$D$1,Dados!$G:$G,G4)</f>
        <v>0</v>
      </c>
      <c r="H146" s="64">
        <f>sumifs(Dados!$N:$N,Dados!$B:$B,$B$146,Dados!$H:$H,$D$1,Dados!$G:$G,H4)</f>
        <v>0</v>
      </c>
      <c r="I146" s="64">
        <f>sumifs(Dados!$N:$N,Dados!$B:$B,$B$146,Dados!$H:$H,$D$1,Dados!$G:$G,I4)</f>
        <v>0</v>
      </c>
      <c r="J146" s="64">
        <f>sumifs(Dados!$N:$N,Dados!$B:$B,$B$146,Dados!$H:$H,$D$1,Dados!$G:$G,J4)</f>
        <v>0</v>
      </c>
      <c r="K146" s="64">
        <f>sumifs(Dados!$N:$N,Dados!$B:$B,$B$146,Dados!$H:$H,$D$1,Dados!$G:$G,K4)</f>
        <v>0</v>
      </c>
      <c r="L146" s="64">
        <f>sumifs(Dados!$N:$N,Dados!$B:$B,$B$146,Dados!$H:$H,$D$1,Dados!$G:$G,L4)</f>
        <v>0</v>
      </c>
      <c r="M146" s="64">
        <f>sumifs(Dados!$N:$N,Dados!$B:$B,$B$146,Dados!$H:$H,$D$1,Dados!$G:$G,M4)</f>
        <v>0</v>
      </c>
      <c r="N146" s="64">
        <f>sumifs(Dados!$N:$N,Dados!$B:$B,$B$146,Dados!$H:$H,$D$1,Dados!$G:$G,N4)</f>
        <v>0</v>
      </c>
      <c r="O146" s="64">
        <f>sumifs(Dados!$N:$N,Dados!$B:$B,$B$146,Dados!$H:$H,$D$1,Dados!$G:$G,O4)</f>
        <v>0</v>
      </c>
      <c r="P146" s="64">
        <f>sumifs(Dados!$N:$N,Dados!$B:$B,$B$146,Dados!$H:$H,$D$1,Dados!$G:$G,P4)</f>
        <v>0</v>
      </c>
      <c r="Q146" s="64"/>
    </row>
    <row r="147" ht="15.75" customHeight="1">
      <c r="A147" s="58"/>
      <c r="B147" s="59" t="s">
        <v>362</v>
      </c>
      <c r="C147" s="60"/>
      <c r="D147" s="61">
        <f t="shared" si="34"/>
        <v>0</v>
      </c>
      <c r="E147" s="64">
        <f>sumifs(Dados!$N:$N,Dados!$B:$B,B147,Dados!$H:$H,$D$1,Dados!$G:$G,$E$4)</f>
        <v>0</v>
      </c>
      <c r="F147" s="64">
        <f>sumifs(Dados!$N:$N,Dados!$B:$B,B147,Dados!$H:$H,$D$1,Dados!$G:$G,$F$4)</f>
        <v>0</v>
      </c>
      <c r="G147" s="64">
        <f>sumifs(Dados!$N:$N,Dados!$B:$B,B147,Dados!$H:$H,$D$1,Dados!$G:$G,$G$4)</f>
        <v>0</v>
      </c>
      <c r="H147" s="64">
        <f>sumifs(Dados!$N:$N,Dados!$B:$B,B147,Dados!$H:$H,$D$1,Dados!$G:$G,$H$4)</f>
        <v>0</v>
      </c>
      <c r="I147" s="64">
        <f>sumifs(Dados!$N:$N,Dados!$B:$B,B147,Dados!$H:$H,$D$1,Dados!$G:$G,$I$4)</f>
        <v>0</v>
      </c>
      <c r="J147" s="64">
        <f>sumifs(Dados!$N:$N,Dados!$B:$B,B147,Dados!$H:$H,$D$1,Dados!$G:$G,$J$4)</f>
        <v>0</v>
      </c>
      <c r="K147" s="64">
        <f>sumifs(Dados!$N:$N,Dados!$B:$B,B147,Dados!$H:$H,$D$1,Dados!$G:$G,$K$4)</f>
        <v>0</v>
      </c>
      <c r="L147" s="64">
        <f>sumifs(Dados!$N:$N,Dados!$B:$B,B147,Dados!$H:$H,$D$1,Dados!$G:$G,$L$4)</f>
        <v>0</v>
      </c>
      <c r="M147" s="64">
        <f>sumifs(Dados!$N:$N,Dados!$B:$B,B147,Dados!$H:$H,$D$1,Dados!$G:$G,$M$4)</f>
        <v>0</v>
      </c>
      <c r="N147" s="64">
        <f>sumifs(Dados!$N:$N,Dados!$B:$B,B147,Dados!$H:$H,$D$1,Dados!$G:$G,$N$4)</f>
        <v>0</v>
      </c>
      <c r="O147" s="64">
        <f>sumifs(Dados!$N:$N,Dados!$B:$B,B147,Dados!$H:$H,$D$1,Dados!$G:$G,$O$4)</f>
        <v>0</v>
      </c>
      <c r="P147" s="64">
        <f>sumifs(Dados!$N:$N,Dados!$B:$B,B147,Dados!$H:$H,$D$1,Dados!$G:$G,$P$4)</f>
        <v>0</v>
      </c>
      <c r="Q147" s="64"/>
    </row>
    <row r="148" ht="15.75" customHeight="1">
      <c r="A148" s="58"/>
      <c r="B148" s="59" t="s">
        <v>371</v>
      </c>
      <c r="C148" s="60"/>
      <c r="D148" s="61">
        <f t="shared" si="34"/>
        <v>0</v>
      </c>
      <c r="E148" s="64">
        <f>sumifs(Dados!$N:$N,Dados!$B:$B,$B$148,Dados!$H:$H,$D$1,Dados!$G:$G,E4)</f>
        <v>0</v>
      </c>
      <c r="F148" s="64">
        <f>sumifs(Dados!$N:$N,Dados!$B:$B,$B$148,Dados!$H:$H,$D$1,Dados!$G:$G,F4)</f>
        <v>0</v>
      </c>
      <c r="G148" s="64">
        <f>sumifs(Dados!$N:$N,Dados!$B:$B,$B$148,Dados!$H:$H,$D$1,Dados!$G:$G,G4)</f>
        <v>0</v>
      </c>
      <c r="H148" s="64">
        <f>sumifs(Dados!$N:$N,Dados!$B:$B,$B$148,Dados!$H:$H,$D$1,Dados!$G:$G,H4)</f>
        <v>0</v>
      </c>
      <c r="I148" s="64">
        <f>sumifs(Dados!$N:$N,Dados!$B:$B,$B$148,Dados!$H:$H,$D$1,Dados!$G:$G,I4)</f>
        <v>0</v>
      </c>
      <c r="J148" s="64">
        <f>sumifs(Dados!$N:$N,Dados!$B:$B,$B$148,Dados!$H:$H,$D$1,Dados!$G:$G,J4)</f>
        <v>0</v>
      </c>
      <c r="K148" s="64">
        <f>sumifs(Dados!$N:$N,Dados!$B:$B,$B$148,Dados!$H:$H,$D$1,Dados!$G:$G,K4)</f>
        <v>0</v>
      </c>
      <c r="L148" s="64">
        <f>sumifs(Dados!$N:$N,Dados!$B:$B,$B$148,Dados!$H:$H,$D$1,Dados!$G:$G,L4)</f>
        <v>0</v>
      </c>
      <c r="M148" s="64">
        <f>sumifs(Dados!$N:$N,Dados!$B:$B,$B$148,Dados!$H:$H,$D$1,Dados!$G:$G,M4)</f>
        <v>0</v>
      </c>
      <c r="N148" s="64">
        <f>sumifs(Dados!$N:$N,Dados!$B:$B,$B$148,Dados!$H:$H,$D$1,Dados!$G:$G,N4)</f>
        <v>0</v>
      </c>
      <c r="O148" s="64">
        <f>sumifs(Dados!$N:$N,Dados!$B:$B,$B$148,Dados!$H:$H,$D$1,Dados!$G:$G,O4)</f>
        <v>0</v>
      </c>
      <c r="P148" s="64">
        <f>sumifs(Dados!$N:$N,Dados!$B:$B,$B$148,Dados!$H:$H,$D$1,Dados!$G:$G,P4)</f>
        <v>0</v>
      </c>
      <c r="Q148" s="64"/>
    </row>
    <row r="149" ht="15.75" customHeight="1">
      <c r="A149" s="58"/>
      <c r="B149" s="58" t="s">
        <v>380</v>
      </c>
      <c r="C149" s="60"/>
      <c r="D149" s="61">
        <f t="shared" si="34"/>
        <v>0</v>
      </c>
      <c r="E149" s="64">
        <f>sumifs(Dados!$N:$N,Dados!$B:$B,B149,Dados!$H:$H,$D$1,Dados!$G:$G,$E$4)</f>
        <v>0</v>
      </c>
      <c r="F149" s="64">
        <f>sumifs(Dados!$N:$N,Dados!$B:$B,B149,Dados!$H:$H,$D$1,Dados!$G:$G,$F$4)</f>
        <v>0</v>
      </c>
      <c r="G149" s="64">
        <f>sumifs(Dados!$N:$N,Dados!$B:$B,B149,Dados!$H:$H,$D$1,Dados!$G:$G,$G$4)</f>
        <v>0</v>
      </c>
      <c r="H149" s="64">
        <f>sumifs(Dados!$N:$N,Dados!$B:$B,B149,Dados!$H:$H,$D$1,Dados!$G:$G,$H$4)</f>
        <v>0</v>
      </c>
      <c r="I149" s="64">
        <f>sumifs(Dados!$N:$N,Dados!$B:$B,B149,Dados!$H:$H,$D$1,Dados!$G:$G,$I$4)</f>
        <v>0</v>
      </c>
      <c r="J149" s="64">
        <f>sumifs(Dados!$N:$N,Dados!$B:$B,B149,Dados!$H:$H,$D$1,Dados!$G:$G,$J$4)</f>
        <v>0</v>
      </c>
      <c r="K149" s="64">
        <f>sumifs(Dados!$N:$N,Dados!$B:$B,B149,Dados!$H:$H,$D$1,Dados!$G:$G,$K$4)</f>
        <v>0</v>
      </c>
      <c r="L149" s="64">
        <f>sumifs(Dados!$N:$N,Dados!$B:$B,B149,Dados!$H:$H,$D$1,Dados!$G:$G,$L$4)</f>
        <v>0</v>
      </c>
      <c r="M149" s="64">
        <f>sumifs(Dados!$N:$N,Dados!$B:$B,B149,Dados!$H:$H,$D$1,Dados!$G:$G,$M$4)</f>
        <v>0</v>
      </c>
      <c r="N149" s="64">
        <f>sumifs(Dados!$N:$N,Dados!$B:$B,B149,Dados!$H:$H,$D$1,Dados!$G:$G,$N$4)</f>
        <v>0</v>
      </c>
      <c r="O149" s="64">
        <f>sumifs(Dados!$N:$N,Dados!$B:$B,B149,Dados!$H:$H,$D$1,Dados!$G:$G,$O$4)</f>
        <v>0</v>
      </c>
      <c r="P149" s="64">
        <f>sumifs(Dados!$N:$N,Dados!$B:$B,B149,Dados!$H:$H,$D$1,Dados!$G:$G,$P$4)</f>
        <v>0</v>
      </c>
      <c r="Q149" s="64"/>
    </row>
    <row r="150" ht="15.75" customHeight="1">
      <c r="A150" s="58"/>
      <c r="B150" s="58" t="s">
        <v>387</v>
      </c>
      <c r="C150" s="60"/>
      <c r="D150" s="61">
        <f t="shared" si="34"/>
        <v>0</v>
      </c>
      <c r="E150" s="64">
        <f>sumifs(Dados!$N:$N,Dados!$B:$B,B150,Dados!$H:$H,$D$1,Dados!$G:$G,$E$4)</f>
        <v>0</v>
      </c>
      <c r="F150" s="64">
        <f>sumifs(Dados!$N:$N,Dados!$B:$B,B150,Dados!$H:$H,$D$1,Dados!$G:$G,$F$4)</f>
        <v>0</v>
      </c>
      <c r="G150" s="64">
        <f>sumifs(Dados!$N:$N,Dados!$B:$B,B150,Dados!$H:$H,$D$1,Dados!$G:$G,$G$4)</f>
        <v>0</v>
      </c>
      <c r="H150" s="64">
        <f>sumifs(Dados!$N:$N,Dados!$B:$B,B150,Dados!$H:$H,$D$1,Dados!$G:$G,$H$4)</f>
        <v>0</v>
      </c>
      <c r="I150" s="64">
        <f>sumifs(Dados!$N:$N,Dados!$B:$B,B150,Dados!$H:$H,$D$1,Dados!$G:$G,$I$4)</f>
        <v>0</v>
      </c>
      <c r="J150" s="64">
        <f>sumifs(Dados!$N:$N,Dados!$B:$B,B150,Dados!$H:$H,$D$1,Dados!$G:$G,$J$4)</f>
        <v>0</v>
      </c>
      <c r="K150" s="64">
        <f>sumifs(Dados!$N:$N,Dados!$B:$B,B150,Dados!$H:$H,$D$1,Dados!$G:$G,$K$4)</f>
        <v>0</v>
      </c>
      <c r="L150" s="64">
        <f>sumifs(Dados!$N:$N,Dados!$B:$B,B150,Dados!$H:$H,$D$1,Dados!$G:$G,$L$4)</f>
        <v>0</v>
      </c>
      <c r="M150" s="64">
        <f>sumifs(Dados!$N:$N,Dados!$B:$B,B150,Dados!$H:$H,$D$1,Dados!$G:$G,$M$4)</f>
        <v>0</v>
      </c>
      <c r="N150" s="64">
        <f>sumifs(Dados!$N:$N,Dados!$B:$B,B150,Dados!$H:$H,$D$1,Dados!$G:$G,$N$4)</f>
        <v>0</v>
      </c>
      <c r="O150" s="64">
        <f>sumifs(Dados!$N:$N,Dados!$B:$B,B150,Dados!$H:$H,$D$1,Dados!$G:$G,$O$4)</f>
        <v>0</v>
      </c>
      <c r="P150" s="64">
        <f>sumifs(Dados!$N:$N,Dados!$B:$B,B150,Dados!$H:$H,$D$1,Dados!$G:$G,$P$4)</f>
        <v>0</v>
      </c>
      <c r="Q150" s="64"/>
    </row>
    <row r="151" ht="15.75" customHeight="1">
      <c r="A151" s="58"/>
      <c r="B151" s="58" t="s">
        <v>396</v>
      </c>
      <c r="C151" s="60"/>
      <c r="D151" s="61">
        <f t="shared" si="34"/>
        <v>0</v>
      </c>
      <c r="E151" s="64">
        <f>sumifs(Dados!$N:$N,Dados!$B:$B,B151,Dados!$H:$H,$D$1,Dados!$G:$G,$E$4)</f>
        <v>0</v>
      </c>
      <c r="F151" s="64">
        <f>sumifs(Dados!$N:$N,Dados!$B:$B,B151,Dados!$H:$H,$D$1,Dados!$G:$G,$F$4)</f>
        <v>0</v>
      </c>
      <c r="G151" s="64">
        <f>sumifs(Dados!$N:$N,Dados!$B:$B,B151,Dados!$H:$H,$D$1,Dados!$G:$G,$G$4)</f>
        <v>0</v>
      </c>
      <c r="H151" s="64">
        <f>sumifs(Dados!$N:$N,Dados!$B:$B,B151,Dados!$H:$H,$D$1,Dados!$G:$G,$H$4)</f>
        <v>0</v>
      </c>
      <c r="I151" s="64">
        <f>sumifs(Dados!$N:$N,Dados!$B:$B,B151,Dados!$H:$H,$D$1,Dados!$G:$G,$I$4)</f>
        <v>0</v>
      </c>
      <c r="J151" s="64">
        <f>sumifs(Dados!$N:$N,Dados!$B:$B,B151,Dados!$H:$H,$D$1,Dados!$G:$G,$J$4)</f>
        <v>0</v>
      </c>
      <c r="K151" s="64">
        <f>sumifs(Dados!$N:$N,Dados!$B:$B,B151,Dados!$H:$H,$D$1,Dados!$G:$G,$K$4)</f>
        <v>0</v>
      </c>
      <c r="L151" s="64">
        <f>sumifs(Dados!$N:$N,Dados!$B:$B,B151,Dados!$H:$H,$D$1,Dados!$G:$G,$L$4)</f>
        <v>0</v>
      </c>
      <c r="M151" s="64">
        <f>sumifs(Dados!$N:$N,Dados!$B:$B,B151,Dados!$H:$H,$D$1,Dados!$G:$G,$M$4)</f>
        <v>0</v>
      </c>
      <c r="N151" s="64">
        <f>sumifs(Dados!$N:$N,Dados!$B:$B,B151,Dados!$H:$H,$D$1,Dados!$G:$G,$N$4)</f>
        <v>0</v>
      </c>
      <c r="O151" s="64">
        <f>sumifs(Dados!$N:$N,Dados!$B:$B,B151,Dados!$H:$H,$D$1,Dados!$G:$G,$O$4)</f>
        <v>0</v>
      </c>
      <c r="P151" s="64">
        <f>sumifs(Dados!$N:$N,Dados!$B:$B,B151,Dados!$H:$H,$D$1,Dados!$G:$G,$P$4)</f>
        <v>0</v>
      </c>
      <c r="Q151" s="64"/>
    </row>
    <row r="152" ht="15.75" customHeight="1">
      <c r="A152" s="58"/>
      <c r="B152" s="58" t="s">
        <v>404</v>
      </c>
      <c r="C152" s="60"/>
      <c r="D152" s="61">
        <f t="shared" si="34"/>
        <v>0</v>
      </c>
      <c r="E152" s="64">
        <f>sumifs(Dados!$N:$N,Dados!$B:$B,B152,Dados!$H:$H,$D$1,Dados!$G:$G,$E$4)</f>
        <v>0</v>
      </c>
      <c r="F152" s="64">
        <f>sumifs(Dados!$N:$N,Dados!$B:$B,B152,Dados!$H:$H,$D$1,Dados!$G:$G,$F$4)</f>
        <v>0</v>
      </c>
      <c r="G152" s="64">
        <f>sumifs(Dados!$N:$N,Dados!$B:$B,B152,Dados!$H:$H,$D$1,Dados!$G:$G,$G$4)</f>
        <v>0</v>
      </c>
      <c r="H152" s="64">
        <f>sumifs(Dados!$N:$N,Dados!$B:$B,B152,Dados!$H:$H,$D$1,Dados!$G:$G,$H$4)</f>
        <v>0</v>
      </c>
      <c r="I152" s="64">
        <f>sumifs(Dados!$N:$N,Dados!$B:$B,B152,Dados!$H:$H,$D$1,Dados!$G:$G,$I$4)</f>
        <v>0</v>
      </c>
      <c r="J152" s="64">
        <f>sumifs(Dados!$N:$N,Dados!$B:$B,B152,Dados!$H:$H,$D$1,Dados!$G:$G,$J$4)</f>
        <v>0</v>
      </c>
      <c r="K152" s="64">
        <f>sumifs(Dados!$N:$N,Dados!$B:$B,B152,Dados!$H:$H,$D$1,Dados!$G:$G,$K$4)</f>
        <v>0</v>
      </c>
      <c r="L152" s="64">
        <f>sumifs(Dados!$N:$N,Dados!$B:$B,B152,Dados!$H:$H,$D$1,Dados!$G:$G,$L$4)</f>
        <v>0</v>
      </c>
      <c r="M152" s="64">
        <f>sumifs(Dados!$N:$N,Dados!$B:$B,B152,Dados!$H:$H,$D$1,Dados!$G:$G,$M$4)</f>
        <v>0</v>
      </c>
      <c r="N152" s="64">
        <f>sumifs(Dados!$N:$N,Dados!$B:$B,B152,Dados!$H:$H,$D$1,Dados!$G:$G,$N$4)</f>
        <v>0</v>
      </c>
      <c r="O152" s="64">
        <f>sumifs(Dados!$N:$N,Dados!$B:$B,B152,Dados!$H:$H,$D$1,Dados!$G:$G,$O$4)</f>
        <v>0</v>
      </c>
      <c r="P152" s="64">
        <f>sumifs(Dados!$N:$N,Dados!$B:$B,B152,Dados!$H:$H,$D$1,Dados!$G:$G,$P$4)</f>
        <v>0</v>
      </c>
      <c r="Q152" s="64"/>
    </row>
    <row r="153" ht="15.75" customHeight="1">
      <c r="A153" s="58"/>
      <c r="B153" s="59" t="s">
        <v>410</v>
      </c>
      <c r="C153" s="60"/>
      <c r="D153" s="61">
        <f t="shared" si="34"/>
        <v>0</v>
      </c>
      <c r="E153" s="64">
        <f>sumifs(Dados!$N:$N,Dados!$B:$B,B153,Dados!$H:$H,$D$1,Dados!$G:$G,$E$4)</f>
        <v>0</v>
      </c>
      <c r="F153" s="64">
        <f>sumifs(Dados!$N:$N,Dados!$B:$B,B153,Dados!$H:$H,$D$1,Dados!$G:$G,$F$4)</f>
        <v>0</v>
      </c>
      <c r="G153" s="64">
        <f>sumifs(Dados!$N:$N,Dados!$B:$B,B153,Dados!$H:$H,$D$1,Dados!$G:$G,$G$4)</f>
        <v>0</v>
      </c>
      <c r="H153" s="64">
        <f>sumifs(Dados!$N:$N,Dados!$B:$B,B153,Dados!$H:$H,$D$1,Dados!$G:$G,$H$4)</f>
        <v>0</v>
      </c>
      <c r="I153" s="64">
        <f>sumifs(Dados!$N:$N,Dados!$B:$B,B153,Dados!$H:$H,$D$1,Dados!$G:$G,$I$4)</f>
        <v>0</v>
      </c>
      <c r="J153" s="64">
        <f>sumifs(Dados!$N:$N,Dados!$B:$B,B153,Dados!$H:$H,$D$1,Dados!$G:$G,$J$4)</f>
        <v>0</v>
      </c>
      <c r="K153" s="64">
        <f>sumifs(Dados!$N:$N,Dados!$B:$B,B153,Dados!$H:$H,$D$1,Dados!$G:$G,$K$4)</f>
        <v>0</v>
      </c>
      <c r="L153" s="64">
        <f>sumifs(Dados!$N:$N,Dados!$B:$B,B153,Dados!$H:$H,$D$1,Dados!$G:$G,$L$4)</f>
        <v>0</v>
      </c>
      <c r="M153" s="64">
        <f>sumifs(Dados!$N:$N,Dados!$B:$B,B153,Dados!$H:$H,$D$1,Dados!$G:$G,$M$4)</f>
        <v>0</v>
      </c>
      <c r="N153" s="64">
        <f>sumifs(Dados!$N:$N,Dados!$B:$B,B153,Dados!$H:$H,$D$1,Dados!$G:$G,$N$4)</f>
        <v>0</v>
      </c>
      <c r="O153" s="64">
        <f>sumifs(Dados!$N:$N,Dados!$B:$B,B153,Dados!$H:$H,$D$1,Dados!$G:$G,$O$4)</f>
        <v>0</v>
      </c>
      <c r="P153" s="64">
        <f>sumifs(Dados!$N:$N,Dados!$B:$B,B153,Dados!$H:$H,$D$1,Dados!$G:$G,$P$4)</f>
        <v>0</v>
      </c>
      <c r="Q153" s="64"/>
    </row>
    <row r="154" ht="15.75" customHeight="1">
      <c r="B154" s="27" t="s">
        <v>413</v>
      </c>
      <c r="C154" s="60"/>
      <c r="D154" s="61">
        <f t="shared" si="34"/>
        <v>0</v>
      </c>
      <c r="E154" s="64">
        <f>sumifs(Dados!$N:$N,Dados!$B:$B,$B$154,Dados!$H:$H,$D$1,Dados!$G:$G,E4)</f>
        <v>0</v>
      </c>
      <c r="F154" s="64">
        <f>sumifs(Dados!$N:$N,Dados!$B:$B,$B$154,Dados!$H:$H,$D$1,Dados!$G:$G,F4)</f>
        <v>0</v>
      </c>
      <c r="G154" s="64">
        <f>sumifs(Dados!$N:$N,Dados!$B:$B,$B$154,Dados!$H:$H,$D$1,Dados!$G:$G,G4)</f>
        <v>0</v>
      </c>
      <c r="H154" s="64">
        <f>sumifs(Dados!$N:$N,Dados!$B:$B,$B$154,Dados!$H:$H,$D$1,Dados!$G:$G,H4)</f>
        <v>0</v>
      </c>
      <c r="I154" s="64">
        <f>sumifs(Dados!$N:$N,Dados!$B:$B,$B$154,Dados!$H:$H,$D$1,Dados!$G:$G,I4)</f>
        <v>0</v>
      </c>
      <c r="J154" s="64">
        <f>sumifs(Dados!$N:$N,Dados!$B:$B,$B$154,Dados!$H:$H,$D$1,Dados!$G:$G,J4)</f>
        <v>0</v>
      </c>
      <c r="K154" s="64">
        <f>sumifs(Dados!$N:$N,Dados!$B:$B,$B$154,Dados!$H:$H,$D$1,Dados!$G:$G,K4)</f>
        <v>0</v>
      </c>
      <c r="L154" s="64">
        <f>sumifs(Dados!$N:$N,Dados!$B:$B,$B$154,Dados!$H:$H,$D$1,Dados!$G:$G,L4)</f>
        <v>0</v>
      </c>
      <c r="M154" s="64">
        <f>sumifs(Dados!$N:$N,Dados!$B:$B,$B$154,Dados!$H:$H,$D$1,Dados!$G:$G,M4)</f>
        <v>0</v>
      </c>
      <c r="N154" s="64">
        <f>sumifs(Dados!$N:$N,Dados!$B:$B,$B$154,Dados!$H:$H,$D$1,Dados!$G:$G,N4)</f>
        <v>0</v>
      </c>
      <c r="O154" s="64">
        <f>sumifs(Dados!$N:$N,Dados!$B:$B,$B$154,Dados!$H:$H,$D$1,Dados!$G:$G,O4)</f>
        <v>0</v>
      </c>
      <c r="P154" s="64">
        <f>sumifs(Dados!$N:$N,Dados!$B:$B,$B$154,Dados!$H:$H,$D$1,Dados!$G:$G,P4)</f>
        <v>0</v>
      </c>
      <c r="Q154" s="64"/>
    </row>
    <row r="155" ht="15.75" customHeight="1">
      <c r="A155" s="58"/>
      <c r="B155" s="58" t="s">
        <v>418</v>
      </c>
      <c r="C155" s="60"/>
      <c r="D155" s="61">
        <f t="shared" si="34"/>
        <v>0</v>
      </c>
      <c r="E155" s="64">
        <f>sumifs(Dados!$N:$N,Dados!$B:$B,B155,Dados!$H:$H,$D$1,Dados!$G:$G,$E$4)</f>
        <v>0</v>
      </c>
      <c r="F155" s="64">
        <f>sumifs(Dados!$N:$N,Dados!$B:$B,B155,Dados!$H:$H,$D$1,Dados!$G:$G,$F$4)</f>
        <v>0</v>
      </c>
      <c r="G155" s="64">
        <f>sumifs(Dados!$N:$N,Dados!$B:$B,B155,Dados!$H:$H,$D$1,Dados!$G:$G,$G$4)</f>
        <v>0</v>
      </c>
      <c r="H155" s="64">
        <f>sumifs(Dados!$N:$N,Dados!$B:$B,B155,Dados!$H:$H,$D$1,Dados!$G:$G,$H$4)</f>
        <v>0</v>
      </c>
      <c r="I155" s="64">
        <f>sumifs(Dados!$N:$N,Dados!$B:$B,B155,Dados!$H:$H,$D$1,Dados!$G:$G,$I$4)</f>
        <v>0</v>
      </c>
      <c r="J155" s="64">
        <f>sumifs(Dados!$N:$N,Dados!$B:$B,B155,Dados!$H:$H,$D$1,Dados!$G:$G,$J$4)</f>
        <v>0</v>
      </c>
      <c r="K155" s="64">
        <f>sumifs(Dados!$N:$N,Dados!$B:$B,B155,Dados!$H:$H,$D$1,Dados!$G:$G,$K$4)</f>
        <v>0</v>
      </c>
      <c r="L155" s="64">
        <f>sumifs(Dados!$N:$N,Dados!$B:$B,B155,Dados!$H:$H,$D$1,Dados!$G:$G,$L$4)</f>
        <v>0</v>
      </c>
      <c r="M155" s="64">
        <f>sumifs(Dados!$N:$N,Dados!$B:$B,B155,Dados!$H:$H,$D$1,Dados!$G:$G,$M$4)</f>
        <v>0</v>
      </c>
      <c r="N155" s="64">
        <f>sumifs(Dados!$N:$N,Dados!$B:$B,B155,Dados!$H:$H,$D$1,Dados!$G:$G,$N$4)</f>
        <v>0</v>
      </c>
      <c r="O155" s="64">
        <f>sumifs(Dados!$N:$N,Dados!$B:$B,B155,Dados!$H:$H,$D$1,Dados!$G:$G,$O$4)</f>
        <v>0</v>
      </c>
      <c r="P155" s="64">
        <f>sumifs(Dados!$N:$N,Dados!$B:$B,B155,Dados!$H:$H,$D$1,Dados!$G:$G,$P$4)</f>
        <v>0</v>
      </c>
      <c r="Q155" s="64"/>
    </row>
    <row r="156" ht="15.75" customHeight="1">
      <c r="A156" s="58"/>
      <c r="B156" s="59" t="s">
        <v>424</v>
      </c>
      <c r="C156" s="60"/>
      <c r="D156" s="61">
        <f t="shared" si="34"/>
        <v>0</v>
      </c>
      <c r="E156" s="64">
        <f>sumifs(Dados!$N:$N,Dados!$B:$B,B156,Dados!$H:$H,$D$1,Dados!$G:$G,$E$4)</f>
        <v>0</v>
      </c>
      <c r="F156" s="64">
        <f>sumifs(Dados!$N:$N,Dados!$B:$B,B156,Dados!$H:$H,$D$1,Dados!$G:$G,$F$4)</f>
        <v>0</v>
      </c>
      <c r="G156" s="64">
        <f>sumifs(Dados!$N:$N,Dados!$B:$B,B156,Dados!$H:$H,$D$1,Dados!$G:$G,$G$4)</f>
        <v>0</v>
      </c>
      <c r="H156" s="64">
        <f>sumifs(Dados!$N:$N,Dados!$B:$B,B156,Dados!$H:$H,$D$1,Dados!$G:$G,$H$4)</f>
        <v>0</v>
      </c>
      <c r="I156" s="64">
        <f>sumifs(Dados!$N:$N,Dados!$B:$B,B156,Dados!$H:$H,$D$1,Dados!$G:$G,$I$4)</f>
        <v>0</v>
      </c>
      <c r="J156" s="64">
        <f>sumifs(Dados!$N:$N,Dados!$B:$B,B156,Dados!$H:$H,$D$1,Dados!$G:$G,$J$4)</f>
        <v>0</v>
      </c>
      <c r="K156" s="64">
        <f>sumifs(Dados!$N:$N,Dados!$B:$B,B156,Dados!$H:$H,$D$1,Dados!$G:$G,$K$4)</f>
        <v>0</v>
      </c>
      <c r="L156" s="64">
        <f>sumifs(Dados!$N:$N,Dados!$B:$B,B156,Dados!$H:$H,$D$1,Dados!$G:$G,$L$4)</f>
        <v>0</v>
      </c>
      <c r="M156" s="64">
        <f>sumifs(Dados!$N:$N,Dados!$B:$B,B156,Dados!$H:$H,$D$1,Dados!$G:$G,$M$4)</f>
        <v>0</v>
      </c>
      <c r="N156" s="64">
        <f>sumifs(Dados!$N:$N,Dados!$B:$B,B156,Dados!$H:$H,$D$1,Dados!$G:$G,$N$4)</f>
        <v>0</v>
      </c>
      <c r="O156" s="64">
        <f>sumifs(Dados!$N:$N,Dados!$B:$B,B156,Dados!$H:$H,$D$1,Dados!$G:$G,$O$4)</f>
        <v>0</v>
      </c>
      <c r="P156" s="64">
        <f>sumifs(Dados!$N:$N,Dados!$B:$B,B156,Dados!$H:$H,$D$1,Dados!$G:$G,$P$4)</f>
        <v>0</v>
      </c>
      <c r="Q156" s="64"/>
    </row>
    <row r="157" ht="15.75" customHeight="1">
      <c r="A157" s="88" t="s">
        <v>435</v>
      </c>
      <c r="B157" s="89">
        <f>sumifs(Dados!$N:$N,Dados!$A:$A,A157,Dados!$H:$H,$D$1)</f>
        <v>0</v>
      </c>
      <c r="C157" s="90"/>
      <c r="D157" s="89">
        <f t="shared" ref="D157:P157" si="35">SUM(D145:D156)</f>
        <v>0</v>
      </c>
      <c r="E157" s="89">
        <f t="shared" si="35"/>
        <v>0</v>
      </c>
      <c r="F157" s="89">
        <f t="shared" si="35"/>
        <v>0</v>
      </c>
      <c r="G157" s="89">
        <f t="shared" si="35"/>
        <v>0</v>
      </c>
      <c r="H157" s="89">
        <f t="shared" si="35"/>
        <v>0</v>
      </c>
      <c r="I157" s="89">
        <f t="shared" si="35"/>
        <v>0</v>
      </c>
      <c r="J157" s="89">
        <f t="shared" si="35"/>
        <v>0</v>
      </c>
      <c r="K157" s="89">
        <f t="shared" si="35"/>
        <v>0</v>
      </c>
      <c r="L157" s="89">
        <f t="shared" si="35"/>
        <v>0</v>
      </c>
      <c r="M157" s="89">
        <f t="shared" si="35"/>
        <v>0</v>
      </c>
      <c r="N157" s="89">
        <f t="shared" si="35"/>
        <v>0</v>
      </c>
      <c r="O157" s="89">
        <f t="shared" si="35"/>
        <v>0</v>
      </c>
      <c r="P157" s="89">
        <f t="shared" si="35"/>
        <v>0</v>
      </c>
      <c r="Q157" s="89"/>
    </row>
    <row r="158" ht="15.75" customHeight="1">
      <c r="A158" s="58"/>
      <c r="B158" s="58" t="s">
        <v>437</v>
      </c>
      <c r="C158" s="60"/>
      <c r="D158" s="61">
        <f t="shared" ref="D158:D161" si="36">SUM(E158:P158)</f>
        <v>0</v>
      </c>
      <c r="E158" s="64">
        <f>sumifs(Dados!$N:$N,Dados!$B:$B,B158,Dados!$H:$H,$D$1,Dados!$G:$G,$E$4)</f>
        <v>0</v>
      </c>
      <c r="F158" s="64">
        <f>sumifs(Dados!$N:$N,Dados!$B:$B,B158,Dados!$H:$H,$D$1,Dados!$G:$G,$F$4)</f>
        <v>0</v>
      </c>
      <c r="G158" s="64">
        <f>sumifs(Dados!$N:$N,Dados!$B:$B,B158,Dados!$H:$H,$D$1,Dados!$G:$G,$G$4)</f>
        <v>0</v>
      </c>
      <c r="H158" s="64">
        <f>sumifs(Dados!$N:$N,Dados!$B:$B,B158,Dados!$H:$H,$D$1,Dados!$G:$G,$H$4)</f>
        <v>0</v>
      </c>
      <c r="I158" s="64">
        <f>sumifs(Dados!$N:$N,Dados!$B:$B,B158,Dados!$H:$H,$D$1,Dados!$G:$G,$I$4)</f>
        <v>0</v>
      </c>
      <c r="J158" s="64">
        <f>sumifs(Dados!$N:$N,Dados!$B:$B,B158,Dados!$H:$H,$D$1,Dados!$G:$G,$J$4)</f>
        <v>0</v>
      </c>
      <c r="K158" s="64">
        <f>sumifs(Dados!$N:$N,Dados!$B:$B,B158,Dados!$H:$H,$D$1,Dados!$G:$G,$K$4)</f>
        <v>0</v>
      </c>
      <c r="L158" s="64">
        <f>sumifs(Dados!$N:$N,Dados!$B:$B,B158,Dados!$H:$H,$D$1,Dados!$G:$G,$L$4)</f>
        <v>0</v>
      </c>
      <c r="M158" s="64">
        <f>sumifs(Dados!$N:$N,Dados!$B:$B,B158,Dados!$H:$H,$D$1,Dados!$G:$G,$M$4)</f>
        <v>0</v>
      </c>
      <c r="N158" s="64">
        <f>sumifs(Dados!$N:$N,Dados!$B:$B,B158,Dados!$H:$H,$D$1,Dados!$G:$G,$N$4)</f>
        <v>0</v>
      </c>
      <c r="O158" s="64">
        <f>sumifs(Dados!$N:$N,Dados!$B:$B,B158,Dados!$H:$H,$D$1,Dados!$G:$G,$O$4)</f>
        <v>0</v>
      </c>
      <c r="P158" s="64">
        <f>sumifs(Dados!$N:$N,Dados!$B:$B,B158,Dados!$H:$H,$D$1,Dados!$G:$G,$P$4)</f>
        <v>0</v>
      </c>
      <c r="Q158" s="64"/>
    </row>
    <row r="159" ht="15.75" customHeight="1">
      <c r="A159" s="58"/>
      <c r="B159" s="58" t="s">
        <v>449</v>
      </c>
      <c r="C159" s="60"/>
      <c r="D159" s="61">
        <f t="shared" si="36"/>
        <v>0</v>
      </c>
      <c r="E159" s="64">
        <f>sumifs(Dados!$N:$N,Dados!$B:$B,B159,Dados!$H:$H,$D$1,Dados!$G:$G,$E$4)</f>
        <v>0</v>
      </c>
      <c r="F159" s="64">
        <f>sumifs(Dados!$N:$N,Dados!$B:$B,B159,Dados!$H:$H,$D$1,Dados!$G:$G,$F$4)</f>
        <v>0</v>
      </c>
      <c r="G159" s="64">
        <f>sumifs(Dados!$N:$N,Dados!$B:$B,B159,Dados!$H:$H,$D$1,Dados!$G:$G,$G$4)</f>
        <v>0</v>
      </c>
      <c r="H159" s="64">
        <f>sumifs(Dados!$N:$N,Dados!$B:$B,B159,Dados!$H:$H,$D$1,Dados!$G:$G,$H$4)</f>
        <v>0</v>
      </c>
      <c r="I159" s="64">
        <f>sumifs(Dados!$N:$N,Dados!$B:$B,B159,Dados!$H:$H,$D$1,Dados!$G:$G,$I$4)</f>
        <v>0</v>
      </c>
      <c r="J159" s="64">
        <f>sumifs(Dados!$N:$N,Dados!$B:$B,B159,Dados!$H:$H,$D$1,Dados!$G:$G,$J$4)</f>
        <v>0</v>
      </c>
      <c r="K159" s="64">
        <f>sumifs(Dados!$N:$N,Dados!$B:$B,B159,Dados!$H:$H,$D$1,Dados!$G:$G,$K$4)</f>
        <v>0</v>
      </c>
      <c r="L159" s="64">
        <f>sumifs(Dados!$N:$N,Dados!$B:$B,B159,Dados!$H:$H,$D$1,Dados!$G:$G,$L$4)</f>
        <v>0</v>
      </c>
      <c r="M159" s="64">
        <f>sumifs(Dados!$N:$N,Dados!$B:$B,B159,Dados!$H:$H,$D$1,Dados!$G:$G,$M$4)</f>
        <v>0</v>
      </c>
      <c r="N159" s="64">
        <f>sumifs(Dados!$N:$N,Dados!$B:$B,B159,Dados!$H:$H,$D$1,Dados!$G:$G,$N$4)</f>
        <v>0</v>
      </c>
      <c r="O159" s="64">
        <f>sumifs(Dados!$N:$N,Dados!$B:$B,B159,Dados!$H:$H,$D$1,Dados!$G:$G,$O$4)</f>
        <v>0</v>
      </c>
      <c r="P159" s="64">
        <f>sumifs(Dados!$N:$N,Dados!$B:$B,B159,Dados!$H:$H,$D$1,Dados!$G:$G,$P$4)</f>
        <v>0</v>
      </c>
      <c r="Q159" s="64"/>
    </row>
    <row r="160" ht="15.75" customHeight="1">
      <c r="A160" s="58"/>
      <c r="B160" s="59" t="s">
        <v>455</v>
      </c>
      <c r="C160" s="60"/>
      <c r="D160" s="61">
        <f t="shared" si="36"/>
        <v>50</v>
      </c>
      <c r="E160" s="64">
        <f>sumifs(Dados!$N:$N,Dados!$B:$B,$B$160,Dados!$H:$H,$D$1,Dados!$G:$G,E4)</f>
        <v>0</v>
      </c>
      <c r="F160" s="64">
        <f>sumifs(Dados!$N:$N,Dados!$B:$B,$B$160,Dados!$H:$H,$D$1,Dados!$G:$G,F4)</f>
        <v>0</v>
      </c>
      <c r="G160" s="64">
        <f>sumifs(Dados!$N:$N,Dados!$B:$B,$B$160,Dados!$H:$H,$D$1,Dados!$G:$G,G4)</f>
        <v>0</v>
      </c>
      <c r="H160" s="64">
        <f>sumifs(Dados!$N:$N,Dados!$B:$B,$B$160,Dados!$H:$H,$D$1,Dados!$G:$G,H4)</f>
        <v>0</v>
      </c>
      <c r="I160" s="64">
        <f>sumifs(Dados!$N:$N,Dados!$B:$B,$B$160,Dados!$H:$H,$D$1,Dados!$G:$G,I4)</f>
        <v>0</v>
      </c>
      <c r="J160" s="64">
        <f>sumifs(Dados!$N:$N,Dados!$B:$B,$B$160,Dados!$H:$H,$D$1,Dados!$G:$G,J4)</f>
        <v>0</v>
      </c>
      <c r="K160" s="64">
        <f>sumifs(Dados!$N:$N,Dados!$B:$B,$B$160,Dados!$H:$H,$D$1,Dados!$G:$G,K4)</f>
        <v>0</v>
      </c>
      <c r="L160" s="64">
        <f>sumifs(Dados!$N:$N,Dados!$B:$B,$B$160,Dados!$H:$H,$D$1,Dados!$G:$G,L4)</f>
        <v>0</v>
      </c>
      <c r="M160" s="64">
        <f>sumifs(Dados!$N:$N,Dados!$B:$B,$B$160,Dados!$H:$H,$D$1,Dados!$G:$G,M4)</f>
        <v>50</v>
      </c>
      <c r="N160" s="64">
        <f>sumifs(Dados!$N:$N,Dados!$B:$B,$B$160,Dados!$H:$H,$D$1,Dados!$G:$G,N4)</f>
        <v>0</v>
      </c>
      <c r="O160" s="64">
        <f>sumifs(Dados!$N:$N,Dados!$B:$B,$B$160,Dados!$H:$H,$D$1,Dados!$G:$G,O4)</f>
        <v>0</v>
      </c>
      <c r="P160" s="64">
        <f>sumifs(Dados!$N:$N,Dados!$B:$B,$B$160,Dados!$H:$H,$D$1,Dados!$G:$G,P4)</f>
        <v>0</v>
      </c>
      <c r="Q160" s="64"/>
    </row>
    <row r="161" ht="15.75" customHeight="1">
      <c r="A161" s="58"/>
      <c r="B161" s="58" t="s">
        <v>463</v>
      </c>
      <c r="C161" s="60"/>
      <c r="D161" s="61">
        <f t="shared" si="36"/>
        <v>0</v>
      </c>
      <c r="E161" s="64">
        <f>sumifs(Dados!$N:$N,Dados!$B:$B,B161,Dados!$H:$H,$D$1,Dados!$G:$G,$E$4)</f>
        <v>0</v>
      </c>
      <c r="F161" s="64">
        <f>sumifs(Dados!$N:$N,Dados!$B:$B,B161,Dados!$H:$H,$D$1,Dados!$G:$G,$F$4)</f>
        <v>0</v>
      </c>
      <c r="G161" s="64">
        <f>sumifs(Dados!$N:$N,Dados!$B:$B,B161,Dados!$H:$H,$D$1,Dados!$G:$G,$G$4)</f>
        <v>0</v>
      </c>
      <c r="H161" s="64">
        <f>sumifs(Dados!$N:$N,Dados!$B:$B,B161,Dados!$H:$H,$D$1,Dados!$G:$G,$H$4)</f>
        <v>0</v>
      </c>
      <c r="I161" s="64">
        <f>sumifs(Dados!$N:$N,Dados!$B:$B,B161,Dados!$H:$H,$D$1,Dados!$G:$G,$I$4)</f>
        <v>0</v>
      </c>
      <c r="J161" s="64">
        <f>sumifs(Dados!$N:$N,Dados!$B:$B,B161,Dados!$H:$H,$D$1,Dados!$G:$G,$J$4)</f>
        <v>0</v>
      </c>
      <c r="K161" s="64">
        <f>sumifs(Dados!$N:$N,Dados!$B:$B,B161,Dados!$H:$H,$D$1,Dados!$G:$G,$K$4)</f>
        <v>0</v>
      </c>
      <c r="L161" s="64">
        <f>sumifs(Dados!$N:$N,Dados!$B:$B,B161,Dados!$H:$H,$D$1,Dados!$G:$G,$L$4)</f>
        <v>0</v>
      </c>
      <c r="M161" s="64">
        <f>sumifs(Dados!$N:$N,Dados!$B:$B,B161,Dados!$H:$H,$D$1,Dados!$G:$G,$M$4)</f>
        <v>0</v>
      </c>
      <c r="N161" s="64">
        <f>sumifs(Dados!$N:$N,Dados!$B:$B,B161,Dados!$H:$H,$D$1,Dados!$G:$G,$N$4)</f>
        <v>0</v>
      </c>
      <c r="O161" s="64">
        <f>sumifs(Dados!$N:$N,Dados!$B:$B,B161,Dados!$H:$H,$D$1,Dados!$G:$G,$O$4)</f>
        <v>0</v>
      </c>
      <c r="P161" s="64">
        <f>sumifs(Dados!$N:$N,Dados!$B:$B,B161,Dados!$H:$H,$D$1,Dados!$G:$G,$P$4)</f>
        <v>0</v>
      </c>
      <c r="Q161" s="64"/>
    </row>
    <row r="162" ht="15.75" customHeight="1">
      <c r="A162" s="88" t="s">
        <v>469</v>
      </c>
      <c r="B162" s="89">
        <f>sumifs(Dados!$N:$N,Dados!$A:$A,A162,Dados!$H:$H,$D$1)</f>
        <v>0</v>
      </c>
      <c r="C162" s="90"/>
      <c r="D162" s="89">
        <f t="shared" ref="D162:P162" si="37">SUM(D158:D161)</f>
        <v>50</v>
      </c>
      <c r="E162" s="89">
        <f t="shared" si="37"/>
        <v>0</v>
      </c>
      <c r="F162" s="89">
        <f t="shared" si="37"/>
        <v>0</v>
      </c>
      <c r="G162" s="89">
        <f t="shared" si="37"/>
        <v>0</v>
      </c>
      <c r="H162" s="89">
        <f t="shared" si="37"/>
        <v>0</v>
      </c>
      <c r="I162" s="89">
        <f t="shared" si="37"/>
        <v>0</v>
      </c>
      <c r="J162" s="89">
        <f t="shared" si="37"/>
        <v>0</v>
      </c>
      <c r="K162" s="89">
        <f t="shared" si="37"/>
        <v>0</v>
      </c>
      <c r="L162" s="89">
        <f t="shared" si="37"/>
        <v>0</v>
      </c>
      <c r="M162" s="89">
        <f t="shared" si="37"/>
        <v>50</v>
      </c>
      <c r="N162" s="89">
        <f t="shared" si="37"/>
        <v>0</v>
      </c>
      <c r="O162" s="89">
        <f t="shared" si="37"/>
        <v>0</v>
      </c>
      <c r="P162" s="89">
        <f t="shared" si="37"/>
        <v>0</v>
      </c>
      <c r="Q162" s="89"/>
    </row>
    <row r="163" ht="15.75" customHeight="1">
      <c r="A163" s="58"/>
      <c r="B163" s="59" t="s">
        <v>471</v>
      </c>
      <c r="C163" s="60"/>
      <c r="D163" s="61">
        <f t="shared" ref="D163:D166" si="38">SUM(E163:P163)</f>
        <v>0</v>
      </c>
      <c r="E163" s="64">
        <f>sumifs(Dados!$N:$N,Dados!$B:$B,B163,Dados!$H:$H,$D$1,Dados!$G:$G,$E$4)</f>
        <v>0</v>
      </c>
      <c r="F163" s="64">
        <f>sumifs(Dados!$N:$N,Dados!$B:$B,B163,Dados!$H:$H,$D$1,Dados!$G:$G,$F$4)</f>
        <v>0</v>
      </c>
      <c r="G163" s="64">
        <f>sumifs(Dados!$N:$N,Dados!$B:$B,B163,Dados!$H:$H,$D$1,Dados!$G:$G,$G$4)</f>
        <v>0</v>
      </c>
      <c r="H163" s="64">
        <f>sumifs(Dados!$N:$N,Dados!$B:$B,B163,Dados!$H:$H,$D$1,Dados!$G:$G,$H$4)</f>
        <v>0</v>
      </c>
      <c r="I163" s="64">
        <f>sumifs(Dados!$N:$N,Dados!$B:$B,B163,Dados!$H:$H,$D$1,Dados!$G:$G,$I$4)</f>
        <v>0</v>
      </c>
      <c r="J163" s="64">
        <f>sumifs(Dados!$N:$N,Dados!$B:$B,B163,Dados!$H:$H,$D$1,Dados!$G:$G,$J$4)</f>
        <v>0</v>
      </c>
      <c r="K163" s="64">
        <f>sumifs(Dados!$N:$N,Dados!$B:$B,B163,Dados!$H:$H,$D$1,Dados!$G:$G,$K$4)</f>
        <v>0</v>
      </c>
      <c r="L163" s="64">
        <f>sumifs(Dados!$N:$N,Dados!$B:$B,B163,Dados!$H:$H,$D$1,Dados!$G:$G,$L$4)</f>
        <v>0</v>
      </c>
      <c r="M163" s="64">
        <f>sumifs(Dados!$N:$N,Dados!$B:$B,B163,Dados!$H:$H,$D$1,Dados!$G:$G,$M$4)</f>
        <v>0</v>
      </c>
      <c r="N163" s="64">
        <f>sumifs(Dados!$N:$N,Dados!$B:$B,B163,Dados!$H:$H,$D$1,Dados!$G:$G,$N$4)</f>
        <v>0</v>
      </c>
      <c r="O163" s="64">
        <f>sumifs(Dados!$N:$N,Dados!$B:$B,B163,Dados!$H:$H,$D$1,Dados!$G:$G,$O$4)</f>
        <v>0</v>
      </c>
      <c r="P163" s="64">
        <f>sumifs(Dados!$N:$N,Dados!$B:$B,B163,Dados!$H:$H,$D$1,Dados!$G:$G,$P$4)</f>
        <v>0</v>
      </c>
      <c r="Q163" s="64"/>
    </row>
    <row r="164" ht="15.75" customHeight="1">
      <c r="A164" s="58"/>
      <c r="B164" s="59" t="s">
        <v>490</v>
      </c>
      <c r="C164" s="60"/>
      <c r="D164" s="61">
        <f t="shared" si="38"/>
        <v>0</v>
      </c>
      <c r="E164" s="64">
        <f>sumifs(Dados!$N:$N,Dados!$B:$B,B164,Dados!$H:$H,$D$1,Dados!$G:$G,$E$4)</f>
        <v>0</v>
      </c>
      <c r="F164" s="64">
        <f>sumifs(Dados!$N:$N,Dados!$B:$B,B164,Dados!$H:$H,$D$1,Dados!$G:$G,$F$4)</f>
        <v>0</v>
      </c>
      <c r="G164" s="64">
        <f>sumifs(Dados!$N:$N,Dados!$B:$B,B164,Dados!$H:$H,$D$1,Dados!$G:$G,$G$4)</f>
        <v>0</v>
      </c>
      <c r="H164" s="64">
        <f>sumifs(Dados!$N:$N,Dados!$B:$B,B164,Dados!$H:$H,$D$1,Dados!$G:$G,$H$4)</f>
        <v>0</v>
      </c>
      <c r="I164" s="64">
        <f>sumifs(Dados!$N:$N,Dados!$B:$B,B164,Dados!$H:$H,$D$1,Dados!$G:$G,$I$4)</f>
        <v>0</v>
      </c>
      <c r="J164" s="64">
        <f>sumifs(Dados!$N:$N,Dados!$B:$B,B164,Dados!$H:$H,$D$1,Dados!$G:$G,$J$4)</f>
        <v>0</v>
      </c>
      <c r="K164" s="64">
        <f>sumifs(Dados!$N:$N,Dados!$B:$B,B164,Dados!$H:$H,$D$1,Dados!$G:$G,$K$4)</f>
        <v>0</v>
      </c>
      <c r="L164" s="64">
        <f>sumifs(Dados!$N:$N,Dados!$B:$B,B164,Dados!$H:$H,$D$1,Dados!$G:$G,$L$4)</f>
        <v>0</v>
      </c>
      <c r="M164" s="64">
        <f>sumifs(Dados!$N:$N,Dados!$B:$B,B164,Dados!$H:$H,$D$1,Dados!$G:$G,$M$4)</f>
        <v>0</v>
      </c>
      <c r="N164" s="64">
        <f>sumifs(Dados!$N:$N,Dados!$B:$B,B164,Dados!$H:$H,$D$1,Dados!$G:$G,$N$4)</f>
        <v>0</v>
      </c>
      <c r="O164" s="64">
        <f>sumifs(Dados!$N:$N,Dados!$B:$B,B164,Dados!$H:$H,$D$1,Dados!$G:$G,$O$4)</f>
        <v>0</v>
      </c>
      <c r="P164" s="64">
        <f>sumifs(Dados!$N:$N,Dados!$B:$B,B164,Dados!$H:$H,$D$1,Dados!$G:$G,$P$4)</f>
        <v>0</v>
      </c>
      <c r="Q164" s="64"/>
    </row>
    <row r="165" ht="15.75" customHeight="1">
      <c r="A165" s="58"/>
      <c r="B165" s="58" t="s">
        <v>510</v>
      </c>
      <c r="C165" s="60"/>
      <c r="D165" s="61">
        <f t="shared" si="38"/>
        <v>0</v>
      </c>
      <c r="E165" s="64">
        <f>sumifs(Dados!$N:$N,Dados!$B:$B,B165,Dados!$H:$H,$D$1,Dados!$G:$G,$E$4)</f>
        <v>0</v>
      </c>
      <c r="F165" s="64">
        <f>sumifs(Dados!$N:$N,Dados!$B:$B,B165,Dados!$H:$H,$D$1,Dados!$G:$G,$F$4)</f>
        <v>0</v>
      </c>
      <c r="G165" s="64">
        <f>sumifs(Dados!$N:$N,Dados!$B:$B,B165,Dados!$H:$H,$D$1,Dados!$G:$G,$G$4)</f>
        <v>0</v>
      </c>
      <c r="H165" s="64">
        <f>sumifs(Dados!$N:$N,Dados!$B:$B,B165,Dados!$H:$H,$D$1,Dados!$G:$G,$H$4)</f>
        <v>0</v>
      </c>
      <c r="I165" s="64">
        <f>sumifs(Dados!$N:$N,Dados!$B:$B,B165,Dados!$H:$H,$D$1,Dados!$G:$G,$I$4)</f>
        <v>0</v>
      </c>
      <c r="J165" s="64">
        <f>sumifs(Dados!$N:$N,Dados!$B:$B,B165,Dados!$H:$H,$D$1,Dados!$G:$G,$J$4)</f>
        <v>0</v>
      </c>
      <c r="K165" s="64">
        <f>sumifs(Dados!$N:$N,Dados!$B:$B,B165,Dados!$H:$H,$D$1,Dados!$G:$G,$K$4)</f>
        <v>0</v>
      </c>
      <c r="L165" s="64">
        <f>sumifs(Dados!$N:$N,Dados!$B:$B,B165,Dados!$H:$H,$D$1,Dados!$G:$G,$L$4)</f>
        <v>0</v>
      </c>
      <c r="M165" s="64">
        <f>sumifs(Dados!$N:$N,Dados!$B:$B,B165,Dados!$H:$H,$D$1,Dados!$G:$G,$M$4)</f>
        <v>0</v>
      </c>
      <c r="N165" s="64">
        <f>sumifs(Dados!$N:$N,Dados!$B:$B,B165,Dados!$H:$H,$D$1,Dados!$G:$G,$N$4)</f>
        <v>0</v>
      </c>
      <c r="O165" s="64">
        <f>sumifs(Dados!$N:$N,Dados!$B:$B,B165,Dados!$H:$H,$D$1,Dados!$G:$G,$O$4)</f>
        <v>0</v>
      </c>
      <c r="P165" s="64">
        <f>sumifs(Dados!$N:$N,Dados!$B:$B,B165,Dados!$H:$H,$D$1,Dados!$G:$G,$P$4)</f>
        <v>0</v>
      </c>
      <c r="Q165" s="64"/>
    </row>
    <row r="166" ht="15.75" customHeight="1">
      <c r="A166" s="58"/>
      <c r="B166" s="58" t="s">
        <v>145</v>
      </c>
      <c r="C166" s="60"/>
      <c r="D166" s="61">
        <f t="shared" si="38"/>
        <v>782.91</v>
      </c>
      <c r="E166" s="64">
        <f>sumifs(Dados!$N:$N,Dados!$B:$B,B166,Dados!$H:$H,$D$1,Dados!$G:$G,$E$4)</f>
        <v>0</v>
      </c>
      <c r="F166" s="64">
        <f>sumifs(Dados!$N:$N,Dados!$B:$B,B166,Dados!$H:$H,$D$1,Dados!$G:$G,$F$4)</f>
        <v>0</v>
      </c>
      <c r="G166" s="64">
        <f>sumifs(Dados!$N:$N,Dados!$B:$B,B166,Dados!$H:$H,$D$1,Dados!$G:$G,$G$4)</f>
        <v>0</v>
      </c>
      <c r="H166" s="64">
        <f>sumifs(Dados!$N:$N,Dados!$B:$B,B166,Dados!$H:$H,$D$1,Dados!$G:$G,$H$4)</f>
        <v>89.28</v>
      </c>
      <c r="I166" s="64">
        <f>sumifs(Dados!$N:$N,Dados!$B:$B,B166,Dados!$H:$H,$D$1,Dados!$G:$G,$I$4)</f>
        <v>167.4</v>
      </c>
      <c r="J166" s="64">
        <f>sumifs(Dados!$N:$N,Dados!$B:$B,B166,Dados!$H:$H,$D$1,Dados!$G:$G,$J$4)</f>
        <v>100.44</v>
      </c>
      <c r="K166" s="64">
        <f>sumifs(Dados!$N:$N,Dados!$B:$B,B166,Dados!$H:$H,$D$1,Dados!$G:$G,$K$4)</f>
        <v>152.37</v>
      </c>
      <c r="L166" s="64">
        <f>sumifs(Dados!$N:$N,Dados!$B:$B,B166,Dados!$H:$H,$D$1,Dados!$G:$G,$L$4)</f>
        <v>184.14</v>
      </c>
      <c r="M166" s="64">
        <f>sumifs(Dados!$N:$N,Dados!$B:$B,B166,Dados!$H:$H,$D$1,Dados!$G:$G,$M$4)</f>
        <v>89.28</v>
      </c>
      <c r="N166" s="64">
        <f>sumifs(Dados!$N:$N,Dados!$B:$B,B166,Dados!$H:$H,$D$1,Dados!$G:$G,$N$4)</f>
        <v>0</v>
      </c>
      <c r="O166" s="64">
        <f>sumifs(Dados!$N:$N,Dados!$B:$B,B166,Dados!$H:$H,$D$1,Dados!$G:$G,$O$4)</f>
        <v>0</v>
      </c>
      <c r="P166" s="64">
        <f>sumifs(Dados!$N:$N,Dados!$B:$B,B166,Dados!$H:$H,$D$1,Dados!$G:$G,$P$4)</f>
        <v>0</v>
      </c>
      <c r="Q166" s="64"/>
    </row>
    <row r="167" ht="15.75" customHeight="1">
      <c r="A167" s="88" t="s">
        <v>528</v>
      </c>
      <c r="B167" s="89">
        <f>sumifs(Dados!$N:$N,Dados!$A:$A,A167,Dados!$H:$H,$D$1)</f>
        <v>832.91</v>
      </c>
      <c r="C167" s="90">
        <f>D167+D162+D157-B167</f>
        <v>0</v>
      </c>
      <c r="D167" s="89">
        <f t="shared" ref="D167:P167" si="39">SUM(D163:D166)</f>
        <v>782.91</v>
      </c>
      <c r="E167" s="89">
        <f t="shared" si="39"/>
        <v>0</v>
      </c>
      <c r="F167" s="89">
        <f t="shared" si="39"/>
        <v>0</v>
      </c>
      <c r="G167" s="89">
        <f t="shared" si="39"/>
        <v>0</v>
      </c>
      <c r="H167" s="89">
        <f t="shared" si="39"/>
        <v>89.28</v>
      </c>
      <c r="I167" s="89">
        <f t="shared" si="39"/>
        <v>167.4</v>
      </c>
      <c r="J167" s="89">
        <f t="shared" si="39"/>
        <v>100.44</v>
      </c>
      <c r="K167" s="89">
        <f t="shared" si="39"/>
        <v>152.37</v>
      </c>
      <c r="L167" s="89">
        <f t="shared" si="39"/>
        <v>184.14</v>
      </c>
      <c r="M167" s="89">
        <f t="shared" si="39"/>
        <v>89.28</v>
      </c>
      <c r="N167" s="89">
        <f t="shared" si="39"/>
        <v>0</v>
      </c>
      <c r="O167" s="89">
        <f t="shared" si="39"/>
        <v>0</v>
      </c>
      <c r="P167" s="89">
        <f t="shared" si="39"/>
        <v>0</v>
      </c>
      <c r="Q167" s="89"/>
    </row>
    <row r="168" ht="15.75" customHeight="1">
      <c r="A168" s="58"/>
      <c r="B168" s="59" t="s">
        <v>424</v>
      </c>
      <c r="C168" s="60"/>
      <c r="D168" s="61">
        <f t="shared" ref="D168:D173" si="40">SUM(E168:P168)</f>
        <v>0</v>
      </c>
      <c r="E168" s="64">
        <f>sumifs(Dados!$N:$N,Dados!$B:$B,B168,Dados!$H:$H,$D$1,Dados!$G:$G,$E$4)</f>
        <v>0</v>
      </c>
      <c r="F168" s="64">
        <f>sumifs(Dados!$N:$N,Dados!$B:$B,B168,Dados!$H:$H,$D$1,Dados!$G:$G,$F$4)</f>
        <v>0</v>
      </c>
      <c r="G168" s="64">
        <f>sumifs(Dados!$N:$N,Dados!$B:$B,B168,Dados!$H:$H,$D$1,Dados!$G:$G,$G$4)</f>
        <v>0</v>
      </c>
      <c r="H168" s="64">
        <f>sumifs(Dados!$N:$N,Dados!$B:$B,B168,Dados!$H:$H,$D$1,Dados!$G:$G,$H$4)</f>
        <v>0</v>
      </c>
      <c r="I168" s="64">
        <f>sumifs(Dados!$N:$N,Dados!$B:$B,B168,Dados!$H:$H,$D$1,Dados!$G:$G,$I$4)</f>
        <v>0</v>
      </c>
      <c r="J168" s="64">
        <f>sumifs(Dados!$N:$N,Dados!$B:$B,B168,Dados!$H:$H,$D$1,Dados!$G:$G,$J$4)</f>
        <v>0</v>
      </c>
      <c r="K168" s="64">
        <f>sumifs(Dados!$N:$N,Dados!$B:$B,B168,Dados!$H:$H,$D$1,Dados!$G:$G,$K$4)</f>
        <v>0</v>
      </c>
      <c r="L168" s="64">
        <f>sumifs(Dados!$N:$N,Dados!$B:$B,B168,Dados!$H:$H,$D$1,Dados!$G:$G,$L$4)</f>
        <v>0</v>
      </c>
      <c r="M168" s="64">
        <f>sumifs(Dados!$N:$N,Dados!$B:$B,B168,Dados!$H:$H,$D$1,Dados!$G:$G,$M$4)</f>
        <v>0</v>
      </c>
      <c r="N168" s="64">
        <f>sumifs(Dados!$N:$N,Dados!$B:$B,B168,Dados!$H:$H,$D$1,Dados!$G:$G,$N$4)</f>
        <v>0</v>
      </c>
      <c r="O168" s="64">
        <f>sumifs(Dados!$N:$N,Dados!$B:$B,B168,Dados!$H:$H,$D$1,Dados!$G:$G,$O$4)</f>
        <v>0</v>
      </c>
      <c r="P168" s="64">
        <f>sumifs(Dados!$N:$N,Dados!$B:$B,B168,Dados!$H:$H,$D$1,Dados!$G:$G,$P$4)</f>
        <v>0</v>
      </c>
      <c r="Q168" s="64"/>
    </row>
    <row r="169" ht="15.75" customHeight="1">
      <c r="A169" s="58"/>
      <c r="B169" s="58" t="s">
        <v>546</v>
      </c>
      <c r="C169" s="60"/>
      <c r="D169" s="61">
        <f t="shared" si="40"/>
        <v>0</v>
      </c>
      <c r="E169" s="64">
        <f>sumifs(Dados!$N:$N,Dados!$B:$B,B169,Dados!$H:$H,$D$1,Dados!$G:$G,$E$4)</f>
        <v>0</v>
      </c>
      <c r="F169" s="64">
        <f>sumifs(Dados!$N:$N,Dados!$B:$B,B169,Dados!$H:$H,$D$1,Dados!$G:$G,$F$4)</f>
        <v>0</v>
      </c>
      <c r="G169" s="64">
        <f>sumifs(Dados!$N:$N,Dados!$B:$B,B169,Dados!$H:$H,$D$1,Dados!$G:$G,$G$4)</f>
        <v>0</v>
      </c>
      <c r="H169" s="64">
        <f>sumifs(Dados!$N:$N,Dados!$B:$B,B169,Dados!$H:$H,$D$1,Dados!$G:$G,$H$4)</f>
        <v>0</v>
      </c>
      <c r="I169" s="64">
        <f>sumifs(Dados!$N:$N,Dados!$B:$B,B169,Dados!$H:$H,$D$1,Dados!$G:$G,$I$4)</f>
        <v>0</v>
      </c>
      <c r="J169" s="64">
        <f>sumifs(Dados!$N:$N,Dados!$B:$B,B169,Dados!$H:$H,$D$1,Dados!$G:$G,$J$4)</f>
        <v>0</v>
      </c>
      <c r="K169" s="64">
        <f>sumifs(Dados!$N:$N,Dados!$B:$B,B169,Dados!$H:$H,$D$1,Dados!$G:$G,$K$4)</f>
        <v>0</v>
      </c>
      <c r="L169" s="64">
        <f>sumifs(Dados!$N:$N,Dados!$B:$B,B169,Dados!$H:$H,$D$1,Dados!$G:$G,$L$4)</f>
        <v>0</v>
      </c>
      <c r="M169" s="64">
        <f>sumifs(Dados!$N:$N,Dados!$B:$B,B169,Dados!$H:$H,$D$1,Dados!$G:$G,$M$4)</f>
        <v>0</v>
      </c>
      <c r="N169" s="64">
        <f>sumifs(Dados!$N:$N,Dados!$B:$B,B169,Dados!$H:$H,$D$1,Dados!$G:$G,$N$4)</f>
        <v>0</v>
      </c>
      <c r="O169" s="64">
        <f>sumifs(Dados!$N:$N,Dados!$B:$B,B169,Dados!$H:$H,$D$1,Dados!$G:$G,$O$4)</f>
        <v>0</v>
      </c>
      <c r="P169" s="64">
        <f>sumifs(Dados!$N:$N,Dados!$B:$B,B169,Dados!$H:$H,$D$1,Dados!$G:$G,$P$4)</f>
        <v>0</v>
      </c>
      <c r="Q169" s="64"/>
    </row>
    <row r="170" ht="15.75" customHeight="1">
      <c r="A170" s="58"/>
      <c r="B170" s="58" t="s">
        <v>560</v>
      </c>
      <c r="C170" s="60"/>
      <c r="D170" s="61">
        <f t="shared" si="40"/>
        <v>0</v>
      </c>
      <c r="E170" s="64">
        <f>sumifs(Dados!$N:$N,Dados!$B:$B,B170,Dados!$H:$H,$D$1,Dados!$G:$G,$E$4)</f>
        <v>0</v>
      </c>
      <c r="F170" s="64">
        <f>sumifs(Dados!$N:$N,Dados!$B:$B,B170,Dados!$H:$H,$D$1,Dados!$G:$G,$F$4)</f>
        <v>0</v>
      </c>
      <c r="G170" s="64">
        <f>sumifs(Dados!$N:$N,Dados!$B:$B,B170,Dados!$H:$H,$D$1,Dados!$G:$G,$G$4)</f>
        <v>0</v>
      </c>
      <c r="H170" s="64">
        <f>sumifs(Dados!$N:$N,Dados!$B:$B,B170,Dados!$H:$H,$D$1,Dados!$G:$G,$H$4)</f>
        <v>0</v>
      </c>
      <c r="I170" s="64">
        <f>sumifs(Dados!$N:$N,Dados!$B:$B,B170,Dados!$H:$H,$D$1,Dados!$G:$G,$I$4)</f>
        <v>0</v>
      </c>
      <c r="J170" s="64">
        <f>sumifs(Dados!$N:$N,Dados!$B:$B,B170,Dados!$H:$H,$D$1,Dados!$G:$G,$J$4)</f>
        <v>0</v>
      </c>
      <c r="K170" s="64">
        <f>sumifs(Dados!$N:$N,Dados!$B:$B,B170,Dados!$H:$H,$D$1,Dados!$G:$G,$K$4)</f>
        <v>0</v>
      </c>
      <c r="L170" s="64">
        <f>sumifs(Dados!$N:$N,Dados!$B:$B,B170,Dados!$H:$H,$D$1,Dados!$G:$G,$L$4)</f>
        <v>0</v>
      </c>
      <c r="M170" s="64">
        <f>sumifs(Dados!$N:$N,Dados!$B:$B,B170,Dados!$H:$H,$D$1,Dados!$G:$G,$M$4)</f>
        <v>0</v>
      </c>
      <c r="N170" s="64">
        <f>sumifs(Dados!$N:$N,Dados!$B:$B,B170,Dados!$H:$H,$D$1,Dados!$G:$G,$N$4)</f>
        <v>0</v>
      </c>
      <c r="O170" s="64">
        <f>sumifs(Dados!$N:$N,Dados!$B:$B,B170,Dados!$H:$H,$D$1,Dados!$G:$G,$O$4)</f>
        <v>0</v>
      </c>
      <c r="P170" s="64">
        <f>sumifs(Dados!$N:$N,Dados!$B:$B,B170,Dados!$H:$H,$D$1,Dados!$G:$G,$P$4)</f>
        <v>0</v>
      </c>
      <c r="Q170" s="64"/>
    </row>
    <row r="171" ht="15.75" customHeight="1">
      <c r="A171" s="58"/>
      <c r="B171" s="58" t="s">
        <v>574</v>
      </c>
      <c r="C171" s="60"/>
      <c r="D171" s="61">
        <f t="shared" si="40"/>
        <v>0</v>
      </c>
      <c r="E171" s="64">
        <f>sumifs(Dados!$N:$N,Dados!$B:$B,B171,Dados!$H:$H,$D$1,Dados!$G:$G,$E$4)</f>
        <v>0</v>
      </c>
      <c r="F171" s="64">
        <f>sumifs(Dados!$N:$N,Dados!$B:$B,B171,Dados!$H:$H,$D$1,Dados!$G:$G,$F$4)</f>
        <v>0</v>
      </c>
      <c r="G171" s="64">
        <f>sumifs(Dados!$N:$N,Dados!$B:$B,B171,Dados!$H:$H,$D$1,Dados!$G:$G,$G$4)</f>
        <v>0</v>
      </c>
      <c r="H171" s="64">
        <f>sumifs(Dados!$N:$N,Dados!$B:$B,B171,Dados!$H:$H,$D$1,Dados!$G:$G,$H$4)</f>
        <v>0</v>
      </c>
      <c r="I171" s="64">
        <f>sumifs(Dados!$N:$N,Dados!$B:$B,B171,Dados!$H:$H,$D$1,Dados!$G:$G,$I$4)</f>
        <v>0</v>
      </c>
      <c r="J171" s="64">
        <f>sumifs(Dados!$N:$N,Dados!$B:$B,B171,Dados!$H:$H,$D$1,Dados!$G:$G,$J$4)</f>
        <v>0</v>
      </c>
      <c r="K171" s="64">
        <f>sumifs(Dados!$N:$N,Dados!$B:$B,B171,Dados!$H:$H,$D$1,Dados!$G:$G,$K$4)</f>
        <v>0</v>
      </c>
      <c r="L171" s="64">
        <f>sumifs(Dados!$N:$N,Dados!$B:$B,B171,Dados!$H:$H,$D$1,Dados!$G:$G,$L$4)</f>
        <v>0</v>
      </c>
      <c r="M171" s="64">
        <f>sumifs(Dados!$N:$N,Dados!$B:$B,B171,Dados!$H:$H,$D$1,Dados!$G:$G,$M$4)</f>
        <v>0</v>
      </c>
      <c r="N171" s="64">
        <f>sumifs(Dados!$N:$N,Dados!$B:$B,B171,Dados!$H:$H,$D$1,Dados!$G:$G,$N$4)</f>
        <v>0</v>
      </c>
      <c r="O171" s="64">
        <f>sumifs(Dados!$N:$N,Dados!$B:$B,B171,Dados!$H:$H,$D$1,Dados!$G:$G,$O$4)</f>
        <v>0</v>
      </c>
      <c r="P171" s="64">
        <f>sumifs(Dados!$N:$N,Dados!$B:$B,B171,Dados!$H:$H,$D$1,Dados!$G:$G,$P$4)</f>
        <v>0</v>
      </c>
      <c r="Q171" s="64"/>
    </row>
    <row r="172" ht="15.75" customHeight="1">
      <c r="A172" s="58"/>
      <c r="B172" s="58" t="s">
        <v>584</v>
      </c>
      <c r="C172" s="60"/>
      <c r="D172" s="61">
        <f t="shared" si="40"/>
        <v>0</v>
      </c>
      <c r="E172" s="64">
        <f>sumifs(Dados!$N:$N,Dados!$B:$B,B172,Dados!$H:$H,$D$1,Dados!$G:$G,$E$4)</f>
        <v>0</v>
      </c>
      <c r="F172" s="64">
        <f>sumifs(Dados!$N:$N,Dados!$B:$B,B172,Dados!$H:$H,$D$1,Dados!$G:$G,$F$4)</f>
        <v>0</v>
      </c>
      <c r="G172" s="64">
        <f>sumifs(Dados!$N:$N,Dados!$B:$B,B172,Dados!$H:$H,$D$1,Dados!$G:$G,$G$4)</f>
        <v>0</v>
      </c>
      <c r="H172" s="64">
        <f>sumifs(Dados!$N:$N,Dados!$B:$B,B172,Dados!$H:$H,$D$1,Dados!$G:$G,$H$4)</f>
        <v>0</v>
      </c>
      <c r="I172" s="64">
        <f>sumifs(Dados!$N:$N,Dados!$B:$B,B172,Dados!$H:$H,$D$1,Dados!$G:$G,$I$4)</f>
        <v>0</v>
      </c>
      <c r="J172" s="64">
        <f>sumifs(Dados!$N:$N,Dados!$B:$B,B172,Dados!$H:$H,$D$1,Dados!$G:$G,$J$4)</f>
        <v>0</v>
      </c>
      <c r="K172" s="64">
        <f>sumifs(Dados!$N:$N,Dados!$B:$B,B172,Dados!$H:$H,$D$1,Dados!$G:$G,$K$4)</f>
        <v>0</v>
      </c>
      <c r="L172" s="64">
        <f>sumifs(Dados!$N:$N,Dados!$B:$B,B172,Dados!$H:$H,$D$1,Dados!$G:$G,$L$4)</f>
        <v>0</v>
      </c>
      <c r="M172" s="64">
        <f>sumifs(Dados!$N:$N,Dados!$B:$B,B172,Dados!$H:$H,$D$1,Dados!$G:$G,$M$4)</f>
        <v>0</v>
      </c>
      <c r="N172" s="64">
        <f>sumifs(Dados!$N:$N,Dados!$B:$B,B172,Dados!$H:$H,$D$1,Dados!$G:$G,$N$4)</f>
        <v>0</v>
      </c>
      <c r="O172" s="64">
        <f>sumifs(Dados!$N:$N,Dados!$B:$B,B172,Dados!$H:$H,$D$1,Dados!$G:$G,$O$4)</f>
        <v>0</v>
      </c>
      <c r="P172" s="64">
        <f>sumifs(Dados!$N:$N,Dados!$B:$B,B172,Dados!$H:$H,$D$1,Dados!$G:$G,$P$4)</f>
        <v>0</v>
      </c>
      <c r="Q172" s="64"/>
    </row>
    <row r="173" ht="15.75" customHeight="1">
      <c r="A173" s="58"/>
      <c r="B173" s="58" t="s">
        <v>597</v>
      </c>
      <c r="C173" s="60"/>
      <c r="D173" s="61">
        <f t="shared" si="40"/>
        <v>0</v>
      </c>
      <c r="E173" s="64">
        <f>sumifs(Dados!$N:$N,Dados!$B:$B,B173,Dados!$H:$H,$D$1,Dados!$G:$G,$E$4)</f>
        <v>0</v>
      </c>
      <c r="F173" s="64">
        <f>sumifs(Dados!$N:$N,Dados!$B:$B,B173,Dados!$H:$H,$D$1,Dados!$G:$G,$F$4)</f>
        <v>0</v>
      </c>
      <c r="G173" s="64">
        <f>sumifs(Dados!$N:$N,Dados!$B:$B,B173,Dados!$H:$H,$D$1,Dados!$G:$G,$G$4)</f>
        <v>0</v>
      </c>
      <c r="H173" s="64">
        <f>sumifs(Dados!$N:$N,Dados!$B:$B,B173,Dados!$H:$H,$D$1,Dados!$G:$G,$H$4)</f>
        <v>0</v>
      </c>
      <c r="I173" s="64">
        <f>sumifs(Dados!$N:$N,Dados!$B:$B,B173,Dados!$H:$H,$D$1,Dados!$G:$G,$I$4)</f>
        <v>0</v>
      </c>
      <c r="J173" s="64">
        <f>sumifs(Dados!$N:$N,Dados!$B:$B,B173,Dados!$H:$H,$D$1,Dados!$G:$G,$J$4)</f>
        <v>0</v>
      </c>
      <c r="K173" s="64">
        <f>sumifs(Dados!$N:$N,Dados!$B:$B,B173,Dados!$H:$H,$D$1,Dados!$G:$G,$K$4)</f>
        <v>0</v>
      </c>
      <c r="L173" s="64">
        <f>sumifs(Dados!$N:$N,Dados!$B:$B,B173,Dados!$H:$H,$D$1,Dados!$G:$G,$L$4)</f>
        <v>0</v>
      </c>
      <c r="M173" s="64">
        <f>sumifs(Dados!$N:$N,Dados!$B:$B,B173,Dados!$H:$H,$D$1,Dados!$G:$G,$M$4)</f>
        <v>0</v>
      </c>
      <c r="N173" s="64">
        <f>sumifs(Dados!$N:$N,Dados!$B:$B,B173,Dados!$H:$H,$D$1,Dados!$G:$G,$N$4)</f>
        <v>0</v>
      </c>
      <c r="O173" s="64">
        <f>sumifs(Dados!$N:$N,Dados!$B:$B,B173,Dados!$H:$H,$D$1,Dados!$G:$G,$O$4)</f>
        <v>0</v>
      </c>
      <c r="P173" s="64">
        <f>sumifs(Dados!$N:$N,Dados!$B:$B,B173,Dados!$H:$H,$D$1,Dados!$G:$G,$P$4)</f>
        <v>0</v>
      </c>
      <c r="Q173" s="64"/>
    </row>
    <row r="174" ht="15.75" customHeight="1">
      <c r="A174" s="88" t="s">
        <v>612</v>
      </c>
      <c r="B174" s="89">
        <f>sumifs(Dados!$N:$N,Dados!$A:$A,A174,Dados!$H:$H,$D$1)</f>
        <v>0</v>
      </c>
      <c r="C174" s="90">
        <f>B174-D174</f>
        <v>0</v>
      </c>
      <c r="D174" s="89">
        <f t="shared" ref="D174:P174" si="41">SUM(D168:D173)</f>
        <v>0</v>
      </c>
      <c r="E174" s="89">
        <f t="shared" si="41"/>
        <v>0</v>
      </c>
      <c r="F174" s="89">
        <f t="shared" si="41"/>
        <v>0</v>
      </c>
      <c r="G174" s="89">
        <f t="shared" si="41"/>
        <v>0</v>
      </c>
      <c r="H174" s="89">
        <f t="shared" si="41"/>
        <v>0</v>
      </c>
      <c r="I174" s="89">
        <f t="shared" si="41"/>
        <v>0</v>
      </c>
      <c r="J174" s="89">
        <f t="shared" si="41"/>
        <v>0</v>
      </c>
      <c r="K174" s="89">
        <f t="shared" si="41"/>
        <v>0</v>
      </c>
      <c r="L174" s="89">
        <f t="shared" si="41"/>
        <v>0</v>
      </c>
      <c r="M174" s="89">
        <f t="shared" si="41"/>
        <v>0</v>
      </c>
      <c r="N174" s="89">
        <f t="shared" si="41"/>
        <v>0</v>
      </c>
      <c r="O174" s="89">
        <f t="shared" si="41"/>
        <v>0</v>
      </c>
      <c r="P174" s="89">
        <f t="shared" si="41"/>
        <v>0</v>
      </c>
      <c r="Q174" s="89"/>
    </row>
    <row r="175" ht="15.75" customHeight="1">
      <c r="A175" s="58"/>
      <c r="B175" s="58" t="s">
        <v>163</v>
      </c>
      <c r="C175" s="60"/>
      <c r="D175" s="61">
        <f>SUM(E175:P175)</f>
        <v>0</v>
      </c>
      <c r="E175" s="64">
        <f>sumifs(Dados!$N:$N,Dados!$B:$B,B175,Dados!$H:$H,$D$1,Dados!$G:$G,$E$4)</f>
        <v>0</v>
      </c>
      <c r="F175" s="64">
        <f>sumifs(Dados!$N:$N,Dados!$B:$B,B175,Dados!$H:$H,$D$1,Dados!$G:$G,$F$4)</f>
        <v>0</v>
      </c>
      <c r="G175" s="64">
        <f>sumifs(Dados!$N:$N,Dados!$B:$B,B175,Dados!$H:$H,$D$1,Dados!$G:$G,$G$4)</f>
        <v>0</v>
      </c>
      <c r="H175" s="64">
        <f>sumifs(Dados!$N:$N,Dados!$B:$B,B175,Dados!$H:$H,$D$1,Dados!$G:$G,$H$4)</f>
        <v>0</v>
      </c>
      <c r="I175" s="64">
        <f>sumifs(Dados!$N:$N,Dados!$B:$B,B175,Dados!$H:$H,$D$1,Dados!$G:$G,$I$4)</f>
        <v>0</v>
      </c>
      <c r="J175" s="64">
        <f>sumifs(Dados!$N:$N,Dados!$B:$B,B175,Dados!$H:$H,$D$1,Dados!$G:$G,$J$4)</f>
        <v>0</v>
      </c>
      <c r="K175" s="64">
        <f>sumifs(Dados!$N:$N,Dados!$B:$B,B175,Dados!$H:$H,$D$1,Dados!$G:$G,$K$4)</f>
        <v>0</v>
      </c>
      <c r="L175" s="64">
        <f>sumifs(Dados!$N:$N,Dados!$B:$B,B175,Dados!$H:$H,$D$1,Dados!$G:$G,$L$4)</f>
        <v>0</v>
      </c>
      <c r="M175" s="64">
        <f>sumifs(Dados!$N:$N,Dados!$B:$B,B175,Dados!$H:$H,$D$1,Dados!$G:$G,$M$4)</f>
        <v>0</v>
      </c>
      <c r="N175" s="64">
        <f>sumifs(Dados!$N:$N,Dados!$B:$B,B175,Dados!$H:$H,$D$1,Dados!$G:$G,$N$4)</f>
        <v>0</v>
      </c>
      <c r="O175" s="64">
        <f>sumifs(Dados!$N:$N,Dados!$B:$B,B175,Dados!$H:$H,$D$1,Dados!$G:$G,$O$4)</f>
        <v>0</v>
      </c>
      <c r="P175" s="64">
        <f>sumifs(Dados!$N:$N,Dados!$B:$B,B175,Dados!$H:$H,$D$1,Dados!$G:$G,$P$4)</f>
        <v>0</v>
      </c>
      <c r="Q175" s="64"/>
    </row>
    <row r="176" ht="15.75" customHeight="1">
      <c r="A176" s="88" t="s">
        <v>163</v>
      </c>
      <c r="B176" s="89">
        <f>sumifs(Dados!$N:$N,Dados!$A:$A,A176,Dados!$H:$H,$D$1)</f>
        <v>0</v>
      </c>
      <c r="C176" s="90">
        <f>B176-D176</f>
        <v>0</v>
      </c>
      <c r="D176" s="89">
        <f t="shared" ref="D176:P176" si="42">SUM(D175)</f>
        <v>0</v>
      </c>
      <c r="E176" s="89">
        <f t="shared" si="42"/>
        <v>0</v>
      </c>
      <c r="F176" s="89">
        <f t="shared" si="42"/>
        <v>0</v>
      </c>
      <c r="G176" s="89">
        <f t="shared" si="42"/>
        <v>0</v>
      </c>
      <c r="H176" s="89">
        <f t="shared" si="42"/>
        <v>0</v>
      </c>
      <c r="I176" s="89">
        <f t="shared" si="42"/>
        <v>0</v>
      </c>
      <c r="J176" s="89">
        <f t="shared" si="42"/>
        <v>0</v>
      </c>
      <c r="K176" s="89">
        <f t="shared" si="42"/>
        <v>0</v>
      </c>
      <c r="L176" s="89">
        <f t="shared" si="42"/>
        <v>0</v>
      </c>
      <c r="M176" s="89">
        <f t="shared" si="42"/>
        <v>0</v>
      </c>
      <c r="N176" s="89">
        <f t="shared" si="42"/>
        <v>0</v>
      </c>
      <c r="O176" s="89">
        <f t="shared" si="42"/>
        <v>0</v>
      </c>
      <c r="P176" s="89">
        <f t="shared" si="42"/>
        <v>0</v>
      </c>
      <c r="Q176" s="89"/>
    </row>
    <row r="177" ht="15.75" customHeight="1">
      <c r="A177" s="58"/>
      <c r="B177" s="58" t="s">
        <v>630</v>
      </c>
      <c r="C177" s="60"/>
      <c r="D177" s="61">
        <f>SUM(E177:P177)</f>
        <v>3.72</v>
      </c>
      <c r="E177" s="64">
        <f>sumifs(Dados!$N:$N,Dados!$B:$B,B177,Dados!$H:$H,$D$1,Dados!$G:$G,$E$4)</f>
        <v>0</v>
      </c>
      <c r="F177" s="64">
        <f>sumifs(Dados!$N:$N,Dados!$B:$B,B177,Dados!$H:$H,$D$1,Dados!$G:$G,$F$4)</f>
        <v>0</v>
      </c>
      <c r="G177" s="64">
        <f>sumifs(Dados!$N:$N,Dados!$B:$B,B177,Dados!$H:$H,$D$1,Dados!$G:$G,$G$4)</f>
        <v>0</v>
      </c>
      <c r="H177" s="64">
        <f>sumifs(Dados!$N:$N,Dados!$B:$B,B177,Dados!$H:$H,$D$1,Dados!$G:$G,$H$4)</f>
        <v>0</v>
      </c>
      <c r="I177" s="64">
        <f>sumifs(Dados!$N:$N,Dados!$B:$B,B177,Dados!$H:$H,$D$1,Dados!$G:$G,$I$4)</f>
        <v>0</v>
      </c>
      <c r="J177" s="64">
        <f>sumifs(Dados!$N:$N,Dados!$B:$B,B177,Dados!$H:$H,$D$1,Dados!$G:$G,$J$4)</f>
        <v>0</v>
      </c>
      <c r="K177" s="64">
        <f>sumifs(Dados!$N:$N,Dados!$B:$B,B177,Dados!$H:$H,$D$1,Dados!$G:$G,$K$4)</f>
        <v>0</v>
      </c>
      <c r="L177" s="64">
        <f>sumifs(Dados!$N:$N,Dados!$B:$B,B177,Dados!$H:$H,$D$1,Dados!$G:$G,$L$4)</f>
        <v>0</v>
      </c>
      <c r="M177" s="64">
        <f>sumifs(Dados!$N:$N,Dados!$B:$B,B177,Dados!$H:$H,$D$1,Dados!$G:$G,$M$4)</f>
        <v>3.72</v>
      </c>
      <c r="N177" s="64">
        <f>sumifs(Dados!$N:$N,Dados!$B:$B,B177,Dados!$H:$H,$D$1,Dados!$G:$G,$N$4)</f>
        <v>0</v>
      </c>
      <c r="O177" s="64">
        <f>sumifs(Dados!$N:$N,Dados!$B:$B,B177,Dados!$H:$H,$D$1,Dados!$G:$G,$O$4)</f>
        <v>0</v>
      </c>
      <c r="P177" s="64">
        <f>sumifs(Dados!$N:$N,Dados!$B:$B,B177,Dados!$H:$H,$D$1,Dados!$G:$G,$P$4)</f>
        <v>0</v>
      </c>
      <c r="Q177" s="64"/>
    </row>
    <row r="178" ht="15.75" customHeight="1">
      <c r="A178" s="88" t="s">
        <v>637</v>
      </c>
      <c r="B178" s="89">
        <f>sumifs(Dados!$N:$N,Dados!$A:$A,A178,Dados!$H:$H,$D$1)</f>
        <v>0</v>
      </c>
      <c r="C178" s="90">
        <f>B178-D178</f>
        <v>-3.72</v>
      </c>
      <c r="D178" s="89">
        <f t="shared" ref="D178:P178" si="43">SUM(D177)</f>
        <v>3.72</v>
      </c>
      <c r="E178" s="89">
        <f t="shared" si="43"/>
        <v>0</v>
      </c>
      <c r="F178" s="89">
        <f t="shared" si="43"/>
        <v>0</v>
      </c>
      <c r="G178" s="89">
        <f t="shared" si="43"/>
        <v>0</v>
      </c>
      <c r="H178" s="89">
        <f t="shared" si="43"/>
        <v>0</v>
      </c>
      <c r="I178" s="89">
        <f t="shared" si="43"/>
        <v>0</v>
      </c>
      <c r="J178" s="89">
        <f t="shared" si="43"/>
        <v>0</v>
      </c>
      <c r="K178" s="89">
        <f t="shared" si="43"/>
        <v>0</v>
      </c>
      <c r="L178" s="89">
        <f t="shared" si="43"/>
        <v>0</v>
      </c>
      <c r="M178" s="89">
        <f t="shared" si="43"/>
        <v>3.72</v>
      </c>
      <c r="N178" s="89">
        <f t="shared" si="43"/>
        <v>0</v>
      </c>
      <c r="O178" s="89">
        <f t="shared" si="43"/>
        <v>0</v>
      </c>
      <c r="P178" s="89">
        <f t="shared" si="43"/>
        <v>0</v>
      </c>
      <c r="Q178" s="89"/>
    </row>
    <row r="179" ht="15.75" customHeight="1">
      <c r="A179" s="58"/>
      <c r="B179" s="58" t="s">
        <v>638</v>
      </c>
      <c r="C179" s="60"/>
      <c r="D179" s="61">
        <f t="shared" ref="D179:D186" si="44">SUM(E179:P179)</f>
        <v>0</v>
      </c>
      <c r="E179" s="64">
        <f>sumifs(Dados!$N:$N,Dados!$B:$B,B179,Dados!$H:$H,$D$1,Dados!$G:$G,$E$4)</f>
        <v>0</v>
      </c>
      <c r="F179" s="64">
        <f>sumifs(Dados!$N:$N,Dados!$B:$B,B179,Dados!$H:$H,$D$1,Dados!$G:$G,$F$4)</f>
        <v>0</v>
      </c>
      <c r="G179" s="64">
        <f>sumifs(Dados!$N:$N,Dados!$B:$B,B179,Dados!$H:$H,$D$1,Dados!$G:$G,$G$4)</f>
        <v>0</v>
      </c>
      <c r="H179" s="64">
        <f>sumifs(Dados!$N:$N,Dados!$B:$B,B179,Dados!$H:$H,$D$1,Dados!$G:$G,$H$4)</f>
        <v>0</v>
      </c>
      <c r="I179" s="64">
        <f>sumifs(Dados!$N:$N,Dados!$B:$B,B179,Dados!$H:$H,$D$1,Dados!$G:$G,$I$4)</f>
        <v>0</v>
      </c>
      <c r="J179" s="64">
        <f>sumifs(Dados!$N:$N,Dados!$B:$B,B179,Dados!$H:$H,$D$1,Dados!$G:$G,$J$4)</f>
        <v>0</v>
      </c>
      <c r="K179" s="64">
        <f>sumifs(Dados!$N:$N,Dados!$B:$B,B179,Dados!$H:$H,$D$1,Dados!$G:$G,$K$4)</f>
        <v>0</v>
      </c>
      <c r="L179" s="64">
        <f>sumifs(Dados!$N:$N,Dados!$B:$B,B179,Dados!$H:$H,$D$1,Dados!$G:$G,$L$4)</f>
        <v>0</v>
      </c>
      <c r="M179" s="64">
        <f>sumifs(Dados!$N:$N,Dados!$B:$B,B179,Dados!$H:$H,$D$1,Dados!$G:$G,$M$4)</f>
        <v>0</v>
      </c>
      <c r="N179" s="64">
        <f>sumifs(Dados!$N:$N,Dados!$B:$B,B179,Dados!$H:$H,$D$1,Dados!$G:$G,$N$4)</f>
        <v>0</v>
      </c>
      <c r="O179" s="64">
        <f>sumifs(Dados!$N:$N,Dados!$B:$B,B179,Dados!$H:$H,$D$1,Dados!$G:$G,$O$4)</f>
        <v>0</v>
      </c>
      <c r="P179" s="64">
        <f>sumifs(Dados!$N:$N,Dados!$B:$B,B179,Dados!$H:$H,$D$1,Dados!$G:$G,$P$4)</f>
        <v>0</v>
      </c>
      <c r="Q179" s="64"/>
    </row>
    <row r="180" ht="15.75" customHeight="1">
      <c r="A180" s="58"/>
      <c r="B180" s="58" t="s">
        <v>645</v>
      </c>
      <c r="C180" s="60"/>
      <c r="D180" s="61">
        <f t="shared" si="44"/>
        <v>0</v>
      </c>
      <c r="E180" s="64">
        <f>sumifs(Dados!$N:$N,Dados!$B:$B,B180,Dados!$H:$H,$D$1,Dados!$G:$G,$E$4)</f>
        <v>0</v>
      </c>
      <c r="F180" s="64">
        <f>sumifs(Dados!$N:$N,Dados!$B:$B,B180,Dados!$H:$H,$D$1,Dados!$G:$G,$F$4)</f>
        <v>0</v>
      </c>
      <c r="G180" s="64">
        <f>sumifs(Dados!$N:$N,Dados!$B:$B,B180,Dados!$H:$H,$D$1,Dados!$G:$G,$G$4)</f>
        <v>0</v>
      </c>
      <c r="H180" s="64">
        <f>sumifs(Dados!$N:$N,Dados!$B:$B,B180,Dados!$H:$H,$D$1,Dados!$G:$G,$H$4)</f>
        <v>0</v>
      </c>
      <c r="I180" s="64">
        <f>sumifs(Dados!$N:$N,Dados!$B:$B,B180,Dados!$H:$H,$D$1,Dados!$G:$G,$I$4)</f>
        <v>0</v>
      </c>
      <c r="J180" s="64">
        <f>sumifs(Dados!$N:$N,Dados!$B:$B,B180,Dados!$H:$H,$D$1,Dados!$G:$G,$J$4)</f>
        <v>0</v>
      </c>
      <c r="K180" s="64">
        <f>sumifs(Dados!$N:$N,Dados!$B:$B,B180,Dados!$H:$H,$D$1,Dados!$G:$G,$K$4)</f>
        <v>0</v>
      </c>
      <c r="L180" s="64">
        <f>sumifs(Dados!$N:$N,Dados!$B:$B,B180,Dados!$H:$H,$D$1,Dados!$G:$G,$L$4)</f>
        <v>0</v>
      </c>
      <c r="M180" s="64">
        <f>sumifs(Dados!$N:$N,Dados!$B:$B,B180,Dados!$H:$H,$D$1,Dados!$G:$G,$M$4)</f>
        <v>0</v>
      </c>
      <c r="N180" s="64">
        <f>sumifs(Dados!$N:$N,Dados!$B:$B,B180,Dados!$H:$H,$D$1,Dados!$G:$G,$N$4)</f>
        <v>0</v>
      </c>
      <c r="O180" s="64">
        <f>sumifs(Dados!$N:$N,Dados!$B:$B,B180,Dados!$H:$H,$D$1,Dados!$G:$G,$O$4)</f>
        <v>0</v>
      </c>
      <c r="P180" s="64">
        <f>sumifs(Dados!$N:$N,Dados!$B:$B,B180,Dados!$H:$H,$D$1,Dados!$G:$G,$P$4)</f>
        <v>0</v>
      </c>
      <c r="Q180" s="64"/>
    </row>
    <row r="181" ht="15.75" customHeight="1">
      <c r="A181" s="58"/>
      <c r="B181" s="58" t="s">
        <v>658</v>
      </c>
      <c r="C181" s="60"/>
      <c r="D181" s="61">
        <f t="shared" si="44"/>
        <v>108.6</v>
      </c>
      <c r="E181" s="64">
        <f>sumifs(Dados!$N:$N,Dados!$B:$B,B181,Dados!$H:$H,$D$1,Dados!$G:$G,$E$4)</f>
        <v>0</v>
      </c>
      <c r="F181" s="64">
        <f>sumifs(Dados!$N:$N,Dados!$B:$B,B181,Dados!$H:$H,$D$1,Dados!$G:$G,$F$4)</f>
        <v>0</v>
      </c>
      <c r="G181" s="64">
        <f>sumifs(Dados!$N:$N,Dados!$B:$B,B181,Dados!$H:$H,$D$1,Dados!$G:$G,$G$4)</f>
        <v>0</v>
      </c>
      <c r="H181" s="64">
        <f>sumifs(Dados!$N:$N,Dados!$B:$B,B181,Dados!$H:$H,$D$1,Dados!$G:$G,$H$4)</f>
        <v>0</v>
      </c>
      <c r="I181" s="64">
        <f>sumifs(Dados!$N:$N,Dados!$B:$B,B181,Dados!$H:$H,$D$1,Dados!$G:$G,$I$4)</f>
        <v>0</v>
      </c>
      <c r="J181" s="64">
        <f>sumifs(Dados!$N:$N,Dados!$B:$B,B181,Dados!$H:$H,$D$1,Dados!$G:$G,$J$4)</f>
        <v>0</v>
      </c>
      <c r="K181" s="64">
        <f>sumifs(Dados!$N:$N,Dados!$B:$B,B181,Dados!$H:$H,$D$1,Dados!$G:$G,$K$4)</f>
        <v>108.6</v>
      </c>
      <c r="L181" s="64">
        <f>sumifs(Dados!$N:$N,Dados!$B:$B,B181,Dados!$H:$H,$D$1,Dados!$G:$G,$L$4)</f>
        <v>0</v>
      </c>
      <c r="M181" s="64">
        <f>sumifs(Dados!$N:$N,Dados!$B:$B,B181,Dados!$H:$H,$D$1,Dados!$G:$G,$M$4)</f>
        <v>0</v>
      </c>
      <c r="N181" s="64">
        <f>sumifs(Dados!$N:$N,Dados!$B:$B,B181,Dados!$H:$H,$D$1,Dados!$G:$G,$N$4)</f>
        <v>0</v>
      </c>
      <c r="O181" s="64">
        <f>sumifs(Dados!$N:$N,Dados!$B:$B,B181,Dados!$H:$H,$D$1,Dados!$G:$G,$O$4)</f>
        <v>0</v>
      </c>
      <c r="P181" s="64">
        <f>sumifs(Dados!$N:$N,Dados!$B:$B,B181,Dados!$H:$H,$D$1,Dados!$G:$G,$P$4)</f>
        <v>0</v>
      </c>
      <c r="Q181" s="64"/>
    </row>
    <row r="182" ht="15.75" customHeight="1">
      <c r="A182" s="58"/>
      <c r="B182" s="58" t="s">
        <v>673</v>
      </c>
      <c r="C182" s="60"/>
      <c r="D182" s="61">
        <f t="shared" si="44"/>
        <v>0</v>
      </c>
      <c r="E182" s="64">
        <f>sumifs(Dados!$N:$N,Dados!$B:$B,B182,Dados!$H:$H,$D$1,Dados!$G:$G,$E$4)</f>
        <v>0</v>
      </c>
      <c r="F182" s="64">
        <f>sumifs(Dados!$N:$N,Dados!$B:$B,B182,Dados!$H:$H,$D$1,Dados!$G:$G,$F$4)</f>
        <v>0</v>
      </c>
      <c r="G182" s="64">
        <f>sumifs(Dados!$N:$N,Dados!$B:$B,B182,Dados!$H:$H,$D$1,Dados!$G:$G,$G$4)</f>
        <v>0</v>
      </c>
      <c r="H182" s="64">
        <f>sumifs(Dados!$N:$N,Dados!$B:$B,B182,Dados!$H:$H,$D$1,Dados!$G:$G,$H$4)</f>
        <v>0</v>
      </c>
      <c r="I182" s="64">
        <f>sumifs(Dados!$N:$N,Dados!$B:$B,B182,Dados!$H:$H,$D$1,Dados!$G:$G,$I$4)</f>
        <v>0</v>
      </c>
      <c r="J182" s="64">
        <f>sumifs(Dados!$N:$N,Dados!$B:$B,B182,Dados!$H:$H,$D$1,Dados!$G:$G,$J$4)</f>
        <v>0</v>
      </c>
      <c r="K182" s="64">
        <f>sumifs(Dados!$N:$N,Dados!$B:$B,B182,Dados!$H:$H,$D$1,Dados!$G:$G,$K$4)</f>
        <v>0</v>
      </c>
      <c r="L182" s="64">
        <f>sumifs(Dados!$N:$N,Dados!$B:$B,B182,Dados!$H:$H,$D$1,Dados!$G:$G,$L$4)</f>
        <v>0</v>
      </c>
      <c r="M182" s="64">
        <f>sumifs(Dados!$N:$N,Dados!$B:$B,B182,Dados!$H:$H,$D$1,Dados!$G:$G,$M$4)</f>
        <v>0</v>
      </c>
      <c r="N182" s="64">
        <f>sumifs(Dados!$N:$N,Dados!$B:$B,B182,Dados!$H:$H,$D$1,Dados!$G:$G,$N$4)</f>
        <v>0</v>
      </c>
      <c r="O182" s="64">
        <f>sumifs(Dados!$N:$N,Dados!$B:$B,B182,Dados!$H:$H,$D$1,Dados!$G:$G,$O$4)</f>
        <v>0</v>
      </c>
      <c r="P182" s="64">
        <f>sumifs(Dados!$N:$N,Dados!$B:$B,B182,Dados!$H:$H,$D$1,Dados!$G:$G,$P$4)</f>
        <v>0</v>
      </c>
      <c r="Q182" s="64"/>
    </row>
    <row r="183" ht="15.75" customHeight="1">
      <c r="A183" s="58"/>
      <c r="B183" s="58" t="s">
        <v>685</v>
      </c>
      <c r="C183" s="60"/>
      <c r="D183" s="61">
        <f t="shared" si="44"/>
        <v>0</v>
      </c>
      <c r="E183" s="64">
        <f>sumifs(Dados!$N:$N,Dados!$B:$B,B183,Dados!$H:$H,$D$1,Dados!$G:$G,$E$4)</f>
        <v>0</v>
      </c>
      <c r="F183" s="64">
        <f>sumifs(Dados!$N:$N,Dados!$B:$B,B183,Dados!$H:$H,$D$1,Dados!$G:$G,$F$4)</f>
        <v>0</v>
      </c>
      <c r="G183" s="64">
        <f>sumifs(Dados!$N:$N,Dados!$B:$B,B183,Dados!$H:$H,$D$1,Dados!$G:$G,$G$4)</f>
        <v>0</v>
      </c>
      <c r="H183" s="64">
        <f>sumifs(Dados!$N:$N,Dados!$B:$B,B183,Dados!$H:$H,$D$1,Dados!$G:$G,$H$4)</f>
        <v>0</v>
      </c>
      <c r="I183" s="64">
        <f>sumifs(Dados!$N:$N,Dados!$B:$B,B183,Dados!$H:$H,$D$1,Dados!$G:$G,$I$4)</f>
        <v>0</v>
      </c>
      <c r="J183" s="64">
        <f>sumifs(Dados!$N:$N,Dados!$B:$B,B183,Dados!$H:$H,$D$1,Dados!$G:$G,$J$4)</f>
        <v>0</v>
      </c>
      <c r="K183" s="64">
        <f>sumifs(Dados!$N:$N,Dados!$B:$B,B183,Dados!$H:$H,$D$1,Dados!$G:$G,$K$4)</f>
        <v>0</v>
      </c>
      <c r="L183" s="64">
        <f>sumifs(Dados!$N:$N,Dados!$B:$B,B183,Dados!$H:$H,$D$1,Dados!$G:$G,$L$4)</f>
        <v>0</v>
      </c>
      <c r="M183" s="64">
        <f>sumifs(Dados!$N:$N,Dados!$B:$B,B183,Dados!$H:$H,$D$1,Dados!$G:$G,$M$4)</f>
        <v>0</v>
      </c>
      <c r="N183" s="64">
        <f>sumifs(Dados!$N:$N,Dados!$B:$B,B183,Dados!$H:$H,$D$1,Dados!$G:$G,$N$4)</f>
        <v>0</v>
      </c>
      <c r="O183" s="64">
        <f>sumifs(Dados!$N:$N,Dados!$B:$B,B183,Dados!$H:$H,$D$1,Dados!$G:$G,$O$4)</f>
        <v>0</v>
      </c>
      <c r="P183" s="64">
        <f>sumifs(Dados!$N:$N,Dados!$B:$B,B183,Dados!$H:$H,$D$1,Dados!$G:$G,$P$4)</f>
        <v>0</v>
      </c>
      <c r="Q183" s="64"/>
    </row>
    <row r="184" ht="15.75" customHeight="1">
      <c r="A184" s="58"/>
      <c r="B184" s="58" t="s">
        <v>700</v>
      </c>
      <c r="C184" s="60"/>
      <c r="D184" s="61">
        <f t="shared" si="44"/>
        <v>0</v>
      </c>
      <c r="E184" s="64">
        <f>sumifs(Dados!$N:$N,Dados!$B:$B,B184,Dados!$H:$H,$D$1,Dados!$G:$G,$E$4)</f>
        <v>0</v>
      </c>
      <c r="F184" s="64">
        <f>sumifs(Dados!$N:$N,Dados!$B:$B,B184,Dados!$H:$H,$D$1,Dados!$G:$G,$F$4)</f>
        <v>0</v>
      </c>
      <c r="G184" s="64">
        <f>sumifs(Dados!$N:$N,Dados!$B:$B,B184,Dados!$H:$H,$D$1,Dados!$G:$G,$G$4)</f>
        <v>0</v>
      </c>
      <c r="H184" s="64">
        <f>sumifs(Dados!$N:$N,Dados!$B:$B,B184,Dados!$H:$H,$D$1,Dados!$G:$G,$H$4)</f>
        <v>0</v>
      </c>
      <c r="I184" s="64">
        <f>sumifs(Dados!$N:$N,Dados!$B:$B,B184,Dados!$H:$H,$D$1,Dados!$G:$G,$I$4)</f>
        <v>0</v>
      </c>
      <c r="J184" s="64">
        <f>sumifs(Dados!$N:$N,Dados!$B:$B,B184,Dados!$H:$H,$D$1,Dados!$G:$G,$J$4)</f>
        <v>0</v>
      </c>
      <c r="K184" s="64">
        <f>sumifs(Dados!$N:$N,Dados!$B:$B,B184,Dados!$H:$H,$D$1,Dados!$G:$G,$K$4)</f>
        <v>0</v>
      </c>
      <c r="L184" s="64">
        <f>sumifs(Dados!$N:$N,Dados!$B:$B,B184,Dados!$H:$H,$D$1,Dados!$G:$G,$L$4)</f>
        <v>0</v>
      </c>
      <c r="M184" s="64">
        <f>sumifs(Dados!$N:$N,Dados!$B:$B,B184,Dados!$H:$H,$D$1,Dados!$G:$G,$M$4)</f>
        <v>0</v>
      </c>
      <c r="N184" s="64">
        <f>sumifs(Dados!$N:$N,Dados!$B:$B,B184,Dados!$H:$H,$D$1,Dados!$G:$G,$N$4)</f>
        <v>0</v>
      </c>
      <c r="O184" s="64">
        <f>sumifs(Dados!$N:$N,Dados!$B:$B,B184,Dados!$H:$H,$D$1,Dados!$G:$G,$O$4)</f>
        <v>0</v>
      </c>
      <c r="P184" s="64">
        <f>sumifs(Dados!$N:$N,Dados!$B:$B,B184,Dados!$H:$H,$D$1,Dados!$G:$G,$P$4)</f>
        <v>0</v>
      </c>
      <c r="Q184" s="64"/>
    </row>
    <row r="185" ht="15.75" customHeight="1">
      <c r="A185" s="58"/>
      <c r="B185" s="58" t="s">
        <v>713</v>
      </c>
      <c r="C185" s="60"/>
      <c r="D185" s="61">
        <f t="shared" si="44"/>
        <v>0</v>
      </c>
      <c r="E185" s="64">
        <f>sumifs(Dados!$N:$N,Dados!$B:$B,$B$185,Dados!$H:$H,$D$1,Dados!$G:$G,E4)</f>
        <v>0</v>
      </c>
      <c r="F185" s="64">
        <f>sumifs(Dados!$N:$N,Dados!$B:$B,$B$185,Dados!$H:$H,$D$1,Dados!$G:$G,F4)</f>
        <v>0</v>
      </c>
      <c r="G185" s="64">
        <f>sumifs(Dados!$N:$N,Dados!$B:$B,$B$185,Dados!$H:$H,$D$1,Dados!$G:$G,G4)</f>
        <v>0</v>
      </c>
      <c r="H185" s="64">
        <f>sumifs(Dados!$N:$N,Dados!$B:$B,$B$185,Dados!$H:$H,$D$1,Dados!$G:$G,H4)</f>
        <v>0</v>
      </c>
      <c r="I185" s="64">
        <f>sumifs(Dados!$N:$N,Dados!$B:$B,$B$185,Dados!$H:$H,$D$1,Dados!$G:$G,I4)</f>
        <v>0</v>
      </c>
      <c r="J185" s="64">
        <f>sumifs(Dados!$N:$N,Dados!$B:$B,$B$185,Dados!$H:$H,$D$1,Dados!$G:$G,J4)</f>
        <v>0</v>
      </c>
      <c r="K185" s="64">
        <f>sumifs(Dados!$N:$N,Dados!$B:$B,$B$185,Dados!$H:$H,$D$1,Dados!$G:$G,K4)</f>
        <v>0</v>
      </c>
      <c r="L185" s="64">
        <f>sumifs(Dados!$N:$N,Dados!$B:$B,$B$185,Dados!$H:$H,$D$1,Dados!$G:$G,L4)</f>
        <v>0</v>
      </c>
      <c r="M185" s="64">
        <f>sumifs(Dados!$N:$N,Dados!$B:$B,$B$185,Dados!$H:$H,$D$1,Dados!$G:$G,M4)</f>
        <v>0</v>
      </c>
      <c r="N185" s="64">
        <f>sumifs(Dados!$N:$N,Dados!$B:$B,$B$185,Dados!$H:$H,$D$1,Dados!$G:$G,N4)</f>
        <v>0</v>
      </c>
      <c r="O185" s="64">
        <f>sumifs(Dados!$N:$N,Dados!$B:$B,$B$185,Dados!$H:$H,$D$1,Dados!$G:$G,O4)</f>
        <v>0</v>
      </c>
      <c r="P185" s="64">
        <f>sumifs(Dados!$N:$N,Dados!$B:$B,$B$185,Dados!$H:$H,$D$1,Dados!$G:$G,P4)</f>
        <v>0</v>
      </c>
      <c r="Q185" s="64"/>
    </row>
    <row r="186" ht="15.75" customHeight="1">
      <c r="A186" s="58"/>
      <c r="B186" s="58" t="s">
        <v>726</v>
      </c>
      <c r="C186" s="60"/>
      <c r="D186" s="61">
        <f t="shared" si="44"/>
        <v>0</v>
      </c>
      <c r="E186" s="64">
        <f>sumifs(Dados!$N:$N,Dados!$B:$B,B186,Dados!$H:$H,$D$1,Dados!$G:$G,$E$4)</f>
        <v>0</v>
      </c>
      <c r="F186" s="64">
        <f>sumifs(Dados!$N:$N,Dados!$B:$B,B186,Dados!$H:$H,$D$1,Dados!$G:$G,$F$4)</f>
        <v>0</v>
      </c>
      <c r="G186" s="64">
        <f>sumifs(Dados!$N:$N,Dados!$B:$B,B186,Dados!$H:$H,$D$1,Dados!$G:$G,$G$4)</f>
        <v>0</v>
      </c>
      <c r="H186" s="64">
        <f>sumifs(Dados!$N:$N,Dados!$B:$B,B186,Dados!$H:$H,$D$1,Dados!$G:$G,$H$4)</f>
        <v>0</v>
      </c>
      <c r="I186" s="64">
        <f>sumifs(Dados!$N:$N,Dados!$B:$B,B186,Dados!$H:$H,$D$1,Dados!$G:$G,$I$4)</f>
        <v>0</v>
      </c>
      <c r="J186" s="64">
        <f>sumifs(Dados!$N:$N,Dados!$B:$B,B186,Dados!$H:$H,$D$1,Dados!$G:$G,$J$4)</f>
        <v>0</v>
      </c>
      <c r="K186" s="64">
        <f>sumifs(Dados!$N:$N,Dados!$B:$B,B186,Dados!$H:$H,$D$1,Dados!$G:$G,$K$4)</f>
        <v>0</v>
      </c>
      <c r="L186" s="64">
        <f>sumifs(Dados!$N:$N,Dados!$B:$B,B186,Dados!$H:$H,$D$1,Dados!$G:$G,$L$4)</f>
        <v>0</v>
      </c>
      <c r="M186" s="64">
        <f>sumifs(Dados!$N:$N,Dados!$B:$B,B186,Dados!$H:$H,$D$1,Dados!$G:$G,$M$4)</f>
        <v>0</v>
      </c>
      <c r="N186" s="64">
        <f>sumifs(Dados!$N:$N,Dados!$B:$B,B186,Dados!$H:$H,$D$1,Dados!$G:$G,$N$4)</f>
        <v>0</v>
      </c>
      <c r="O186" s="64">
        <f>sumifs(Dados!$N:$N,Dados!$B:$B,B186,Dados!$H:$H,$D$1,Dados!$G:$G,$O$4)</f>
        <v>0</v>
      </c>
      <c r="P186" s="64">
        <f>sumifs(Dados!$N:$N,Dados!$B:$B,B186,Dados!$H:$H,$D$1,Dados!$G:$G,$P$4)</f>
        <v>0</v>
      </c>
      <c r="Q186" s="64"/>
    </row>
    <row r="187" ht="15.75" customHeight="1">
      <c r="A187" s="88" t="s">
        <v>742</v>
      </c>
      <c r="B187" s="89">
        <f>sumifs(Dados!$N:$N,Dados!$A:$A,A187,Dados!$H:$H,$D$1)</f>
        <v>108.6</v>
      </c>
      <c r="C187" s="90">
        <f>B187-D187</f>
        <v>0</v>
      </c>
      <c r="D187" s="89">
        <f t="shared" ref="D187:P187" si="45">SUM(D179:D186)</f>
        <v>108.6</v>
      </c>
      <c r="E187" s="89">
        <f t="shared" si="45"/>
        <v>0</v>
      </c>
      <c r="F187" s="89">
        <f t="shared" si="45"/>
        <v>0</v>
      </c>
      <c r="G187" s="89">
        <f t="shared" si="45"/>
        <v>0</v>
      </c>
      <c r="H187" s="89">
        <f t="shared" si="45"/>
        <v>0</v>
      </c>
      <c r="I187" s="89">
        <f t="shared" si="45"/>
        <v>0</v>
      </c>
      <c r="J187" s="89">
        <f t="shared" si="45"/>
        <v>0</v>
      </c>
      <c r="K187" s="89">
        <f t="shared" si="45"/>
        <v>108.6</v>
      </c>
      <c r="L187" s="89">
        <f t="shared" si="45"/>
        <v>0</v>
      </c>
      <c r="M187" s="89">
        <f t="shared" si="45"/>
        <v>0</v>
      </c>
      <c r="N187" s="89">
        <f t="shared" si="45"/>
        <v>0</v>
      </c>
      <c r="O187" s="89">
        <f t="shared" si="45"/>
        <v>0</v>
      </c>
      <c r="P187" s="89">
        <f t="shared" si="45"/>
        <v>0</v>
      </c>
      <c r="Q187" s="89"/>
    </row>
    <row r="188" ht="15.75" customHeight="1">
      <c r="A188" s="58"/>
      <c r="B188" s="58" t="s">
        <v>664</v>
      </c>
      <c r="C188" s="60"/>
      <c r="D188" s="61">
        <f t="shared" ref="D188:D197" si="46">SUM(E188:P188)</f>
        <v>279.97</v>
      </c>
      <c r="E188" s="64">
        <f>sumifs(Dados!$N:$N,Dados!$B:$B,B188,Dados!$H:$H,$D$1,Dados!$G:$G,$E$4)</f>
        <v>0</v>
      </c>
      <c r="F188" s="64">
        <f>sumifs(Dados!$N:$N,Dados!$B:$B,B188,Dados!$H:$H,$D$1,Dados!$G:$G,$F$4)</f>
        <v>0</v>
      </c>
      <c r="G188" s="64">
        <f>sumifs(Dados!$N:$N,Dados!$B:$B,B188,Dados!$H:$H,$D$1,Dados!$G:$G,$G$4)</f>
        <v>0</v>
      </c>
      <c r="H188" s="64">
        <f>sumifs(Dados!$N:$N,Dados!$B:$B,B188,Dados!$H:$H,$D$1,Dados!$G:$G,$H$4)</f>
        <v>0</v>
      </c>
      <c r="I188" s="64">
        <f>sumifs(Dados!$N:$N,Dados!$B:$B,B188,Dados!$H:$H,$D$1,Dados!$G:$G,$I$4)</f>
        <v>140.19</v>
      </c>
      <c r="J188" s="64">
        <f>sumifs(Dados!$N:$N,Dados!$B:$B,B188,Dados!$H:$H,$D$1,Dados!$G:$G,$J$4)</f>
        <v>79.03</v>
      </c>
      <c r="K188" s="64">
        <f>sumifs(Dados!$N:$N,Dados!$B:$B,B188,Dados!$H:$H,$D$1,Dados!$G:$G,$K$4)</f>
        <v>0</v>
      </c>
      <c r="L188" s="64">
        <f>sumifs(Dados!$N:$N,Dados!$B:$B,B188,Dados!$H:$H,$D$1,Dados!$G:$G,$L$4)</f>
        <v>60.75</v>
      </c>
      <c r="M188" s="64">
        <f>sumifs(Dados!$N:$N,Dados!$B:$B,B188,Dados!$H:$H,$D$1,Dados!$G:$G,$M$4)</f>
        <v>0</v>
      </c>
      <c r="N188" s="64">
        <f>sumifs(Dados!$N:$N,Dados!$B:$B,B188,Dados!$H:$H,$D$1,Dados!$G:$G,$N$4)</f>
        <v>0</v>
      </c>
      <c r="O188" s="64">
        <f>sumifs(Dados!$N:$N,Dados!$B:$B,B188,Dados!$H:$H,$D$1,Dados!$G:$G,$O$4)</f>
        <v>0</v>
      </c>
      <c r="P188" s="64">
        <f>sumifs(Dados!$N:$N,Dados!$B:$B,B188,Dados!$H:$H,$D$1,Dados!$G:$G,$P$4)</f>
        <v>0</v>
      </c>
      <c r="Q188" s="64"/>
    </row>
    <row r="189" ht="15.75" customHeight="1">
      <c r="A189" s="58"/>
      <c r="B189" s="58" t="s">
        <v>759</v>
      </c>
      <c r="C189" s="60"/>
      <c r="D189" s="61">
        <f t="shared" si="46"/>
        <v>0</v>
      </c>
      <c r="E189" s="64">
        <f>sumifs(Dados!$N:$N,Dados!$B:$B,B189,Dados!$H:$H,$D$1,Dados!$G:$G,$E$4)</f>
        <v>0</v>
      </c>
      <c r="F189" s="64">
        <f>sumifs(Dados!$N:$N,Dados!$B:$B,B189,Dados!$H:$H,$D$1,Dados!$G:$G,$F$4)</f>
        <v>0</v>
      </c>
      <c r="G189" s="64">
        <f>sumifs(Dados!$N:$N,Dados!$B:$B,B189,Dados!$H:$H,$D$1,Dados!$G:$G,$G$4)</f>
        <v>0</v>
      </c>
      <c r="H189" s="64">
        <f>sumifs(Dados!$N:$N,Dados!$B:$B,B189,Dados!$H:$H,$D$1,Dados!$G:$G,$H$4)</f>
        <v>0</v>
      </c>
      <c r="I189" s="64">
        <f>sumifs(Dados!$N:$N,Dados!$B:$B,B189,Dados!$H:$H,$D$1,Dados!$G:$G,$I$4)</f>
        <v>0</v>
      </c>
      <c r="J189" s="64">
        <f>sumifs(Dados!$N:$N,Dados!$B:$B,B189,Dados!$H:$H,$D$1,Dados!$G:$G,$J$4)</f>
        <v>0</v>
      </c>
      <c r="K189" s="64">
        <f>sumifs(Dados!$N:$N,Dados!$B:$B,B189,Dados!$H:$H,$D$1,Dados!$G:$G,$K$4)</f>
        <v>0</v>
      </c>
      <c r="L189" s="64">
        <f>sumifs(Dados!$N:$N,Dados!$B:$B,B189,Dados!$H:$H,$D$1,Dados!$G:$G,$L$4)</f>
        <v>0</v>
      </c>
      <c r="M189" s="64">
        <f>sumifs(Dados!$N:$N,Dados!$B:$B,B189,Dados!$H:$H,$D$1,Dados!$G:$G,$M$4)</f>
        <v>0</v>
      </c>
      <c r="N189" s="64">
        <f>sumifs(Dados!$N:$N,Dados!$B:$B,B189,Dados!$H:$H,$D$1,Dados!$G:$G,$N$4)</f>
        <v>0</v>
      </c>
      <c r="O189" s="64">
        <f>sumifs(Dados!$N:$N,Dados!$B:$B,B189,Dados!$H:$H,$D$1,Dados!$G:$G,$O$4)</f>
        <v>0</v>
      </c>
      <c r="P189" s="64">
        <f>sumifs(Dados!$N:$N,Dados!$B:$B,B189,Dados!$H:$H,$D$1,Dados!$G:$G,$P$4)</f>
        <v>0</v>
      </c>
      <c r="Q189" s="64"/>
    </row>
    <row r="190" ht="15.75" customHeight="1">
      <c r="A190" s="58"/>
      <c r="B190" s="58" t="s">
        <v>763</v>
      </c>
      <c r="C190" s="60"/>
      <c r="D190" s="61">
        <f t="shared" si="46"/>
        <v>0</v>
      </c>
      <c r="E190" s="64">
        <f>sumifs(Dados!$N:$N,Dados!$B:$B,B190,Dados!$H:$H,$D$1,Dados!$G:$G,$E$4)</f>
        <v>0</v>
      </c>
      <c r="F190" s="64">
        <f>sumifs(Dados!$N:$N,Dados!$B:$B,B190,Dados!$H:$H,$D$1,Dados!$G:$G,$F$4)</f>
        <v>0</v>
      </c>
      <c r="G190" s="64">
        <f>sumifs(Dados!$N:$N,Dados!$B:$B,B190,Dados!$H:$H,$D$1,Dados!$G:$G,$G$4)</f>
        <v>0</v>
      </c>
      <c r="H190" s="64">
        <f>sumifs(Dados!$N:$N,Dados!$B:$B,B190,Dados!$H:$H,$D$1,Dados!$G:$G,$H$4)</f>
        <v>0</v>
      </c>
      <c r="I190" s="64">
        <f>sumifs(Dados!$N:$N,Dados!$B:$B,B190,Dados!$H:$H,$D$1,Dados!$G:$G,$I$4)</f>
        <v>0</v>
      </c>
      <c r="J190" s="64">
        <f>sumifs(Dados!$N:$N,Dados!$B:$B,B190,Dados!$H:$H,$D$1,Dados!$G:$G,$J$4)</f>
        <v>0</v>
      </c>
      <c r="K190" s="64">
        <f>sumifs(Dados!$N:$N,Dados!$B:$B,B190,Dados!$H:$H,$D$1,Dados!$G:$G,$K$4)</f>
        <v>0</v>
      </c>
      <c r="L190" s="64">
        <f>sumifs(Dados!$N:$N,Dados!$B:$B,B190,Dados!$H:$H,$D$1,Dados!$G:$G,$L$4)</f>
        <v>0</v>
      </c>
      <c r="M190" s="64">
        <f>sumifs(Dados!$N:$N,Dados!$B:$B,B190,Dados!$H:$H,$D$1,Dados!$G:$G,$M$4)</f>
        <v>0</v>
      </c>
      <c r="N190" s="64">
        <f>sumifs(Dados!$N:$N,Dados!$B:$B,B190,Dados!$H:$H,$D$1,Dados!$G:$G,$N$4)</f>
        <v>0</v>
      </c>
      <c r="O190" s="64">
        <f>sumifs(Dados!$N:$N,Dados!$B:$B,B190,Dados!$H:$H,$D$1,Dados!$G:$G,$O$4)</f>
        <v>0</v>
      </c>
      <c r="P190" s="64">
        <f>sumifs(Dados!$N:$N,Dados!$B:$B,B190,Dados!$H:$H,$D$1,Dados!$G:$G,$P$4)</f>
        <v>0</v>
      </c>
      <c r="Q190" s="64"/>
    </row>
    <row r="191" ht="15.75" customHeight="1">
      <c r="A191" s="58"/>
      <c r="B191" s="58" t="s">
        <v>765</v>
      </c>
      <c r="C191" s="60"/>
      <c r="D191" s="61">
        <f t="shared" si="46"/>
        <v>0</v>
      </c>
      <c r="E191" s="64">
        <f>sumifs(Dados!$N:$N,Dados!$B:$B,B191,Dados!$H:$H,$D$1,Dados!$G:$G,$E$4)</f>
        <v>0</v>
      </c>
      <c r="F191" s="64">
        <f>sumifs(Dados!$N:$N,Dados!$B:$B,B191,Dados!$H:$H,$D$1,Dados!$G:$G,$F$4)</f>
        <v>0</v>
      </c>
      <c r="G191" s="64">
        <f>sumifs(Dados!$N:$N,Dados!$B:$B,B191,Dados!$H:$H,$D$1,Dados!$G:$G,$G$4)</f>
        <v>0</v>
      </c>
      <c r="H191" s="64">
        <f>sumifs(Dados!$N:$N,Dados!$B:$B,B191,Dados!$H:$H,$D$1,Dados!$G:$G,$H$4)</f>
        <v>0</v>
      </c>
      <c r="I191" s="64">
        <f>sumifs(Dados!$N:$N,Dados!$B:$B,B191,Dados!$H:$H,$D$1,Dados!$G:$G,$I$4)</f>
        <v>0</v>
      </c>
      <c r="J191" s="64">
        <f>sumifs(Dados!$N:$N,Dados!$B:$B,B191,Dados!$H:$H,$D$1,Dados!$G:$G,$J$4)</f>
        <v>0</v>
      </c>
      <c r="K191" s="64">
        <f>sumifs(Dados!$N:$N,Dados!$B:$B,B191,Dados!$H:$H,$D$1,Dados!$G:$G,$K$4)</f>
        <v>0</v>
      </c>
      <c r="L191" s="64">
        <f>sumifs(Dados!$N:$N,Dados!$B:$B,B191,Dados!$H:$H,$D$1,Dados!$G:$G,$L$4)</f>
        <v>0</v>
      </c>
      <c r="M191" s="64">
        <f>sumifs(Dados!$N:$N,Dados!$B:$B,B191,Dados!$H:$H,$D$1,Dados!$G:$G,$M$4)</f>
        <v>0</v>
      </c>
      <c r="N191" s="64">
        <f>sumifs(Dados!$N:$N,Dados!$B:$B,B191,Dados!$H:$H,$D$1,Dados!$G:$G,$N$4)</f>
        <v>0</v>
      </c>
      <c r="O191" s="64">
        <f>sumifs(Dados!$N:$N,Dados!$B:$B,B191,Dados!$H:$H,$D$1,Dados!$G:$G,$O$4)</f>
        <v>0</v>
      </c>
      <c r="P191" s="64">
        <f>sumifs(Dados!$N:$N,Dados!$B:$B,B191,Dados!$H:$H,$D$1,Dados!$G:$G,$P$4)</f>
        <v>0</v>
      </c>
      <c r="Q191" s="64"/>
    </row>
    <row r="192" ht="15.75" customHeight="1">
      <c r="A192" s="27"/>
      <c r="B192" s="27" t="s">
        <v>770</v>
      </c>
      <c r="C192" s="60"/>
      <c r="D192" s="61">
        <f t="shared" si="46"/>
        <v>22.75</v>
      </c>
      <c r="E192" s="64">
        <f>sumifs(Dados!$N:$N,Dados!$B:$B,B192,Dados!$H:$H,$D$1,Dados!$G:$G,$E$4)</f>
        <v>0</v>
      </c>
      <c r="F192" s="64">
        <f>sumifs(Dados!$N:$N,Dados!$B:$B,B192,Dados!$H:$H,$D$1,Dados!$G:$G,$F$4)</f>
        <v>0</v>
      </c>
      <c r="G192" s="64">
        <f>sumifs(Dados!$N:$N,Dados!$B:$B,B192,Dados!$H:$H,$D$1,Dados!$G:$G,$G$4)</f>
        <v>0</v>
      </c>
      <c r="H192" s="64">
        <f>sumifs(Dados!$N:$N,Dados!$B:$B,B192,Dados!$H:$H,$D$1,Dados!$G:$G,$H$4)</f>
        <v>0</v>
      </c>
      <c r="I192" s="64">
        <f>sumifs(Dados!$N:$N,Dados!$B:$B,B192,Dados!$H:$H,$D$1,Dados!$G:$G,$I$4)</f>
        <v>0</v>
      </c>
      <c r="J192" s="64">
        <f>sumifs(Dados!$N:$N,Dados!$B:$B,B192,Dados!$H:$H,$D$1,Dados!$G:$G,$J$4)</f>
        <v>0</v>
      </c>
      <c r="K192" s="64">
        <f>sumifs(Dados!$N:$N,Dados!$B:$B,B192,Dados!$H:$H,$D$1,Dados!$G:$G,$K$4)</f>
        <v>0</v>
      </c>
      <c r="L192" s="64">
        <f>sumifs(Dados!$N:$N,Dados!$B:$B,B192,Dados!$H:$H,$D$1,Dados!$G:$G,$L$4)</f>
        <v>11.85</v>
      </c>
      <c r="M192" s="64">
        <f>sumifs(Dados!$N:$N,Dados!$B:$B,B192,Dados!$H:$H,$D$1,Dados!$G:$G,$M$4)</f>
        <v>10.9</v>
      </c>
      <c r="N192" s="64">
        <f>sumifs(Dados!$N:$N,Dados!$B:$B,B192,Dados!$H:$H,$D$1,Dados!$G:$G,$N$4)</f>
        <v>0</v>
      </c>
      <c r="O192" s="64">
        <f>sumifs(Dados!$N:$N,Dados!$B:$B,B192,Dados!$H:$H,$D$1,Dados!$G:$G,$O$4)</f>
        <v>0</v>
      </c>
      <c r="P192" s="64">
        <f>sumifs(Dados!$N:$N,Dados!$B:$B,B192,Dados!$H:$H,$D$1,Dados!$G:$G,$P$4)</f>
        <v>0</v>
      </c>
      <c r="Q192" s="64"/>
    </row>
    <row r="193" ht="15.75" customHeight="1">
      <c r="A193" s="27"/>
      <c r="B193" s="27" t="s">
        <v>776</v>
      </c>
      <c r="C193" s="60"/>
      <c r="D193" s="61">
        <f t="shared" si="46"/>
        <v>16</v>
      </c>
      <c r="E193" s="64">
        <f>sumifs(Dados!$N:$N,Dados!$B:$B,B193,Dados!$H:$H,$D$1,Dados!$G:$G,$E$4)</f>
        <v>0</v>
      </c>
      <c r="F193" s="64">
        <f>sumifs(Dados!$N:$N,Dados!$B:$B,B193,Dados!$H:$H,$D$1,Dados!$G:$G,$F$4)</f>
        <v>0</v>
      </c>
      <c r="G193" s="64">
        <f>sumifs(Dados!$N:$N,Dados!$B:$B,B193,Dados!$H:$H,$D$1,Dados!$G:$G,$G$4)</f>
        <v>0</v>
      </c>
      <c r="H193" s="64">
        <f>sumifs(Dados!$N:$N,Dados!$B:$B,B193,Dados!$H:$H,$D$1,Dados!$G:$G,$H$4)</f>
        <v>0</v>
      </c>
      <c r="I193" s="64">
        <f>sumifs(Dados!$N:$N,Dados!$B:$B,B193,Dados!$H:$H,$D$1,Dados!$G:$G,$I$4)</f>
        <v>0</v>
      </c>
      <c r="J193" s="64">
        <f>sumifs(Dados!$N:$N,Dados!$B:$B,B193,Dados!$H:$H,$D$1,Dados!$G:$G,$J$4)</f>
        <v>0</v>
      </c>
      <c r="K193" s="64">
        <f>sumifs(Dados!$N:$N,Dados!$B:$B,B193,Dados!$H:$H,$D$1,Dados!$G:$G,$K$4)</f>
        <v>0</v>
      </c>
      <c r="L193" s="64">
        <f>sumifs(Dados!$N:$N,Dados!$B:$B,B193,Dados!$H:$H,$D$1,Dados!$G:$G,$L$4)</f>
        <v>0</v>
      </c>
      <c r="M193" s="64">
        <f>sumifs(Dados!$N:$N,Dados!$B:$B,B193,Dados!$H:$H,$D$1,Dados!$G:$G,$M$4)</f>
        <v>16</v>
      </c>
      <c r="N193" s="64">
        <f>sumifs(Dados!$N:$N,Dados!$B:$B,B193,Dados!$H:$H,$D$1,Dados!$G:$G,$N$4)</f>
        <v>0</v>
      </c>
      <c r="O193" s="64">
        <f>sumifs(Dados!$N:$N,Dados!$B:$B,B193,Dados!$H:$H,$D$1,Dados!$G:$G,$O$4)</f>
        <v>0</v>
      </c>
      <c r="P193" s="64">
        <f>sumifs(Dados!$N:$N,Dados!$B:$B,B193,Dados!$H:$H,$D$1,Dados!$G:$G,$P$4)</f>
        <v>0</v>
      </c>
      <c r="Q193" s="64"/>
    </row>
    <row r="194" ht="15.75" customHeight="1">
      <c r="A194" s="58"/>
      <c r="B194" s="58" t="s">
        <v>779</v>
      </c>
      <c r="C194" s="60"/>
      <c r="D194" s="61">
        <f t="shared" si="46"/>
        <v>42.98</v>
      </c>
      <c r="E194" s="64">
        <f>sumifs(Dados!$N:$N,Dados!$B:$B,B194,Dados!$H:$H,$D$1,Dados!$G:$G,$E$4)</f>
        <v>0</v>
      </c>
      <c r="F194" s="64">
        <f>sumifs(Dados!$N:$N,Dados!$B:$B,B194,Dados!$H:$H,$D$1,Dados!$G:$G,$F$4)</f>
        <v>0</v>
      </c>
      <c r="G194" s="64">
        <f>sumifs(Dados!$N:$N,Dados!$B:$B,B194,Dados!$H:$H,$D$1,Dados!$G:$G,$G$4)</f>
        <v>0</v>
      </c>
      <c r="H194" s="64">
        <f>sumifs(Dados!$N:$N,Dados!$B:$B,B194,Dados!$H:$H,$D$1,Dados!$G:$G,$H$4)</f>
        <v>21.49</v>
      </c>
      <c r="I194" s="64">
        <f>sumifs(Dados!$N:$N,Dados!$B:$B,B194,Dados!$H:$H,$D$1,Dados!$G:$G,$I$4)</f>
        <v>21.49</v>
      </c>
      <c r="J194" s="64">
        <f>sumifs(Dados!$N:$N,Dados!$B:$B,B194,Dados!$H:$H,$D$1,Dados!$G:$G,$J$4)</f>
        <v>0</v>
      </c>
      <c r="K194" s="64">
        <f>sumifs(Dados!$N:$N,Dados!$B:$B,B194,Dados!$H:$H,$D$1,Dados!$G:$G,$K$4)</f>
        <v>0</v>
      </c>
      <c r="L194" s="64">
        <f>sumifs(Dados!$N:$N,Dados!$B:$B,B194,Dados!$H:$H,$D$1,Dados!$G:$G,$L$4)</f>
        <v>0</v>
      </c>
      <c r="M194" s="64">
        <f>sumifs(Dados!$N:$N,Dados!$B:$B,B194,Dados!$H:$H,$D$1,Dados!$G:$G,$M$4)</f>
        <v>0</v>
      </c>
      <c r="N194" s="64">
        <f>sumifs(Dados!$N:$N,Dados!$B:$B,B194,Dados!$H:$H,$D$1,Dados!$G:$G,$N$4)</f>
        <v>0</v>
      </c>
      <c r="O194" s="64">
        <f>sumifs(Dados!$N:$N,Dados!$B:$B,B194,Dados!$H:$H,$D$1,Dados!$G:$G,$O$4)</f>
        <v>0</v>
      </c>
      <c r="P194" s="64">
        <f>sumifs(Dados!$N:$N,Dados!$B:$B,B194,Dados!$H:$H,$D$1,Dados!$G:$G,$P$4)</f>
        <v>0</v>
      </c>
      <c r="Q194" s="64"/>
    </row>
    <row r="195" ht="15.75" customHeight="1">
      <c r="A195" s="58"/>
      <c r="B195" s="58" t="s">
        <v>619</v>
      </c>
      <c r="C195" s="60"/>
      <c r="D195" s="61">
        <f t="shared" si="46"/>
        <v>280.98</v>
      </c>
      <c r="E195" s="64">
        <f>sumifs(Dados!$N:$N,Dados!$B:$B,B195,Dados!$H:$H,$D$1,Dados!$G:$G,$E$4)</f>
        <v>0</v>
      </c>
      <c r="F195" s="64">
        <f>sumifs(Dados!$N:$N,Dados!$B:$B,B195,Dados!$H:$H,$D$1,Dados!$G:$G,$F$4)</f>
        <v>0</v>
      </c>
      <c r="G195" s="64">
        <f>sumifs(Dados!$N:$N,Dados!$B:$B,B195,Dados!$H:$H,$D$1,Dados!$G:$G,$G$4)</f>
        <v>0</v>
      </c>
      <c r="H195" s="64">
        <f>sumifs(Dados!$N:$N,Dados!$B:$B,B195,Dados!$H:$H,$D$1,Dados!$G:$G,$H$4)</f>
        <v>96.12</v>
      </c>
      <c r="I195" s="64">
        <f>sumifs(Dados!$N:$N,Dados!$B:$B,B195,Dados!$H:$H,$D$1,Dados!$G:$G,$I$4)</f>
        <v>184.86</v>
      </c>
      <c r="J195" s="64">
        <f>sumifs(Dados!$N:$N,Dados!$B:$B,B195,Dados!$H:$H,$D$1,Dados!$G:$G,$J$4)</f>
        <v>0</v>
      </c>
      <c r="K195" s="64">
        <f>sumifs(Dados!$N:$N,Dados!$B:$B,B195,Dados!$H:$H,$D$1,Dados!$G:$G,$K$4)</f>
        <v>0</v>
      </c>
      <c r="L195" s="64">
        <f>sumifs(Dados!$N:$N,Dados!$B:$B,B195,Dados!$H:$H,$D$1,Dados!$G:$G,$L$4)</f>
        <v>0</v>
      </c>
      <c r="M195" s="64">
        <f>sumifs(Dados!$N:$N,Dados!$B:$B,B195,Dados!$H:$H,$D$1,Dados!$G:$G,$M$4)</f>
        <v>0</v>
      </c>
      <c r="N195" s="64">
        <f>sumifs(Dados!$N:$N,Dados!$B:$B,B195,Dados!$H:$H,$D$1,Dados!$G:$G,$N$4)</f>
        <v>0</v>
      </c>
      <c r="O195" s="64">
        <f>sumifs(Dados!$N:$N,Dados!$B:$B,B195,Dados!$H:$H,$D$1,Dados!$G:$G,$O$4)</f>
        <v>0</v>
      </c>
      <c r="P195" s="64">
        <f>sumifs(Dados!$N:$N,Dados!$B:$B,B195,Dados!$H:$H,$D$1,Dados!$G:$G,$P$4)</f>
        <v>0</v>
      </c>
      <c r="Q195" s="64"/>
    </row>
    <row r="196" ht="15.75" customHeight="1">
      <c r="A196" s="58"/>
      <c r="B196" s="58" t="s">
        <v>786</v>
      </c>
      <c r="C196" s="60"/>
      <c r="D196" s="61">
        <f t="shared" si="46"/>
        <v>0</v>
      </c>
      <c r="E196" s="64">
        <f>sumifs(Dados!$N:$N,Dados!$B:$B,B196,Dados!$H:$H,$D$1,Dados!$G:$G,$E$4)</f>
        <v>0</v>
      </c>
      <c r="F196" s="64">
        <f>sumifs(Dados!$N:$N,Dados!$B:$B,B196,Dados!$H:$H,$D$1,Dados!$G:$G,$F$4)</f>
        <v>0</v>
      </c>
      <c r="G196" s="64">
        <f>sumifs(Dados!$N:$N,Dados!$B:$B,B196,Dados!$H:$H,$D$1,Dados!$G:$G,$G$4)</f>
        <v>0</v>
      </c>
      <c r="H196" s="64">
        <f>sumifs(Dados!$N:$N,Dados!$B:$B,B196,Dados!$H:$H,$D$1,Dados!$G:$G,$H$4)</f>
        <v>0</v>
      </c>
      <c r="I196" s="64">
        <f>sumifs(Dados!$N:$N,Dados!$B:$B,B196,Dados!$H:$H,$D$1,Dados!$G:$G,$I$4)</f>
        <v>0</v>
      </c>
      <c r="J196" s="64">
        <f>sumifs(Dados!$N:$N,Dados!$B:$B,B196,Dados!$H:$H,$D$1,Dados!$G:$G,$J$4)</f>
        <v>0</v>
      </c>
      <c r="K196" s="64">
        <f>sumifs(Dados!$N:$N,Dados!$B:$B,B196,Dados!$H:$H,$D$1,Dados!$G:$G,$K$4)</f>
        <v>0</v>
      </c>
      <c r="L196" s="64">
        <f>sumifs(Dados!$N:$N,Dados!$B:$B,B196,Dados!$H:$H,$D$1,Dados!$G:$G,$L$4)</f>
        <v>0</v>
      </c>
      <c r="M196" s="64">
        <f>sumifs(Dados!$N:$N,Dados!$B:$B,B196,Dados!$H:$H,$D$1,Dados!$G:$G,$M$4)</f>
        <v>0</v>
      </c>
      <c r="N196" s="64">
        <f>sumifs(Dados!$N:$N,Dados!$B:$B,B196,Dados!$H:$H,$D$1,Dados!$G:$G,$N$4)</f>
        <v>0</v>
      </c>
      <c r="O196" s="64">
        <f>sumifs(Dados!$N:$N,Dados!$B:$B,B196,Dados!$H:$H,$D$1,Dados!$G:$G,$O$4)</f>
        <v>0</v>
      </c>
      <c r="P196" s="64">
        <f>sumifs(Dados!$N:$N,Dados!$B:$B,B196,Dados!$H:$H,$D$1,Dados!$G:$G,$P$4)</f>
        <v>0</v>
      </c>
      <c r="Q196" s="64"/>
    </row>
    <row r="197" ht="15.75" customHeight="1">
      <c r="A197" s="58"/>
      <c r="B197" s="58" t="s">
        <v>800</v>
      </c>
      <c r="C197" s="60"/>
      <c r="D197" s="61">
        <f t="shared" si="46"/>
        <v>0</v>
      </c>
      <c r="E197" s="64">
        <f>sumifs(Dados!$N:$N,Dados!$B:$B,B197,Dados!$H:$H,$D$1,Dados!$G:$G,$E$4)</f>
        <v>0</v>
      </c>
      <c r="F197" s="64">
        <f>sumifs(Dados!$N:$N,Dados!$B:$B,B197,Dados!$H:$H,$D$1,Dados!$G:$G,$F$4)</f>
        <v>0</v>
      </c>
      <c r="G197" s="64">
        <f>sumifs(Dados!$N:$N,Dados!$B:$B,B197,Dados!$H:$H,$D$1,Dados!$G:$G,$G$4)</f>
        <v>0</v>
      </c>
      <c r="H197" s="64">
        <f>sumifs(Dados!$N:$N,Dados!$B:$B,B197,Dados!$H:$H,$D$1,Dados!$G:$G,$H$4)</f>
        <v>0</v>
      </c>
      <c r="I197" s="64">
        <f>sumifs(Dados!$N:$N,Dados!$B:$B,B197,Dados!$H:$H,$D$1,Dados!$G:$G,$I$4)</f>
        <v>0</v>
      </c>
      <c r="J197" s="64">
        <f>sumifs(Dados!$N:$N,Dados!$B:$B,B197,Dados!$H:$H,$D$1,Dados!$G:$G,$J$4)</f>
        <v>0</v>
      </c>
      <c r="K197" s="64">
        <f>sumifs(Dados!$N:$N,Dados!$B:$B,B197,Dados!$H:$H,$D$1,Dados!$G:$G,$K$4)</f>
        <v>0</v>
      </c>
      <c r="L197" s="64">
        <f>sumifs(Dados!$N:$N,Dados!$B:$B,B197,Dados!$H:$H,$D$1,Dados!$G:$G,$L$4)</f>
        <v>0</v>
      </c>
      <c r="M197" s="64">
        <f>sumifs(Dados!$N:$N,Dados!$B:$B,B197,Dados!$H:$H,$D$1,Dados!$G:$G,$M$4)</f>
        <v>0</v>
      </c>
      <c r="N197" s="64">
        <f>sumifs(Dados!$N:$N,Dados!$B:$B,B197,Dados!$H:$H,$D$1,Dados!$G:$G,$N$4)</f>
        <v>0</v>
      </c>
      <c r="O197" s="64">
        <f>sumifs(Dados!$N:$N,Dados!$B:$B,B197,Dados!$H:$H,$D$1,Dados!$G:$G,$O$4)</f>
        <v>0</v>
      </c>
      <c r="P197" s="64">
        <f>sumifs(Dados!$N:$N,Dados!$B:$B,B197,Dados!$H:$H,$D$1,Dados!$G:$G,$P$4)</f>
        <v>0</v>
      </c>
      <c r="Q197" s="64"/>
    </row>
    <row r="198" ht="15.75" customHeight="1">
      <c r="A198" s="88" t="s">
        <v>617</v>
      </c>
      <c r="B198" s="89">
        <f>sumifs(Dados!$N:$N,Dados!$A:$A,A198,Dados!$H:$H,$D$1)</f>
        <v>642.68</v>
      </c>
      <c r="C198" s="90">
        <f>B198-D198</f>
        <v>0</v>
      </c>
      <c r="D198" s="89">
        <f t="shared" ref="D198:P198" si="47">SUM(D188:D197)</f>
        <v>642.68</v>
      </c>
      <c r="E198" s="89">
        <f t="shared" si="47"/>
        <v>0</v>
      </c>
      <c r="F198" s="89">
        <f t="shared" si="47"/>
        <v>0</v>
      </c>
      <c r="G198" s="89">
        <f t="shared" si="47"/>
        <v>0</v>
      </c>
      <c r="H198" s="89">
        <f t="shared" si="47"/>
        <v>117.61</v>
      </c>
      <c r="I198" s="89">
        <f t="shared" si="47"/>
        <v>346.54</v>
      </c>
      <c r="J198" s="89">
        <f t="shared" si="47"/>
        <v>79.03</v>
      </c>
      <c r="K198" s="89">
        <f t="shared" si="47"/>
        <v>0</v>
      </c>
      <c r="L198" s="89">
        <f t="shared" si="47"/>
        <v>72.6</v>
      </c>
      <c r="M198" s="89">
        <f t="shared" si="47"/>
        <v>26.9</v>
      </c>
      <c r="N198" s="89">
        <f t="shared" si="47"/>
        <v>0</v>
      </c>
      <c r="O198" s="89">
        <f t="shared" si="47"/>
        <v>0</v>
      </c>
      <c r="P198" s="89">
        <f t="shared" si="47"/>
        <v>0</v>
      </c>
      <c r="Q198" s="89"/>
    </row>
    <row r="199" ht="15.75" customHeight="1">
      <c r="A199" s="58"/>
      <c r="B199" s="59" t="s">
        <v>25</v>
      </c>
      <c r="C199" s="60"/>
      <c r="D199" s="61">
        <f t="shared" ref="D199:D207" si="48">SUM(E199:P199)</f>
        <v>21535.08</v>
      </c>
      <c r="E199" s="64">
        <f>sumifs(Dados!$N:$N,Dados!$B:$B,B199,Dados!$H:$H,$D$1,Dados!$G:$G,$E$4)</f>
        <v>149.35</v>
      </c>
      <c r="F199" s="64">
        <f>sumifs(Dados!$N:$N,Dados!$B:$B,B199,Dados!$H:$H,$D$1,Dados!$G:$G,$F$4)</f>
        <v>8020.54</v>
      </c>
      <c r="G199" s="64">
        <f>sumifs(Dados!$N:$N,Dados!$B:$B,B199,Dados!$H:$H,$D$1,Dados!$G:$G,$G$4)</f>
        <v>2963.67</v>
      </c>
      <c r="H199" s="64">
        <f>sumifs(Dados!$N:$N,Dados!$B:$B,$B$199,Dados!$H:$H,$D$1,Dados!$G:$G,H4)</f>
        <v>3925.72</v>
      </c>
      <c r="I199" s="64">
        <f>sumifs(Dados!$N:$N,Dados!$B:$B,B199,Dados!$H:$H,$D$1,Dados!$G:$G,$I$4)</f>
        <v>1262.95</v>
      </c>
      <c r="J199" s="64">
        <f>sumifs(Dados!$N:$N,Dados!$B:$B,B199,Dados!$H:$H,$D$1,Dados!$G:$G,$J$4)</f>
        <v>1852.58</v>
      </c>
      <c r="K199" s="64">
        <f>sumifs(Dados!$N:$N,Dados!$B:$B,B199,Dados!$H:$H,$D$1,Dados!$G:$G,$K$4)</f>
        <v>0</v>
      </c>
      <c r="L199" s="64">
        <f>sumifs(Dados!$N:$N,Dados!$B:$B,B199,Dados!$H:$H,$D$1,Dados!$G:$G,$L$4)</f>
        <v>3180</v>
      </c>
      <c r="M199" s="64">
        <f>sumifs(Dados!$N:$N,Dados!$B:$B,B199,Dados!$H:$H,$D$1,Dados!$G:$G,$M$4)</f>
        <v>180.27</v>
      </c>
      <c r="N199" s="64">
        <f>sumifs(Dados!$N:$N,Dados!$B:$B,B199,Dados!$H:$H,$D$1,Dados!$G:$G,$N$4)</f>
        <v>0</v>
      </c>
      <c r="O199" s="64">
        <f>sumifs(Dados!$N:$N,Dados!$B:$B,B199,Dados!$H:$H,$D$1,Dados!$G:$G,$O$4)</f>
        <v>0</v>
      </c>
      <c r="P199" s="64">
        <f>sumifs(Dados!$N:$N,Dados!$B:$B,$B199,Dados!$H:$H,$D$1,Dados!$G:$G,$P$4)</f>
        <v>0</v>
      </c>
      <c r="Q199" s="61"/>
    </row>
    <row r="200" ht="15.75" customHeight="1">
      <c r="A200" s="58"/>
      <c r="B200" s="59" t="s">
        <v>342</v>
      </c>
      <c r="C200" s="60"/>
      <c r="D200" s="61">
        <f t="shared" si="48"/>
        <v>26890.51</v>
      </c>
      <c r="E200" s="64">
        <f>sumifs(Dados!$N:$N,Dados!$B:$B,B200,Dados!$H:$H,$D$1,Dados!$G:$G,$E$4)</f>
        <v>2695.4</v>
      </c>
      <c r="F200" s="64">
        <f>sumifs(Dados!$N:$N,Dados!$B:$B,B200,Dados!$H:$H,$D$1,Dados!$G:$G,$F$4)</f>
        <v>8070</v>
      </c>
      <c r="G200" s="64">
        <f>sumifs(Dados!$N:$N,Dados!$B:$B,B200,Dados!$H:$H,$D$1,Dados!$G:$G,$G$4)</f>
        <v>4270.13</v>
      </c>
      <c r="H200" s="64">
        <f>sumifs(Dados!$N:$N,Dados!$B:$B,B200,Dados!$H:$H,$D$1,Dados!$G:$G,$H$4)</f>
        <v>3175</v>
      </c>
      <c r="I200" s="64">
        <f>sumifs(Dados!$N:$N,Dados!$B:$B,B200,Dados!$H:$H,$D$1,Dados!$G:$G,$I$4)</f>
        <v>4246.1</v>
      </c>
      <c r="J200" s="64">
        <f>sumifs(Dados!$N:$N,Dados!$B:$B,B200,Dados!$H:$H,$D$1,Dados!$G:$G,$J$4)</f>
        <v>913.88</v>
      </c>
      <c r="K200" s="64">
        <f>sumifs(Dados!$N:$N,Dados!$B:$B,B200,Dados!$H:$H,$D$1,Dados!$G:$G,$K$4)</f>
        <v>700</v>
      </c>
      <c r="L200" s="64">
        <f>sumifs(Dados!$N:$N,Dados!$B:$B,B200,Dados!$H:$H,$D$1,Dados!$G:$G,$L$4)</f>
        <v>980</v>
      </c>
      <c r="M200" s="64">
        <f>sumifs(Dados!$N:$N,Dados!$B:$B,B200,Dados!$H:$H,$D$1,Dados!$G:$G,$M$4)</f>
        <v>1840</v>
      </c>
      <c r="N200" s="64">
        <f>sumifs(Dados!$N:$N,Dados!$B:$B,B200,Dados!$H:$H,$D$1,Dados!$G:$G,$N$4)</f>
        <v>0</v>
      </c>
      <c r="O200" s="64">
        <f>sumifs(Dados!$N:$N,Dados!$B:$B,B200,Dados!$H:$H,$D$1,Dados!$G:$G,$O$4)</f>
        <v>0</v>
      </c>
      <c r="P200" s="64">
        <f>sumifs(Dados!$N:$N,Dados!$B:$B,$B200,Dados!$H:$H,$D$1,Dados!$G:$G,$P$4)</f>
        <v>0</v>
      </c>
      <c r="Q200" s="61"/>
    </row>
    <row r="201" ht="15.75" customHeight="1">
      <c r="A201" s="58"/>
      <c r="B201" s="59" t="s">
        <v>27</v>
      </c>
      <c r="C201" s="60"/>
      <c r="D201" s="61">
        <f t="shared" si="48"/>
        <v>24495.22</v>
      </c>
      <c r="E201" s="64">
        <f>sumifs(Dados!$N:$N,Dados!$B:$B,B201,Dados!$H:$H,$D$1,Dados!$G:$G,$E$4)</f>
        <v>4278.63</v>
      </c>
      <c r="F201" s="64">
        <f>sumifs(Dados!$N:$N,Dados!$B:$B,B201,Dados!$H:$H,$D$1,Dados!$G:$G,$F$4)</f>
        <v>11060.43</v>
      </c>
      <c r="G201" s="64">
        <f>sumifs(Dados!$N:$N,Dados!$B:$B,B201,Dados!$H:$H,$D$1,Dados!$G:$G,$G$4)</f>
        <v>2444.42</v>
      </c>
      <c r="H201" s="64">
        <f>sumifs(Dados!$N:$N,Dados!$B:$B,B201,Dados!$H:$H,$D$1,Dados!$G:$G,$H$4)</f>
        <v>1786.11</v>
      </c>
      <c r="I201" s="64">
        <f>sumifs(Dados!$N:$N,Dados!$B:$B,B201,Dados!$H:$H,$D$1,Dados!$G:$G,$I$4)</f>
        <v>1949.27</v>
      </c>
      <c r="J201" s="64">
        <f>sumifs(Dados!$N:$N,Dados!$B:$B,B201,Dados!$H:$H,$D$1,Dados!$G:$G,$J$4)</f>
        <v>594.44</v>
      </c>
      <c r="K201" s="64">
        <f>sumifs(Dados!$N:$N,Dados!$B:$B,B201,Dados!$H:$H,$D$1,Dados!$G:$G,$K$4)</f>
        <v>1202.3</v>
      </c>
      <c r="L201" s="64">
        <f>sumifs(Dados!$N:$N,Dados!$B:$B,B201,Dados!$H:$H,$D$1,Dados!$G:$G,$L$4)</f>
        <v>257.33</v>
      </c>
      <c r="M201" s="64">
        <f>sumifs(Dados!$N:$N,Dados!$B:$B,B201,Dados!$H:$H,$D$1,Dados!$G:$G,$M$4)</f>
        <v>922.29</v>
      </c>
      <c r="N201" s="64">
        <f>sumifs(Dados!$N:$N,Dados!$B:$B,B201,Dados!$H:$H,$D$1,Dados!$G:$G,$N$4)</f>
        <v>0</v>
      </c>
      <c r="O201" s="64">
        <f>sumifs(Dados!$N:$N,Dados!$B:$B,B201,Dados!$H:$H,$D$1,Dados!$G:$G,$O$4)</f>
        <v>0</v>
      </c>
      <c r="P201" s="64">
        <f>sumifs(Dados!$N:$N,Dados!$B:$B,$B201,Dados!$H:$H,$D$1,Dados!$G:$G,$P$4)</f>
        <v>0</v>
      </c>
      <c r="Q201" s="61"/>
    </row>
    <row r="202" ht="15.75" customHeight="1">
      <c r="A202" s="58"/>
      <c r="B202" s="232" t="s">
        <v>24</v>
      </c>
      <c r="C202" s="60"/>
      <c r="D202" s="61">
        <f t="shared" si="48"/>
        <v>837.82</v>
      </c>
      <c r="E202" s="64">
        <f>sumifs(Dados!$N:$N,Dados!$B:$B,B202,Dados!$H:$H,$D$1,Dados!$G:$G,$E$4)</f>
        <v>160</v>
      </c>
      <c r="F202" s="64">
        <f>sumifs(Dados!$N:$N,Dados!$B:$B,B202,Dados!$H:$H,$D$1,Dados!$G:$G,$F$4)</f>
        <v>255.5</v>
      </c>
      <c r="G202" s="64">
        <f>sumifs(Dados!$N:$N,Dados!$B:$B,B202,Dados!$H:$H,$D$1,Dados!$G:$G,$G$4)</f>
        <v>253.9</v>
      </c>
      <c r="H202" s="64">
        <f>sumifs(Dados!$N:$N,Dados!$B:$B,B202,Dados!$H:$H,$D$1,Dados!$G:$G,$H$4)</f>
        <v>168.42</v>
      </c>
      <c r="I202" s="64">
        <f>sumifs(Dados!$N:$N,Dados!$B:$B,B202,Dados!$H:$H,$D$1,Dados!$G:$G,$I$4)</f>
        <v>0</v>
      </c>
      <c r="J202" s="64">
        <f>sumifs(Dados!$N:$N,Dados!$B:$B,B202,Dados!$H:$H,$D$1,Dados!$G:$G,$J$4)</f>
        <v>0</v>
      </c>
      <c r="K202" s="64">
        <f>sumifs(Dados!$N:$N,Dados!$B:$B,B202,Dados!$H:$H,$D$1,Dados!$G:$G,$K$4)</f>
        <v>0</v>
      </c>
      <c r="L202" s="64">
        <f>sumifs(Dados!$N:$N,Dados!$B:$B,B202,Dados!$H:$H,$D$1,Dados!$G:$G,$L$4)</f>
        <v>0</v>
      </c>
      <c r="M202" s="64">
        <f>sumifs(Dados!$N:$N,Dados!$B:$B,B202,Dados!$H:$H,$D$1,Dados!$G:$G,$M$4)</f>
        <v>0</v>
      </c>
      <c r="N202" s="64">
        <f>sumifs(Dados!$N:$N,Dados!$B:$B,B202,Dados!$H:$H,$D$1,Dados!$G:$G,$N$4)</f>
        <v>0</v>
      </c>
      <c r="O202" s="64">
        <f>sumifs(Dados!$N:$N,Dados!$B:$B,B202,Dados!$H:$H,$D$1,Dados!$G:$G,$O$4)</f>
        <v>0</v>
      </c>
      <c r="P202" s="64">
        <f>sumifs(Dados!$N:$N,Dados!$B:$B,$B202,Dados!$H:$H,$D$1,Dados!$G:$G,$P$4)</f>
        <v>0</v>
      </c>
      <c r="Q202" s="61"/>
    </row>
    <row r="203" ht="15.75" customHeight="1">
      <c r="A203" s="58"/>
      <c r="B203" s="232" t="s">
        <v>28</v>
      </c>
      <c r="C203" s="60"/>
      <c r="D203" s="61">
        <f t="shared" si="48"/>
        <v>6705.51</v>
      </c>
      <c r="E203" s="64">
        <f>sumifs(Dados!$N:$N,Dados!$B:$B,B203,Dados!$H:$H,$D$1,Dados!$G:$G,$E$4)</f>
        <v>0</v>
      </c>
      <c r="F203" s="64">
        <f>sumifs(Dados!$N:$N,Dados!$B:$B,B203,Dados!$H:$H,$D$1,Dados!$G:$G,$F$4)</f>
        <v>1702.56</v>
      </c>
      <c r="G203" s="64">
        <f>sumifs(Dados!$N:$N,Dados!$B:$B,B203,Dados!$H:$H,$D$1,Dados!$G:$G,$G$4)</f>
        <v>350</v>
      </c>
      <c r="H203" s="64">
        <f>sumifs(Dados!$N:$N,Dados!$B:$B,B203,Dados!$H:$H,$D$1,Dados!$G:$G,$H$4)</f>
        <v>2121.61</v>
      </c>
      <c r="I203" s="64">
        <f>sumifs(Dados!$N:$N,Dados!$B:$B,B203,Dados!$H:$H,$D$1,Dados!$G:$G,$I$4)</f>
        <v>0</v>
      </c>
      <c r="J203" s="64">
        <f>sumifs(Dados!$N:$N,Dados!$B:$B,B203,Dados!$H:$H,$D$1,Dados!$G:$G,$J$4)</f>
        <v>2531.34</v>
      </c>
      <c r="K203" s="64">
        <f>sumifs(Dados!$N:$N,Dados!$B:$B,B203,Dados!$H:$H,$D$1,Dados!$G:$G,$K$4)</f>
        <v>0</v>
      </c>
      <c r="L203" s="64">
        <f>sumifs(Dados!$N:$N,Dados!$B:$B,B203,Dados!$H:$H,$D$1,Dados!$G:$G,$L$4)</f>
        <v>0</v>
      </c>
      <c r="M203" s="64">
        <f>sumifs(Dados!$N:$N,Dados!$B:$B,B203,Dados!$H:$H,$D$1,Dados!$G:$G,$M$4)</f>
        <v>0</v>
      </c>
      <c r="N203" s="64">
        <f>sumifs(Dados!$N:$N,Dados!$B:$B,B203,Dados!$H:$H,$D$1,Dados!$G:$G,$N$4)</f>
        <v>0</v>
      </c>
      <c r="O203" s="64">
        <f>sumifs(Dados!$N:$N,Dados!$B:$B,B203,Dados!$H:$H,$D$1,Dados!$G:$G,$O$4)</f>
        <v>0</v>
      </c>
      <c r="P203" s="64">
        <f>sumifs(Dados!$N:$N,Dados!$B:$B,$B203,Dados!$H:$H,$D$1,Dados!$G:$G,$P$4)</f>
        <v>0</v>
      </c>
      <c r="Q203" s="61"/>
    </row>
    <row r="204" ht="15.75" customHeight="1">
      <c r="A204" s="58"/>
      <c r="B204" s="74" t="s">
        <v>29</v>
      </c>
      <c r="C204" s="60"/>
      <c r="D204" s="61">
        <f t="shared" si="48"/>
        <v>396.37</v>
      </c>
      <c r="E204" s="64">
        <f>sumifs(Dados!$N:$N,Dados!$B:$B,B204,Dados!$H:$H,$D$1,Dados!$G:$G,$E$4)</f>
        <v>7.52</v>
      </c>
      <c r="F204" s="64">
        <f>sumifs(Dados!$N:$N,Dados!$B:$B,B204,Dados!$H:$H,$D$1,Dados!$G:$G,$F$4)</f>
        <v>383.91</v>
      </c>
      <c r="G204" s="64">
        <f>sumifs(Dados!$N:$N,Dados!$B:$B,B204,Dados!$H:$H,$D$1,Dados!$G:$G,$G$4)</f>
        <v>4.94</v>
      </c>
      <c r="H204" s="64">
        <f>sumifs(Dados!$N:$N,Dados!$B:$B,B204,Dados!$H:$H,$D$1,Dados!$G:$G,$H$4)</f>
        <v>0</v>
      </c>
      <c r="I204" s="64">
        <f>sumifs(Dados!$N:$N,Dados!$B:$B,B204,Dados!$H:$H,$D$1,Dados!$G:$G,$I$4)</f>
        <v>0</v>
      </c>
      <c r="J204" s="64">
        <f>sumifs(Dados!$N:$N,Dados!$B:$B,B204,Dados!$H:$H,$D$1,Dados!$G:$G,$J$4)</f>
        <v>0</v>
      </c>
      <c r="K204" s="64">
        <f>sumifs(Dados!$N:$N,Dados!$B:$B,B204,Dados!$H:$H,$D$1,Dados!$G:$G,$K$4)</f>
        <v>0</v>
      </c>
      <c r="L204" s="64">
        <f>sumifs(Dados!$N:$N,Dados!$B:$B,B204,Dados!$H:$H,$D$1,Dados!$G:$G,$L$4)</f>
        <v>0</v>
      </c>
      <c r="M204" s="64">
        <f>sumifs(Dados!$N:$N,Dados!$B:$B,B204,Dados!$H:$H,$D$1,Dados!$G:$G,$M$4)</f>
        <v>0</v>
      </c>
      <c r="N204" s="64">
        <f>sumifs(Dados!$N:$N,Dados!$B:$B,B204,Dados!$H:$H,$D$1,Dados!$G:$G,$N$4)</f>
        <v>0</v>
      </c>
      <c r="O204" s="64">
        <f>sumifs(Dados!$N:$N,Dados!$B:$B,B204,Dados!$H:$H,$D$1,Dados!$G:$G,$O$4)</f>
        <v>0</v>
      </c>
      <c r="P204" s="64">
        <f>sumifs(Dados!$N:$N,Dados!$B:$B,$B204,Dados!$H:$H,$D$1,Dados!$G:$G,$P$4)</f>
        <v>0</v>
      </c>
      <c r="Q204" s="61"/>
    </row>
    <row r="205" ht="15.75" customHeight="1">
      <c r="A205" s="58"/>
      <c r="B205" s="232"/>
      <c r="C205" s="60"/>
      <c r="D205" s="61">
        <f t="shared" si="48"/>
        <v>0</v>
      </c>
      <c r="E205" s="64">
        <f>sumifs(Dados!$N:$N,Dados!$B:$B,B205,Dados!$H:$H,$D$1,Dados!$G:$G,$E$4)</f>
        <v>0</v>
      </c>
      <c r="F205" s="64">
        <f>sumifs(Dados!$N:$N,Dados!$B:$B,B205,Dados!$H:$H,$D$1,Dados!$G:$G,$F$4)</f>
        <v>0</v>
      </c>
      <c r="G205" s="64">
        <f>sumifs(Dados!$N:$N,Dados!$B:$B,B205,Dados!$H:$H,$D$1,Dados!$G:$G,$G$4)</f>
        <v>0</v>
      </c>
      <c r="H205" s="64">
        <f>sumifs(Dados!$N:$N,Dados!$B:$B,B205,Dados!$H:$H,$D$1,Dados!$G:$G,$H$4)</f>
        <v>0</v>
      </c>
      <c r="I205" s="64">
        <f>sumifs(Dados!$N:$N,Dados!$B:$B,B205,Dados!$H:$H,$D$1,Dados!$G:$G,$I$4)</f>
        <v>0</v>
      </c>
      <c r="J205" s="64">
        <f>sumifs(Dados!$N:$N,Dados!$B:$B,B205,Dados!$H:$H,$D$1,Dados!$G:$G,$J$4)</f>
        <v>0</v>
      </c>
      <c r="K205" s="64">
        <f>sumifs(Dados!$N:$N,Dados!$B:$B,B205,Dados!$H:$H,$D$1,Dados!$G:$G,$K$4)</f>
        <v>0</v>
      </c>
      <c r="L205" s="64">
        <f>sumifs(Dados!$N:$N,Dados!$B:$B,B205,Dados!$H:$H,$D$1,Dados!$G:$G,$L$4)</f>
        <v>0</v>
      </c>
      <c r="M205" s="64">
        <f>sumifs(Dados!$N:$N,Dados!$B:$B,B205,Dados!$H:$H,$D$1,Dados!$G:$G,$M$4)</f>
        <v>0</v>
      </c>
      <c r="N205" s="64">
        <f>sumifs(Dados!$N:$N,Dados!$B:$B,B205,Dados!$H:$H,$D$1,Dados!$G:$G,$N$4)</f>
        <v>0</v>
      </c>
      <c r="O205" s="64">
        <f>sumifs(Dados!$N:$N,Dados!$B:$B,B205,Dados!$H:$H,$D$1,Dados!$G:$G,$O$4)</f>
        <v>0</v>
      </c>
      <c r="P205" s="64">
        <f>sumifs(Dados!$N:$N,Dados!$B:$B,$B205,Dados!$H:$H,$D$1,Dados!$G:$G,$P$4)</f>
        <v>0</v>
      </c>
      <c r="Q205" s="61"/>
    </row>
    <row r="206" ht="15.75" customHeight="1">
      <c r="A206" s="58"/>
      <c r="B206" s="74"/>
      <c r="C206" s="60"/>
      <c r="D206" s="61">
        <f t="shared" si="48"/>
        <v>0</v>
      </c>
      <c r="E206" s="64">
        <f>sumifs(Dados!$N:$N,Dados!$B:$B,B206,Dados!$H:$H,$D$1,Dados!$G:$G,$E$4)</f>
        <v>0</v>
      </c>
      <c r="F206" s="64">
        <f>sumifs(Dados!$N:$N,Dados!$B:$B,B206,Dados!$H:$H,$D$1,Dados!$G:$G,$F$4)</f>
        <v>0</v>
      </c>
      <c r="G206" s="64">
        <f>sumifs(Dados!$N:$N,Dados!$B:$B,B206,Dados!$H:$H,$D$1,Dados!$G:$G,$G$4)</f>
        <v>0</v>
      </c>
      <c r="H206" s="64">
        <f>sumifs(Dados!$N:$N,Dados!$B:$B,B206,Dados!$H:$H,$D$1,Dados!$G:$G,$H$4)</f>
        <v>0</v>
      </c>
      <c r="I206" s="64">
        <f>sumifs(Dados!$N:$N,Dados!$B:$B,B206,Dados!$H:$H,$D$1,Dados!$G:$G,$I$4)</f>
        <v>0</v>
      </c>
      <c r="J206" s="64">
        <f>sumifs(Dados!$N:$N,Dados!$B:$B,B206,Dados!$H:$H,$D$1,Dados!$G:$G,$J$4)</f>
        <v>0</v>
      </c>
      <c r="K206" s="64">
        <f>sumifs(Dados!$N:$N,Dados!$B:$B,B206,Dados!$H:$H,$D$1,Dados!$G:$G,$K$4)</f>
        <v>0</v>
      </c>
      <c r="L206" s="64">
        <f>sumifs(Dados!$N:$N,Dados!$B:$B,B206,Dados!$H:$H,$D$1,Dados!$G:$G,$L$4)</f>
        <v>0</v>
      </c>
      <c r="M206" s="64">
        <f>sumifs(Dados!$N:$N,Dados!$B:$B,B206,Dados!$H:$H,$D$1,Dados!$G:$G,$M$4)</f>
        <v>0</v>
      </c>
      <c r="N206" s="64">
        <f>sumifs(Dados!$N:$N,Dados!$B:$B,B206,Dados!$H:$H,$D$1,Dados!$G:$G,$N$4)</f>
        <v>0</v>
      </c>
      <c r="O206" s="64">
        <f>sumifs(Dados!$N:$N,Dados!$B:$B,B206,Dados!$H:$H,$D$1,Dados!$G:$G,$O$4)</f>
        <v>0</v>
      </c>
      <c r="P206" s="64">
        <f>sumifs(Dados!$N:$N,Dados!$B:$B,$B206,Dados!$H:$H,$D$1,Dados!$G:$G,$P$4)</f>
        <v>0</v>
      </c>
      <c r="Q206" s="61"/>
    </row>
    <row r="207" ht="15.75" customHeight="1">
      <c r="A207" s="58"/>
      <c r="B207" s="74"/>
      <c r="C207" s="60"/>
      <c r="D207" s="61">
        <f t="shared" si="48"/>
        <v>0</v>
      </c>
      <c r="E207" s="64">
        <f>sumifs(Dados!$N:$N,Dados!$B:$B,B207,Dados!$H:$H,$D$1,Dados!$G:$G,$E$4)</f>
        <v>0</v>
      </c>
      <c r="F207" s="64">
        <f>sumifs(Dados!$N:$N,Dados!$B:$B,B207,Dados!$H:$H,$D$1,Dados!$G:$G,$F$4)</f>
        <v>0</v>
      </c>
      <c r="G207" s="64">
        <f>sumifs(Dados!$N:$N,Dados!$B:$B,B207,Dados!$H:$H,$D$1,Dados!$G:$G,$G$4)</f>
        <v>0</v>
      </c>
      <c r="H207" s="64">
        <f>sumifs(Dados!$N:$N,Dados!$B:$B,B207,Dados!$H:$H,$D$1,Dados!$G:$G,$H$4)</f>
        <v>0</v>
      </c>
      <c r="I207" s="64">
        <f>sumifs(Dados!$N:$N,Dados!$B:$B,B207,Dados!$H:$H,$D$1,Dados!$G:$G,$I$4)</f>
        <v>0</v>
      </c>
      <c r="J207" s="64">
        <f>sumifs(Dados!$N:$N,Dados!$B:$B,B207,Dados!$H:$H,$D$1,Dados!$G:$G,$J$4)</f>
        <v>0</v>
      </c>
      <c r="K207" s="64">
        <f>sumifs(Dados!$N:$N,Dados!$B:$B,B207,Dados!$H:$H,$D$1,Dados!$G:$G,$K$4)</f>
        <v>0</v>
      </c>
      <c r="L207" s="64">
        <f>sumifs(Dados!$N:$N,Dados!$B:$B,B207,Dados!$H:$H,$D$1,Dados!$G:$G,$L$4)</f>
        <v>0</v>
      </c>
      <c r="M207" s="64">
        <f>sumifs(Dados!$N:$N,Dados!$B:$B,B207,Dados!$H:$H,$D$1,Dados!$G:$G,$M$4)</f>
        <v>0</v>
      </c>
      <c r="N207" s="64">
        <f>sumifs(Dados!$N:$N,Dados!$B:$B,B207,Dados!$H:$H,$D$1,Dados!$G:$G,$N$4)</f>
        <v>0</v>
      </c>
      <c r="O207" s="64">
        <f>sumifs(Dados!$N:$N,Dados!$B:$B,B207,Dados!$H:$H,$D$1,Dados!$G:$G,$O$4)</f>
        <v>0</v>
      </c>
      <c r="P207" s="64">
        <f>sumifs(Dados!$N:$N,Dados!$B:$B,$B207,Dados!$H:$H,$D$1,Dados!$G:$G,$P$4)</f>
        <v>0</v>
      </c>
      <c r="Q207" s="61"/>
    </row>
    <row r="208" ht="15.75" customHeight="1">
      <c r="A208" s="88" t="s">
        <v>22</v>
      </c>
      <c r="B208" s="89">
        <f>sumifs(Dados!$N:$N,Dados!$A:$A,A208,Dados!$H:$H,$D$1)</f>
        <v>80860.51</v>
      </c>
      <c r="C208" s="90">
        <f>B208-D208</f>
        <v>0</v>
      </c>
      <c r="D208" s="89">
        <f t="shared" ref="D208:P208" si="49">SUM(D199:D207)</f>
        <v>80860.51</v>
      </c>
      <c r="E208" s="89">
        <f t="shared" si="49"/>
        <v>7290.9</v>
      </c>
      <c r="F208" s="89">
        <f t="shared" si="49"/>
        <v>29492.94</v>
      </c>
      <c r="G208" s="89">
        <f t="shared" si="49"/>
        <v>10287.06</v>
      </c>
      <c r="H208" s="89">
        <f t="shared" si="49"/>
        <v>11176.86</v>
      </c>
      <c r="I208" s="89">
        <f t="shared" si="49"/>
        <v>7458.32</v>
      </c>
      <c r="J208" s="89">
        <f t="shared" si="49"/>
        <v>5892.24</v>
      </c>
      <c r="K208" s="89">
        <f t="shared" si="49"/>
        <v>1902.3</v>
      </c>
      <c r="L208" s="89">
        <f t="shared" si="49"/>
        <v>4417.33</v>
      </c>
      <c r="M208" s="89">
        <f t="shared" si="49"/>
        <v>2942.56</v>
      </c>
      <c r="N208" s="89">
        <f t="shared" si="49"/>
        <v>0</v>
      </c>
      <c r="O208" s="89">
        <f t="shared" si="49"/>
        <v>0</v>
      </c>
      <c r="P208" s="89">
        <f t="shared" si="49"/>
        <v>0</v>
      </c>
      <c r="Q208" s="89"/>
    </row>
    <row r="209" ht="15.75" customHeight="1">
      <c r="A209" s="58"/>
      <c r="B209" s="74" t="s">
        <v>822</v>
      </c>
      <c r="C209" s="60"/>
      <c r="D209" s="61">
        <f t="shared" ref="D209:D211" si="50">SUM(E209:P209)</f>
        <v>0</v>
      </c>
      <c r="E209" s="64">
        <f>sumifs(Dados!$N:$N,Dados!$B:$B,B209,Dados!$H:$H,$D$1,Dados!$G:$G,$E$4)</f>
        <v>0</v>
      </c>
      <c r="F209" s="64">
        <f>sumifs(Dados!$N:$N,Dados!$B:$B,B209,Dados!$H:$H,$D$1,Dados!$G:$G,$F$4)</f>
        <v>0</v>
      </c>
      <c r="G209" s="64">
        <f>sumifs(Dados!$N:$N,Dados!$B:$B,B209,Dados!$H:$H,$D$1,Dados!$G:$G,$G$4)</f>
        <v>0</v>
      </c>
      <c r="H209" s="64">
        <f>sumifs(Dados!$N:$N,Dados!$B:$B,B209,Dados!$H:$H,$D$1,Dados!$G:$G,$H$4)</f>
        <v>0</v>
      </c>
      <c r="I209" s="64">
        <f>sumifs(Dados!$N:$N,Dados!$B:$B,B209,Dados!$H:$H,$D$1,Dados!$G:$G,$I$4)</f>
        <v>0</v>
      </c>
      <c r="J209" s="64">
        <f>sumifs(Dados!$N:$N,Dados!$B:$B,B209,Dados!$H:$H,$D$1,Dados!$G:$G,$J$4)</f>
        <v>0</v>
      </c>
      <c r="K209" s="64">
        <f>sumifs(Dados!$N:$N,Dados!$B:$B,B209,Dados!$H:$H,$D$1,Dados!$G:$G,$K$4)</f>
        <v>0</v>
      </c>
      <c r="L209" s="64">
        <f>sumifs(Dados!$N:$N,Dados!$B:$B,B209,Dados!$H:$H,$D$1,Dados!$G:$G,$L$4)</f>
        <v>0</v>
      </c>
      <c r="M209" s="64">
        <f>sumifs(Dados!$N:$N,Dados!$B:$B,B209,Dados!$H:$H,$D$1,Dados!$G:$G,$M$4)</f>
        <v>0</v>
      </c>
      <c r="N209" s="64">
        <f>sumifs(Dados!$N:$N,Dados!$B:$B,B209,Dados!$H:$H,$D$1,Dados!$G:$G,$N$4)</f>
        <v>0</v>
      </c>
      <c r="O209" s="64">
        <f>sumifs(Dados!$N:$N,Dados!$B:$B,B209,Dados!$H:$H,$D$1,Dados!$G:$G,$O$4)</f>
        <v>0</v>
      </c>
      <c r="P209" s="64">
        <f>sumifs(Dados!$N:$N,Dados!$B:$B,$B209,Dados!$H:$H,$D$1,Dados!$G:$G,$P$4)</f>
        <v>0</v>
      </c>
      <c r="Q209" s="61"/>
    </row>
    <row r="210" ht="15.75" customHeight="1">
      <c r="A210" s="58"/>
      <c r="B210" s="232" t="s">
        <v>825</v>
      </c>
      <c r="C210" s="60"/>
      <c r="D210" s="61">
        <f t="shared" si="50"/>
        <v>0</v>
      </c>
      <c r="E210" s="64">
        <f>sumifs(Dados!$N:$N,Dados!$B:$B,B210,Dados!$H:$H,$D$1,Dados!$G:$G,$E$4)</f>
        <v>0</v>
      </c>
      <c r="F210" s="64">
        <f>sumifs(Dados!$N:$N,Dados!$B:$B,B210,Dados!$H:$H,$D$1,Dados!$G:$G,$F$4)</f>
        <v>0</v>
      </c>
      <c r="G210" s="64">
        <f>sumifs(Dados!$N:$N,Dados!$B:$B,B210,Dados!$H:$H,$D$1,Dados!$G:$G,$G$4)</f>
        <v>0</v>
      </c>
      <c r="H210" s="64">
        <f>sumifs(Dados!$N:$N,Dados!$B:$B,B210,Dados!$H:$H,$D$1,Dados!$G:$G,$H$4)</f>
        <v>0</v>
      </c>
      <c r="I210" s="64">
        <f>sumifs(Dados!$N:$N,Dados!$B:$B,B210,Dados!$H:$H,$D$1,Dados!$G:$G,$I$4)</f>
        <v>0</v>
      </c>
      <c r="J210" s="64">
        <f>sumifs(Dados!$N:$N,Dados!$B:$B,B210,Dados!$H:$H,$D$1,Dados!$G:$G,$J$4)</f>
        <v>0</v>
      </c>
      <c r="K210" s="64">
        <f>sumifs(Dados!$N:$N,Dados!$B:$B,B210,Dados!$H:$H,$D$1,Dados!$G:$G,$K$4)</f>
        <v>0</v>
      </c>
      <c r="L210" s="64">
        <f>sumifs(Dados!$N:$N,Dados!$B:$B,B210,Dados!$H:$H,$D$1,Dados!$G:$G,$L$4)</f>
        <v>0</v>
      </c>
      <c r="M210" s="64">
        <f>sumifs(Dados!$N:$N,Dados!$B:$B,B210,Dados!$H:$H,$D$1,Dados!$G:$G,$M$4)</f>
        <v>0</v>
      </c>
      <c r="N210" s="64">
        <f>sumifs(Dados!$N:$N,Dados!$B:$B,B210,Dados!$H:$H,$D$1,Dados!$G:$G,$N$4)</f>
        <v>0</v>
      </c>
      <c r="O210" s="64">
        <f>sumifs(Dados!$N:$N,Dados!$B:$B,B210,Dados!$H:$H,$D$1,Dados!$G:$G,$O$4)</f>
        <v>0</v>
      </c>
      <c r="P210" s="64">
        <f>sumifs(Dados!$N:$N,Dados!$B:$B,$B210,Dados!$H:$H,$D$1,Dados!$G:$G,$P$4)</f>
        <v>0</v>
      </c>
      <c r="Q210" s="61"/>
    </row>
    <row r="211" ht="15.75" customHeight="1">
      <c r="A211" s="58"/>
      <c r="B211" s="232" t="s">
        <v>827</v>
      </c>
      <c r="C211" s="60"/>
      <c r="D211" s="61">
        <f t="shared" si="50"/>
        <v>0</v>
      </c>
      <c r="E211" s="64">
        <f>sumifs(Dados!$N:$N,Dados!$B:$B,B211,Dados!$H:$H,$D$1,Dados!$G:$G,$E$4)</f>
        <v>0</v>
      </c>
      <c r="F211" s="64">
        <f>sumifs(Dados!$N:$N,Dados!$B:$B,B211,Dados!$H:$H,$D$1,Dados!$G:$G,$F$4)</f>
        <v>0</v>
      </c>
      <c r="G211" s="64">
        <f>sumifs(Dados!$N:$N,Dados!$B:$B,B211,Dados!$H:$H,$D$1,Dados!$G:$G,$G$4)</f>
        <v>0</v>
      </c>
      <c r="H211" s="64">
        <f>sumifs(Dados!$N:$N,Dados!$B:$B,B211,Dados!$H:$H,$D$1,Dados!$G:$G,$H$4)</f>
        <v>0</v>
      </c>
      <c r="I211" s="64">
        <f>sumifs(Dados!$N:$N,Dados!$B:$B,B211,Dados!$H:$H,$D$1,Dados!$G:$G,$I$4)</f>
        <v>0</v>
      </c>
      <c r="J211" s="64">
        <f>sumifs(Dados!$N:$N,Dados!$B:$B,B211,Dados!$H:$H,$D$1,Dados!$G:$G,$J$4)</f>
        <v>0</v>
      </c>
      <c r="K211" s="64">
        <f>sumifs(Dados!$N:$N,Dados!$B:$B,B211,Dados!$H:$H,$D$1,Dados!$G:$G,$K$4)</f>
        <v>0</v>
      </c>
      <c r="L211" s="64">
        <f>sumifs(Dados!$N:$N,Dados!$B:$B,B211,Dados!$H:$H,$D$1,Dados!$G:$G,$L$4)</f>
        <v>0</v>
      </c>
      <c r="M211" s="64">
        <f>sumifs(Dados!$N:$N,Dados!$B:$B,B211,Dados!$H:$H,$D$1,Dados!$G:$G,$M$4)</f>
        <v>0</v>
      </c>
      <c r="N211" s="64">
        <f>sumifs(Dados!$N:$N,Dados!$B:$B,B211,Dados!$H:$H,$D$1,Dados!$G:$G,$N$4)</f>
        <v>0</v>
      </c>
      <c r="O211" s="64">
        <f>sumifs(Dados!$N:$N,Dados!$B:$B,B211,Dados!$H:$H,$D$1,Dados!$G:$G,$O$4)</f>
        <v>0</v>
      </c>
      <c r="P211" s="64">
        <f>sumifs(Dados!$N:$N,Dados!$B:$B,$B211,Dados!$H:$H,$D$1,Dados!$G:$G,$P$4)</f>
        <v>0</v>
      </c>
      <c r="Q211" s="61"/>
    </row>
    <row r="212" ht="15.75" customHeight="1">
      <c r="A212" s="88" t="s">
        <v>829</v>
      </c>
      <c r="B212" s="89">
        <f>sumifs(Dados!$N:$N,Dados!$A:$A,A212,Dados!$H:$H,$D$1)</f>
        <v>0</v>
      </c>
      <c r="C212" s="90">
        <f>B212-D212</f>
        <v>0</v>
      </c>
      <c r="D212" s="89">
        <f t="shared" ref="D212:P212" si="51">SUM(D209:D211)</f>
        <v>0</v>
      </c>
      <c r="E212" s="89">
        <f t="shared" si="51"/>
        <v>0</v>
      </c>
      <c r="F212" s="89">
        <f t="shared" si="51"/>
        <v>0</v>
      </c>
      <c r="G212" s="89">
        <f t="shared" si="51"/>
        <v>0</v>
      </c>
      <c r="H212" s="89">
        <f t="shared" si="51"/>
        <v>0</v>
      </c>
      <c r="I212" s="89">
        <f t="shared" si="51"/>
        <v>0</v>
      </c>
      <c r="J212" s="89">
        <f t="shared" si="51"/>
        <v>0</v>
      </c>
      <c r="K212" s="89">
        <f t="shared" si="51"/>
        <v>0</v>
      </c>
      <c r="L212" s="89">
        <f t="shared" si="51"/>
        <v>0</v>
      </c>
      <c r="M212" s="89">
        <f t="shared" si="51"/>
        <v>0</v>
      </c>
      <c r="N212" s="89">
        <f t="shared" si="51"/>
        <v>0</v>
      </c>
      <c r="O212" s="89">
        <f t="shared" si="51"/>
        <v>0</v>
      </c>
      <c r="P212" s="89">
        <f t="shared" si="51"/>
        <v>0</v>
      </c>
      <c r="Q212" s="89"/>
    </row>
    <row r="213" ht="15.75" customHeight="1">
      <c r="A213" s="58"/>
      <c r="B213" s="58"/>
      <c r="C213" s="60"/>
      <c r="D213" s="61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</row>
    <row r="214" ht="15.75" customHeight="1">
      <c r="A214" s="58"/>
      <c r="B214" s="58" t="s">
        <v>830</v>
      </c>
      <c r="C214" s="60"/>
      <c r="D214" s="61">
        <f>SUM(E214:P214)</f>
        <v>0</v>
      </c>
      <c r="E214" s="64">
        <f>sumifs(Dados!$N:$N,Dados!$B:$B,B214,Dados!$H:$H,$D$1,Dados!$G:$G,$E$4)</f>
        <v>0</v>
      </c>
      <c r="F214" s="64">
        <f>sumifs(Dados!$N:$N,Dados!$B:$B,B214,Dados!$H:$H,$D$1,Dados!$G:$G,$F$4)</f>
        <v>0</v>
      </c>
      <c r="G214" s="64">
        <f>sumifs(Dados!$N:$N,Dados!$B:$B,B214,Dados!$H:$H,$D$1,Dados!$G:$G,$G$4)</f>
        <v>0</v>
      </c>
      <c r="H214" s="64">
        <f>sumifs(Dados!$N:$N,Dados!$B:$B,B214,Dados!$H:$H,$D$1,Dados!$G:$G,$H$4)</f>
        <v>0</v>
      </c>
      <c r="I214" s="64">
        <f>sumifs(Dados!$N:$N,Dados!$B:$B,B214,Dados!$H:$H,$D$1,Dados!$G:$G,$I$4)</f>
        <v>0</v>
      </c>
      <c r="J214" s="64">
        <f>sumifs(Dados!$N:$N,Dados!$B:$B,B214,Dados!$H:$H,$D$1,Dados!$G:$G,$J$4)</f>
        <v>0</v>
      </c>
      <c r="K214" s="64">
        <f>sumifs(Dados!$N:$N,Dados!$B:$B,B214,Dados!$H:$H,$D$1,Dados!$G:$G,$K$4)</f>
        <v>0</v>
      </c>
      <c r="L214" s="64">
        <f>sumifs(Dados!$N:$N,Dados!$B:$B,B214,Dados!$H:$H,$D$1,Dados!$G:$G,$L$4)</f>
        <v>0</v>
      </c>
      <c r="M214" s="64">
        <f>sumifs(Dados!$N:$N,Dados!$B:$B,B214,Dados!$H:$H,$D$1,Dados!$G:$G,$M$4)</f>
        <v>0</v>
      </c>
      <c r="N214" s="64">
        <f>sumifs(Dados!$N:$N,Dados!$B:$B,B214,Dados!$H:$H,$D$1,Dados!$G:$G,$N$4)</f>
        <v>0</v>
      </c>
      <c r="O214" s="64">
        <f>sumifs(Dados!$N:$N,Dados!$B:$B,B214,Dados!$H:$H,$D$1,Dados!$G:$G,$O$4)</f>
        <v>0</v>
      </c>
      <c r="P214" s="64">
        <f>sumifs(Dados!$N:$N,Dados!$B:$B,B214,Dados!$H:$H,$D$1,Dados!$G:$G,$P$4)</f>
        <v>0</v>
      </c>
      <c r="Q214" s="64"/>
    </row>
    <row r="215" ht="15.75" customHeight="1">
      <c r="A215" s="88" t="s">
        <v>831</v>
      </c>
      <c r="B215" s="89">
        <f>sumifs(Dados!$N:$N,Dados!$A:$A,A215,Dados!$H:$H,$D$1)</f>
        <v>0</v>
      </c>
      <c r="C215" s="90">
        <f>B215-D215</f>
        <v>0</v>
      </c>
      <c r="D215" s="89">
        <f t="shared" ref="D215:P215" si="52">SUM(D214)</f>
        <v>0</v>
      </c>
      <c r="E215" s="89">
        <f t="shared" si="52"/>
        <v>0</v>
      </c>
      <c r="F215" s="89">
        <f t="shared" si="52"/>
        <v>0</v>
      </c>
      <c r="G215" s="89">
        <f t="shared" si="52"/>
        <v>0</v>
      </c>
      <c r="H215" s="89">
        <f t="shared" si="52"/>
        <v>0</v>
      </c>
      <c r="I215" s="89">
        <f t="shared" si="52"/>
        <v>0</v>
      </c>
      <c r="J215" s="89">
        <f t="shared" si="52"/>
        <v>0</v>
      </c>
      <c r="K215" s="89">
        <f t="shared" si="52"/>
        <v>0</v>
      </c>
      <c r="L215" s="89">
        <f t="shared" si="52"/>
        <v>0</v>
      </c>
      <c r="M215" s="89">
        <f t="shared" si="52"/>
        <v>0</v>
      </c>
      <c r="N215" s="89">
        <f t="shared" si="52"/>
        <v>0</v>
      </c>
      <c r="O215" s="89">
        <f t="shared" si="52"/>
        <v>0</v>
      </c>
      <c r="P215" s="89">
        <f t="shared" si="52"/>
        <v>0</v>
      </c>
      <c r="Q215" s="89"/>
    </row>
    <row r="216" ht="15.75" customHeight="1">
      <c r="A216" s="109"/>
      <c r="B216" s="109" t="s">
        <v>832</v>
      </c>
      <c r="C216" s="60"/>
      <c r="D216" s="61">
        <f t="shared" ref="D216:D218" si="53">SUM(E216:P216)</f>
        <v>0</v>
      </c>
      <c r="E216" s="64">
        <f>sumifs(Dados!$N:$N,Dados!$B:$B,B216,Dados!$H:$H,$D$1,Dados!$G:$G,$E$4)</f>
        <v>0</v>
      </c>
      <c r="F216" s="64">
        <f>sumifs(Dados!$N:$N,Dados!$B:$B,B216,Dados!$H:$H,$D$1,Dados!$G:$G,$F$4)</f>
        <v>0</v>
      </c>
      <c r="G216" s="64">
        <f>sumifs(Dados!$N:$N,Dados!$B:$B,B216,Dados!$H:$H,$D$1,Dados!$G:$G,$G$4)</f>
        <v>0</v>
      </c>
      <c r="H216" s="64">
        <f>sumifs(Dados!$N:$N,Dados!$B:$B,B216,Dados!$H:$H,$D$1,Dados!$G:$G,$H$4)</f>
        <v>0</v>
      </c>
      <c r="I216" s="64">
        <f>sumifs(Dados!$N:$N,Dados!$B:$B,B216,Dados!$H:$H,$D$1,Dados!$G:$G,$I$4)</f>
        <v>0</v>
      </c>
      <c r="J216" s="64">
        <f>sumifs(Dados!$N:$N,Dados!$B:$B,B216,Dados!$H:$H,$D$1,Dados!$G:$G,$J$4)</f>
        <v>0</v>
      </c>
      <c r="K216" s="64">
        <f>sumifs(Dados!$N:$N,Dados!$B:$B,B216,Dados!$H:$H,$D$1,Dados!$G:$G,$K$4)</f>
        <v>0</v>
      </c>
      <c r="L216" s="64">
        <f>sumifs(Dados!$N:$N,Dados!$B:$B,B216,Dados!$H:$H,$D$1,Dados!$G:$G,$L$4)</f>
        <v>0</v>
      </c>
      <c r="M216" s="64">
        <f>sumifs(Dados!$N:$N,Dados!$B:$B,B216,Dados!$H:$H,$D$1,Dados!$G:$G,$M$4)</f>
        <v>0</v>
      </c>
      <c r="N216" s="64">
        <f>sumifs(Dados!$N:$N,Dados!$B:$B,B216,Dados!$H:$H,$D$1,Dados!$G:$G,$N$4)</f>
        <v>0</v>
      </c>
      <c r="O216" s="64">
        <f>sumifs(Dados!$N:$N,Dados!$B:$B,B216,Dados!$H:$H,$D$1,Dados!$G:$G,$O$4)</f>
        <v>0</v>
      </c>
      <c r="P216" s="64">
        <f>sumifs(Dados!$N:$N,Dados!$B:$B,B216,Dados!$H:$H,$D$1,Dados!$G:$G,$P$4)</f>
        <v>0</v>
      </c>
      <c r="Q216" s="64"/>
    </row>
    <row r="217" ht="15.75" customHeight="1">
      <c r="A217" s="109"/>
      <c r="B217" s="109" t="s">
        <v>833</v>
      </c>
      <c r="C217" s="60"/>
      <c r="D217" s="61">
        <f t="shared" si="53"/>
        <v>0</v>
      </c>
      <c r="E217" s="64">
        <f>sumifs(Dados!$N:$N,Dados!$B:$B,B217,Dados!$H:$H,$D$1,Dados!$G:$G,$E$4)</f>
        <v>0</v>
      </c>
      <c r="F217" s="64">
        <f>sumifs(Dados!$N:$N,Dados!$B:$B,B217,Dados!$H:$H,$D$1,Dados!$G:$G,$F$4)</f>
        <v>0</v>
      </c>
      <c r="G217" s="64">
        <f>sumifs(Dados!$N:$N,Dados!$B:$B,B217,Dados!$H:$H,$D$1,Dados!$G:$G,$G$4)</f>
        <v>0</v>
      </c>
      <c r="H217" s="64">
        <f>sumifs(Dados!$N:$N,Dados!$B:$B,B217,Dados!$H:$H,$D$1,Dados!$G:$G,$H$4)</f>
        <v>0</v>
      </c>
      <c r="I217" s="64">
        <f>sumifs(Dados!$N:$N,Dados!$B:$B,B217,Dados!$H:$H,$D$1,Dados!$G:$G,$I$4)</f>
        <v>0</v>
      </c>
      <c r="J217" s="64">
        <f>sumifs(Dados!$N:$N,Dados!$B:$B,B217,Dados!$H:$H,$D$1,Dados!$G:$G,$J$4)</f>
        <v>0</v>
      </c>
      <c r="K217" s="64">
        <f>sumifs(Dados!$N:$N,Dados!$B:$B,B217,Dados!$H:$H,$D$1,Dados!$G:$G,$K$4)</f>
        <v>0</v>
      </c>
      <c r="L217" s="64">
        <f>sumifs(Dados!$N:$N,Dados!$B:$B,B217,Dados!$H:$H,$D$1,Dados!$G:$G,$L$4)</f>
        <v>0</v>
      </c>
      <c r="M217" s="64">
        <f>sumifs(Dados!$N:$N,Dados!$B:$B,B217,Dados!$H:$H,$D$1,Dados!$G:$G,$M$4)</f>
        <v>0</v>
      </c>
      <c r="N217" s="64">
        <f>sumifs(Dados!$N:$N,Dados!$B:$B,B217,Dados!$H:$H,$D$1,Dados!$G:$G,$N$4)</f>
        <v>0</v>
      </c>
      <c r="O217" s="64">
        <f>sumifs(Dados!$N:$N,Dados!$B:$B,B217,Dados!$H:$H,$D$1,Dados!$G:$G,$O$4)</f>
        <v>0</v>
      </c>
      <c r="P217" s="64">
        <f>sumifs(Dados!$N:$N,Dados!$B:$B,B217,Dados!$H:$H,$D$1,Dados!$G:$G,$P$4)</f>
        <v>0</v>
      </c>
      <c r="Q217" s="64"/>
    </row>
    <row r="218" ht="15.75" customHeight="1">
      <c r="A218" s="109"/>
      <c r="B218" s="109" t="s">
        <v>836</v>
      </c>
      <c r="C218" s="60"/>
      <c r="D218" s="61">
        <f t="shared" si="53"/>
        <v>0</v>
      </c>
      <c r="E218" s="64">
        <f>sumifs(Dados!$N:$N,Dados!$B:$B,B218,Dados!$H:$H,$D$1,Dados!$G:$G,$E$4)</f>
        <v>0</v>
      </c>
      <c r="F218" s="64">
        <f>sumifs(Dados!$N:$N,Dados!$B:$B,B218,Dados!$H:$H,$D$1,Dados!$G:$G,$F$4)</f>
        <v>0</v>
      </c>
      <c r="G218" s="64">
        <f>sumifs(Dados!$N:$N,Dados!$B:$B,B218,Dados!$H:$H,$D$1,Dados!$G:$G,$G$4)</f>
        <v>0</v>
      </c>
      <c r="H218" s="64">
        <f>sumifs(Dados!$N:$N,Dados!$B:$B,B218,Dados!$H:$H,$D$1,Dados!$G:$G,$H$4)</f>
        <v>0</v>
      </c>
      <c r="I218" s="64">
        <f>sumifs(Dados!$N:$N,Dados!$B:$B,B218,Dados!$H:$H,$D$1,Dados!$G:$G,$I$4)</f>
        <v>0</v>
      </c>
      <c r="J218" s="64">
        <f>sumifs(Dados!$N:$N,Dados!$B:$B,B218,Dados!$H:$H,$D$1,Dados!$G:$G,$J$4)</f>
        <v>0</v>
      </c>
      <c r="K218" s="64">
        <f>sumifs(Dados!$N:$N,Dados!$B:$B,B218,Dados!$H:$H,$D$1,Dados!$G:$G,$K$4)</f>
        <v>0</v>
      </c>
      <c r="L218" s="64">
        <f>sumifs(Dados!$N:$N,Dados!$B:$B,B218,Dados!$H:$H,$D$1,Dados!$G:$G,$L$4)</f>
        <v>0</v>
      </c>
      <c r="M218" s="64">
        <f>sumifs(Dados!$N:$N,Dados!$B:$B,B218,Dados!$H:$H,$D$1,Dados!$G:$G,$M$4)</f>
        <v>0</v>
      </c>
      <c r="N218" s="64">
        <f>sumifs(Dados!$N:$N,Dados!$B:$B,B218,Dados!$H:$H,$D$1,Dados!$G:$G,$N$4)</f>
        <v>0</v>
      </c>
      <c r="O218" s="64">
        <f>sumifs(Dados!$N:$N,Dados!$B:$B,B218,Dados!$H:$H,$D$1,Dados!$G:$G,$O$4)</f>
        <v>0</v>
      </c>
      <c r="P218" s="64">
        <f>sumifs(Dados!$N:$N,Dados!$B:$B,B218,Dados!$H:$H,$D$1,Dados!$G:$G,$P$4)</f>
        <v>0</v>
      </c>
      <c r="Q218" s="64"/>
    </row>
    <row r="219" ht="15.75" customHeight="1">
      <c r="A219" s="88" t="s">
        <v>838</v>
      </c>
      <c r="B219" s="89">
        <f>sumifs(Dados!$N:$N,Dados!$A:$A,A219,Dados!$H:$H,$D$1)</f>
        <v>0</v>
      </c>
      <c r="C219" s="90">
        <f>B219-D219</f>
        <v>0</v>
      </c>
      <c r="D219" s="89">
        <f t="shared" ref="D219:P219" si="54">SUM(D216:D218)</f>
        <v>0</v>
      </c>
      <c r="E219" s="89">
        <f t="shared" si="54"/>
        <v>0</v>
      </c>
      <c r="F219" s="89">
        <f t="shared" si="54"/>
        <v>0</v>
      </c>
      <c r="G219" s="89">
        <f t="shared" si="54"/>
        <v>0</v>
      </c>
      <c r="H219" s="89">
        <f t="shared" si="54"/>
        <v>0</v>
      </c>
      <c r="I219" s="89">
        <f t="shared" si="54"/>
        <v>0</v>
      </c>
      <c r="J219" s="89">
        <f t="shared" si="54"/>
        <v>0</v>
      </c>
      <c r="K219" s="89">
        <f t="shared" si="54"/>
        <v>0</v>
      </c>
      <c r="L219" s="89">
        <f t="shared" si="54"/>
        <v>0</v>
      </c>
      <c r="M219" s="89">
        <f t="shared" si="54"/>
        <v>0</v>
      </c>
      <c r="N219" s="89">
        <f t="shared" si="54"/>
        <v>0</v>
      </c>
      <c r="O219" s="89">
        <f t="shared" si="54"/>
        <v>0</v>
      </c>
      <c r="P219" s="89">
        <f t="shared" si="54"/>
        <v>0</v>
      </c>
      <c r="Q219" s="89"/>
    </row>
    <row r="220" ht="15.75" customHeight="1">
      <c r="A220" s="58"/>
      <c r="B220" s="58" t="s">
        <v>839</v>
      </c>
      <c r="C220" s="60"/>
      <c r="D220" s="61">
        <f>SUM(E220:P220)</f>
        <v>0</v>
      </c>
      <c r="E220" s="64">
        <f>sumifs(Dados!$N:$N,Dados!$B:$B,B220,Dados!$H:$H,$D$1,Dados!$G:$G,$E$4)</f>
        <v>0</v>
      </c>
      <c r="F220" s="64">
        <f>sumifs(Dados!$N:$N,Dados!$B:$B,B220,Dados!$H:$H,$D$1,Dados!$G:$G,$F$4)</f>
        <v>0</v>
      </c>
      <c r="G220" s="64">
        <f>sumifs(Dados!$N:$N,Dados!$B:$B,B220,Dados!$H:$H,$D$1,Dados!$G:$G,$G$4)</f>
        <v>0</v>
      </c>
      <c r="H220" s="64">
        <f>sumifs(Dados!$N:$N,Dados!$B:$B,B220,Dados!$H:$H,$D$1,Dados!$G:$G,$H$4)</f>
        <v>0</v>
      </c>
      <c r="I220" s="64">
        <f>sumifs(Dados!$N:$N,Dados!$B:$B,B220,Dados!$H:$H,$D$1,Dados!$G:$G,$I$4)</f>
        <v>0</v>
      </c>
      <c r="J220" s="64">
        <f>sumifs(Dados!$N:$N,Dados!$B:$B,B220,Dados!$H:$H,$D$1,Dados!$G:$G,$J$4)</f>
        <v>0</v>
      </c>
      <c r="K220" s="64">
        <f>sumifs(Dados!$N:$N,Dados!$B:$B,B220,Dados!$H:$H,$D$1,Dados!$G:$G,$K$4)</f>
        <v>0</v>
      </c>
      <c r="L220" s="64">
        <f>sumifs(Dados!$N:$N,Dados!$B:$B,B220,Dados!$H:$H,$D$1,Dados!$G:$G,$L$4)</f>
        <v>0</v>
      </c>
      <c r="M220" s="64">
        <f>sumifs(Dados!$N:$N,Dados!$B:$B,B220,Dados!$H:$H,$D$1,Dados!$G:$G,$M$4)</f>
        <v>0</v>
      </c>
      <c r="N220" s="64">
        <f>sumifs(Dados!$N:$N,Dados!$B:$B,B220,Dados!$H:$H,$D$1,Dados!$G:$G,$N$4)</f>
        <v>0</v>
      </c>
      <c r="O220" s="64">
        <f>sumifs(Dados!$N:$N,Dados!$B:$B,B220,Dados!$H:$H,$D$1,Dados!$G:$G,$O$4)</f>
        <v>0</v>
      </c>
      <c r="P220" s="64">
        <f>sumifs(Dados!$N:$N,Dados!$B:$B,B220,Dados!$H:$H,$D$1,Dados!$G:$G,$P$4)</f>
        <v>0</v>
      </c>
      <c r="Q220" s="64"/>
    </row>
    <row r="221" ht="15.75" customHeight="1">
      <c r="A221" s="88" t="s">
        <v>851</v>
      </c>
      <c r="B221" s="89">
        <f>sumifs(Dados!$N:$N,Dados!$A:$A,A221,Dados!$H:$H,$D$1)</f>
        <v>0</v>
      </c>
      <c r="C221" s="90">
        <f>B221-D221</f>
        <v>0</v>
      </c>
      <c r="D221" s="89">
        <f t="shared" ref="D221:P221" si="55">SUM(D220)</f>
        <v>0</v>
      </c>
      <c r="E221" s="89">
        <f t="shared" si="55"/>
        <v>0</v>
      </c>
      <c r="F221" s="89">
        <f t="shared" si="55"/>
        <v>0</v>
      </c>
      <c r="G221" s="89">
        <f t="shared" si="55"/>
        <v>0</v>
      </c>
      <c r="H221" s="89">
        <f t="shared" si="55"/>
        <v>0</v>
      </c>
      <c r="I221" s="89">
        <f t="shared" si="55"/>
        <v>0</v>
      </c>
      <c r="J221" s="89">
        <f t="shared" si="55"/>
        <v>0</v>
      </c>
      <c r="K221" s="89">
        <f t="shared" si="55"/>
        <v>0</v>
      </c>
      <c r="L221" s="89">
        <f t="shared" si="55"/>
        <v>0</v>
      </c>
      <c r="M221" s="89">
        <f t="shared" si="55"/>
        <v>0</v>
      </c>
      <c r="N221" s="89">
        <f t="shared" si="55"/>
        <v>0</v>
      </c>
      <c r="O221" s="89">
        <f t="shared" si="55"/>
        <v>0</v>
      </c>
      <c r="P221" s="89">
        <f t="shared" si="55"/>
        <v>0</v>
      </c>
      <c r="Q221" s="89"/>
    </row>
    <row r="222" ht="15.75" customHeight="1">
      <c r="A222" s="168" t="s">
        <v>856</v>
      </c>
      <c r="B222" s="251">
        <f>D144+D157+D162+D167+D174+D178+D187+D198+D208+D212+D215+D219+D221+D176</f>
        <v>82448.42</v>
      </c>
      <c r="C222" s="253"/>
      <c r="D222" s="256">
        <f>B222</f>
        <v>82448.42</v>
      </c>
      <c r="E222" s="256">
        <f t="shared" ref="E222:Q222" si="56">E144+E157+E162+E167+E174+E178+E187+E198+E208+E212+E215+E219+E221+E176</f>
        <v>7290.9</v>
      </c>
      <c r="F222" s="256">
        <f t="shared" si="56"/>
        <v>29492.94</v>
      </c>
      <c r="G222" s="256">
        <f t="shared" si="56"/>
        <v>10287.06</v>
      </c>
      <c r="H222" s="256">
        <f t="shared" si="56"/>
        <v>11383.75</v>
      </c>
      <c r="I222" s="256">
        <f t="shared" si="56"/>
        <v>7972.26</v>
      </c>
      <c r="J222" s="256">
        <f t="shared" si="56"/>
        <v>6071.71</v>
      </c>
      <c r="K222" s="256">
        <f t="shared" si="56"/>
        <v>2163.27</v>
      </c>
      <c r="L222" s="256">
        <f t="shared" si="56"/>
        <v>4674.07</v>
      </c>
      <c r="M222" s="256">
        <f t="shared" si="56"/>
        <v>3112.46</v>
      </c>
      <c r="N222" s="256">
        <f t="shared" si="56"/>
        <v>0</v>
      </c>
      <c r="O222" s="256">
        <f t="shared" si="56"/>
        <v>0</v>
      </c>
      <c r="P222" s="256">
        <f t="shared" si="56"/>
        <v>0</v>
      </c>
      <c r="Q222" s="256">
        <f t="shared" si="56"/>
        <v>0</v>
      </c>
    </row>
    <row r="223" ht="15.75" customHeight="1"/>
    <row r="224" ht="15.75" customHeight="1">
      <c r="A224" s="58"/>
      <c r="B224" s="58" t="s">
        <v>864</v>
      </c>
      <c r="C224" s="60"/>
      <c r="D224" s="61">
        <f t="shared" ref="D224:D228" si="57">SUM(E224:P224)</f>
        <v>0</v>
      </c>
      <c r="E224" s="64">
        <f>sumifs(Dados!$N:$N,Dados!$B:$B,B224,Dados!$H:$H,$D$1,Dados!$G:$G,$E$4)</f>
        <v>0</v>
      </c>
      <c r="F224" s="64">
        <f>sumifs(Dados!$N:$N,Dados!$B:$B,B224,Dados!$H:$H,$D$1,Dados!$G:$G,$F$4)</f>
        <v>0</v>
      </c>
      <c r="G224" s="64">
        <f>sumifs(Dados!$N:$N,Dados!$B:$B,B224,Dados!$H:$H,$D$1,Dados!$G:$G,$G$4)</f>
        <v>0</v>
      </c>
      <c r="H224" s="64">
        <f>sumifs(Dados!$N:$N,Dados!$B:$B,B224,Dados!$H:$H,$D$1,Dados!$G:$G,$H$4)</f>
        <v>0</v>
      </c>
      <c r="I224" s="64">
        <f>sumifs(Dados!$N:$N,Dados!$B:$B,B224,Dados!$H:$H,$D$1,Dados!$G:$G,$I$4)</f>
        <v>0</v>
      </c>
      <c r="J224" s="64">
        <f>sumifs(Dados!$N:$N,Dados!$B:$B,B224,Dados!$H:$H,$D$1,Dados!$G:$G,$J$4)</f>
        <v>0</v>
      </c>
      <c r="K224" s="64">
        <f>sumifs(Dados!$N:$N,Dados!$B:$B,B224,Dados!$H:$H,$D$1,Dados!$G:$G,$K$4)</f>
        <v>0</v>
      </c>
      <c r="L224" s="64">
        <f>sumifs(Dados!$N:$N,Dados!$B:$B,B224,Dados!$H:$H,$D$1,Dados!$G:$G,$L$4)</f>
        <v>0</v>
      </c>
      <c r="M224" s="64">
        <f>sumifs(Dados!$N:$N,Dados!$B:$B,B224,Dados!$H:$H,$D$1,Dados!$G:$G,$M$4)</f>
        <v>0</v>
      </c>
      <c r="N224" s="64">
        <f>sumifs(Dados!$N:$N,Dados!$B:$B,B224,Dados!$H:$H,$D$1,Dados!$G:$G,$N$4)</f>
        <v>0</v>
      </c>
      <c r="O224" s="64">
        <f>sumifs(Dados!$N:$N,Dados!$B:$B,B224,Dados!$H:$H,$D$1,Dados!$G:$G,$O$4)</f>
        <v>0</v>
      </c>
      <c r="P224" s="64">
        <f>sumifs(Dados!$N:$N,Dados!$B:$B,B224,Dados!$H:$H,$D$1,Dados!$G:$G,$P$4)</f>
        <v>0</v>
      </c>
      <c r="Q224" s="64"/>
    </row>
    <row r="225" ht="15.75" customHeight="1">
      <c r="A225" s="58"/>
      <c r="B225" s="58" t="s">
        <v>164</v>
      </c>
      <c r="C225" s="60"/>
      <c r="D225" s="61">
        <f t="shared" si="57"/>
        <v>0</v>
      </c>
      <c r="E225" s="64">
        <f>sumifs(Dados!$N:$N,Dados!$B:$B,B225,Dados!$H:$H,$D$1,Dados!$G:$G,$E$4)</f>
        <v>0</v>
      </c>
      <c r="F225" s="64">
        <f>sumifs(Dados!$N:$N,Dados!$B:$B,B225,Dados!$H:$H,$D$1,Dados!$G:$G,$F$4)</f>
        <v>0</v>
      </c>
      <c r="G225" s="64">
        <f>sumifs(Dados!$N:$N,Dados!$B:$B,B225,Dados!$H:$H,$D$1,Dados!$G:$G,$G$4)</f>
        <v>0</v>
      </c>
      <c r="H225" s="64">
        <f>sumifs(Dados!$N:$N,Dados!$B:$B,B225,Dados!$H:$H,$D$1,Dados!$G:$G,$H$4)</f>
        <v>0</v>
      </c>
      <c r="I225" s="64">
        <f>sumifs(Dados!$N:$N,Dados!$B:$B,B225,Dados!$H:$H,$D$1,Dados!$G:$G,$I$4)</f>
        <v>0</v>
      </c>
      <c r="J225" s="64">
        <f>sumifs(Dados!$N:$N,Dados!$B:$B,B225,Dados!$H:$H,$D$1,Dados!$G:$G,$J$4)</f>
        <v>0</v>
      </c>
      <c r="K225" s="64">
        <f>sumifs(Dados!$N:$N,Dados!$B:$B,B225,Dados!$H:$H,$D$1,Dados!$G:$G,$K$4)</f>
        <v>0</v>
      </c>
      <c r="L225" s="64">
        <f>sumifs(Dados!$N:$N,Dados!$B:$B,B225,Dados!$H:$H,$D$1,Dados!$G:$G,$L$4)</f>
        <v>0</v>
      </c>
      <c r="M225" s="64">
        <f>sumifs(Dados!$N:$N,Dados!$B:$B,B225,Dados!$H:$H,$D$1,Dados!$G:$G,$M$4)</f>
        <v>0</v>
      </c>
      <c r="N225" s="64">
        <f>sumifs(Dados!$N:$N,Dados!$B:$B,B225,Dados!$H:$H,$D$1,Dados!$G:$G,$N$4)</f>
        <v>0</v>
      </c>
      <c r="O225" s="64">
        <f>sumifs(Dados!$N:$N,Dados!$B:$B,B225,Dados!$H:$H,$D$1,Dados!$G:$G,$O$4)</f>
        <v>0</v>
      </c>
      <c r="P225" s="64">
        <f>sumifs(Dados!$N:$N,Dados!$B:$B,B225,Dados!$H:$H,$D$1,Dados!$G:$G,$P$4)</f>
        <v>0</v>
      </c>
      <c r="Q225" s="64"/>
    </row>
    <row r="226" ht="15.75" customHeight="1">
      <c r="A226" s="58"/>
      <c r="B226" s="58" t="s">
        <v>501</v>
      </c>
      <c r="C226" s="60"/>
      <c r="D226" s="61">
        <f t="shared" si="57"/>
        <v>6900</v>
      </c>
      <c r="E226" s="64">
        <f>sumifs(Dados!$N:$N,Dados!$B:$B,B226,Dados!$H:$H,$D$1,Dados!$G:$G,$E$4)</f>
        <v>0</v>
      </c>
      <c r="F226" s="64">
        <f>sumifs(Dados!$N:$N,Dados!$B:$B,B226,Dados!$H:$H,$D$1,Dados!$G:$G,$F$4)</f>
        <v>0</v>
      </c>
      <c r="G226" s="64">
        <f>sumifs(Dados!$N:$N,Dados!$B:$B,B226,Dados!$H:$H,$D$1,Dados!$G:$G,$G$4)</f>
        <v>1150</v>
      </c>
      <c r="H226" s="64">
        <f>sumifs(Dados!$N:$N,Dados!$B:$B,B226,Dados!$H:$H,$D$1,Dados!$G:$G,$H$4)</f>
        <v>0</v>
      </c>
      <c r="I226" s="64">
        <f>sumifs(Dados!$N:$N,Dados!$B:$B,B226,Dados!$H:$H,$D$1,Dados!$G:$G,$I$4)</f>
        <v>1150</v>
      </c>
      <c r="J226" s="64">
        <f>sumifs(Dados!$N:$N,Dados!$B:$B,B226,Dados!$H:$H,$D$1,Dados!$G:$G,$J$4)</f>
        <v>2300</v>
      </c>
      <c r="K226" s="64">
        <f>sumifs(Dados!$N:$N,Dados!$B:$B,B226,Dados!$H:$H,$D$1,Dados!$G:$G,$K$4)</f>
        <v>1150</v>
      </c>
      <c r="L226" s="64">
        <f>sumifs(Dados!$N:$N,Dados!$B:$B,B226,Dados!$H:$H,$D$1,Dados!$G:$G,$L$4)</f>
        <v>0</v>
      </c>
      <c r="M226" s="64">
        <f>sumifs(Dados!$N:$N,Dados!$B:$B,B226,Dados!$H:$H,$D$1,Dados!$G:$G,$M$4)</f>
        <v>1150</v>
      </c>
      <c r="N226" s="64">
        <f>sumifs(Dados!$N:$N,Dados!$B:$B,B226,Dados!$H:$H,$D$1,Dados!$G:$G,$N$4)</f>
        <v>0</v>
      </c>
      <c r="O226" s="64">
        <f>sumifs(Dados!$N:$N,Dados!$B:$B,B226,Dados!$H:$H,$D$1,Dados!$G:$G,$O$4)</f>
        <v>0</v>
      </c>
      <c r="P226" s="64">
        <f>sumifs(Dados!$N:$N,Dados!$B:$B,B226,Dados!$H:$H,$D$1,Dados!$G:$G,$P$4)</f>
        <v>0</v>
      </c>
      <c r="Q226" s="64"/>
    </row>
    <row r="227" ht="15.75" customHeight="1">
      <c r="A227" s="58"/>
      <c r="B227" s="58" t="s">
        <v>34</v>
      </c>
      <c r="C227" s="60"/>
      <c r="D227" s="61">
        <f t="shared" si="57"/>
        <v>13222.66</v>
      </c>
      <c r="E227" s="64">
        <f>sumifs(Dados!$N:$N,Dados!$B:$B,B227,Dados!$H:$H,$D$1,Dados!$G:$G,$E$4)</f>
        <v>1771.23</v>
      </c>
      <c r="F227" s="64">
        <f>sumifs(Dados!$N:$N,Dados!$B:$B,B227,Dados!$H:$H,$D$1,Dados!$G:$G,$F$4)</f>
        <v>1391.4</v>
      </c>
      <c r="G227" s="64">
        <f>sumifs(Dados!$N:$N,Dados!$B:$B,B227,Dados!$H:$H,$D$1,Dados!$G:$G,$G$4)</f>
        <v>2705.94</v>
      </c>
      <c r="H227" s="64">
        <f>sumifs(Dados!$N:$N,Dados!$B:$B,B227,Dados!$H:$H,$D$1,Dados!$G:$G,$H$4)</f>
        <v>939.7</v>
      </c>
      <c r="I227" s="64">
        <f>sumifs(Dados!$N:$N,Dados!$B:$B,B227,Dados!$H:$H,$D$1,Dados!$G:$G,$I$4)</f>
        <v>1093.34</v>
      </c>
      <c r="J227" s="64">
        <f>sumifs(Dados!$N:$N,Dados!$B:$B,B227,Dados!$H:$H,$D$1,Dados!$G:$G,$J$4)</f>
        <v>1308.1</v>
      </c>
      <c r="K227" s="64">
        <f>sumifs(Dados!$N:$N,Dados!$B:$B,B227,Dados!$H:$H,$D$1,Dados!$G:$G,$K$4)</f>
        <v>1300.45</v>
      </c>
      <c r="L227" s="64">
        <f>sumifs(Dados!$N:$N,Dados!$B:$B,B227,Dados!$H:$H,$D$1,Dados!$G:$G,$L$4)</f>
        <v>943.5</v>
      </c>
      <c r="M227" s="64">
        <f>sumifs(Dados!$N:$N,Dados!$B:$B,B227,Dados!$H:$H,$D$1,Dados!$G:$G,$M$4)</f>
        <v>1769</v>
      </c>
      <c r="N227" s="64">
        <f>sumifs(Dados!$N:$N,Dados!$B:$B,B227,Dados!$H:$H,$D$1,Dados!$G:$G,$N$4)</f>
        <v>0</v>
      </c>
      <c r="O227" s="64">
        <f>sumifs(Dados!$N:$N,Dados!$B:$B,B227,Dados!$H:$H,$D$1,Dados!$G:$G,$O$4)</f>
        <v>0</v>
      </c>
      <c r="P227" s="64">
        <f>sumifs(Dados!$N:$N,Dados!$B:$B,B227,Dados!$H:$H,$D$1,Dados!$G:$G,$P$4)</f>
        <v>0</v>
      </c>
      <c r="Q227" s="64"/>
    </row>
    <row r="228" ht="15.75" customHeight="1">
      <c r="A228" s="58"/>
      <c r="B228" s="58" t="s">
        <v>43</v>
      </c>
      <c r="C228" s="60"/>
      <c r="D228" s="61">
        <f t="shared" si="57"/>
        <v>18500</v>
      </c>
      <c r="E228" s="64">
        <f>sumifs(Dados!$N:$N,Dados!$B:$B,B228,Dados!$H:$H,$D$1,Dados!$G:$G,$E$4)</f>
        <v>0</v>
      </c>
      <c r="F228" s="64">
        <f>sumifs(Dados!$N:$N,Dados!$B:$B,B228,Dados!$H:$H,$D$1,Dados!$G:$G,$F$4)</f>
        <v>15000</v>
      </c>
      <c r="G228" s="64">
        <f>sumifs(Dados!$N:$N,Dados!$B:$B,B228,Dados!$H:$H,$D$1,Dados!$G:$G,$G$4)</f>
        <v>0</v>
      </c>
      <c r="H228" s="64">
        <f>sumifs(Dados!$N:$N,Dados!$B:$B,B228,Dados!$H:$H,$D$1,Dados!$G:$G,$H$4)</f>
        <v>0</v>
      </c>
      <c r="I228" s="64">
        <f>sumifs(Dados!$N:$N,Dados!$B:$B,B228,Dados!$H:$H,$D$1,Dados!$G:$G,$I$4)</f>
        <v>0</v>
      </c>
      <c r="J228" s="64">
        <f>sumifs(Dados!$N:$N,Dados!$B:$B,B228,Dados!$H:$H,$D$1,Dados!$G:$G,$J$4)</f>
        <v>2000</v>
      </c>
      <c r="K228" s="64">
        <f>sumifs(Dados!$N:$N,Dados!$B:$B,B228,Dados!$H:$H,$D$1,Dados!$G:$G,$K$4)</f>
        <v>1500</v>
      </c>
      <c r="L228" s="64">
        <f>sumifs(Dados!$N:$N,Dados!$B:$B,B228,Dados!$H:$H,$D$1,Dados!$G:$G,$L$4)</f>
        <v>0</v>
      </c>
      <c r="M228" s="64">
        <f>sumifs(Dados!$N:$N,Dados!$B:$B,B228,Dados!$H:$H,$D$1,Dados!$G:$G,$M$4)</f>
        <v>0</v>
      </c>
      <c r="N228" s="64">
        <f>sumifs(Dados!$N:$N,Dados!$B:$B,B228,Dados!$H:$H,$D$1,Dados!$G:$G,$N$4)</f>
        <v>0</v>
      </c>
      <c r="O228" s="64">
        <f>sumifs(Dados!$N:$N,Dados!$B:$B,B228,Dados!$H:$H,$D$1,Dados!$G:$G,$O$4)</f>
        <v>0</v>
      </c>
      <c r="P228" s="64">
        <f>sumifs(Dados!$N:$N,Dados!$B:$B,B228,Dados!$H:$H,$D$1,Dados!$G:$G,$P$4)</f>
        <v>0</v>
      </c>
      <c r="Q228" s="64"/>
    </row>
    <row r="229" ht="15.75" customHeight="1">
      <c r="A229" s="264" t="s">
        <v>334</v>
      </c>
      <c r="B229" s="89">
        <f>sumifs(Dados!$N:$N,Dados!$A:$A,A229,Dados!$H:$H,$D$1)</f>
        <v>38622.66</v>
      </c>
      <c r="C229" s="90">
        <f>B229-D229</f>
        <v>0</v>
      </c>
      <c r="D229" s="89">
        <f t="shared" ref="D229:P229" si="58">SUM(D224:D228)</f>
        <v>38622.66</v>
      </c>
      <c r="E229" s="89">
        <f t="shared" si="58"/>
        <v>1771.23</v>
      </c>
      <c r="F229" s="89">
        <f t="shared" si="58"/>
        <v>16391.4</v>
      </c>
      <c r="G229" s="89">
        <f t="shared" si="58"/>
        <v>3855.94</v>
      </c>
      <c r="H229" s="89">
        <f t="shared" si="58"/>
        <v>939.7</v>
      </c>
      <c r="I229" s="89">
        <f t="shared" si="58"/>
        <v>2243.34</v>
      </c>
      <c r="J229" s="89">
        <f t="shared" si="58"/>
        <v>5608.1</v>
      </c>
      <c r="K229" s="89">
        <f t="shared" si="58"/>
        <v>3950.45</v>
      </c>
      <c r="L229" s="89">
        <f t="shared" si="58"/>
        <v>943.5</v>
      </c>
      <c r="M229" s="89">
        <f t="shared" si="58"/>
        <v>2919</v>
      </c>
      <c r="N229" s="89">
        <f t="shared" si="58"/>
        <v>0</v>
      </c>
      <c r="O229" s="89">
        <f t="shared" si="58"/>
        <v>0</v>
      </c>
      <c r="P229" s="89">
        <f t="shared" si="58"/>
        <v>0</v>
      </c>
      <c r="Q229" s="89"/>
    </row>
    <row r="230" ht="15.75" customHeight="1">
      <c r="A230" s="74"/>
      <c r="B230" s="59" t="s">
        <v>266</v>
      </c>
      <c r="C230" s="60"/>
      <c r="D230" s="61">
        <f t="shared" ref="D230:D236" si="59">SUM(E230:P230)</f>
        <v>31110.09</v>
      </c>
      <c r="E230" s="64">
        <f>sumifs(Dados!$N:$N,Dados!$B:$B,$B$230,Dados!$H:$H,$D$1,Dados!$G:$G,E4)</f>
        <v>0</v>
      </c>
      <c r="F230" s="64">
        <f>sumifs(Dados!$N:$N,Dados!$B:$B,$B$230,Dados!$H:$H,$D$1,Dados!$G:$G,F4)</f>
        <v>0</v>
      </c>
      <c r="G230" s="64">
        <f>sumifs(Dados!$N:$N,Dados!$B:$B,$B$230,Dados!$H:$H,$D$1,Dados!$G:$G,G4)</f>
        <v>0</v>
      </c>
      <c r="H230" s="64">
        <f>sumifs(Dados!$N:$N,Dados!$B:$B,$B$230,Dados!$H:$H,$D$1,Dados!$G:$G,H4)</f>
        <v>0</v>
      </c>
      <c r="I230" s="64">
        <f>sumifs(Dados!$N:$N,Dados!$B:$B,$B$230,Dados!$H:$H,$D$1,Dados!$G:$G,I4)</f>
        <v>1000</v>
      </c>
      <c r="J230" s="64">
        <f>sumifs(Dados!$N:$N,Dados!$B:$B,$B$230,Dados!$H:$H,$D$1,Dados!$G:$G,J4)</f>
        <v>3000</v>
      </c>
      <c r="K230" s="64">
        <f>sumifs(Dados!$N:$N,Dados!$B:$B,$B$230,Dados!$H:$H,$D$1,Dados!$G:$G,K4)</f>
        <v>8510</v>
      </c>
      <c r="L230" s="64">
        <f>sumifs(Dados!$N:$N,Dados!$B:$B,$B$230,Dados!$H:$H,$D$1,Dados!$G:$G,L4)</f>
        <v>11600.09</v>
      </c>
      <c r="M230" s="64">
        <f>sumifs(Dados!$N:$N,Dados!$B:$B,$B$230,Dados!$H:$H,$D$1,Dados!$G:$G,M4)</f>
        <v>7000</v>
      </c>
      <c r="N230" s="64">
        <f>sumifs(Dados!$N:$N,Dados!$B:$B,$B$230,Dados!$H:$H,$D$1,Dados!$G:$G,N4)</f>
        <v>0</v>
      </c>
      <c r="O230" s="64">
        <f>sumifs(Dados!$N:$N,Dados!$B:$B,$B$230,Dados!$H:$H,$D$1,Dados!$G:$G,O4)</f>
        <v>0</v>
      </c>
      <c r="P230" s="64">
        <f>sumifs(Dados!$N:$N,Dados!$B:$B,$B$230,Dados!$H:$H,$D$1,Dados!$G:$G,P4)</f>
        <v>0</v>
      </c>
      <c r="Q230" s="64"/>
    </row>
    <row r="231" ht="15.75" customHeight="1">
      <c r="A231" s="74"/>
      <c r="B231" s="74" t="s">
        <v>222</v>
      </c>
      <c r="C231" s="60"/>
      <c r="D231" s="61">
        <f t="shared" si="59"/>
        <v>1100.09</v>
      </c>
      <c r="E231" s="64">
        <f>sumifs(Dados!$N:$N,Dados!$B:$B,$B$231,Dados!$H:$H,$D$1,Dados!$G:$G,E4)</f>
        <v>0</v>
      </c>
      <c r="F231" s="64">
        <f>sumifs(Dados!$N:$N,Dados!$B:$B,$B$231,Dados!$H:$H,$D$1,Dados!$G:$G,F4)</f>
        <v>0</v>
      </c>
      <c r="G231" s="64">
        <f>sumifs(Dados!$N:$N,Dados!$B:$B,$B$231,Dados!$H:$H,$D$1,Dados!$G:$G,G4)</f>
        <v>0</v>
      </c>
      <c r="H231" s="64">
        <f>sumifs(Dados!$N:$N,Dados!$B:$B,$B$231,Dados!$H:$H,$D$1,Dados!$G:$G,H4)</f>
        <v>0</v>
      </c>
      <c r="I231" s="64">
        <f>sumifs(Dados!$N:$N,Dados!$B:$B,$B$231,Dados!$H:$H,$D$1,Dados!$G:$G,I4)</f>
        <v>0</v>
      </c>
      <c r="J231" s="64">
        <f>sumifs(Dados!$N:$N,Dados!$B:$B,$B$231,Dados!$H:$H,$D$1,Dados!$G:$G,J4)</f>
        <v>0</v>
      </c>
      <c r="K231" s="64">
        <f>sumifs(Dados!$N:$N,Dados!$B:$B,$B$231,Dados!$H:$H,$D$1,Dados!$G:$G,K4)</f>
        <v>0</v>
      </c>
      <c r="L231" s="64">
        <f>sumifs(Dados!$N:$N,Dados!$B:$B,$B$231,Dados!$H:$H,$D$1,Dados!$G:$G,L4)</f>
        <v>1100.09</v>
      </c>
      <c r="M231" s="64">
        <f>sumifs(Dados!$N:$N,Dados!$B:$B,$B$231,Dados!$H:$H,$D$1,Dados!$G:$G,M4)</f>
        <v>0</v>
      </c>
      <c r="N231" s="64">
        <f>sumifs(Dados!$N:$N,Dados!$B:$B,$B$231,Dados!$H:$H,$D$1,Dados!$G:$G,N4)</f>
        <v>0</v>
      </c>
      <c r="O231" s="64">
        <f>sumifs(Dados!$N:$N,Dados!$B:$B,$B$231,Dados!$H:$H,$D$1,Dados!$G:$G,O4)</f>
        <v>0</v>
      </c>
      <c r="P231" s="64">
        <f>sumifs(Dados!$N:$N,Dados!$B:$B,$B$231,Dados!$H:$H,$D$1,Dados!$G:$G,P4)</f>
        <v>0</v>
      </c>
      <c r="Q231" s="64"/>
    </row>
    <row r="232" ht="15.75" customHeight="1">
      <c r="A232" s="74"/>
      <c r="B232" s="59" t="s">
        <v>993</v>
      </c>
      <c r="C232" s="60"/>
      <c r="D232" s="61">
        <f t="shared" si="59"/>
        <v>0</v>
      </c>
      <c r="E232" s="64">
        <f>sumifs(Dados!$N:$N,Dados!$B:$B,$B$232,Dados!$H:$H,$D$1,Dados!$G:$G,E4)</f>
        <v>0</v>
      </c>
      <c r="F232" s="64">
        <f>sumifs(Dados!$N:$N,Dados!$B:$B,$B$232,Dados!$H:$H,$D$1,Dados!$G:$G,F4)</f>
        <v>0</v>
      </c>
      <c r="G232" s="64">
        <f>sumifs(Dados!$N:$N,Dados!$B:$B,$B$232,Dados!$H:$H,$D$1,Dados!$G:$G,G4)</f>
        <v>0</v>
      </c>
      <c r="H232" s="64">
        <f>sumifs(Dados!$N:$N,Dados!$B:$B,$B$232,Dados!$H:$H,$D$1,Dados!$G:$G,H4)</f>
        <v>0</v>
      </c>
      <c r="I232" s="64">
        <f>sumifs(Dados!$N:$N,Dados!$B:$B,$B$232,Dados!$H:$H,$D$1,Dados!$G:$G,I4)</f>
        <v>0</v>
      </c>
      <c r="J232" s="64">
        <f>sumifs(Dados!$N:$N,Dados!$B:$B,$B$232,Dados!$H:$H,$D$1,Dados!$G:$G,J4)</f>
        <v>0</v>
      </c>
      <c r="K232" s="64">
        <f>sumifs(Dados!$N:$N,Dados!$B:$B,$B$232,Dados!$H:$H,$D$1,Dados!$G:$G,K4)</f>
        <v>0</v>
      </c>
      <c r="L232" s="64">
        <f>sumifs(Dados!$N:$N,Dados!$B:$B,$B$232,Dados!$H:$H,$D$1,Dados!$G:$G,L4)</f>
        <v>0</v>
      </c>
      <c r="M232" s="64">
        <f>sumifs(Dados!$N:$N,Dados!$B:$B,$B$232,Dados!$H:$H,$D$1,Dados!$G:$G,M4)</f>
        <v>0</v>
      </c>
      <c r="N232" s="64">
        <f>sumifs(Dados!$N:$N,Dados!$B:$B,$B$232,Dados!$H:$H,$D$1,Dados!$G:$G,N4)</f>
        <v>0</v>
      </c>
      <c r="O232" s="64">
        <f>sumifs(Dados!$N:$N,Dados!$B:$B,$B$232,Dados!$H:$H,$D$1,Dados!$G:$G,O4)</f>
        <v>0</v>
      </c>
      <c r="P232" s="64">
        <f>sumifs(Dados!$N:$N,Dados!$B:$B,$B$232,Dados!$H:$H,$D$1,Dados!$G:$G,P4)</f>
        <v>0</v>
      </c>
      <c r="Q232" s="64"/>
    </row>
    <row r="233" ht="15.75" customHeight="1">
      <c r="A233" s="74"/>
      <c r="B233" s="59" t="s">
        <v>1023</v>
      </c>
      <c r="C233" s="60"/>
      <c r="D233" s="61">
        <f t="shared" si="59"/>
        <v>0</v>
      </c>
      <c r="E233" s="64">
        <f>sumifs(Dados!$N:$N,Dados!$B:$B,$B$233,Dados!$H:$H,$D$1,Dados!$G:$G,E4)</f>
        <v>0</v>
      </c>
      <c r="F233" s="64">
        <f>sumifs(Dados!$N:$N,Dados!$B:$B,$B$233,Dados!$H:$H,$D$1,Dados!$G:$G,F4)</f>
        <v>0</v>
      </c>
      <c r="G233" s="64">
        <f>sumifs(Dados!$N:$N,Dados!$B:$B,$B$233,Dados!$H:$H,$D$1,Dados!$G:$G,G4)</f>
        <v>0</v>
      </c>
      <c r="H233" s="64">
        <f>sumifs(Dados!$N:$N,Dados!$B:$B,$B$233,Dados!$H:$H,$D$1,Dados!$G:$G,H4)</f>
        <v>0</v>
      </c>
      <c r="I233" s="64">
        <f>sumifs(Dados!$N:$N,Dados!$B:$B,$B$233,Dados!$H:$H,$D$1,Dados!$G:$G,I4)</f>
        <v>0</v>
      </c>
      <c r="J233" s="64">
        <f>sumifs(Dados!$N:$N,Dados!$B:$B,$B$233,Dados!$H:$H,$D$1,Dados!$G:$G,J4)</f>
        <v>0</v>
      </c>
      <c r="K233" s="64">
        <f>sumifs(Dados!$N:$N,Dados!$B:$B,$B$233,Dados!$H:$H,$D$1,Dados!$G:$G,K4)</f>
        <v>0</v>
      </c>
      <c r="L233" s="64">
        <f>sumifs(Dados!$N:$N,Dados!$B:$B,$B$233,Dados!$H:$H,$D$1,Dados!$G:$G,L4)</f>
        <v>0</v>
      </c>
      <c r="M233" s="64">
        <f>sumifs(Dados!$N:$N,Dados!$B:$B,$B$233,Dados!$H:$H,$D$1,Dados!$G:$G,M4)</f>
        <v>0</v>
      </c>
      <c r="N233" s="64">
        <f>sumifs(Dados!$N:$N,Dados!$B:$B,$B$233,Dados!$H:$H,$D$1,Dados!$G:$G,N4)</f>
        <v>0</v>
      </c>
      <c r="O233" s="64">
        <f>sumifs(Dados!$N:$N,Dados!$B:$B,$B$233,Dados!$H:$H,$D$1,Dados!$G:$G,O4)</f>
        <v>0</v>
      </c>
      <c r="P233" s="64">
        <f>sumifs(Dados!$N:$N,Dados!$B:$B,$B$233,Dados!$H:$H,$D$1,Dados!$G:$G,P4)</f>
        <v>0</v>
      </c>
      <c r="Q233" s="64"/>
    </row>
    <row r="234" ht="15.75" customHeight="1">
      <c r="A234" s="74"/>
      <c r="B234" s="59" t="s">
        <v>272</v>
      </c>
      <c r="C234" s="60"/>
      <c r="D234" s="61">
        <f t="shared" si="59"/>
        <v>45000</v>
      </c>
      <c r="E234" s="64">
        <f>sumifs(Dados!$N:$N,Dados!$B:$B,$B$234,Dados!$H:$H,$D$1,Dados!$G:$G,E4)</f>
        <v>10000</v>
      </c>
      <c r="F234" s="64">
        <f>sumifs(Dados!$N:$N,Dados!$B:$B,$B$234,Dados!$H:$H,$D$1,Dados!$G:$G,F4)</f>
        <v>20000</v>
      </c>
      <c r="G234" s="64">
        <f>sumifs(Dados!$N:$N,Dados!$B:$B,$B$234,Dados!$H:$H,$D$1,Dados!$G:$G,G4)</f>
        <v>0</v>
      </c>
      <c r="H234" s="64">
        <f>sumifs(Dados!$N:$N,Dados!$B:$B,$B$234,Dados!$H:$H,$D$1,Dados!$G:$G,H4)</f>
        <v>0</v>
      </c>
      <c r="I234" s="64">
        <f>sumifs(Dados!$N:$N,Dados!$B:$B,$B$234,Dados!$H:$H,$D$1,Dados!$G:$G,I4)</f>
        <v>5000</v>
      </c>
      <c r="J234" s="64">
        <f>sumifs(Dados!$N:$N,Dados!$B:$B,$B$234,Dados!$H:$H,$D$1,Dados!$G:$G,J4)</f>
        <v>5000</v>
      </c>
      <c r="K234" s="64">
        <f>sumifs(Dados!$N:$N,Dados!$B:$B,$B$234,Dados!$H:$H,$D$1,Dados!$G:$G,K4)</f>
        <v>0</v>
      </c>
      <c r="L234" s="64">
        <f>sumifs(Dados!$N:$N,Dados!$B:$B,$B$234,Dados!$H:$H,$D$1,Dados!$G:$G,L4)</f>
        <v>0</v>
      </c>
      <c r="M234" s="64">
        <f>sumifs(Dados!$N:$N,Dados!$B:$B,$B$234,Dados!$H:$H,$D$1,Dados!$G:$G,M4)</f>
        <v>5000</v>
      </c>
      <c r="N234" s="64">
        <f>sumifs(Dados!$N:$N,Dados!$B:$B,$B$234,Dados!$H:$H,$D$1,Dados!$G:$G,N4)</f>
        <v>0</v>
      </c>
      <c r="O234" s="64">
        <f>sumifs(Dados!$N:$N,Dados!$B:$B,$B$234,Dados!$H:$H,$D$1,Dados!$G:$G,O4)</f>
        <v>0</v>
      </c>
      <c r="P234" s="64">
        <f>sumifs(Dados!$N:$N,Dados!$B:$B,$B$234,Dados!$H:$H,$D$1,Dados!$G:$G,P4)</f>
        <v>0</v>
      </c>
      <c r="Q234" s="64"/>
    </row>
    <row r="235" ht="15.75" customHeight="1">
      <c r="A235" s="74"/>
      <c r="B235" s="59" t="s">
        <v>493</v>
      </c>
      <c r="C235" s="60"/>
      <c r="D235" s="61">
        <f t="shared" si="59"/>
        <v>2000</v>
      </c>
      <c r="E235" s="64">
        <f>sumifs(Dados!$N:$N,Dados!$B:$B,$B$235,Dados!$H:$H,$D$1,Dados!$G:$G,E4)</f>
        <v>0</v>
      </c>
      <c r="F235" s="64">
        <f>sumifs(Dados!$N:$N,Dados!$B:$B,$B$235,Dados!$H:$H,$D$1,Dados!$G:$G,F4)</f>
        <v>0</v>
      </c>
      <c r="G235" s="64">
        <f>sumifs(Dados!$N:$N,Dados!$B:$B,$B$235,Dados!$H:$H,$D$1,Dados!$G:$G,G4)</f>
        <v>2000</v>
      </c>
      <c r="H235" s="64">
        <f>sumifs(Dados!$N:$N,Dados!$B:$B,$B$235,Dados!$H:$H,$D$1,Dados!$G:$G,H4)</f>
        <v>0</v>
      </c>
      <c r="I235" s="64">
        <f>sumifs(Dados!$N:$N,Dados!$B:$B,$B$235,Dados!$H:$H,$D$1,Dados!$G:$G,I4)</f>
        <v>0</v>
      </c>
      <c r="J235" s="64">
        <f>sumifs(Dados!$N:$N,Dados!$B:$B,$B$235,Dados!$H:$H,$D$1,Dados!$G:$G,J4)</f>
        <v>0</v>
      </c>
      <c r="K235" s="64">
        <f>sumifs(Dados!$N:$N,Dados!$B:$B,$B$235,Dados!$H:$H,$D$1,Dados!$G:$G,K4)</f>
        <v>0</v>
      </c>
      <c r="L235" s="64">
        <f>sumifs(Dados!$N:$N,Dados!$B:$B,$B$235,Dados!$H:$H,$D$1,Dados!$G:$G,L4)</f>
        <v>0</v>
      </c>
      <c r="M235" s="64">
        <f>sumifs(Dados!$N:$N,Dados!$B:$B,$B$235,Dados!$H:$H,$D$1,Dados!$G:$G,M4)</f>
        <v>0</v>
      </c>
      <c r="N235" s="64">
        <f>sumifs(Dados!$N:$N,Dados!$B:$B,$B$235,Dados!$H:$H,$D$1,Dados!$G:$G,N4)</f>
        <v>0</v>
      </c>
      <c r="O235" s="64">
        <f>sumifs(Dados!$N:$N,Dados!$B:$B,$B$235,Dados!$H:$H,$D$1,Dados!$G:$G,O4)</f>
        <v>0</v>
      </c>
      <c r="P235" s="64">
        <f>sumifs(Dados!$N:$N,Dados!$B:$B,$B$235,Dados!$H:$H,$D$1,Dados!$G:$G,P4)</f>
        <v>0</v>
      </c>
      <c r="Q235" s="64"/>
    </row>
    <row r="236" ht="15.75" customHeight="1">
      <c r="A236" s="74"/>
      <c r="B236" s="59" t="s">
        <v>1113</v>
      </c>
      <c r="C236" s="60"/>
      <c r="D236" s="61">
        <f t="shared" si="59"/>
        <v>0</v>
      </c>
      <c r="E236" s="64">
        <f>sumifs(Dados!$N:$N,Dados!$B:$B,$B$236,Dados!$H:$H,$D$1,Dados!$G:$G,E4)</f>
        <v>0</v>
      </c>
      <c r="F236" s="64">
        <f>sumifs(Dados!$N:$N,Dados!$B:$B,$B$236,Dados!$H:$H,$D$1,Dados!$G:$G,F4)</f>
        <v>0</v>
      </c>
      <c r="G236" s="64">
        <f>sumifs(Dados!$N:$N,Dados!$B:$B,$B$236,Dados!$H:$H,$D$1,Dados!$G:$G,G4)</f>
        <v>0</v>
      </c>
      <c r="H236" s="64">
        <f>sumifs(Dados!$N:$N,Dados!$B:$B,$B$236,Dados!$H:$H,$D$1,Dados!$G:$G,H4)</f>
        <v>0</v>
      </c>
      <c r="I236" s="64">
        <f>sumifs(Dados!$N:$N,Dados!$B:$B,$B$236,Dados!$H:$H,$D$1,Dados!$G:$G,I4)</f>
        <v>0</v>
      </c>
      <c r="J236" s="64">
        <f>sumifs(Dados!$N:$N,Dados!$B:$B,$B$236,Dados!$H:$H,$D$1,Dados!$G:$G,J4)</f>
        <v>0</v>
      </c>
      <c r="K236" s="64">
        <f>sumifs(Dados!$N:$N,Dados!$B:$B,$B$236,Dados!$H:$H,$D$1,Dados!$G:$G,K4)</f>
        <v>0</v>
      </c>
      <c r="L236" s="64">
        <f>sumifs(Dados!$N:$N,Dados!$B:$B,$B$236,Dados!$H:$H,$D$1,Dados!$G:$G,L4)</f>
        <v>0</v>
      </c>
      <c r="M236" s="64">
        <f>sumifs(Dados!$N:$N,Dados!$B:$B,$B$236,Dados!$H:$H,$D$1,Dados!$G:$G,M4)</f>
        <v>0</v>
      </c>
      <c r="N236" s="64">
        <f>sumifs(Dados!$N:$N,Dados!$B:$B,$B$236,Dados!$H:$H,$D$1,Dados!$G:$G,N4)</f>
        <v>0</v>
      </c>
      <c r="O236" s="64">
        <f>sumifs(Dados!$N:$N,Dados!$B:$B,$B$236,Dados!$H:$H,$D$1,Dados!$G:$G,O4)</f>
        <v>0</v>
      </c>
      <c r="P236" s="64">
        <f>sumifs(Dados!$N:$N,Dados!$B:$B,$B$236,Dados!$H:$H,$D$1,Dados!$G:$G,P4)</f>
        <v>0</v>
      </c>
      <c r="Q236" s="64"/>
    </row>
    <row r="237" ht="15.75" customHeight="1">
      <c r="A237" s="88" t="s">
        <v>253</v>
      </c>
      <c r="B237" s="89">
        <f>sumifs(Dados!$N:$N,Dados!$A:$A,A237,Dados!$H:$H,$D$1)</f>
        <v>79210.18</v>
      </c>
      <c r="C237" s="90">
        <f>B237-D237</f>
        <v>0</v>
      </c>
      <c r="D237" s="89">
        <f t="shared" ref="D237:P237" si="60">SUM(D230:D236)</f>
        <v>79210.18</v>
      </c>
      <c r="E237" s="89">
        <f t="shared" si="60"/>
        <v>10000</v>
      </c>
      <c r="F237" s="89">
        <f t="shared" si="60"/>
        <v>20000</v>
      </c>
      <c r="G237" s="89">
        <f t="shared" si="60"/>
        <v>2000</v>
      </c>
      <c r="H237" s="89">
        <f t="shared" si="60"/>
        <v>0</v>
      </c>
      <c r="I237" s="89">
        <f t="shared" si="60"/>
        <v>6000</v>
      </c>
      <c r="J237" s="89">
        <f t="shared" si="60"/>
        <v>8000</v>
      </c>
      <c r="K237" s="89">
        <f t="shared" si="60"/>
        <v>8510</v>
      </c>
      <c r="L237" s="89">
        <f t="shared" si="60"/>
        <v>12700.18</v>
      </c>
      <c r="M237" s="89">
        <f t="shared" si="60"/>
        <v>12000</v>
      </c>
      <c r="N237" s="89">
        <f t="shared" si="60"/>
        <v>0</v>
      </c>
      <c r="O237" s="89">
        <f t="shared" si="60"/>
        <v>0</v>
      </c>
      <c r="P237" s="89">
        <f t="shared" si="60"/>
        <v>0</v>
      </c>
      <c r="Q237" s="89"/>
    </row>
    <row r="238" ht="15.75" customHeight="1">
      <c r="A238" s="58"/>
      <c r="B238" s="58" t="s">
        <v>51</v>
      </c>
      <c r="C238" s="60"/>
      <c r="D238" s="61">
        <f t="shared" ref="D238:D239" si="61">SUM(E238:P238)</f>
        <v>0</v>
      </c>
      <c r="E238" s="64">
        <f>sumifs(Dados!$N:$N,Dados!$B:$B,$B$238,Dados!$H:$H,$D$1,Dados!$G:$G,E4)</f>
        <v>0</v>
      </c>
      <c r="F238" s="64">
        <f>sumifs(Dados!$N:$N,Dados!$B:$B,$B$238,Dados!$H:$H,$D$1,Dados!$G:$G,F4)</f>
        <v>0</v>
      </c>
      <c r="G238" s="64">
        <f>sumifs(Dados!$N:$N,Dados!$B:$B,$B$238,Dados!$H:$H,$D$1,Dados!$G:$G,G4)</f>
        <v>0</v>
      </c>
      <c r="H238" s="64">
        <f>sumifs(Dados!$N:$N,Dados!$B:$B,$B$238,Dados!$H:$H,$D$1,Dados!$G:$G,H4)</f>
        <v>0</v>
      </c>
      <c r="I238" s="64">
        <f>sumifs(Dados!$N:$N,Dados!$B:$B,$B$238,Dados!$H:$H,$D$1,Dados!$G:$G,I4)</f>
        <v>0</v>
      </c>
      <c r="J238" s="64">
        <f>sumifs(Dados!$N:$N,Dados!$B:$B,$B$238,Dados!$H:$H,$D$1,Dados!$G:$G,J4)</f>
        <v>0</v>
      </c>
      <c r="K238" s="64">
        <f>sumifs(Dados!$N:$N,Dados!$B:$B,$B$238,Dados!$H:$H,$D$1,Dados!$G:$G,K4)</f>
        <v>0</v>
      </c>
      <c r="L238" s="64">
        <f>sumifs(Dados!$N:$N,Dados!$B:$B,$B$238,Dados!$H:$H,$D$1,Dados!$G:$G,L4)</f>
        <v>0</v>
      </c>
      <c r="M238" s="64">
        <f>sumifs(Dados!$N:$N,Dados!$B:$B,$B$238,Dados!$H:$H,$D$1,Dados!$G:$G,M4)</f>
        <v>0</v>
      </c>
      <c r="N238" s="64">
        <f>sumifs(Dados!$N:$N,Dados!$B:$B,$B$238,Dados!$H:$H,$D$1,Dados!$G:$G,N4)</f>
        <v>0</v>
      </c>
      <c r="O238" s="64">
        <f>sumifs(Dados!$N:$N,Dados!$B:$B,$B$238,Dados!$H:$H,$D$1,Dados!$G:$G,O4)</f>
        <v>0</v>
      </c>
      <c r="P238" s="64">
        <f>sumifs(Dados!$N:$N,Dados!$B:$B,$B$238,Dados!$H:$H,$D$1,Dados!$G:$G,P4)</f>
        <v>0</v>
      </c>
      <c r="Q238" s="64"/>
    </row>
    <row r="239" ht="15.75" customHeight="1">
      <c r="A239" s="58"/>
      <c r="B239" s="58" t="s">
        <v>108</v>
      </c>
      <c r="C239" s="60"/>
      <c r="D239" s="61">
        <f t="shared" si="61"/>
        <v>191.66</v>
      </c>
      <c r="E239" s="64">
        <f>sumifs(Dados!$N:$N,Dados!$B:$B,B239,Dados!$H:$H,$D$1,Dados!$G:$G,$E$4)</f>
        <v>0</v>
      </c>
      <c r="F239" s="64">
        <f>sumifs(Dados!$N:$N,Dados!$B:$B,B239,Dados!$H:$H,$D$1,Dados!$G:$G,$F$4)</f>
        <v>0</v>
      </c>
      <c r="G239" s="64">
        <f>sumifs(Dados!$N:$N,Dados!$B:$B,B239,Dados!$H:$H,$D$1,Dados!$G:$G,$G$4)</f>
        <v>0</v>
      </c>
      <c r="H239" s="64">
        <f>sumifs(Dados!$N:$N,Dados!$B:$B,B239,Dados!$H:$H,$D$1,Dados!$G:$G,$H$4)</f>
        <v>0</v>
      </c>
      <c r="I239" s="64">
        <f>sumifs(Dados!$N:$N,Dados!$B:$B,B239,Dados!$H:$H,$D$1,Dados!$G:$G,$I$4)</f>
        <v>0</v>
      </c>
      <c r="J239" s="64">
        <f>sumifs(Dados!$N:$N,Dados!$B:$B,B239,Dados!$H:$H,$D$1,Dados!$G:$G,$J$4)</f>
        <v>183.66</v>
      </c>
      <c r="K239" s="64">
        <f>sumifs(Dados!$N:$N,Dados!$B:$B,B239,Dados!$H:$H,$D$1,Dados!$G:$G,$K$4)</f>
        <v>0</v>
      </c>
      <c r="L239" s="64">
        <f>sumifs(Dados!$N:$N,Dados!$B:$B,B239,Dados!$H:$H,$D$1,Dados!$G:$G,$L$4)</f>
        <v>0</v>
      </c>
      <c r="M239" s="64">
        <f>sumifs(Dados!$N:$N,Dados!$B:$B,B239,Dados!$H:$H,$D$1,Dados!$G:$G,$M$4)</f>
        <v>8</v>
      </c>
      <c r="N239" s="64">
        <f>sumifs(Dados!$N:$N,Dados!$B:$B,B239,Dados!$H:$H,$D$1,Dados!$G:$G,$N$4)</f>
        <v>0</v>
      </c>
      <c r="O239" s="64">
        <f>sumifs(Dados!$N:$N,Dados!$B:$B,B239,Dados!$H:$H,$D$1,Dados!$G:$G,$O$4)</f>
        <v>0</v>
      </c>
      <c r="P239" s="64">
        <f>sumifs(Dados!$N:$N,Dados!$B:$B,B239,Dados!$H:$H,$D$1,Dados!$G:$G,$P$4)</f>
        <v>0</v>
      </c>
      <c r="Q239" s="64"/>
    </row>
    <row r="240" ht="15.75" customHeight="1">
      <c r="A240" s="88" t="s">
        <v>108</v>
      </c>
      <c r="B240" s="89">
        <f>sumifs(Dados!$N:$N,Dados!$A:$A,A240,Dados!$H:$H,$D$1)</f>
        <v>191.66</v>
      </c>
      <c r="C240" s="90">
        <f t="shared" ref="C240:C241" si="63">B240-D240</f>
        <v>0</v>
      </c>
      <c r="D240" s="89">
        <f t="shared" ref="D240:P240" si="62">SUM(D238:D239)</f>
        <v>191.66</v>
      </c>
      <c r="E240" s="89">
        <f t="shared" si="62"/>
        <v>0</v>
      </c>
      <c r="F240" s="89">
        <f t="shared" si="62"/>
        <v>0</v>
      </c>
      <c r="G240" s="89">
        <f t="shared" si="62"/>
        <v>0</v>
      </c>
      <c r="H240" s="89">
        <f t="shared" si="62"/>
        <v>0</v>
      </c>
      <c r="I240" s="89">
        <f t="shared" si="62"/>
        <v>0</v>
      </c>
      <c r="J240" s="89">
        <f t="shared" si="62"/>
        <v>183.66</v>
      </c>
      <c r="K240" s="89">
        <f t="shared" si="62"/>
        <v>0</v>
      </c>
      <c r="L240" s="89">
        <f t="shared" si="62"/>
        <v>0</v>
      </c>
      <c r="M240" s="89">
        <f t="shared" si="62"/>
        <v>8</v>
      </c>
      <c r="N240" s="89">
        <f t="shared" si="62"/>
        <v>0</v>
      </c>
      <c r="O240" s="89">
        <f t="shared" si="62"/>
        <v>0</v>
      </c>
      <c r="P240" s="89">
        <f t="shared" si="62"/>
        <v>0</v>
      </c>
      <c r="Q240" s="89"/>
    </row>
    <row r="241" ht="15.75" customHeight="1">
      <c r="A241" s="88" t="s">
        <v>1033</v>
      </c>
      <c r="B241" s="89">
        <f>sumifs(Dados!$N:$N,Dados!$A:$A,A241,Dados!$H:$H,$D$1)</f>
        <v>3.97</v>
      </c>
      <c r="C241" s="90">
        <f t="shared" si="63"/>
        <v>0</v>
      </c>
      <c r="D241" s="89">
        <f>SUM(E241:P241)</f>
        <v>3.97</v>
      </c>
      <c r="E241" s="89">
        <f>sumifs(Dados!$N:$N,Dados!$B:$B,A241,Dados!$H:$H,$D$1,Dados!$G:$G,$E$4)</f>
        <v>0</v>
      </c>
      <c r="F241" s="89">
        <f>sumifs(Dados!$N:$N,Dados!$B:$B,A241,Dados!$H:$H,$D$1,Dados!$G:$G,$F$4)</f>
        <v>0</v>
      </c>
      <c r="G241" s="89">
        <f>sumifs(Dados!$N:$N,Dados!$B:$B,A241,Dados!$H:$H,$D$1,Dados!$G:$G,$G$4)</f>
        <v>0</v>
      </c>
      <c r="H241" s="89">
        <f>sumifs(Dados!$N:$N,Dados!$B:$B,A241,Dados!$H:$H,$D$1,Dados!$G:$G,$H$4)</f>
        <v>0</v>
      </c>
      <c r="I241" s="89">
        <f>sumifs(Dados!$N:$N,Dados!$B:$B,A241,Dados!$H:$H,$D$1,Dados!$G:$G,$I$4)</f>
        <v>0</v>
      </c>
      <c r="J241" s="89">
        <f>sumifs(Dados!$N:$N,Dados!$B:$B,A241,Dados!$H:$H,$D$1,Dados!$G:$G,$J$4)</f>
        <v>0</v>
      </c>
      <c r="K241" s="89">
        <f>sumifs(Dados!$N:$N,Dados!$B:$B,A241,Dados!$H:$H,$D$1,Dados!$G:$G,$K$4)</f>
        <v>0</v>
      </c>
      <c r="L241" s="89">
        <f>sumifs(Dados!$N:$N,Dados!$B:$B,A241,Dados!$H:$H,$D$1,Dados!$G:$G,$L$4)</f>
        <v>0</v>
      </c>
      <c r="M241" s="89">
        <f>sumifs(Dados!$N:$N,Dados!$B:$B,A241,Dados!$H:$H,$D$1,Dados!$G:$G,$M$4)</f>
        <v>3.97</v>
      </c>
      <c r="N241" s="89">
        <f>sumifs(Dados!$N:$N,Dados!$B:$B,A241,Dados!$H:$H,$D$1,Dados!$G:$G,$N$4)</f>
        <v>0</v>
      </c>
      <c r="O241" s="89">
        <f>sumifs(Dados!$N:$N,Dados!$B:$B,A241,Dados!$H:$H,$D$1,Dados!$G:$G,$O$4)</f>
        <v>0</v>
      </c>
      <c r="P241" s="89">
        <f>sumifs(Dados!$N:$N,Dados!$B:$B,A241,Dados!$H:$H,$D$1,Dados!$G:$G,$P$4)</f>
        <v>0</v>
      </c>
      <c r="Q241" s="89"/>
    </row>
    <row r="242" ht="15.75" customHeight="1">
      <c r="A242" s="168" t="s">
        <v>1149</v>
      </c>
      <c r="B242" s="251">
        <f>D229+D237+D240+D241</f>
        <v>118028.47</v>
      </c>
      <c r="C242" s="251"/>
      <c r="D242" s="251"/>
      <c r="E242" s="251">
        <f t="shared" ref="E242:P242" si="64">E229+E237+E240</f>
        <v>11771.23</v>
      </c>
      <c r="F242" s="251">
        <f t="shared" si="64"/>
        <v>36391.4</v>
      </c>
      <c r="G242" s="251">
        <f t="shared" si="64"/>
        <v>5855.94</v>
      </c>
      <c r="H242" s="251">
        <f t="shared" si="64"/>
        <v>939.7</v>
      </c>
      <c r="I242" s="251">
        <f t="shared" si="64"/>
        <v>8243.34</v>
      </c>
      <c r="J242" s="251">
        <f t="shared" si="64"/>
        <v>13791.76</v>
      </c>
      <c r="K242" s="251">
        <f t="shared" si="64"/>
        <v>12460.45</v>
      </c>
      <c r="L242" s="251">
        <f t="shared" si="64"/>
        <v>13643.68</v>
      </c>
      <c r="M242" s="251">
        <f t="shared" si="64"/>
        <v>14927</v>
      </c>
      <c r="N242" s="251">
        <f t="shared" si="64"/>
        <v>0</v>
      </c>
      <c r="O242" s="251">
        <f t="shared" si="64"/>
        <v>0</v>
      </c>
      <c r="P242" s="251">
        <f t="shared" si="64"/>
        <v>0</v>
      </c>
      <c r="Q242" s="256"/>
    </row>
    <row r="243" ht="15.75" customHeight="1">
      <c r="A243" s="312" t="s">
        <v>35</v>
      </c>
      <c r="B243" s="313">
        <f>B242+B222+B137</f>
        <v>271739.52</v>
      </c>
      <c r="C243" s="251"/>
      <c r="D243" s="313">
        <f t="shared" ref="D243:P243" si="65">D242+D222+D137</f>
        <v>82448.42</v>
      </c>
      <c r="E243" s="313">
        <f t="shared" si="65"/>
        <v>20612.93</v>
      </c>
      <c r="F243" s="313">
        <f t="shared" si="65"/>
        <v>66826.77</v>
      </c>
      <c r="G243" s="313">
        <f t="shared" si="65"/>
        <v>16968.3</v>
      </c>
      <c r="H243" s="313">
        <f t="shared" si="65"/>
        <v>14583.33</v>
      </c>
      <c r="I243" s="313">
        <f t="shared" si="65"/>
        <v>21500.68</v>
      </c>
      <c r="J243" s="313">
        <f t="shared" si="65"/>
        <v>33168.97</v>
      </c>
      <c r="K243" s="313">
        <f t="shared" si="65"/>
        <v>28840.72</v>
      </c>
      <c r="L243" s="313">
        <f t="shared" si="65"/>
        <v>36229.87</v>
      </c>
      <c r="M243" s="313">
        <f t="shared" si="65"/>
        <v>25310.93</v>
      </c>
      <c r="N243" s="313">
        <f t="shared" si="65"/>
        <v>7693.05</v>
      </c>
      <c r="O243" s="313">
        <f t="shared" si="65"/>
        <v>0</v>
      </c>
      <c r="P243" s="313">
        <f t="shared" si="65"/>
        <v>0</v>
      </c>
      <c r="Q243" s="313"/>
      <c r="R243" s="314"/>
      <c r="S243" s="314"/>
      <c r="T243" s="314"/>
      <c r="U243" s="314"/>
      <c r="V243" s="314"/>
      <c r="W243" s="314"/>
      <c r="X243" s="314"/>
      <c r="Y243" s="314"/>
      <c r="Z243" s="314"/>
      <c r="AA243" s="314"/>
    </row>
    <row r="244" ht="15.75" customHeight="1">
      <c r="A244" s="312" t="s">
        <v>1150</v>
      </c>
      <c r="B244" s="313">
        <f>B243-B237</f>
        <v>192529.34</v>
      </c>
      <c r="C244" s="313"/>
      <c r="D244" s="313">
        <f t="shared" ref="D244:P244" si="66">D243-D237</f>
        <v>3238.24</v>
      </c>
      <c r="E244" s="313">
        <f t="shared" si="66"/>
        <v>10612.93</v>
      </c>
      <c r="F244" s="313">
        <f t="shared" si="66"/>
        <v>46826.77</v>
      </c>
      <c r="G244" s="313">
        <f t="shared" si="66"/>
        <v>14968.3</v>
      </c>
      <c r="H244" s="313">
        <f t="shared" si="66"/>
        <v>14583.33</v>
      </c>
      <c r="I244" s="313">
        <f t="shared" si="66"/>
        <v>15500.68</v>
      </c>
      <c r="J244" s="313">
        <f t="shared" si="66"/>
        <v>25168.97</v>
      </c>
      <c r="K244" s="313">
        <f t="shared" si="66"/>
        <v>20330.72</v>
      </c>
      <c r="L244" s="313">
        <f t="shared" si="66"/>
        <v>23529.69</v>
      </c>
      <c r="M244" s="313">
        <f t="shared" si="66"/>
        <v>13310.93</v>
      </c>
      <c r="N244" s="313">
        <f t="shared" si="66"/>
        <v>7693.05</v>
      </c>
      <c r="O244" s="313">
        <f t="shared" si="66"/>
        <v>0</v>
      </c>
      <c r="P244" s="313">
        <f t="shared" si="66"/>
        <v>0</v>
      </c>
      <c r="Q244" s="313"/>
      <c r="R244" s="314"/>
      <c r="S244" s="314"/>
      <c r="T244" s="314"/>
      <c r="U244" s="314"/>
      <c r="V244" s="314"/>
      <c r="W244" s="314"/>
      <c r="X244" s="314"/>
      <c r="Y244" s="314"/>
      <c r="Z244" s="314"/>
      <c r="AA244" s="314"/>
    </row>
    <row r="245" ht="15.75" customHeight="1">
      <c r="A245" s="320" t="s">
        <v>1151</v>
      </c>
      <c r="B245" s="89">
        <f>sumifs(Dados!$N:$N,Dados!$H:$H,$D$1)</f>
        <v>271739.52</v>
      </c>
      <c r="C245" s="322"/>
      <c r="D245" s="323"/>
      <c r="E245" s="89">
        <f>sumifs(Dados!$N:$N,Dados!$H:$H,$D$1,Dados!$G:$G,E4)</f>
        <v>20612.93</v>
      </c>
      <c r="F245" s="89">
        <f>sumifs(Dados!$N:$N,Dados!$H:$H,$D$1,Dados!$G:$G,F4)</f>
        <v>66826.77</v>
      </c>
      <c r="G245" s="89">
        <f>sumifs(Dados!$N:$N,Dados!$H:$H,$D$1,Dados!$G:$G,G4)</f>
        <v>16968.3</v>
      </c>
      <c r="H245" s="89">
        <f>sumifs(Dados!$N:$N,Dados!$H:$H,$D$1,Dados!$G:$G,H4)</f>
        <v>14583.33</v>
      </c>
      <c r="I245" s="89">
        <f>sumifs(Dados!$N:$N,Dados!$H:$H,$D$1,Dados!$G:$G,I4)</f>
        <v>21500.68</v>
      </c>
      <c r="J245" s="89">
        <f>sumifs(Dados!$N:$N,Dados!$H:$H,$D$1,Dados!$G:$G,J4)</f>
        <v>33168.97</v>
      </c>
      <c r="K245" s="89">
        <f>sumifs(Dados!$N:$N,Dados!$H:$H,$D$1,Dados!$G:$G,K4)</f>
        <v>28840.72</v>
      </c>
      <c r="L245" s="89">
        <f>sumifs(Dados!$N:$N,Dados!$H:$H,$D$1,Dados!$G:$G,L4)</f>
        <v>36349.87</v>
      </c>
      <c r="M245" s="89">
        <f>sumifs(Dados!$N:$N,Dados!$H:$H,$D$1,Dados!$G:$G,M4)</f>
        <v>25194.9</v>
      </c>
      <c r="N245" s="89">
        <f>sumifs(Dados!$N:$N,Dados!$H:$H,$D$1,Dados!$G:$G,N4)</f>
        <v>7693.05</v>
      </c>
      <c r="O245" s="89">
        <f>sumifs(Dados!$N:$N,Dados!$H:$H,$D$1,Dados!$G:$G,O4)</f>
        <v>0</v>
      </c>
      <c r="P245" s="89">
        <f>sumifs(Dados!$N:$N,Dados!$H:$H,$D$1,Dados!$G:$G,P4)</f>
        <v>0</v>
      </c>
      <c r="Q245" s="323"/>
    </row>
    <row r="246" ht="15.75" customHeight="1">
      <c r="A246" s="320" t="s">
        <v>284</v>
      </c>
      <c r="B246" s="89">
        <f>B243-B245</f>
        <v>0</v>
      </c>
      <c r="C246" s="90"/>
      <c r="D246" s="89"/>
      <c r="E246" s="89">
        <f t="shared" ref="E246:P246" si="67">E243-E245</f>
        <v>0</v>
      </c>
      <c r="F246" s="89">
        <f t="shared" si="67"/>
        <v>0</v>
      </c>
      <c r="G246" s="89">
        <f t="shared" si="67"/>
        <v>0</v>
      </c>
      <c r="H246" s="89">
        <f t="shared" si="67"/>
        <v>0</v>
      </c>
      <c r="I246" s="89">
        <f t="shared" si="67"/>
        <v>0</v>
      </c>
      <c r="J246" s="89">
        <f t="shared" si="67"/>
        <v>0</v>
      </c>
      <c r="K246" s="89">
        <f t="shared" si="67"/>
        <v>0</v>
      </c>
      <c r="L246" s="89">
        <f t="shared" si="67"/>
        <v>-120</v>
      </c>
      <c r="M246" s="89">
        <f t="shared" si="67"/>
        <v>116.03</v>
      </c>
      <c r="N246" s="89">
        <f t="shared" si="67"/>
        <v>0</v>
      </c>
      <c r="O246" s="89">
        <f t="shared" si="67"/>
        <v>0</v>
      </c>
      <c r="P246" s="89">
        <f t="shared" si="67"/>
        <v>0</v>
      </c>
      <c r="Q246" s="323"/>
    </row>
    <row r="247" ht="15.75" customHeight="1">
      <c r="C247" s="328"/>
    </row>
    <row r="248" ht="15.75" customHeight="1">
      <c r="C248" s="328"/>
    </row>
    <row r="249" ht="15.75" customHeight="1">
      <c r="C249" s="328"/>
    </row>
    <row r="250" ht="15.75" customHeight="1">
      <c r="C250" s="328"/>
    </row>
    <row r="251" ht="15.75" customHeight="1">
      <c r="C251" s="328"/>
    </row>
    <row r="252" ht="15.75" customHeight="1">
      <c r="C252" s="328"/>
    </row>
    <row r="253" ht="15.75" customHeight="1">
      <c r="C253" s="328"/>
    </row>
    <row r="254" ht="15.75" customHeight="1">
      <c r="C254" s="328"/>
    </row>
    <row r="255" ht="15.75" customHeight="1">
      <c r="C255" s="328"/>
    </row>
    <row r="256" ht="15.75" customHeight="1">
      <c r="C256" s="328"/>
    </row>
    <row r="257" ht="15.75" customHeight="1">
      <c r="C257" s="328"/>
    </row>
    <row r="258" ht="15.75" customHeight="1">
      <c r="C258" s="328"/>
    </row>
    <row r="259" ht="15.75" customHeight="1">
      <c r="C259" s="328"/>
    </row>
    <row r="260" ht="15.75" customHeight="1">
      <c r="C260" s="328"/>
    </row>
    <row r="261" ht="15.75" customHeight="1">
      <c r="C261" s="328"/>
    </row>
    <row r="262" ht="15.75" customHeight="1">
      <c r="C262" s="328"/>
    </row>
    <row r="263" ht="15.75" customHeight="1">
      <c r="C263" s="328"/>
    </row>
    <row r="264" ht="15.75" customHeight="1">
      <c r="C264" s="328"/>
    </row>
    <row r="265" ht="15.75" customHeight="1">
      <c r="C265" s="328"/>
    </row>
    <row r="266" ht="15.75" customHeight="1">
      <c r="C266" s="328"/>
    </row>
    <row r="267" ht="15.75" customHeight="1">
      <c r="C267" s="328"/>
    </row>
    <row r="268" ht="15.75" customHeight="1">
      <c r="C268" s="328"/>
    </row>
    <row r="269" ht="15.75" customHeight="1">
      <c r="C269" s="328"/>
    </row>
    <row r="270" ht="15.75" customHeight="1">
      <c r="C270" s="328"/>
    </row>
    <row r="271" ht="15.75" customHeight="1">
      <c r="C271" s="328"/>
    </row>
    <row r="272" ht="15.75" customHeight="1">
      <c r="C272" s="328"/>
    </row>
    <row r="273" ht="15.75" customHeight="1">
      <c r="C273" s="328"/>
    </row>
    <row r="274" ht="15.75" customHeight="1">
      <c r="C274" s="60"/>
      <c r="D274" s="61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</row>
    <row r="275" ht="15.75" customHeight="1">
      <c r="C275" s="60"/>
      <c r="D275" s="61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</row>
    <row r="276" ht="15.75" customHeight="1">
      <c r="C276" s="60"/>
      <c r="D276" s="61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</row>
    <row r="277" ht="15.75" customHeight="1">
      <c r="C277" s="60"/>
      <c r="D277" s="61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</row>
    <row r="278" ht="15.75" customHeight="1">
      <c r="C278" s="60"/>
      <c r="D278" s="61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</row>
    <row r="279" ht="15.75" customHeight="1">
      <c r="A279" s="28"/>
      <c r="B279" s="28"/>
      <c r="C279" s="329"/>
      <c r="D279" s="299"/>
      <c r="E279" s="28"/>
      <c r="F279" s="28"/>
      <c r="G279" s="28"/>
      <c r="H279" s="28"/>
      <c r="I279" s="28"/>
      <c r="J279" s="28"/>
    </row>
    <row r="280" ht="15.75" customHeight="1">
      <c r="A280" s="28"/>
      <c r="B280" s="28"/>
      <c r="C280" s="329"/>
      <c r="D280" s="299"/>
      <c r="E280" s="28"/>
      <c r="F280" s="28"/>
      <c r="G280" s="28"/>
      <c r="H280" s="28"/>
      <c r="I280" s="28"/>
      <c r="J280" s="28"/>
    </row>
    <row r="281" ht="15.75" customHeight="1">
      <c r="A281" s="28"/>
      <c r="B281" s="28"/>
      <c r="C281" s="329"/>
      <c r="D281" s="299"/>
      <c r="E281" s="28"/>
      <c r="F281" s="28"/>
      <c r="G281" s="28"/>
      <c r="H281" s="28"/>
      <c r="I281" s="28"/>
      <c r="J281" s="28"/>
    </row>
    <row r="282" ht="15.75" customHeight="1">
      <c r="A282" s="28"/>
      <c r="B282" s="28"/>
      <c r="C282" s="329"/>
      <c r="D282" s="299"/>
      <c r="E282" s="28"/>
      <c r="F282" s="28"/>
      <c r="G282" s="28"/>
      <c r="H282" s="28"/>
      <c r="I282" s="28"/>
      <c r="J282" s="28"/>
    </row>
    <row r="283" ht="15.75" customHeight="1">
      <c r="A283" s="28"/>
      <c r="B283" s="28"/>
      <c r="C283" s="329"/>
      <c r="D283" s="299"/>
      <c r="E283" s="28"/>
      <c r="F283" s="28"/>
      <c r="G283" s="28"/>
      <c r="H283" s="28"/>
      <c r="I283" s="28"/>
      <c r="J283" s="28"/>
    </row>
    <row r="284" ht="15.75" customHeight="1">
      <c r="A284" s="28"/>
      <c r="B284" s="28"/>
      <c r="C284" s="329"/>
      <c r="D284" s="299"/>
      <c r="E284" s="28"/>
      <c r="F284" s="28"/>
      <c r="G284" s="28"/>
      <c r="H284" s="28"/>
      <c r="I284" s="28"/>
      <c r="J284" s="28"/>
    </row>
    <row r="285" ht="15.75" customHeight="1">
      <c r="A285" s="28"/>
      <c r="B285" s="28"/>
      <c r="C285" s="329"/>
      <c r="D285" s="299"/>
      <c r="E285" s="28"/>
      <c r="F285" s="28"/>
      <c r="G285" s="28"/>
      <c r="H285" s="28"/>
      <c r="I285" s="28"/>
      <c r="J285" s="28"/>
    </row>
    <row r="286" ht="15.75" customHeight="1">
      <c r="A286" s="28"/>
      <c r="B286" s="28"/>
      <c r="C286" s="329"/>
      <c r="D286" s="299"/>
      <c r="E286" s="28"/>
      <c r="F286" s="28"/>
      <c r="G286" s="28"/>
      <c r="H286" s="28"/>
      <c r="I286" s="28"/>
      <c r="J286" s="28"/>
    </row>
    <row r="287" ht="15.75" customHeight="1">
      <c r="A287" s="28"/>
      <c r="B287" s="28"/>
      <c r="C287" s="329"/>
      <c r="D287" s="299"/>
      <c r="E287" s="28"/>
      <c r="F287" s="28"/>
      <c r="G287" s="28"/>
      <c r="H287" s="28"/>
      <c r="I287" s="28"/>
      <c r="J287" s="28"/>
    </row>
    <row r="288" ht="15.75" customHeight="1">
      <c r="A288" s="28"/>
      <c r="B288" s="28"/>
      <c r="C288" s="329"/>
      <c r="D288" s="299"/>
      <c r="E288" s="28"/>
      <c r="F288" s="28"/>
      <c r="G288" s="28"/>
      <c r="H288" s="28"/>
      <c r="I288" s="28"/>
      <c r="J288" s="28"/>
    </row>
    <row r="289" ht="15.75" customHeight="1">
      <c r="A289" s="28"/>
      <c r="B289" s="28"/>
      <c r="C289" s="329"/>
      <c r="D289" s="299"/>
      <c r="E289" s="28"/>
      <c r="F289" s="28"/>
      <c r="G289" s="28"/>
      <c r="H289" s="28"/>
      <c r="I289" s="28"/>
      <c r="J289" s="28"/>
    </row>
    <row r="290" ht="15.75" customHeight="1">
      <c r="A290" s="28"/>
      <c r="B290" s="28"/>
      <c r="C290" s="329"/>
      <c r="D290" s="299"/>
      <c r="E290" s="28"/>
      <c r="F290" s="28"/>
      <c r="G290" s="28"/>
      <c r="H290" s="28"/>
      <c r="I290" s="28"/>
      <c r="J290" s="28"/>
    </row>
    <row r="291" ht="15.75" customHeight="1">
      <c r="A291" s="28"/>
      <c r="B291" s="28"/>
      <c r="C291" s="329"/>
      <c r="D291" s="299"/>
      <c r="E291" s="28"/>
      <c r="F291" s="28"/>
      <c r="G291" s="28"/>
      <c r="H291" s="28"/>
      <c r="I291" s="28"/>
      <c r="J291" s="28"/>
    </row>
    <row r="292" ht="15.75" customHeight="1">
      <c r="A292" s="28"/>
      <c r="B292" s="28"/>
      <c r="C292" s="329"/>
      <c r="D292" s="299"/>
      <c r="E292" s="28"/>
      <c r="F292" s="28"/>
      <c r="G292" s="28"/>
      <c r="H292" s="28"/>
      <c r="I292" s="28"/>
      <c r="J292" s="28"/>
    </row>
    <row r="293" ht="15.75" customHeight="1">
      <c r="A293" s="28"/>
      <c r="B293" s="28"/>
      <c r="C293" s="329"/>
      <c r="D293" s="299"/>
      <c r="E293" s="28"/>
      <c r="F293" s="28"/>
      <c r="G293" s="28"/>
      <c r="H293" s="28"/>
      <c r="I293" s="28"/>
      <c r="J293" s="28"/>
    </row>
    <row r="294" ht="15.75" customHeight="1">
      <c r="A294" s="28"/>
      <c r="B294" s="28"/>
      <c r="C294" s="329"/>
      <c r="D294" s="299"/>
      <c r="E294" s="28"/>
      <c r="F294" s="28"/>
      <c r="G294" s="28"/>
      <c r="H294" s="28"/>
      <c r="I294" s="28"/>
      <c r="J294" s="28"/>
    </row>
    <row r="295" ht="15.75" customHeight="1">
      <c r="A295" s="28"/>
      <c r="B295" s="28"/>
      <c r="C295" s="329"/>
      <c r="D295" s="299"/>
      <c r="E295" s="28"/>
      <c r="F295" s="28"/>
      <c r="G295" s="28"/>
      <c r="H295" s="28"/>
      <c r="I295" s="28"/>
      <c r="J295" s="28"/>
    </row>
    <row r="296" ht="15.75" customHeight="1">
      <c r="A296" s="28"/>
      <c r="B296" s="28"/>
      <c r="C296" s="329"/>
      <c r="D296" s="299"/>
      <c r="E296" s="28"/>
      <c r="F296" s="28"/>
      <c r="G296" s="28"/>
      <c r="H296" s="28"/>
      <c r="I296" s="28"/>
      <c r="J296" s="28"/>
    </row>
    <row r="297" ht="15.75" customHeight="1">
      <c r="A297" s="28"/>
      <c r="B297" s="28"/>
      <c r="C297" s="329"/>
      <c r="D297" s="299"/>
      <c r="E297" s="28"/>
      <c r="F297" s="28"/>
      <c r="G297" s="28"/>
      <c r="H297" s="28"/>
      <c r="I297" s="28"/>
      <c r="J297" s="28"/>
    </row>
    <row r="298" ht="15.75" customHeight="1">
      <c r="A298" s="28"/>
      <c r="B298" s="28"/>
      <c r="C298" s="329"/>
      <c r="D298" s="299"/>
      <c r="E298" s="28"/>
      <c r="F298" s="28"/>
      <c r="G298" s="28"/>
      <c r="H298" s="28"/>
      <c r="I298" s="28"/>
      <c r="J298" s="28"/>
    </row>
    <row r="299" ht="15.75" customHeight="1">
      <c r="A299" s="28"/>
      <c r="B299" s="28"/>
      <c r="C299" s="329"/>
      <c r="D299" s="299"/>
      <c r="E299" s="28"/>
      <c r="F299" s="28"/>
      <c r="G299" s="28"/>
      <c r="H299" s="28"/>
      <c r="I299" s="28"/>
      <c r="J299" s="28"/>
    </row>
    <row r="300" ht="15.75" customHeight="1">
      <c r="A300" s="28"/>
      <c r="B300" s="28"/>
      <c r="C300" s="329"/>
      <c r="D300" s="299"/>
      <c r="E300" s="28"/>
      <c r="F300" s="28"/>
      <c r="G300" s="28"/>
      <c r="H300" s="28"/>
      <c r="I300" s="28"/>
      <c r="J300" s="28"/>
    </row>
    <row r="301" ht="15.75" customHeight="1">
      <c r="A301" s="28"/>
      <c r="B301" s="28"/>
      <c r="C301" s="329"/>
      <c r="D301" s="299"/>
      <c r="E301" s="28"/>
      <c r="F301" s="28"/>
      <c r="G301" s="28"/>
      <c r="H301" s="28"/>
      <c r="I301" s="28"/>
      <c r="J301" s="28"/>
    </row>
    <row r="302" ht="15.75" customHeight="1">
      <c r="A302" s="28"/>
      <c r="B302" s="28"/>
      <c r="C302" s="329"/>
      <c r="D302" s="299"/>
      <c r="E302" s="28"/>
      <c r="F302" s="28"/>
      <c r="G302" s="28"/>
      <c r="H302" s="28"/>
      <c r="I302" s="28"/>
      <c r="J302" s="28"/>
    </row>
    <row r="303" ht="15.75" customHeight="1">
      <c r="A303" s="28"/>
      <c r="B303" s="28"/>
      <c r="C303" s="329"/>
      <c r="D303" s="299"/>
      <c r="E303" s="28"/>
      <c r="F303" s="28"/>
      <c r="G303" s="28"/>
      <c r="H303" s="28"/>
      <c r="I303" s="28"/>
      <c r="J303" s="28"/>
    </row>
    <row r="304" ht="15.75" customHeight="1">
      <c r="A304" s="28"/>
      <c r="B304" s="28"/>
      <c r="C304" s="329"/>
      <c r="D304" s="299"/>
      <c r="E304" s="28"/>
      <c r="F304" s="28"/>
      <c r="G304" s="28"/>
      <c r="H304" s="28"/>
      <c r="I304" s="28"/>
      <c r="J304" s="28"/>
    </row>
    <row r="305" ht="15.75" customHeight="1">
      <c r="A305" s="28"/>
      <c r="B305" s="28"/>
      <c r="C305" s="329"/>
      <c r="D305" s="299"/>
      <c r="E305" s="28"/>
      <c r="F305" s="28"/>
      <c r="G305" s="28"/>
      <c r="H305" s="28"/>
      <c r="I305" s="28"/>
      <c r="J305" s="28"/>
    </row>
    <row r="306" ht="15.75" customHeight="1">
      <c r="A306" s="28"/>
      <c r="B306" s="28"/>
      <c r="C306" s="329"/>
      <c r="D306" s="299"/>
      <c r="E306" s="28"/>
      <c r="F306" s="28"/>
      <c r="G306" s="28"/>
      <c r="H306" s="28"/>
      <c r="I306" s="28"/>
      <c r="J306" s="28"/>
    </row>
    <row r="307" ht="15.75" customHeight="1">
      <c r="A307" s="28"/>
      <c r="B307" s="28"/>
      <c r="C307" s="329"/>
      <c r="D307" s="299"/>
      <c r="E307" s="28"/>
      <c r="F307" s="28"/>
      <c r="G307" s="28"/>
      <c r="H307" s="28"/>
      <c r="I307" s="28"/>
      <c r="J307" s="28"/>
    </row>
    <row r="308" ht="15.75" customHeight="1">
      <c r="A308" s="28"/>
      <c r="B308" s="28"/>
      <c r="C308" s="329"/>
      <c r="D308" s="299"/>
      <c r="E308" s="28"/>
      <c r="F308" s="28"/>
      <c r="G308" s="28"/>
      <c r="H308" s="28"/>
      <c r="I308" s="28"/>
      <c r="J308" s="28"/>
    </row>
    <row r="309" ht="15.75" customHeight="1">
      <c r="A309" s="28"/>
      <c r="B309" s="28"/>
      <c r="C309" s="329"/>
      <c r="D309" s="299"/>
      <c r="E309" s="28"/>
      <c r="F309" s="28"/>
      <c r="G309" s="28"/>
      <c r="H309" s="28"/>
      <c r="I309" s="28"/>
      <c r="J309" s="28"/>
    </row>
    <row r="310" ht="15.75" customHeight="1">
      <c r="A310" s="28"/>
      <c r="B310" s="28"/>
      <c r="C310" s="329"/>
      <c r="D310" s="299"/>
      <c r="E310" s="28"/>
      <c r="F310" s="28"/>
      <c r="G310" s="28"/>
      <c r="H310" s="28"/>
      <c r="I310" s="28"/>
      <c r="J310" s="28"/>
    </row>
    <row r="311" ht="15.75" customHeight="1">
      <c r="A311" s="28"/>
      <c r="B311" s="28"/>
      <c r="C311" s="329"/>
      <c r="D311" s="299"/>
      <c r="E311" s="28"/>
      <c r="F311" s="28"/>
      <c r="G311" s="28"/>
      <c r="H311" s="28"/>
      <c r="I311" s="28"/>
      <c r="J311" s="28"/>
    </row>
    <row r="312" ht="15.75" customHeight="1">
      <c r="A312" s="28"/>
      <c r="B312" s="28"/>
      <c r="C312" s="329"/>
      <c r="D312" s="299"/>
      <c r="E312" s="28"/>
      <c r="F312" s="28"/>
      <c r="G312" s="28"/>
      <c r="H312" s="28"/>
      <c r="I312" s="28"/>
      <c r="J312" s="28"/>
    </row>
    <row r="313" ht="15.75" customHeight="1">
      <c r="A313" s="28"/>
      <c r="B313" s="28"/>
      <c r="C313" s="329"/>
      <c r="D313" s="299"/>
      <c r="E313" s="28"/>
      <c r="F313" s="28"/>
      <c r="G313" s="28"/>
      <c r="H313" s="28"/>
      <c r="I313" s="28"/>
      <c r="J313" s="28"/>
    </row>
    <row r="314" ht="15.75" customHeight="1">
      <c r="A314" s="28"/>
      <c r="B314" s="28"/>
      <c r="C314" s="329"/>
      <c r="D314" s="299"/>
      <c r="E314" s="28"/>
      <c r="F314" s="28"/>
      <c r="G314" s="28"/>
      <c r="H314" s="28"/>
      <c r="I314" s="28"/>
      <c r="J314" s="28"/>
    </row>
    <row r="315" ht="15.75" customHeight="1">
      <c r="A315" s="28"/>
      <c r="B315" s="28"/>
      <c r="C315" s="329"/>
      <c r="D315" s="299"/>
      <c r="E315" s="28"/>
      <c r="F315" s="28"/>
      <c r="G315" s="28"/>
      <c r="H315" s="28"/>
      <c r="I315" s="28"/>
      <c r="J315" s="28"/>
    </row>
    <row r="316" ht="15.75" customHeight="1">
      <c r="A316" s="28"/>
      <c r="B316" s="28"/>
      <c r="C316" s="329"/>
      <c r="D316" s="299"/>
      <c r="E316" s="28"/>
      <c r="F316" s="28"/>
      <c r="G316" s="28"/>
      <c r="H316" s="28"/>
      <c r="I316" s="28"/>
      <c r="J316" s="28"/>
    </row>
    <row r="317" ht="15.75" customHeight="1">
      <c r="A317" s="28"/>
      <c r="B317" s="28"/>
      <c r="C317" s="329"/>
      <c r="D317" s="299"/>
      <c r="E317" s="28"/>
      <c r="F317" s="28"/>
      <c r="G317" s="28"/>
      <c r="H317" s="28"/>
      <c r="I317" s="28"/>
      <c r="J317" s="28"/>
    </row>
    <row r="318" ht="15.75" customHeight="1">
      <c r="A318" s="28"/>
      <c r="B318" s="28"/>
      <c r="C318" s="329"/>
      <c r="D318" s="299"/>
      <c r="E318" s="28"/>
      <c r="F318" s="28"/>
      <c r="G318" s="28"/>
      <c r="H318" s="28"/>
      <c r="I318" s="28"/>
      <c r="J318" s="28"/>
    </row>
    <row r="319" ht="15.75" customHeight="1">
      <c r="A319" s="28"/>
      <c r="B319" s="28"/>
      <c r="C319" s="329"/>
      <c r="D319" s="299"/>
      <c r="E319" s="28"/>
      <c r="F319" s="28"/>
      <c r="G319" s="28"/>
      <c r="H319" s="28"/>
      <c r="I319" s="28"/>
      <c r="J319" s="28"/>
    </row>
    <row r="320" ht="15.75" customHeight="1">
      <c r="A320" s="28"/>
      <c r="B320" s="28"/>
      <c r="C320" s="329"/>
      <c r="D320" s="299"/>
      <c r="E320" s="28"/>
      <c r="F320" s="28"/>
      <c r="G320" s="28"/>
      <c r="H320" s="28"/>
      <c r="I320" s="28"/>
      <c r="J320" s="28"/>
    </row>
    <row r="321" ht="15.75" customHeight="1">
      <c r="A321" s="28"/>
      <c r="B321" s="28"/>
      <c r="C321" s="329"/>
      <c r="D321" s="299"/>
      <c r="E321" s="28"/>
      <c r="F321" s="28"/>
      <c r="G321" s="28"/>
      <c r="H321" s="28"/>
      <c r="I321" s="28"/>
      <c r="J321" s="28"/>
    </row>
    <row r="322" ht="15.75" customHeight="1">
      <c r="A322" s="28"/>
      <c r="B322" s="28"/>
      <c r="C322" s="329"/>
      <c r="D322" s="299"/>
      <c r="E322" s="28"/>
      <c r="F322" s="28"/>
      <c r="G322" s="28"/>
      <c r="H322" s="28"/>
      <c r="I322" s="28"/>
      <c r="J322" s="28"/>
    </row>
    <row r="323" ht="15.75" customHeight="1">
      <c r="A323" s="28"/>
      <c r="B323" s="28"/>
      <c r="C323" s="329"/>
      <c r="D323" s="299"/>
      <c r="E323" s="28"/>
      <c r="F323" s="28"/>
      <c r="G323" s="28"/>
      <c r="H323" s="28"/>
      <c r="I323" s="28"/>
      <c r="J323" s="28"/>
    </row>
    <row r="324" ht="15.75" customHeight="1">
      <c r="A324" s="28"/>
      <c r="B324" s="28"/>
      <c r="C324" s="329"/>
      <c r="D324" s="299"/>
      <c r="E324" s="28"/>
      <c r="F324" s="28"/>
      <c r="G324" s="28"/>
      <c r="H324" s="28"/>
      <c r="I324" s="28"/>
      <c r="J324" s="28"/>
    </row>
    <row r="325" ht="15.75" customHeight="1">
      <c r="A325" s="28"/>
      <c r="B325" s="28"/>
      <c r="C325" s="329"/>
      <c r="D325" s="299"/>
      <c r="E325" s="28"/>
      <c r="F325" s="28"/>
      <c r="G325" s="28"/>
      <c r="H325" s="28"/>
      <c r="I325" s="28"/>
      <c r="J325" s="28"/>
    </row>
    <row r="326" ht="15.75" customHeight="1">
      <c r="A326" s="28"/>
      <c r="B326" s="28"/>
      <c r="C326" s="329"/>
      <c r="D326" s="299"/>
      <c r="E326" s="28"/>
      <c r="F326" s="28"/>
      <c r="G326" s="28"/>
      <c r="H326" s="28"/>
      <c r="I326" s="28"/>
      <c r="J326" s="28"/>
    </row>
    <row r="327" ht="15.75" customHeight="1">
      <c r="A327" s="28"/>
      <c r="B327" s="28"/>
      <c r="C327" s="329"/>
      <c r="D327" s="299"/>
      <c r="E327" s="28"/>
      <c r="F327" s="28"/>
      <c r="G327" s="28"/>
      <c r="H327" s="28"/>
      <c r="I327" s="28"/>
      <c r="J327" s="28"/>
    </row>
    <row r="328" ht="15.75" customHeight="1">
      <c r="A328" s="28"/>
      <c r="B328" s="28"/>
      <c r="C328" s="329"/>
      <c r="D328" s="299"/>
      <c r="E328" s="28"/>
      <c r="F328" s="28"/>
      <c r="G328" s="28"/>
      <c r="H328" s="28"/>
      <c r="I328" s="28"/>
      <c r="J328" s="28"/>
    </row>
    <row r="329" ht="15.75" customHeight="1">
      <c r="A329" s="28"/>
      <c r="B329" s="28"/>
      <c r="C329" s="329"/>
      <c r="D329" s="299"/>
      <c r="E329" s="28"/>
      <c r="F329" s="28"/>
      <c r="G329" s="28"/>
      <c r="H329" s="28"/>
      <c r="I329" s="28"/>
      <c r="J329" s="28"/>
    </row>
    <row r="330" ht="15.75" customHeight="1">
      <c r="A330" s="28"/>
      <c r="B330" s="28"/>
      <c r="C330" s="329"/>
      <c r="D330" s="299"/>
      <c r="E330" s="28"/>
      <c r="F330" s="28"/>
      <c r="G330" s="28"/>
      <c r="H330" s="28"/>
      <c r="I330" s="28"/>
      <c r="J330" s="28"/>
    </row>
    <row r="331" ht="15.75" customHeight="1">
      <c r="C331" s="331"/>
      <c r="D331" s="300"/>
    </row>
    <row r="332" ht="15.75" customHeight="1">
      <c r="C332" s="331"/>
      <c r="D332" s="300"/>
    </row>
    <row r="333" ht="15.75" customHeight="1">
      <c r="C333" s="331"/>
      <c r="D333" s="300"/>
    </row>
    <row r="334" ht="15.75" customHeight="1">
      <c r="C334" s="331"/>
      <c r="D334" s="300"/>
    </row>
    <row r="335" ht="15.75" customHeight="1">
      <c r="C335" s="331"/>
      <c r="D335" s="300"/>
    </row>
    <row r="336" ht="15.75" customHeight="1">
      <c r="C336" s="331"/>
      <c r="D336" s="300"/>
    </row>
    <row r="337" ht="15.75" customHeight="1">
      <c r="C337" s="331"/>
      <c r="D337" s="300"/>
    </row>
    <row r="338" ht="15.75" customHeight="1">
      <c r="C338" s="331"/>
      <c r="D338" s="300"/>
    </row>
    <row r="339" ht="15.75" customHeight="1">
      <c r="C339" s="331"/>
      <c r="D339" s="300"/>
    </row>
    <row r="340" ht="15.75" customHeight="1">
      <c r="C340" s="331"/>
      <c r="D340" s="300"/>
    </row>
    <row r="341" ht="15.75" customHeight="1">
      <c r="C341" s="331"/>
      <c r="D341" s="300"/>
    </row>
    <row r="342" ht="15.75" customHeight="1">
      <c r="C342" s="331"/>
      <c r="D342" s="300"/>
    </row>
    <row r="343" ht="15.75" customHeight="1">
      <c r="C343" s="331"/>
      <c r="D343" s="300"/>
    </row>
    <row r="344" ht="15.75" customHeight="1">
      <c r="C344" s="331"/>
      <c r="D344" s="300"/>
    </row>
    <row r="345" ht="15.75" customHeight="1">
      <c r="C345" s="331"/>
      <c r="D345" s="300"/>
    </row>
    <row r="346" ht="15.75" customHeight="1">
      <c r="C346" s="331"/>
      <c r="D346" s="300"/>
    </row>
    <row r="347" ht="15.75" customHeight="1">
      <c r="C347" s="331"/>
      <c r="D347" s="300"/>
    </row>
    <row r="348" ht="15.75" customHeight="1">
      <c r="C348" s="331"/>
      <c r="D348" s="300"/>
    </row>
    <row r="349" ht="15.75" customHeight="1">
      <c r="C349" s="331"/>
      <c r="D349" s="300"/>
    </row>
    <row r="350" ht="15.75" customHeight="1">
      <c r="C350" s="331"/>
      <c r="D350" s="300"/>
    </row>
    <row r="351" ht="15.75" customHeight="1">
      <c r="C351" s="331"/>
      <c r="D351" s="300"/>
    </row>
    <row r="352" ht="15.75" customHeight="1">
      <c r="C352" s="331"/>
      <c r="D352" s="300"/>
    </row>
    <row r="353" ht="15.75" customHeight="1">
      <c r="C353" s="331"/>
      <c r="D353" s="300"/>
    </row>
    <row r="354" ht="15.75" customHeight="1">
      <c r="C354" s="331"/>
      <c r="D354" s="300"/>
    </row>
    <row r="355" ht="15.75" customHeight="1">
      <c r="C355" s="331"/>
      <c r="D355" s="300"/>
    </row>
    <row r="356" ht="15.75" customHeight="1">
      <c r="C356" s="331"/>
      <c r="D356" s="300"/>
    </row>
    <row r="357" ht="15.75" customHeight="1">
      <c r="C357" s="331"/>
      <c r="D357" s="300"/>
    </row>
    <row r="358" ht="15.75" customHeight="1">
      <c r="C358" s="331"/>
      <c r="D358" s="300"/>
    </row>
    <row r="359" ht="15.75" customHeight="1">
      <c r="C359" s="331"/>
      <c r="D359" s="300"/>
    </row>
    <row r="360" ht="15.75" customHeight="1">
      <c r="C360" s="331"/>
      <c r="D360" s="300"/>
    </row>
    <row r="361" ht="15.75" customHeight="1">
      <c r="C361" s="331"/>
      <c r="D361" s="300"/>
    </row>
    <row r="362" ht="15.75" customHeight="1">
      <c r="C362" s="331"/>
      <c r="D362" s="300"/>
    </row>
    <row r="363" ht="15.75" customHeight="1">
      <c r="C363" s="331"/>
      <c r="D363" s="300"/>
    </row>
    <row r="364" ht="15.75" customHeight="1">
      <c r="C364" s="331"/>
      <c r="D364" s="300"/>
    </row>
    <row r="365" ht="15.75" customHeight="1">
      <c r="C365" s="331"/>
      <c r="D365" s="300"/>
    </row>
    <row r="366" ht="15.75" customHeight="1">
      <c r="C366" s="331"/>
      <c r="D366" s="300"/>
    </row>
    <row r="367" ht="15.75" customHeight="1">
      <c r="C367" s="331"/>
      <c r="D367" s="300"/>
    </row>
    <row r="368" ht="15.75" customHeight="1">
      <c r="C368" s="331"/>
      <c r="D368" s="300"/>
    </row>
    <row r="369" ht="15.75" customHeight="1">
      <c r="C369" s="331"/>
      <c r="D369" s="300"/>
    </row>
    <row r="370" ht="15.75" customHeight="1">
      <c r="C370" s="331"/>
      <c r="D370" s="300"/>
    </row>
    <row r="371" ht="15.75" customHeight="1">
      <c r="C371" s="331"/>
      <c r="D371" s="300"/>
    </row>
    <row r="372" ht="15.75" customHeight="1">
      <c r="C372" s="331"/>
      <c r="D372" s="300"/>
    </row>
    <row r="373" ht="15.75" customHeight="1">
      <c r="C373" s="331"/>
      <c r="D373" s="300"/>
    </row>
    <row r="374" ht="15.75" customHeight="1">
      <c r="C374" s="331"/>
      <c r="D374" s="300"/>
    </row>
    <row r="375" ht="15.75" customHeight="1">
      <c r="C375" s="331"/>
      <c r="D375" s="300"/>
    </row>
    <row r="376" ht="15.75" customHeight="1">
      <c r="C376" s="331"/>
      <c r="D376" s="300"/>
    </row>
    <row r="377" ht="15.75" customHeight="1">
      <c r="C377" s="331"/>
      <c r="D377" s="300"/>
    </row>
    <row r="378" ht="15.75" customHeight="1">
      <c r="C378" s="331"/>
      <c r="D378" s="300"/>
    </row>
    <row r="379" ht="15.75" customHeight="1">
      <c r="C379" s="331"/>
      <c r="D379" s="300"/>
    </row>
    <row r="380" ht="15.75" customHeight="1">
      <c r="C380" s="331"/>
      <c r="D380" s="300"/>
    </row>
    <row r="381" ht="15.75" customHeight="1">
      <c r="C381" s="331"/>
      <c r="D381" s="300"/>
    </row>
    <row r="382" ht="15.75" customHeight="1">
      <c r="C382" s="331"/>
      <c r="D382" s="300"/>
    </row>
    <row r="383" ht="15.75" customHeight="1">
      <c r="C383" s="331"/>
      <c r="D383" s="300"/>
    </row>
    <row r="384" ht="15.75" customHeight="1">
      <c r="C384" s="331"/>
      <c r="D384" s="300"/>
    </row>
    <row r="385" ht="15.75" customHeight="1">
      <c r="C385" s="331"/>
      <c r="D385" s="300"/>
    </row>
    <row r="386" ht="15.75" customHeight="1">
      <c r="C386" s="331"/>
      <c r="D386" s="300"/>
    </row>
    <row r="387" ht="15.75" customHeight="1">
      <c r="C387" s="331"/>
      <c r="D387" s="300"/>
    </row>
    <row r="388" ht="15.75" customHeight="1">
      <c r="C388" s="331"/>
      <c r="D388" s="300"/>
    </row>
    <row r="389" ht="15.75" customHeight="1">
      <c r="C389" s="331"/>
      <c r="D389" s="300"/>
    </row>
    <row r="390" ht="15.75" customHeight="1">
      <c r="C390" s="331"/>
      <c r="D390" s="300"/>
    </row>
    <row r="391" ht="15.75" customHeight="1">
      <c r="C391" s="331"/>
      <c r="D391" s="300"/>
    </row>
    <row r="392" ht="15.75" customHeight="1">
      <c r="C392" s="331"/>
      <c r="D392" s="300"/>
    </row>
    <row r="393" ht="15.75" customHeight="1">
      <c r="C393" s="331"/>
      <c r="D393" s="300"/>
    </row>
    <row r="394" ht="15.75" customHeight="1">
      <c r="C394" s="331"/>
      <c r="D394" s="300"/>
    </row>
    <row r="395" ht="15.75" customHeight="1">
      <c r="C395" s="331"/>
      <c r="D395" s="300"/>
    </row>
    <row r="396" ht="15.75" customHeight="1">
      <c r="C396" s="331"/>
      <c r="D396" s="300"/>
    </row>
    <row r="397" ht="15.75" customHeight="1">
      <c r="C397" s="331"/>
      <c r="D397" s="300"/>
    </row>
    <row r="398" ht="15.75" customHeight="1">
      <c r="C398" s="331"/>
      <c r="D398" s="300"/>
    </row>
    <row r="399" ht="15.75" customHeight="1">
      <c r="C399" s="331"/>
      <c r="D399" s="300"/>
    </row>
    <row r="400" ht="15.75" customHeight="1">
      <c r="C400" s="331"/>
      <c r="D400" s="300"/>
    </row>
    <row r="401" ht="15.75" customHeight="1">
      <c r="C401" s="331"/>
      <c r="D401" s="300"/>
    </row>
    <row r="402" ht="15.75" customHeight="1">
      <c r="C402" s="331"/>
      <c r="D402" s="300"/>
    </row>
    <row r="403" ht="15.75" customHeight="1">
      <c r="C403" s="331"/>
      <c r="D403" s="300"/>
    </row>
    <row r="404" ht="15.75" customHeight="1">
      <c r="C404" s="331"/>
      <c r="D404" s="300"/>
    </row>
    <row r="405" ht="15.75" customHeight="1">
      <c r="C405" s="331"/>
      <c r="D405" s="300"/>
    </row>
    <row r="406" ht="15.75" customHeight="1">
      <c r="C406" s="331"/>
      <c r="D406" s="300"/>
    </row>
    <row r="407" ht="15.75" customHeight="1">
      <c r="C407" s="331"/>
      <c r="D407" s="300"/>
    </row>
    <row r="408" ht="15.75" customHeight="1">
      <c r="C408" s="331"/>
      <c r="D408" s="300"/>
    </row>
    <row r="409" ht="15.75" customHeight="1">
      <c r="C409" s="331"/>
      <c r="D409" s="300"/>
    </row>
    <row r="410" ht="15.75" customHeight="1">
      <c r="C410" s="331"/>
      <c r="D410" s="300"/>
    </row>
    <row r="411" ht="15.75" customHeight="1">
      <c r="C411" s="331"/>
      <c r="D411" s="300"/>
    </row>
    <row r="412" ht="15.75" customHeight="1">
      <c r="C412" s="331"/>
      <c r="D412" s="300"/>
    </row>
    <row r="413" ht="15.75" customHeight="1">
      <c r="C413" s="331"/>
      <c r="D413" s="300"/>
    </row>
    <row r="414" ht="15.75" customHeight="1">
      <c r="C414" s="331"/>
      <c r="D414" s="300"/>
    </row>
    <row r="415" ht="15.75" customHeight="1">
      <c r="C415" s="331"/>
      <c r="D415" s="300"/>
    </row>
    <row r="416" ht="15.75" customHeight="1">
      <c r="C416" s="331"/>
      <c r="D416" s="300"/>
    </row>
    <row r="417" ht="15.75" customHeight="1">
      <c r="C417" s="331"/>
      <c r="D417" s="300"/>
    </row>
    <row r="418" ht="15.75" customHeight="1">
      <c r="C418" s="331"/>
      <c r="D418" s="300"/>
    </row>
    <row r="419" ht="15.75" customHeight="1">
      <c r="C419" s="331"/>
      <c r="D419" s="300"/>
    </row>
    <row r="420" ht="15.75" customHeight="1">
      <c r="C420" s="331"/>
      <c r="D420" s="300"/>
    </row>
    <row r="421" ht="15.75" customHeight="1">
      <c r="C421" s="331"/>
      <c r="D421" s="300"/>
    </row>
    <row r="422" ht="15.75" customHeight="1">
      <c r="C422" s="331"/>
      <c r="D422" s="300"/>
    </row>
    <row r="423" ht="15.75" customHeight="1">
      <c r="C423" s="331"/>
      <c r="D423" s="300"/>
    </row>
    <row r="424" ht="15.75" customHeight="1">
      <c r="C424" s="331"/>
      <c r="D424" s="300"/>
    </row>
    <row r="425" ht="15.75" customHeight="1">
      <c r="C425" s="331"/>
      <c r="D425" s="300"/>
    </row>
    <row r="426" ht="15.75" customHeight="1">
      <c r="C426" s="331"/>
      <c r="D426" s="300"/>
    </row>
    <row r="427" ht="15.75" customHeight="1">
      <c r="C427" s="331"/>
      <c r="D427" s="300"/>
    </row>
    <row r="428" ht="15.75" customHeight="1">
      <c r="C428" s="331"/>
      <c r="D428" s="300"/>
    </row>
    <row r="429" ht="15.75" customHeight="1">
      <c r="C429" s="331"/>
      <c r="D429" s="300"/>
    </row>
    <row r="430" ht="15.75" customHeight="1">
      <c r="C430" s="331"/>
      <c r="D430" s="300"/>
    </row>
    <row r="431" ht="15.75" customHeight="1">
      <c r="C431" s="331"/>
      <c r="D431" s="300"/>
    </row>
    <row r="432" ht="15.75" customHeight="1">
      <c r="C432" s="331"/>
      <c r="D432" s="300"/>
    </row>
    <row r="433" ht="15.75" customHeight="1">
      <c r="C433" s="331"/>
      <c r="D433" s="300"/>
    </row>
    <row r="434" ht="15.75" customHeight="1">
      <c r="C434" s="331"/>
      <c r="D434" s="300"/>
    </row>
    <row r="435" ht="15.75" customHeight="1">
      <c r="C435" s="331"/>
      <c r="D435" s="300"/>
    </row>
    <row r="436" ht="15.75" customHeight="1">
      <c r="C436" s="331"/>
      <c r="D436" s="300"/>
    </row>
    <row r="437" ht="15.75" customHeight="1">
      <c r="C437" s="331"/>
      <c r="D437" s="300"/>
    </row>
    <row r="438" ht="15.75" customHeight="1">
      <c r="C438" s="331"/>
      <c r="D438" s="300"/>
    </row>
    <row r="439" ht="15.75" customHeight="1">
      <c r="C439" s="331"/>
      <c r="D439" s="300"/>
    </row>
    <row r="440" ht="15.75" customHeight="1">
      <c r="C440" s="331"/>
      <c r="D440" s="300"/>
    </row>
    <row r="441" ht="15.75" customHeight="1">
      <c r="C441" s="331"/>
      <c r="D441" s="300"/>
    </row>
    <row r="442" ht="15.75" customHeight="1">
      <c r="C442" s="331"/>
      <c r="D442" s="300"/>
    </row>
    <row r="443" ht="15.75" customHeight="1">
      <c r="C443" s="331"/>
      <c r="D443" s="300"/>
    </row>
    <row r="444" ht="15.75" customHeight="1">
      <c r="C444" s="331"/>
      <c r="D444" s="300"/>
    </row>
    <row r="445" ht="15.75" customHeight="1">
      <c r="C445" s="331"/>
      <c r="D445" s="300"/>
    </row>
    <row r="446" ht="15.75" customHeight="1">
      <c r="C446" s="331"/>
      <c r="D446" s="300"/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2.13"/>
    <col customWidth="1" min="2" max="2" width="25.75"/>
    <col customWidth="1" min="3" max="4" width="12.63"/>
    <col customWidth="1" hidden="1" min="5" max="7" width="12.63"/>
    <col hidden="1" min="8" max="9" width="12.63"/>
  </cols>
  <sheetData>
    <row r="1" ht="15.75" customHeight="1">
      <c r="A1" s="49"/>
      <c r="B1" s="49"/>
      <c r="C1" s="50"/>
      <c r="D1" s="49">
        <v>2026.0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ht="15.75" customHeight="1">
      <c r="A2" s="51" t="s">
        <v>99</v>
      </c>
      <c r="B2" s="52"/>
      <c r="C2" s="53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5.75" customHeight="1">
      <c r="A3" s="54" t="s">
        <v>67</v>
      </c>
      <c r="B3" s="54" t="s">
        <v>68</v>
      </c>
      <c r="C3" s="53"/>
      <c r="D3" s="55" t="s">
        <v>70</v>
      </c>
      <c r="E3" s="55" t="s">
        <v>71</v>
      </c>
      <c r="F3" s="55" t="s">
        <v>72</v>
      </c>
      <c r="G3" s="55" t="s">
        <v>73</v>
      </c>
      <c r="H3" s="55" t="s">
        <v>74</v>
      </c>
      <c r="I3" s="55" t="s">
        <v>75</v>
      </c>
      <c r="J3" s="55" t="s">
        <v>76</v>
      </c>
      <c r="K3" s="55" t="s">
        <v>77</v>
      </c>
      <c r="L3" s="55" t="s">
        <v>78</v>
      </c>
      <c r="M3" s="55" t="s">
        <v>79</v>
      </c>
      <c r="N3" s="55" t="s">
        <v>80</v>
      </c>
      <c r="O3" s="55" t="s">
        <v>81</v>
      </c>
      <c r="P3" s="55" t="s">
        <v>82</v>
      </c>
      <c r="Q3" s="52"/>
    </row>
    <row r="4" ht="15.75" customHeight="1">
      <c r="A4" s="49"/>
      <c r="B4" s="49"/>
      <c r="C4" s="57"/>
      <c r="D4" s="49" t="s">
        <v>35</v>
      </c>
      <c r="E4" s="49">
        <v>1.0</v>
      </c>
      <c r="F4" s="49">
        <v>2.0</v>
      </c>
      <c r="G4" s="49">
        <v>3.0</v>
      </c>
      <c r="H4" s="49">
        <v>4.0</v>
      </c>
      <c r="I4" s="49">
        <v>5.0</v>
      </c>
      <c r="J4" s="49">
        <v>6.0</v>
      </c>
      <c r="K4" s="49">
        <v>7.0</v>
      </c>
      <c r="L4" s="49">
        <v>8.0</v>
      </c>
      <c r="M4" s="49">
        <v>9.0</v>
      </c>
      <c r="N4" s="49">
        <v>10.0</v>
      </c>
      <c r="O4" s="49">
        <v>11.0</v>
      </c>
      <c r="P4" s="49">
        <v>12.0</v>
      </c>
      <c r="Q4" s="49"/>
    </row>
    <row r="5" ht="15.75" customHeight="1">
      <c r="A5" s="58"/>
      <c r="B5" s="59" t="s">
        <v>83</v>
      </c>
      <c r="C5" s="60"/>
      <c r="D5" s="61">
        <f t="shared" ref="D5:D12" si="1">SUM(E5:P5)</f>
        <v>435.86</v>
      </c>
      <c r="E5" s="64">
        <f>sumifs(Dados!$N:$N,Dados!$B:$B,B5,Dados!$J:$J,$D$1,Dados!$I:$I,$E$4)</f>
        <v>0</v>
      </c>
      <c r="F5" s="64">
        <f>sumifs(Dados!$N:$N,Dados!$B:$B,B5,Dados!$J:$J,$D$1,Dados!$I:$I,$F$4)</f>
        <v>0</v>
      </c>
      <c r="G5" s="64">
        <f>sumifs(Dados!$N:$N,Dados!$B:$B,B5,Dados!$J:$J,$D$1,Dados!$I:$I,$G$4)</f>
        <v>0</v>
      </c>
      <c r="H5" s="64">
        <f>sumifs(Dados!$N:$N,Dados!$B:$B,B5,Dados!$J:$J,$D$1,Dados!$I:$I,$H$4)</f>
        <v>0</v>
      </c>
      <c r="I5" s="64">
        <f>sumifs(Dados!$N:$N,Dados!$B:$B,B5,Dados!$J:$J,$D$1,Dados!$I:$I,$I$4)</f>
        <v>0</v>
      </c>
      <c r="J5" s="64">
        <f>sumifs(Dados!$N:$N,Dados!$B:$B,B5,Dados!$J:$J,$D$1,Dados!$I:$I,$J$4)</f>
        <v>435.86</v>
      </c>
      <c r="K5" s="64">
        <f>sumifs(Dados!$N:$N,Dados!$B:$B,B5,Dados!$J:$J,$D$1,Dados!$I:$I,$K$4)</f>
        <v>0</v>
      </c>
      <c r="L5" s="64">
        <f>sumifs(Dados!$N:$N,Dados!$B:$B,B5,Dados!$J:$J,$D$1,Dados!$I:$I,$L$4)</f>
        <v>0</v>
      </c>
      <c r="M5" s="64">
        <f>sumifs(Dados!$N:$N,Dados!$B:$B,B5,Dados!$J:$J,$D$1,Dados!$I:$I,$M$4)</f>
        <v>0</v>
      </c>
      <c r="N5" s="64">
        <f>sumifs(Dados!$N:$N,Dados!$B:$B,B5,Dados!$J:$J,$D$1,Dados!$I:$I,$N$4)</f>
        <v>0</v>
      </c>
      <c r="O5" s="64">
        <f>sumifs(Dados!$N:$N,Dados!$B:$B,B5,Dados!$J:$J,$D$1,Dados!$I:$I,$O$4)</f>
        <v>0</v>
      </c>
      <c r="P5" s="64">
        <f>sumifs(Dados!$N:$N,Dados!$B:$B,B5,Dados!$J:$J,$D$1,Dados!$I:$I,$P$4)</f>
        <v>0</v>
      </c>
      <c r="Q5" s="64"/>
    </row>
    <row r="6" ht="15.75" customHeight="1">
      <c r="A6" s="58"/>
      <c r="B6" s="59" t="s">
        <v>90</v>
      </c>
      <c r="C6" s="60"/>
      <c r="D6" s="61">
        <f t="shared" si="1"/>
        <v>0</v>
      </c>
      <c r="E6" s="64">
        <f>sumifs(Dados!$N:$N,Dados!$B:$B,B6,Dados!$J:$J,$D$1,Dados!$I:$I,$E$4)</f>
        <v>0</v>
      </c>
      <c r="F6" s="64">
        <f>sumifs(Dados!$N:$N,Dados!$B:$B,B6,Dados!$J:$J,$D$1,Dados!$I:$I,$F$4)</f>
        <v>0</v>
      </c>
      <c r="G6" s="64">
        <f>sumifs(Dados!$N:$N,Dados!$B:$B,B6,Dados!$J:$J,$D$1,Dados!$I:$I,$G$4)</f>
        <v>0</v>
      </c>
      <c r="H6" s="64">
        <f>sumifs(Dados!$N:$N,Dados!$B:$B,B6,Dados!$J:$J,$D$1,Dados!$I:$I,$H$4)</f>
        <v>0</v>
      </c>
      <c r="I6" s="64">
        <f>sumifs(Dados!$N:$N,Dados!$B:$B,B6,Dados!$J:$J,$D$1,Dados!$I:$I,$I$4)</f>
        <v>0</v>
      </c>
      <c r="J6" s="64">
        <f>sumifs(Dados!$N:$N,Dados!$B:$B,B6,Dados!$J:$J,$D$1,Dados!$I:$I,$J$4)</f>
        <v>0</v>
      </c>
      <c r="K6" s="64">
        <f>sumifs(Dados!$N:$N,Dados!$B:$B,B6,Dados!$J:$J,$D$1,Dados!$I:$I,$K$4)</f>
        <v>0</v>
      </c>
      <c r="L6" s="64">
        <f>sumifs(Dados!$N:$N,Dados!$B:$B,B6,Dados!$J:$J,$D$1,Dados!$I:$I,$L$4)</f>
        <v>0</v>
      </c>
      <c r="M6" s="64">
        <f>sumifs(Dados!$N:$N,Dados!$B:$B,B6,Dados!$J:$J,$D$1,Dados!$I:$I,$M$4)</f>
        <v>0</v>
      </c>
      <c r="N6" s="64">
        <f>sumifs(Dados!$N:$N,Dados!$B:$B,B6,Dados!$J:$J,$D$1,Dados!$I:$I,$N$4)</f>
        <v>0</v>
      </c>
      <c r="O6" s="64">
        <f>sumifs(Dados!$N:$N,Dados!$B:$B,B6,Dados!$J:$J,$D$1,Dados!$I:$I,$O$4)</f>
        <v>0</v>
      </c>
      <c r="P6" s="64">
        <f>sumifs(Dados!$N:$N,Dados!$B:$B,B6,Dados!$J:$J,$D$1,Dados!$I:$I,$P$4)</f>
        <v>0</v>
      </c>
      <c r="Q6" s="64"/>
    </row>
    <row r="7" ht="15.75" customHeight="1">
      <c r="A7" s="58"/>
      <c r="B7" s="59" t="s">
        <v>94</v>
      </c>
      <c r="C7" s="60"/>
      <c r="D7" s="61">
        <f t="shared" si="1"/>
        <v>285.85</v>
      </c>
      <c r="E7" s="64">
        <f>sumifs(Dados!$N:$N,Dados!$B:$B,B7,Dados!$J:$J,$D$1,Dados!$I:$I,$E$4)</f>
        <v>0</v>
      </c>
      <c r="F7" s="64">
        <f>sumifs(Dados!$N:$N,Dados!$B:$B,B7,Dados!$J:$J,$D$1,Dados!$I:$I,$F$4)</f>
        <v>0</v>
      </c>
      <c r="G7" s="64">
        <f>sumifs(Dados!$N:$N,Dados!$B:$B,B7,Dados!$J:$J,$D$1,Dados!$I:$I,$G$4)</f>
        <v>0</v>
      </c>
      <c r="H7" s="64">
        <f>sumifs(Dados!$N:$N,Dados!$B:$B,B7,Dados!$J:$J,$D$1,Dados!$I:$I,$H$4)</f>
        <v>0</v>
      </c>
      <c r="I7" s="64">
        <f>sumifs(Dados!$N:$N,Dados!$B:$B,B7,Dados!$J:$J,$D$1,Dados!$I:$I,$I$4)</f>
        <v>0</v>
      </c>
      <c r="J7" s="64">
        <f>sumifs(Dados!$N:$N,Dados!$B:$B,B7,Dados!$J:$J,$D$1,Dados!$I:$I,$J$4)</f>
        <v>285.85</v>
      </c>
      <c r="K7" s="64">
        <f>sumifs(Dados!$N:$N,Dados!$B:$B,B7,Dados!$J:$J,$D$1,Dados!$I:$I,$K$4)</f>
        <v>0</v>
      </c>
      <c r="L7" s="64">
        <f>sumifs(Dados!$N:$N,Dados!$B:$B,B7,Dados!$J:$J,$D$1,Dados!$I:$I,$L$4)</f>
        <v>0</v>
      </c>
      <c r="M7" s="64">
        <f>sumifs(Dados!$N:$N,Dados!$B:$B,B7,Dados!$J:$J,$D$1,Dados!$I:$I,$M$4)</f>
        <v>0</v>
      </c>
      <c r="N7" s="64">
        <f>sumifs(Dados!$N:$N,Dados!$B:$B,B7,Dados!$J:$J,$D$1,Dados!$I:$I,$N$4)</f>
        <v>0</v>
      </c>
      <c r="O7" s="64">
        <f>sumifs(Dados!$N:$N,Dados!$B:$B,B7,Dados!$J:$J,$D$1,Dados!$I:$I,$O$4)</f>
        <v>0</v>
      </c>
      <c r="P7" s="64">
        <f>sumifs(Dados!$N:$N,Dados!$B:$B,B7,Dados!$J:$J,$D$1,Dados!$I:$I,$P$4)</f>
        <v>0</v>
      </c>
      <c r="Q7" s="64"/>
    </row>
    <row r="8" ht="15.75" customHeight="1">
      <c r="A8" s="58"/>
      <c r="B8" s="59" t="s">
        <v>98</v>
      </c>
      <c r="C8" s="60"/>
      <c r="D8" s="61">
        <f t="shared" si="1"/>
        <v>0</v>
      </c>
      <c r="E8" s="64">
        <f>sumifs(Dados!$N:$N,Dados!$B:$B,B8,Dados!$J:$J,$D$1,Dados!$I:$I,$E$4)</f>
        <v>0</v>
      </c>
      <c r="F8" s="64">
        <f>sumifs(Dados!$N:$N,Dados!$B:$B,B8,Dados!$J:$J,$D$1,Dados!$I:$I,$F$4)</f>
        <v>0</v>
      </c>
      <c r="G8" s="64">
        <f>sumifs(Dados!$N:$N,Dados!$B:$B,B8,Dados!$J:$J,$D$1,Dados!$I:$I,$G$4)</f>
        <v>0</v>
      </c>
      <c r="H8" s="64">
        <f>sumifs(Dados!$N:$N,Dados!$B:$B,B8,Dados!$J:$J,$D$1,Dados!$I:$I,$H$4)</f>
        <v>0</v>
      </c>
      <c r="I8" s="64">
        <f>sumifs(Dados!$N:$N,Dados!$B:$B,B8,Dados!$J:$J,$D$1,Dados!$I:$I,$I$4)</f>
        <v>0</v>
      </c>
      <c r="J8" s="64">
        <f>sumifs(Dados!$N:$N,Dados!$B:$B,B8,Dados!$J:$J,$D$1,Dados!$I:$I,$J$4)</f>
        <v>0</v>
      </c>
      <c r="K8" s="64">
        <f>sumifs(Dados!$N:$N,Dados!$B:$B,B8,Dados!$J:$J,$D$1,Dados!$I:$I,$K$4)</f>
        <v>0</v>
      </c>
      <c r="L8" s="64">
        <f>sumifs(Dados!$N:$N,Dados!$B:$B,B8,Dados!$J:$J,$D$1,Dados!$I:$I,$L$4)</f>
        <v>0</v>
      </c>
      <c r="M8" s="64">
        <f>sumifs(Dados!$N:$N,Dados!$B:$B,B8,Dados!$J:$J,$D$1,Dados!$I:$I,$M$4)</f>
        <v>0</v>
      </c>
      <c r="N8" s="64">
        <f>sumifs(Dados!$N:$N,Dados!$B:$B,B8,Dados!$J:$J,$D$1,Dados!$I:$I,$N$4)</f>
        <v>0</v>
      </c>
      <c r="O8" s="64">
        <f>sumifs(Dados!$N:$N,Dados!$B:$B,B8,Dados!$J:$J,$D$1,Dados!$I:$I,$O$4)</f>
        <v>0</v>
      </c>
      <c r="P8" s="64">
        <f>sumifs(Dados!$N:$N,Dados!$B:$B,B8,Dados!$J:$J,$D$1,Dados!$I:$I,$P$4)</f>
        <v>0</v>
      </c>
      <c r="Q8" s="64"/>
    </row>
    <row r="9" ht="15.75" customHeight="1">
      <c r="A9" s="58"/>
      <c r="B9" s="59" t="s">
        <v>100</v>
      </c>
      <c r="C9" s="60"/>
      <c r="D9" s="61">
        <f t="shared" si="1"/>
        <v>0</v>
      </c>
      <c r="E9" s="64">
        <f>sumifs(Dados!$N:$N,Dados!$B:$B,B9,Dados!$J:$J,$D$1,Dados!$I:$I,$E$4)</f>
        <v>0</v>
      </c>
      <c r="F9" s="64">
        <f>sumifs(Dados!$N:$N,Dados!$B:$B,B9,Dados!$J:$J,$D$1,Dados!$I:$I,$F$4)</f>
        <v>0</v>
      </c>
      <c r="G9" s="64">
        <f>sumifs(Dados!$N:$N,Dados!$B:$B,B9,Dados!$J:$J,$D$1,Dados!$I:$I,$G$4)</f>
        <v>0</v>
      </c>
      <c r="H9" s="64">
        <f>sumifs(Dados!$N:$N,Dados!$B:$B,B9,Dados!$J:$J,$D$1,Dados!$I:$I,$H$4)</f>
        <v>0</v>
      </c>
      <c r="I9" s="64">
        <f>sumifs(Dados!$N:$N,Dados!$B:$B,B9,Dados!$J:$J,$D$1,Dados!$I:$I,$I$4)</f>
        <v>0</v>
      </c>
      <c r="J9" s="64">
        <f>sumifs(Dados!$N:$N,Dados!$B:$B,B9,Dados!$J:$J,$D$1,Dados!$I:$I,$J$4)</f>
        <v>0</v>
      </c>
      <c r="K9" s="64">
        <f>sumifs(Dados!$N:$N,Dados!$B:$B,B9,Dados!$J:$J,$D$1,Dados!$I:$I,$K$4)</f>
        <v>0</v>
      </c>
      <c r="L9" s="64">
        <f>sumifs(Dados!$N:$N,Dados!$B:$B,B9,Dados!$J:$J,$D$1,Dados!$I:$I,$L$4)</f>
        <v>0</v>
      </c>
      <c r="M9" s="64">
        <f>sumifs(Dados!$N:$N,Dados!$B:$B,B9,Dados!$J:$J,$D$1,Dados!$I:$I,$M$4)</f>
        <v>0</v>
      </c>
      <c r="N9" s="64">
        <f>sumifs(Dados!$N:$N,Dados!$B:$B,B9,Dados!$J:$J,$D$1,Dados!$I:$I,$N$4)</f>
        <v>0</v>
      </c>
      <c r="O9" s="64">
        <f>sumifs(Dados!$N:$N,Dados!$B:$B,B9,Dados!$J:$J,$D$1,Dados!$I:$I,$O$4)</f>
        <v>0</v>
      </c>
      <c r="P9" s="64">
        <f>sumifs(Dados!$N:$N,Dados!$B:$B,B9,Dados!$J:$J,$D$1,Dados!$I:$I,$P$4)</f>
        <v>0</v>
      </c>
      <c r="Q9" s="64"/>
    </row>
    <row r="10" ht="15.75" customHeight="1">
      <c r="A10" s="74"/>
      <c r="B10" s="59" t="s">
        <v>101</v>
      </c>
      <c r="C10" s="60"/>
      <c r="D10" s="61">
        <f t="shared" si="1"/>
        <v>0</v>
      </c>
      <c r="E10" s="64">
        <f>sumifs(Dados!$N:$N,Dados!$B:$B,B10,Dados!$J:$J,$D$1,Dados!$I:$I,$E$4)</f>
        <v>0</v>
      </c>
      <c r="F10" s="64">
        <f>sumifs(Dados!$N:$N,Dados!$B:$B,B10,Dados!$J:$J,$D$1,Dados!$I:$I,$F$4)</f>
        <v>0</v>
      </c>
      <c r="G10" s="64">
        <f>sumifs(Dados!$N:$N,Dados!$B:$B,B10,Dados!$J:$J,$D$1,Dados!$I:$I,$G$4)</f>
        <v>0</v>
      </c>
      <c r="H10" s="64">
        <f>sumifs(Dados!$N:$N,Dados!$B:$B,B10,Dados!$J:$J,$D$1,Dados!$I:$I,$H$4)</f>
        <v>0</v>
      </c>
      <c r="I10" s="64">
        <f>sumifs(Dados!$N:$N,Dados!$B:$B,B10,Dados!$J:$J,$D$1,Dados!$I:$I,$I$4)</f>
        <v>0</v>
      </c>
      <c r="J10" s="64">
        <f>sumifs(Dados!$N:$N,Dados!$B:$B,B10,Dados!$J:$J,$D$1,Dados!$I:$I,$J$4)</f>
        <v>0</v>
      </c>
      <c r="K10" s="64">
        <f>sumifs(Dados!$N:$N,Dados!$B:$B,B10,Dados!$J:$J,$D$1,Dados!$I:$I,$K$4)</f>
        <v>0</v>
      </c>
      <c r="L10" s="64">
        <f>sumifs(Dados!$N:$N,Dados!$B:$B,B10,Dados!$J:$J,$D$1,Dados!$I:$I,$L$4)</f>
        <v>0</v>
      </c>
      <c r="M10" s="64">
        <f>sumifs(Dados!$N:$N,Dados!$B:$B,B10,Dados!$J:$J,$D$1,Dados!$I:$I,$M$4)</f>
        <v>0</v>
      </c>
      <c r="N10" s="64">
        <f>sumifs(Dados!$N:$N,Dados!$B:$B,B10,Dados!$J:$J,$D$1,Dados!$I:$I,$N$4)</f>
        <v>0</v>
      </c>
      <c r="O10" s="64">
        <f>sumifs(Dados!$N:$N,Dados!$B:$B,B10,Dados!$J:$J,$D$1,Dados!$I:$I,$O$4)</f>
        <v>0</v>
      </c>
      <c r="P10" s="64">
        <f>sumifs(Dados!$N:$N,Dados!$B:$B,B10,Dados!$J:$J,$D$1,Dados!$I:$I,$P$4)</f>
        <v>0</v>
      </c>
      <c r="Q10" s="64"/>
    </row>
    <row r="11" ht="15.75" customHeight="1">
      <c r="A11" s="58"/>
      <c r="B11" s="59" t="s">
        <v>104</v>
      </c>
      <c r="C11" s="60"/>
      <c r="D11" s="61">
        <f t="shared" si="1"/>
        <v>0</v>
      </c>
      <c r="E11" s="64">
        <f>sumifs(Dados!$N:$N,Dados!$B:$B,B11,Dados!$J:$J,$D$1,Dados!$I:$I,$E$4)</f>
        <v>0</v>
      </c>
      <c r="F11" s="64">
        <f>sumifs(Dados!$N:$N,Dados!$B:$B,B11,Dados!$J:$J,$D$1,Dados!$I:$I,$F$4)</f>
        <v>0</v>
      </c>
      <c r="G11" s="64">
        <f>sumifs(Dados!$N:$N,Dados!$B:$B,B11,Dados!$J:$J,$D$1,Dados!$I:$I,$G$4)</f>
        <v>0</v>
      </c>
      <c r="H11" s="64">
        <f>sumifs(Dados!$N:$N,Dados!$B:$B,B11,Dados!$J:$J,$D$1,Dados!$I:$I,$H$4)</f>
        <v>0</v>
      </c>
      <c r="I11" s="64">
        <f>sumifs(Dados!$N:$N,Dados!$B:$B,B11,Dados!$J:$J,$D$1,Dados!$I:$I,$I$4)</f>
        <v>0</v>
      </c>
      <c r="J11" s="64">
        <f>sumifs(Dados!$N:$N,Dados!$B:$B,B11,Dados!$J:$J,$D$1,Dados!$I:$I,$J$4)</f>
        <v>0</v>
      </c>
      <c r="K11" s="64">
        <f>sumifs(Dados!$N:$N,Dados!$B:$B,B11,Dados!$J:$J,$D$1,Dados!$I:$I,$K$4)</f>
        <v>0</v>
      </c>
      <c r="L11" s="64">
        <f>sumifs(Dados!$N:$N,Dados!$B:$B,B11,Dados!$J:$J,$D$1,Dados!$I:$I,$L$4)</f>
        <v>0</v>
      </c>
      <c r="M11" s="64">
        <f>sumifs(Dados!$N:$N,Dados!$B:$B,B11,Dados!$J:$J,$D$1,Dados!$I:$I,$M$4)</f>
        <v>0</v>
      </c>
      <c r="N11" s="64">
        <f>sumifs(Dados!$N:$N,Dados!$B:$B,B11,Dados!$J:$J,$D$1,Dados!$I:$I,$N$4)</f>
        <v>0</v>
      </c>
      <c r="O11" s="64">
        <f>sumifs(Dados!$N:$N,Dados!$B:$B,B11,Dados!$J:$J,$D$1,Dados!$I:$I,$O$4)</f>
        <v>0</v>
      </c>
      <c r="P11" s="64">
        <f>sumifs(Dados!$N:$N,Dados!$B:$B,B11,Dados!$J:$J,$D$1,Dados!$I:$I,$P$4)</f>
        <v>0</v>
      </c>
      <c r="Q11" s="64"/>
    </row>
    <row r="12" ht="15.75" customHeight="1">
      <c r="A12" s="58"/>
      <c r="B12" s="59" t="s">
        <v>105</v>
      </c>
      <c r="C12" s="60"/>
      <c r="D12" s="61">
        <f t="shared" si="1"/>
        <v>0</v>
      </c>
      <c r="E12" s="64">
        <f>sumifs(Dados!$N:$N,Dados!$B:$B,B12,Dados!$J:$J,$D$1,Dados!$I:$I,$E$4)</f>
        <v>0</v>
      </c>
      <c r="F12" s="64">
        <f>sumifs(Dados!$N:$N,Dados!$B:$B,B12,Dados!$J:$J,$D$1,Dados!$I:$I,$F$4)</f>
        <v>0</v>
      </c>
      <c r="G12" s="64">
        <f>sumifs(Dados!$N:$N,Dados!$B:$B,B12,Dados!$J:$J,$D$1,Dados!$I:$I,$G$4)</f>
        <v>0</v>
      </c>
      <c r="H12" s="64">
        <f>sumifs(Dados!$N:$N,Dados!$B:$B,B12,Dados!$J:$J,$D$1,Dados!$I:$I,$H$4)</f>
        <v>0</v>
      </c>
      <c r="I12" s="64">
        <f>sumifs(Dados!$N:$N,Dados!$B:$B,B12,Dados!$J:$J,$D$1,Dados!$I:$I,$I$4)</f>
        <v>0</v>
      </c>
      <c r="J12" s="64">
        <f>sumifs(Dados!$N:$N,Dados!$B:$B,B12,Dados!$J:$J,$D$1,Dados!$I:$I,$J$4)</f>
        <v>0</v>
      </c>
      <c r="K12" s="64">
        <f>sumifs(Dados!$N:$N,Dados!$B:$B,B12,Dados!$J:$J,$D$1,Dados!$I:$I,$K$4)</f>
        <v>0</v>
      </c>
      <c r="L12" s="64">
        <f>sumifs(Dados!$N:$N,Dados!$B:$B,B12,Dados!$J:$J,$D$1,Dados!$I:$I,$L$4)</f>
        <v>0</v>
      </c>
      <c r="M12" s="64">
        <f>sumifs(Dados!$N:$N,Dados!$B:$B,B12,Dados!$J:$J,$D$1,Dados!$I:$I,$M$4)</f>
        <v>0</v>
      </c>
      <c r="N12" s="64">
        <f>sumifs(Dados!$N:$N,Dados!$B:$B,B12,Dados!$J:$J,$D$1,Dados!$I:$I,$N$4)</f>
        <v>0</v>
      </c>
      <c r="O12" s="64">
        <f>sumifs(Dados!$N:$N,Dados!$B:$B,B12,Dados!$J:$J,$D$1,Dados!$I:$I,$O$4)</f>
        <v>0</v>
      </c>
      <c r="P12" s="64">
        <f>sumifs(Dados!$N:$N,Dados!$B:$B,B12,Dados!$J:$J,$D$1,Dados!$I:$I,$P$4)</f>
        <v>0</v>
      </c>
      <c r="Q12" s="64"/>
    </row>
    <row r="13" ht="15.75" customHeight="1">
      <c r="A13" s="88" t="s">
        <v>106</v>
      </c>
      <c r="B13" s="89">
        <f>sumifs(Dados!$N:$N,Dados!$A:$A,A13,Dados!$H:$H,$D$1)</f>
        <v>721.71</v>
      </c>
      <c r="C13" s="90">
        <f>B13-D13</f>
        <v>0</v>
      </c>
      <c r="D13" s="89">
        <f t="shared" ref="D13:P13" si="2">SUM(D5:D12)</f>
        <v>721.71</v>
      </c>
      <c r="E13" s="89">
        <f t="shared" si="2"/>
        <v>0</v>
      </c>
      <c r="F13" s="89">
        <f t="shared" si="2"/>
        <v>0</v>
      </c>
      <c r="G13" s="89">
        <f t="shared" si="2"/>
        <v>0</v>
      </c>
      <c r="H13" s="89">
        <f t="shared" si="2"/>
        <v>0</v>
      </c>
      <c r="I13" s="89">
        <f t="shared" si="2"/>
        <v>0</v>
      </c>
      <c r="J13" s="89">
        <f t="shared" si="2"/>
        <v>721.71</v>
      </c>
      <c r="K13" s="89">
        <f t="shared" si="2"/>
        <v>0</v>
      </c>
      <c r="L13" s="89">
        <f t="shared" si="2"/>
        <v>0</v>
      </c>
      <c r="M13" s="89">
        <f t="shared" si="2"/>
        <v>0</v>
      </c>
      <c r="N13" s="89">
        <f t="shared" si="2"/>
        <v>0</v>
      </c>
      <c r="O13" s="89">
        <f t="shared" si="2"/>
        <v>0</v>
      </c>
      <c r="P13" s="89">
        <f t="shared" si="2"/>
        <v>0</v>
      </c>
      <c r="Q13" s="89"/>
    </row>
    <row r="14" ht="15.75" customHeight="1">
      <c r="A14" s="58"/>
      <c r="B14" s="59" t="s">
        <v>107</v>
      </c>
      <c r="C14" s="60"/>
      <c r="D14" s="61">
        <f t="shared" ref="D14:D17" si="3">SUM(E14:P14)</f>
        <v>0</v>
      </c>
      <c r="E14" s="64">
        <f>sumifs(Dados!$N:$N,Dados!$B:$B,B14,Dados!$J:$J,$D$1,Dados!$I:$I,$E$4)</f>
        <v>0</v>
      </c>
      <c r="F14" s="64">
        <f>sumifs(Dados!$N:$N,Dados!$B:$B,B14,Dados!$J:$J,$D$1,Dados!$I:$I,$F$4)</f>
        <v>0</v>
      </c>
      <c r="G14" s="64">
        <f>sumifs(Dados!$N:$N,Dados!$B:$B,B14,Dados!$J:$J,$D$1,Dados!$I:$I,$G$4)</f>
        <v>0</v>
      </c>
      <c r="H14" s="64">
        <f>sumifs(Dados!$N:$N,Dados!$B:$B,B14,Dados!$J:$J,$D$1,Dados!$I:$I,$H$4)</f>
        <v>0</v>
      </c>
      <c r="I14" s="64">
        <f>sumifs(Dados!$N:$N,Dados!$B:$B,B14,Dados!$J:$J,$D$1,Dados!$I:$I,$I$4)</f>
        <v>0</v>
      </c>
      <c r="J14" s="64">
        <f>sumifs(Dados!$N:$N,Dados!$B:$B,B14,Dados!$J:$J,$D$1,Dados!$I:$I,$J$4)</f>
        <v>0</v>
      </c>
      <c r="K14" s="64">
        <f>sumifs(Dados!$N:$N,Dados!$B:$B,B14,Dados!$J:$J,$D$1,Dados!$I:$I,$K$4)</f>
        <v>0</v>
      </c>
      <c r="L14" s="64">
        <f>sumifs(Dados!$N:$N,Dados!$B:$B,B14,Dados!$J:$J,$D$1,Dados!$I:$I,$L$4)</f>
        <v>0</v>
      </c>
      <c r="M14" s="64">
        <f>sumifs(Dados!$N:$N,Dados!$B:$B,B14,Dados!$J:$J,$D$1,Dados!$I:$I,$M$4)</f>
        <v>0</v>
      </c>
      <c r="N14" s="64">
        <f>sumifs(Dados!$N:$N,Dados!$B:$B,B14,Dados!$J:$J,$D$1,Dados!$I:$I,$N$4)</f>
        <v>0</v>
      </c>
      <c r="O14" s="64">
        <f>sumifs(Dados!$N:$N,Dados!$B:$B,B14,Dados!$J:$J,$D$1,Dados!$I:$I,$O$4)</f>
        <v>0</v>
      </c>
      <c r="P14" s="64">
        <f>sumifs(Dados!$N:$N,Dados!$B:$B,B14,Dados!$J:$J,$D$1,Dados!$I:$I,$P$4)</f>
        <v>0</v>
      </c>
      <c r="Q14" s="64"/>
    </row>
    <row r="15" ht="15.75" customHeight="1">
      <c r="A15" s="58"/>
      <c r="B15" s="59" t="s">
        <v>109</v>
      </c>
      <c r="C15" s="60"/>
      <c r="D15" s="61">
        <f t="shared" si="3"/>
        <v>0</v>
      </c>
      <c r="E15" s="64">
        <f>sumifs(Dados!$N:$N,Dados!$B:$B,B15,Dados!$J:$J,$D$1,Dados!$I:$I,$E$4)</f>
        <v>0</v>
      </c>
      <c r="F15" s="64">
        <f>sumifs(Dados!$N:$N,Dados!$B:$B,B15,Dados!$J:$J,$D$1,Dados!$I:$I,$F$4)</f>
        <v>0</v>
      </c>
      <c r="G15" s="64">
        <f>sumifs(Dados!$N:$N,Dados!$B:$B,B15,Dados!$J:$J,$D$1,Dados!$I:$I,$G$4)</f>
        <v>0</v>
      </c>
      <c r="H15" s="64">
        <f>sumifs(Dados!$N:$N,Dados!$B:$B,B15,Dados!$J:$J,$D$1,Dados!$I:$I,$H$4)</f>
        <v>0</v>
      </c>
      <c r="I15" s="64">
        <f>sumifs(Dados!$N:$N,Dados!$B:$B,B15,Dados!$J:$J,$D$1,Dados!$I:$I,$I$4)</f>
        <v>0</v>
      </c>
      <c r="J15" s="64">
        <f>sumifs(Dados!$N:$N,Dados!$B:$B,B15,Dados!$J:$J,$D$1,Dados!$I:$I,$J$4)</f>
        <v>0</v>
      </c>
      <c r="K15" s="64">
        <f>sumifs(Dados!$N:$N,Dados!$B:$B,B15,Dados!$J:$J,$D$1,Dados!$I:$I,$K$4)</f>
        <v>0</v>
      </c>
      <c r="L15" s="64">
        <f>sumifs(Dados!$N:$N,Dados!$B:$B,B15,Dados!$J:$J,$D$1,Dados!$I:$I,$L$4)</f>
        <v>0</v>
      </c>
      <c r="M15" s="64">
        <f>sumifs(Dados!$N:$N,Dados!$B:$B,B15,Dados!$J:$J,$D$1,Dados!$I:$I,$M$4)</f>
        <v>0</v>
      </c>
      <c r="N15" s="64">
        <f>sumifs(Dados!$N:$N,Dados!$B:$B,B15,Dados!$J:$J,$D$1,Dados!$I:$I,$N$4)</f>
        <v>0</v>
      </c>
      <c r="O15" s="64">
        <f>sumifs(Dados!$N:$N,Dados!$B:$B,B15,Dados!$J:$J,$D$1,Dados!$I:$I,$O$4)</f>
        <v>0</v>
      </c>
      <c r="P15" s="64">
        <f>sumifs(Dados!$N:$N,Dados!$B:$B,B15,Dados!$J:$J,$D$1,Dados!$I:$I,$P$4)</f>
        <v>0</v>
      </c>
      <c r="Q15" s="64"/>
    </row>
    <row r="16" ht="15.75" customHeight="1">
      <c r="A16" s="58"/>
      <c r="B16" s="59" t="s">
        <v>111</v>
      </c>
      <c r="C16" s="60"/>
      <c r="D16" s="61">
        <f t="shared" si="3"/>
        <v>0</v>
      </c>
      <c r="E16" s="64">
        <f>sumifs(Dados!$N:$N,Dados!$B:$B,B16,Dados!$J:$J,$D$1,Dados!$I:$I,$E$4)</f>
        <v>0</v>
      </c>
      <c r="F16" s="64">
        <f>sumifs(Dados!$N:$N,Dados!$B:$B,B16,Dados!$J:$J,$D$1,Dados!$I:$I,$F$4)</f>
        <v>0</v>
      </c>
      <c r="G16" s="64">
        <f>sumifs(Dados!$N:$N,Dados!$B:$B,B16,Dados!$J:$J,$D$1,Dados!$I:$I,$G$4)</f>
        <v>0</v>
      </c>
      <c r="H16" s="64">
        <f>sumifs(Dados!$N:$N,Dados!$B:$B,B16,Dados!$J:$J,$D$1,Dados!$I:$I,$H$4)</f>
        <v>0</v>
      </c>
      <c r="I16" s="64">
        <f>sumifs(Dados!$N:$N,Dados!$B:$B,B16,Dados!$J:$J,$D$1,Dados!$I:$I,$I$4)</f>
        <v>0</v>
      </c>
      <c r="J16" s="64">
        <f>sumifs(Dados!$N:$N,Dados!$B:$B,B16,Dados!$J:$J,$D$1,Dados!$I:$I,$J$4)</f>
        <v>0</v>
      </c>
      <c r="K16" s="64">
        <f>sumifs(Dados!$N:$N,Dados!$B:$B,B16,Dados!$J:$J,$D$1,Dados!$I:$I,$K$4)</f>
        <v>0</v>
      </c>
      <c r="L16" s="64">
        <f>sumifs(Dados!$N:$N,Dados!$B:$B,B16,Dados!$J:$J,$D$1,Dados!$I:$I,$L$4)</f>
        <v>0</v>
      </c>
      <c r="M16" s="64">
        <f>sumifs(Dados!$N:$N,Dados!$B:$B,B16,Dados!$J:$J,$D$1,Dados!$I:$I,$M$4)</f>
        <v>0</v>
      </c>
      <c r="N16" s="64">
        <f>sumifs(Dados!$N:$N,Dados!$B:$B,B16,Dados!$J:$J,$D$1,Dados!$I:$I,$N$4)</f>
        <v>0</v>
      </c>
      <c r="O16" s="64">
        <f>sumifs(Dados!$N:$N,Dados!$B:$B,B16,Dados!$J:$J,$D$1,Dados!$I:$I,$O$4)</f>
        <v>0</v>
      </c>
      <c r="P16" s="64">
        <f>sumifs(Dados!$N:$N,Dados!$B:$B,B16,Dados!$J:$J,$D$1,Dados!$I:$I,$P$4)</f>
        <v>0</v>
      </c>
      <c r="Q16" s="64"/>
    </row>
    <row r="17" ht="15.75" customHeight="1">
      <c r="A17" s="58"/>
      <c r="B17" s="59" t="s">
        <v>114</v>
      </c>
      <c r="C17" s="60"/>
      <c r="D17" s="61">
        <f t="shared" si="3"/>
        <v>0</v>
      </c>
      <c r="E17" s="64">
        <f>sumifs(Dados!$N:$N,Dados!$B:$B,B17,Dados!$J:$J,$D$1,Dados!$I:$I,$E$4)</f>
        <v>0</v>
      </c>
      <c r="F17" s="64">
        <f>sumifs(Dados!$N:$N,Dados!$B:$B,B17,Dados!$J:$J,$D$1,Dados!$I:$I,$F$4)</f>
        <v>0</v>
      </c>
      <c r="G17" s="64">
        <f>sumifs(Dados!$N:$N,Dados!$B:$B,B17,Dados!$J:$J,$D$1,Dados!$I:$I,$G$4)</f>
        <v>0</v>
      </c>
      <c r="H17" s="64">
        <f>sumifs(Dados!$N:$N,Dados!$B:$B,B17,Dados!$J:$J,$D$1,Dados!$I:$I,$H$4)</f>
        <v>0</v>
      </c>
      <c r="I17" s="64">
        <f>sumifs(Dados!$N:$N,Dados!$B:$B,B17,Dados!$J:$J,$D$1,Dados!$I:$I,$I$4)</f>
        <v>0</v>
      </c>
      <c r="J17" s="64">
        <f>sumifs(Dados!$N:$N,Dados!$B:$B,B17,Dados!$J:$J,$D$1,Dados!$I:$I,$J$4)</f>
        <v>0</v>
      </c>
      <c r="K17" s="64">
        <f>sumifs(Dados!$N:$N,Dados!$B:$B,B17,Dados!$J:$J,$D$1,Dados!$I:$I,$K$4)</f>
        <v>0</v>
      </c>
      <c r="L17" s="64">
        <f>sumifs(Dados!$N:$N,Dados!$B:$B,B17,Dados!$J:$J,$D$1,Dados!$I:$I,$L$4)</f>
        <v>0</v>
      </c>
      <c r="M17" s="64">
        <f>sumifs(Dados!$N:$N,Dados!$B:$B,B17,Dados!$J:$J,$D$1,Dados!$I:$I,$M$4)</f>
        <v>0</v>
      </c>
      <c r="N17" s="64">
        <f>sumifs(Dados!$N:$N,Dados!$B:$B,B17,Dados!$J:$J,$D$1,Dados!$I:$I,$N$4)</f>
        <v>0</v>
      </c>
      <c r="O17" s="64">
        <f>sumifs(Dados!$N:$N,Dados!$B:$B,B17,Dados!$J:$J,$D$1,Dados!$I:$I,$O$4)</f>
        <v>0</v>
      </c>
      <c r="P17" s="64">
        <f>sumifs(Dados!$N:$N,Dados!$B:$B,B17,Dados!$J:$J,$D$1,Dados!$I:$I,$P$4)</f>
        <v>0</v>
      </c>
      <c r="Q17" s="64"/>
    </row>
    <row r="18" ht="15.75" customHeight="1">
      <c r="A18" s="88" t="s">
        <v>118</v>
      </c>
      <c r="B18" s="89">
        <f>sumifs(Dados!$N:$N,Dados!$A:$A,A18,Dados!$H:$H,$D$1)</f>
        <v>0</v>
      </c>
      <c r="C18" s="90">
        <f>B18-D18</f>
        <v>0</v>
      </c>
      <c r="D18" s="89">
        <f t="shared" ref="D18:P18" si="4">SUM(D14:D17)</f>
        <v>0</v>
      </c>
      <c r="E18" s="89">
        <f t="shared" si="4"/>
        <v>0</v>
      </c>
      <c r="F18" s="89">
        <f t="shared" si="4"/>
        <v>0</v>
      </c>
      <c r="G18" s="89">
        <f t="shared" si="4"/>
        <v>0</v>
      </c>
      <c r="H18" s="89">
        <f t="shared" si="4"/>
        <v>0</v>
      </c>
      <c r="I18" s="89">
        <f t="shared" si="4"/>
        <v>0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89">
        <f t="shared" si="4"/>
        <v>0</v>
      </c>
      <c r="P18" s="89">
        <f t="shared" si="4"/>
        <v>0</v>
      </c>
      <c r="Q18" s="89"/>
    </row>
    <row r="19" ht="15.75" hidden="1" customHeight="1">
      <c r="A19" s="109"/>
      <c r="B19" s="109"/>
      <c r="C19" s="60"/>
      <c r="D19" s="61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ht="15.75" hidden="1" customHeight="1">
      <c r="A20" s="109"/>
      <c r="B20" s="109"/>
      <c r="C20" s="60"/>
      <c r="D20" s="61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ht="15.75" hidden="1" customHeight="1">
      <c r="A21" s="109"/>
      <c r="B21" s="109"/>
      <c r="C21" s="60"/>
      <c r="D21" s="61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</row>
    <row r="22" ht="15.75" hidden="1" customHeight="1">
      <c r="A22" s="109"/>
      <c r="B22" s="109"/>
      <c r="C22" s="60"/>
      <c r="D22" s="61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</row>
    <row r="23" ht="15.75" hidden="1" customHeight="1">
      <c r="A23" s="109"/>
      <c r="B23" s="109"/>
      <c r="C23" s="60"/>
      <c r="D23" s="61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</row>
    <row r="24" ht="15.75" hidden="1" customHeight="1">
      <c r="A24" s="88"/>
      <c r="B24" s="89"/>
      <c r="C24" s="90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</row>
    <row r="25" ht="15.75" customHeight="1">
      <c r="A25" s="109"/>
      <c r="B25" s="59" t="s">
        <v>121</v>
      </c>
      <c r="C25" s="60"/>
      <c r="D25" s="61">
        <f t="shared" ref="D25:D28" si="5">SUM(E25:P25)</f>
        <v>0</v>
      </c>
      <c r="E25" s="64">
        <f>sumifs(Dados!$N:$N,Dados!$B:$B,B25,Dados!$J:$J,$D$1,Dados!$I:$I,$E$4)</f>
        <v>0</v>
      </c>
      <c r="F25" s="64">
        <f>sumifs(Dados!$N:$N,Dados!$B:$B,B25,Dados!$J:$J,$D$1,Dados!$I:$I,$F$4)</f>
        <v>0</v>
      </c>
      <c r="G25" s="64">
        <f>sumifs(Dados!$N:$N,Dados!$B:$B,B25,Dados!$J:$J,$D$1,Dados!$I:$I,$G$4)</f>
        <v>0</v>
      </c>
      <c r="H25" s="64">
        <f>sumifs(Dados!$N:$N,Dados!$B:$B,B25,Dados!$J:$J,$D$1,Dados!$I:$I,$H$4)</f>
        <v>0</v>
      </c>
      <c r="I25" s="64">
        <f>sumifs(Dados!$N:$N,Dados!$B:$B,B25,Dados!$J:$J,$D$1,Dados!$I:$I,$I$4)</f>
        <v>0</v>
      </c>
      <c r="J25" s="64">
        <f>sumifs(Dados!$N:$N,Dados!$B:$B,B25,Dados!$J:$J,$D$1,Dados!$I:$I,$J$4)</f>
        <v>0</v>
      </c>
      <c r="K25" s="64">
        <f>sumifs(Dados!$N:$N,Dados!$B:$B,B25,Dados!$J:$J,$D$1,Dados!$I:$I,$K$4)</f>
        <v>0</v>
      </c>
      <c r="L25" s="64">
        <f>sumifs(Dados!$N:$N,Dados!$B:$B,B25,Dados!$J:$J,$D$1,Dados!$I:$I,$L$4)</f>
        <v>0</v>
      </c>
      <c r="M25" s="64">
        <f>sumifs(Dados!$N:$N,Dados!$B:$B,B25,Dados!$J:$J,$D$1,Dados!$I:$I,$M$4)</f>
        <v>0</v>
      </c>
      <c r="N25" s="64">
        <f>sumifs(Dados!$N:$N,Dados!$B:$B,B25,Dados!$J:$J,$D$1,Dados!$I:$I,$N$4)</f>
        <v>0</v>
      </c>
      <c r="O25" s="64">
        <f>sumifs(Dados!$N:$N,Dados!$B:$B,B25,Dados!$J:$J,$D$1,Dados!$I:$I,$O$4)</f>
        <v>0</v>
      </c>
      <c r="P25" s="64">
        <f>sumifs(Dados!$N:$N,Dados!$B:$B,B25,Dados!$J:$J,$D$1,Dados!$I:$I,$P$4)</f>
        <v>0</v>
      </c>
      <c r="Q25" s="64"/>
    </row>
    <row r="26" ht="15.75" customHeight="1">
      <c r="A26" s="109"/>
      <c r="B26" s="59" t="s">
        <v>125</v>
      </c>
      <c r="C26" s="60"/>
      <c r="D26" s="61">
        <f t="shared" si="5"/>
        <v>0</v>
      </c>
      <c r="E26" s="64">
        <f>sumifs(Dados!$N:$N,Dados!$B:$B,B26,Dados!$J:$J,$D$1,Dados!$I:$I,$E$4)</f>
        <v>0</v>
      </c>
      <c r="F26" s="64">
        <f>sumifs(Dados!$N:$N,Dados!$B:$B,B26,Dados!$J:$J,$D$1,Dados!$I:$I,$F$4)</f>
        <v>0</v>
      </c>
      <c r="G26" s="64">
        <f>sumifs(Dados!$N:$N,Dados!$B:$B,B26,Dados!$J:$J,$D$1,Dados!$I:$I,$G$4)</f>
        <v>0</v>
      </c>
      <c r="H26" s="64">
        <f>sumifs(Dados!$N:$N,Dados!$B:$B,B26,Dados!$J:$J,$D$1,Dados!$I:$I,$H$4)</f>
        <v>0</v>
      </c>
      <c r="I26" s="64">
        <f>sumifs(Dados!$N:$N,Dados!$B:$B,B26,Dados!$J:$J,$D$1,Dados!$I:$I,$I$4)</f>
        <v>0</v>
      </c>
      <c r="J26" s="64">
        <f>sumifs(Dados!$N:$N,Dados!$B:$B,B26,Dados!$J:$J,$D$1,Dados!$I:$I,$J$4)</f>
        <v>0</v>
      </c>
      <c r="K26" s="64">
        <f>sumifs(Dados!$N:$N,Dados!$B:$B,B26,Dados!$J:$J,$D$1,Dados!$I:$I,$K$4)</f>
        <v>0</v>
      </c>
      <c r="L26" s="64">
        <f>sumifs(Dados!$N:$N,Dados!$B:$B,B26,Dados!$J:$J,$D$1,Dados!$I:$I,$L$4)</f>
        <v>0</v>
      </c>
      <c r="M26" s="64">
        <f>sumifs(Dados!$N:$N,Dados!$B:$B,B26,Dados!$J:$J,$D$1,Dados!$I:$I,$M$4)</f>
        <v>0</v>
      </c>
      <c r="N26" s="64">
        <f>sumifs(Dados!$N:$N,Dados!$B:$B,B26,Dados!$J:$J,$D$1,Dados!$I:$I,$N$4)</f>
        <v>0</v>
      </c>
      <c r="O26" s="64">
        <f>sumifs(Dados!$N:$N,Dados!$B:$B,B26,Dados!$J:$J,$D$1,Dados!$I:$I,$O$4)</f>
        <v>0</v>
      </c>
      <c r="P26" s="64">
        <f>sumifs(Dados!$N:$N,Dados!$B:$B,B26,Dados!$J:$J,$D$1,Dados!$I:$I,$P$4)</f>
        <v>0</v>
      </c>
      <c r="Q26" s="64"/>
    </row>
    <row r="27" ht="15.75" customHeight="1">
      <c r="A27" s="74"/>
      <c r="B27" s="59" t="s">
        <v>128</v>
      </c>
      <c r="C27" s="60"/>
      <c r="D27" s="61">
        <f t="shared" si="5"/>
        <v>0</v>
      </c>
      <c r="E27" s="64">
        <f>sumifs(Dados!$N:$N,Dados!$B:$B,$B$27,Dados!$J:$J,$D$1,Dados!$I:$I,E4)</f>
        <v>0</v>
      </c>
      <c r="F27" s="64">
        <f>sumifs(Dados!$N:$N,Dados!$B:$B,$B$27,Dados!$J:$J,$D$1,Dados!$I:$I,F4)</f>
        <v>0</v>
      </c>
      <c r="G27" s="64">
        <f>sumifs(Dados!$N:$N,Dados!$B:$B,$B$27,Dados!$J:$J,$D$1,Dados!$I:$I,G4)</f>
        <v>0</v>
      </c>
      <c r="H27" s="64">
        <f>sumifs(Dados!$N:$N,Dados!$B:$B,$B$27,Dados!$J:$J,$D$1,Dados!$I:$I,H4)</f>
        <v>0</v>
      </c>
      <c r="I27" s="64">
        <f>sumifs(Dados!$N:$N,Dados!$B:$B,$B$27,Dados!$J:$J,$D$1,Dados!$I:$I,I4)</f>
        <v>0</v>
      </c>
      <c r="J27" s="64">
        <f>sumifs(Dados!$N:$N,Dados!$B:$B,$B$27,Dados!$J:$J,$D$1,Dados!$I:$I,J4)</f>
        <v>0</v>
      </c>
      <c r="K27" s="64">
        <f>sumifs(Dados!$N:$N,Dados!$B:$B,$B$27,Dados!$J:$J,$D$1,Dados!$I:$I,K4)</f>
        <v>0</v>
      </c>
      <c r="L27" s="64">
        <f>sumifs(Dados!$N:$N,Dados!$B:$B,$B$27,Dados!$J:$J,$D$1,Dados!$I:$I,L4)</f>
        <v>0</v>
      </c>
      <c r="M27" s="64">
        <f>sumifs(Dados!$N:$N,Dados!$B:$B,$B$27,Dados!$J:$J,$D$1,Dados!$I:$I,M4)</f>
        <v>0</v>
      </c>
      <c r="N27" s="64">
        <f>sumifs(Dados!$N:$N,Dados!$B:$B,$B$27,Dados!$J:$J,$D$1,Dados!$I:$I,N4)</f>
        <v>0</v>
      </c>
      <c r="O27" s="64">
        <f>sumifs(Dados!$N:$N,Dados!$B:$B,$B$27,Dados!$J:$J,$D$1,Dados!$I:$I,O4)</f>
        <v>0</v>
      </c>
      <c r="P27" s="64">
        <f>sumifs(Dados!$N:$N,Dados!$B:$B,$B$27,Dados!$J:$J,$D$1,Dados!$I:$I,P4)</f>
        <v>0</v>
      </c>
      <c r="Q27" s="64"/>
    </row>
    <row r="28" ht="15.75" customHeight="1">
      <c r="A28" s="58"/>
      <c r="B28" s="59" t="s">
        <v>130</v>
      </c>
      <c r="C28" s="60"/>
      <c r="D28" s="61">
        <f t="shared" si="5"/>
        <v>0</v>
      </c>
      <c r="E28" s="64">
        <f>sumifs(Dados!$N:$N,Dados!$B:$B,$B$28,Dados!$J:$J,$D$1,Dados!$I:$I,E4)</f>
        <v>0</v>
      </c>
      <c r="F28" s="64">
        <f>sumifs(Dados!$N:$N,Dados!$B:$B,$B$28,Dados!$J:$J,$D$1,Dados!$I:$I,F4)</f>
        <v>0</v>
      </c>
      <c r="G28" s="64">
        <f>sumifs(Dados!$N:$N,Dados!$B:$B,$B$28,Dados!$J:$J,$D$1,Dados!$I:$I,G4)</f>
        <v>0</v>
      </c>
      <c r="H28" s="64">
        <f>sumifs(Dados!$N:$N,Dados!$B:$B,$B$28,Dados!$J:$J,$D$1,Dados!$I:$I,H4)</f>
        <v>0</v>
      </c>
      <c r="I28" s="64">
        <f>sumifs(Dados!$N:$N,Dados!$B:$B,$B$28,Dados!$J:$J,$D$1,Dados!$I:$I,I4)</f>
        <v>0</v>
      </c>
      <c r="J28" s="64">
        <f>sumifs(Dados!$N:$N,Dados!$B:$B,$B$28,Dados!$J:$J,$D$1,Dados!$I:$I,J4)</f>
        <v>0</v>
      </c>
      <c r="K28" s="64">
        <f>sumifs(Dados!$N:$N,Dados!$B:$B,$B$28,Dados!$J:$J,$D$1,Dados!$I:$I,K4)</f>
        <v>0</v>
      </c>
      <c r="L28" s="64">
        <f>sumifs(Dados!$N:$N,Dados!$B:$B,$B$28,Dados!$J:$J,$D$1,Dados!$I:$I,L4)</f>
        <v>0</v>
      </c>
      <c r="M28" s="64">
        <f>sumifs(Dados!$N:$N,Dados!$B:$B,$B$28,Dados!$J:$J,$D$1,Dados!$I:$I,M4)</f>
        <v>0</v>
      </c>
      <c r="N28" s="64">
        <f>sumifs(Dados!$N:$N,Dados!$B:$B,$B$28,Dados!$J:$J,$D$1,Dados!$I:$I,N4)</f>
        <v>0</v>
      </c>
      <c r="O28" s="64">
        <f>sumifs(Dados!$N:$N,Dados!$B:$B,$B$28,Dados!$J:$J,$D$1,Dados!$I:$I,O4)</f>
        <v>0</v>
      </c>
      <c r="P28" s="64">
        <f>sumifs(Dados!$N:$N,Dados!$B:$B,$B$28,Dados!$J:$J,$D$1,Dados!$I:$I,P4)</f>
        <v>0</v>
      </c>
      <c r="Q28" s="64"/>
    </row>
    <row r="29" ht="15.75" customHeight="1">
      <c r="A29" s="88" t="s">
        <v>131</v>
      </c>
      <c r="B29" s="89">
        <f>sumifs(Dados!$N:$N,Dados!$A:$A,A29,Dados!$H:$H,$D$1)</f>
        <v>0</v>
      </c>
      <c r="C29" s="90">
        <f>B29-D29</f>
        <v>0</v>
      </c>
      <c r="D29" s="89">
        <f t="shared" ref="D29:P29" si="6">SUM(D25:D28)</f>
        <v>0</v>
      </c>
      <c r="E29" s="89">
        <f t="shared" si="6"/>
        <v>0</v>
      </c>
      <c r="F29" s="89">
        <f t="shared" si="6"/>
        <v>0</v>
      </c>
      <c r="G29" s="89">
        <f t="shared" si="6"/>
        <v>0</v>
      </c>
      <c r="H29" s="89">
        <f t="shared" si="6"/>
        <v>0</v>
      </c>
      <c r="I29" s="89">
        <f t="shared" si="6"/>
        <v>0</v>
      </c>
      <c r="J29" s="89">
        <f t="shared" si="6"/>
        <v>0</v>
      </c>
      <c r="K29" s="89">
        <f t="shared" si="6"/>
        <v>0</v>
      </c>
      <c r="L29" s="89">
        <f t="shared" si="6"/>
        <v>0</v>
      </c>
      <c r="M29" s="89">
        <f t="shared" si="6"/>
        <v>0</v>
      </c>
      <c r="N29" s="89">
        <f t="shared" si="6"/>
        <v>0</v>
      </c>
      <c r="O29" s="89">
        <f t="shared" si="6"/>
        <v>0</v>
      </c>
      <c r="P29" s="89">
        <f t="shared" si="6"/>
        <v>0</v>
      </c>
      <c r="Q29" s="89"/>
    </row>
    <row r="30" ht="15.75" customHeight="1">
      <c r="A30" s="58"/>
      <c r="B30" s="59" t="s">
        <v>132</v>
      </c>
      <c r="C30" s="60"/>
      <c r="D30" s="61">
        <f t="shared" ref="D30:D33" si="7">SUM(E30:P30)</f>
        <v>0</v>
      </c>
      <c r="E30" s="64">
        <f>sumifs(Dados!$N:$N,Dados!$B:$B,B30,Dados!$J:$J,$D$1,Dados!$I:$I,$E$4)</f>
        <v>0</v>
      </c>
      <c r="F30" s="64">
        <f>sumifs(Dados!$N:$N,Dados!$B:$B,B30,Dados!$J:$J,$D$1,Dados!$I:$I,$F$4)</f>
        <v>0</v>
      </c>
      <c r="G30" s="64">
        <f>sumifs(Dados!$N:$N,Dados!$B:$B,B30,Dados!$J:$J,$D$1,Dados!$I:$I,$G$4)</f>
        <v>0</v>
      </c>
      <c r="H30" s="64">
        <f>sumifs(Dados!$N:$N,Dados!$B:$B,B30,Dados!$J:$J,$D$1,Dados!$I:$I,$H$4)</f>
        <v>0</v>
      </c>
      <c r="I30" s="64">
        <f>sumifs(Dados!$N:$N,Dados!$B:$B,B30,Dados!$J:$J,$D$1,Dados!$I:$I,$I$4)</f>
        <v>0</v>
      </c>
      <c r="J30" s="64">
        <f>sumifs(Dados!$N:$N,Dados!$B:$B,B30,Dados!$J:$J,$D$1,Dados!$I:$I,$J$4)</f>
        <v>0</v>
      </c>
      <c r="K30" s="64">
        <f>sumifs(Dados!$N:$N,Dados!$B:$B,B30,Dados!$J:$J,$D$1,Dados!$I:$I,$K$4)</f>
        <v>0</v>
      </c>
      <c r="L30" s="64">
        <f>sumifs(Dados!$N:$N,Dados!$B:$B,B30,Dados!$J:$J,$D$1,Dados!$I:$I,$L$4)</f>
        <v>0</v>
      </c>
      <c r="M30" s="64">
        <f>sumifs(Dados!$N:$N,Dados!$B:$B,B30,Dados!$J:$J,$D$1,Dados!$I:$I,$M$4)</f>
        <v>0</v>
      </c>
      <c r="N30" s="64">
        <f>sumifs(Dados!$N:$N,Dados!$B:$B,B30,Dados!$J:$J,$D$1,Dados!$I:$I,$N$4)</f>
        <v>0</v>
      </c>
      <c r="O30" s="64">
        <f>sumifs(Dados!$N:$N,Dados!$B:$B,B30,Dados!$J:$J,$D$1,Dados!$I:$I,$O$4)</f>
        <v>0</v>
      </c>
      <c r="P30" s="64">
        <f>sumifs(Dados!$N:$N,Dados!$B:$B,B30,Dados!$J:$J,$D$1,Dados!$I:$I,$P$4)</f>
        <v>0</v>
      </c>
      <c r="Q30" s="64"/>
    </row>
    <row r="31" ht="15.75" customHeight="1">
      <c r="A31" s="58"/>
      <c r="B31" s="59" t="s">
        <v>38</v>
      </c>
      <c r="C31" s="60"/>
      <c r="D31" s="61">
        <f t="shared" si="7"/>
        <v>49.83</v>
      </c>
      <c r="E31" s="64">
        <f>sumifs(Dados!$N:$N,Dados!$B:$B,$B$31,Dados!$J:$J,$D$1,Dados!$I:$I,E4)</f>
        <v>5.19</v>
      </c>
      <c r="F31" s="64">
        <f>sumifs(Dados!$N:$N,Dados!$B:$B,$B$31,Dados!$J:$J,$D$1,Dados!$I:$I,F4)</f>
        <v>8.31</v>
      </c>
      <c r="G31" s="64">
        <f>sumifs(Dados!$N:$N,Dados!$B:$B,$B$31,Dados!$J:$J,$D$1,Dados!$I:$I,G4)</f>
        <v>5.19</v>
      </c>
      <c r="H31" s="64">
        <f>sumifs(Dados!$N:$N,Dados!$B:$B,$B$31,Dados!$J:$J,$D$1,Dados!$I:$I,H4)</f>
        <v>5.19</v>
      </c>
      <c r="I31" s="64">
        <f>sumifs(Dados!$N:$N,Dados!$B:$B,$B$31,Dados!$J:$J,$D$1,Dados!$I:$I,I4)</f>
        <v>5.19</v>
      </c>
      <c r="J31" s="64">
        <f>sumifs(Dados!$N:$N,Dados!$B:$B,$B$31,Dados!$J:$J,$D$1,Dados!$I:$I,J4)</f>
        <v>5.19</v>
      </c>
      <c r="K31" s="64">
        <f>sumifs(Dados!$N:$N,Dados!$B:$B,$B$31,Dados!$J:$J,$D$1,Dados!$I:$I,K4)</f>
        <v>5.19</v>
      </c>
      <c r="L31" s="64">
        <f>sumifs(Dados!$N:$N,Dados!$B:$B,$B$31,Dados!$J:$J,$D$1,Dados!$I:$I,L4)</f>
        <v>5.19</v>
      </c>
      <c r="M31" s="64">
        <f>sumifs(Dados!$N:$N,Dados!$B:$B,$B$31,Dados!$J:$J,$D$1,Dados!$I:$I,M4)</f>
        <v>5.19</v>
      </c>
      <c r="N31" s="64">
        <f>sumifs(Dados!$N:$N,Dados!$B:$B,$B$31,Dados!$J:$J,$D$1,Dados!$I:$I,N4)</f>
        <v>0</v>
      </c>
      <c r="O31" s="64">
        <f>sumifs(Dados!$N:$N,Dados!$B:$B,$B$31,Dados!$J:$J,$D$1,Dados!$I:$I,O4)</f>
        <v>0</v>
      </c>
      <c r="P31" s="64">
        <f>sumifs(Dados!$N:$N,Dados!$B:$B,$B$31,Dados!$J:$J,$D$1,Dados!$I:$I,P4)</f>
        <v>0</v>
      </c>
      <c r="Q31" s="64"/>
    </row>
    <row r="32" ht="15.75" customHeight="1">
      <c r="A32" s="58"/>
      <c r="B32" s="59" t="s">
        <v>133</v>
      </c>
      <c r="C32" s="60"/>
      <c r="D32" s="61">
        <f t="shared" si="7"/>
        <v>0</v>
      </c>
      <c r="E32" s="64">
        <f>sumifs(Dados!$N:$N,Dados!$B:$B,B32,Dados!$J:$J,$D$1,Dados!$I:$I,$E$4)</f>
        <v>0</v>
      </c>
      <c r="F32" s="64">
        <f>sumifs(Dados!$N:$N,Dados!$B:$B,B32,Dados!$J:$J,$D$1,Dados!$I:$I,$F$4)</f>
        <v>0</v>
      </c>
      <c r="G32" s="64">
        <f>sumifs(Dados!$N:$N,Dados!$B:$B,B32,Dados!$J:$J,$D$1,Dados!$I:$I,$G$4)</f>
        <v>0</v>
      </c>
      <c r="H32" s="64">
        <f>sumifs(Dados!$N:$N,Dados!$B:$B,B32,Dados!$J:$J,$D$1,Dados!$I:$I,$H$4)</f>
        <v>0</v>
      </c>
      <c r="I32" s="64">
        <f>sumifs(Dados!$N:$N,Dados!$B:$B,B32,Dados!$J:$J,$D$1,Dados!$I:$I,$I$4)</f>
        <v>0</v>
      </c>
      <c r="J32" s="64">
        <f>sumifs(Dados!$N:$N,Dados!$B:$B,B32,Dados!$J:$J,$D$1,Dados!$I:$I,$J$4)</f>
        <v>0</v>
      </c>
      <c r="K32" s="64">
        <f>sumifs(Dados!$N:$N,Dados!$B:$B,B32,Dados!$J:$J,$D$1,Dados!$I:$I,$K$4)</f>
        <v>0</v>
      </c>
      <c r="L32" s="64">
        <f>sumifs(Dados!$N:$N,Dados!$B:$B,B32,Dados!$J:$J,$D$1,Dados!$I:$I,$L$4)</f>
        <v>0</v>
      </c>
      <c r="M32" s="64">
        <f>sumifs(Dados!$N:$N,Dados!$B:$B,B32,Dados!$J:$J,$D$1,Dados!$I:$I,$M$4)</f>
        <v>0</v>
      </c>
      <c r="N32" s="64">
        <f>sumifs(Dados!$N:$N,Dados!$B:$B,B32,Dados!$J:$J,$D$1,Dados!$I:$I,$N$4)</f>
        <v>0</v>
      </c>
      <c r="O32" s="64">
        <f>sumifs(Dados!$N:$N,Dados!$B:$B,B32,Dados!$J:$J,$D$1,Dados!$I:$I,$O$4)</f>
        <v>0</v>
      </c>
      <c r="P32" s="64">
        <f>sumifs(Dados!$N:$N,Dados!$B:$B,B32,Dados!$J:$J,$D$1,Dados!$I:$I,$P$4)</f>
        <v>0</v>
      </c>
      <c r="Q32" s="64"/>
    </row>
    <row r="33" ht="15.75" customHeight="1">
      <c r="A33" s="58"/>
      <c r="B33" s="59" t="s">
        <v>134</v>
      </c>
      <c r="C33" s="60"/>
      <c r="D33" s="61">
        <f t="shared" si="7"/>
        <v>21.01</v>
      </c>
      <c r="E33" s="64">
        <f>sumifs(Dados!$N:$N,Dados!$B:$B,B33,Dados!$J:$J,$D$1,Dados!$I:$I,$E$4)</f>
        <v>0</v>
      </c>
      <c r="F33" s="64">
        <f>sumifs(Dados!$N:$N,Dados!$B:$B,B33,Dados!$J:$J,$D$1,Dados!$I:$I,$F$4)</f>
        <v>0</v>
      </c>
      <c r="G33" s="64">
        <f>sumifs(Dados!$N:$N,Dados!$B:$B,B33,Dados!$J:$J,$D$1,Dados!$I:$I,$G$4)</f>
        <v>0</v>
      </c>
      <c r="H33" s="64">
        <f>sumifs(Dados!$N:$N,Dados!$B:$B,B33,Dados!$J:$J,$D$1,Dados!$I:$I,$H$4)</f>
        <v>0</v>
      </c>
      <c r="I33" s="64">
        <f>sumifs(Dados!$N:$N,Dados!$B:$B,B33,Dados!$J:$J,$D$1,Dados!$I:$I,$I$4)</f>
        <v>0</v>
      </c>
      <c r="J33" s="64">
        <f>sumifs(Dados!$N:$N,Dados!$B:$B,B33,Dados!$J:$J,$D$1,Dados!$I:$I,$J$4)</f>
        <v>21.01</v>
      </c>
      <c r="K33" s="64">
        <f>sumifs(Dados!$N:$N,Dados!$B:$B,B33,Dados!$J:$J,$D$1,Dados!$I:$I,$K$4)</f>
        <v>0</v>
      </c>
      <c r="L33" s="64">
        <f>sumifs(Dados!$N:$N,Dados!$B:$B,B33,Dados!$J:$J,$D$1,Dados!$I:$I,$L$4)</f>
        <v>0</v>
      </c>
      <c r="M33" s="64">
        <f>sumifs(Dados!$N:$N,Dados!$B:$B,B33,Dados!$J:$J,$D$1,Dados!$I:$I,$M$4)</f>
        <v>0</v>
      </c>
      <c r="N33" s="64">
        <f>sumifs(Dados!$N:$N,Dados!$B:$B,B33,Dados!$J:$J,$D$1,Dados!$I:$I,$N$4)</f>
        <v>0</v>
      </c>
      <c r="O33" s="64">
        <f>sumifs(Dados!$N:$N,Dados!$B:$B,B33,Dados!$J:$J,$D$1,Dados!$I:$I,$O$4)</f>
        <v>0</v>
      </c>
      <c r="P33" s="64">
        <f>sumifs(Dados!$N:$N,Dados!$B:$B,B33,Dados!$J:$J,$D$1,Dados!$I:$I,$P$4)</f>
        <v>0</v>
      </c>
      <c r="Q33" s="64"/>
    </row>
    <row r="34" ht="15.75" customHeight="1">
      <c r="A34" s="88" t="s">
        <v>136</v>
      </c>
      <c r="B34" s="89">
        <f>sumifs(Dados!$N:$N,Dados!$A:$A,A34,Dados!$H:$H,$D$1)</f>
        <v>70.84</v>
      </c>
      <c r="C34" s="90">
        <f>B34-D34</f>
        <v>0</v>
      </c>
      <c r="D34" s="89">
        <f t="shared" ref="D34:P34" si="8">SUM(D30:D33)</f>
        <v>70.84</v>
      </c>
      <c r="E34" s="89">
        <f t="shared" si="8"/>
        <v>5.19</v>
      </c>
      <c r="F34" s="89">
        <f t="shared" si="8"/>
        <v>8.31</v>
      </c>
      <c r="G34" s="89">
        <f t="shared" si="8"/>
        <v>5.19</v>
      </c>
      <c r="H34" s="89">
        <f t="shared" si="8"/>
        <v>5.19</v>
      </c>
      <c r="I34" s="89">
        <f t="shared" si="8"/>
        <v>5.19</v>
      </c>
      <c r="J34" s="89">
        <f t="shared" si="8"/>
        <v>26.2</v>
      </c>
      <c r="K34" s="89">
        <f t="shared" si="8"/>
        <v>5.19</v>
      </c>
      <c r="L34" s="89">
        <f t="shared" si="8"/>
        <v>5.19</v>
      </c>
      <c r="M34" s="89">
        <f t="shared" si="8"/>
        <v>5.19</v>
      </c>
      <c r="N34" s="89">
        <f t="shared" si="8"/>
        <v>0</v>
      </c>
      <c r="O34" s="89">
        <f t="shared" si="8"/>
        <v>0</v>
      </c>
      <c r="P34" s="89">
        <f t="shared" si="8"/>
        <v>0</v>
      </c>
      <c r="Q34" s="89"/>
    </row>
    <row r="35" ht="15.75" customHeight="1">
      <c r="A35" s="109"/>
      <c r="B35" s="59" t="s">
        <v>137</v>
      </c>
      <c r="C35" s="60"/>
      <c r="D35" s="61">
        <f t="shared" ref="D35:D54" si="9">SUM(E35:P35)</f>
        <v>15.05</v>
      </c>
      <c r="E35" s="64">
        <f>sumifs(Dados!$N:$N,Dados!$B:$B,B35,Dados!$J:$J,$D$1,Dados!$I:$I,$E$4)</f>
        <v>0</v>
      </c>
      <c r="F35" s="64">
        <f>sumifs(Dados!$N:$N,Dados!$B:$B,B35,Dados!$J:$J,$D$1,Dados!$I:$I,$F$4)</f>
        <v>0</v>
      </c>
      <c r="G35" s="64">
        <f>sumifs(Dados!$N:$N,Dados!$B:$B,B35,Dados!$J:$J,$D$1,Dados!$I:$I,$G$4)</f>
        <v>0</v>
      </c>
      <c r="H35" s="64">
        <f>sumifs(Dados!$N:$N,Dados!$B:$B,B35,Dados!$J:$J,$D$1,Dados!$I:$I,$H$4)</f>
        <v>0</v>
      </c>
      <c r="I35" s="64">
        <f>sumifs(Dados!$N:$N,Dados!$B:$B,B35,Dados!$J:$J,$D$1,Dados!$I:$I,$I$4)</f>
        <v>0</v>
      </c>
      <c r="J35" s="64">
        <f>sumifs(Dados!$N:$N,Dados!$B:$B,B35,Dados!$J:$J,$D$1,Dados!$I:$I,$J$4)</f>
        <v>5.1</v>
      </c>
      <c r="K35" s="64">
        <f>sumifs(Dados!$N:$N,Dados!$B:$B,B35,Dados!$J:$J,$D$1,Dados!$I:$I,$K$4)</f>
        <v>1.16</v>
      </c>
      <c r="L35" s="64">
        <f>sumifs(Dados!$N:$N,Dados!$B:$B,B35,Dados!$J:$J,$D$1,Dados!$I:$I,$L$4)</f>
        <v>3.64</v>
      </c>
      <c r="M35" s="64">
        <f>sumifs(Dados!$N:$N,Dados!$B:$B,B35,Dados!$J:$J,$D$1,Dados!$I:$I,$M$4)</f>
        <v>5.15</v>
      </c>
      <c r="N35" s="64">
        <f>sumifs(Dados!$N:$N,Dados!$B:$B,B35,Dados!$J:$J,$D$1,Dados!$I:$I,$N$4)</f>
        <v>0</v>
      </c>
      <c r="O35" s="64">
        <f>sumifs(Dados!$N:$N,Dados!$B:$B,B35,Dados!$J:$J,$D$1,Dados!$I:$I,$O$4)</f>
        <v>0</v>
      </c>
      <c r="P35" s="64">
        <f>sumifs(Dados!$N:$N,Dados!$B:$B,B35,Dados!$J:$J,$D$1,Dados!$I:$I,$P$4)</f>
        <v>0</v>
      </c>
      <c r="Q35" s="64"/>
    </row>
    <row r="36" ht="15.75" customHeight="1">
      <c r="A36" s="58"/>
      <c r="B36" s="59" t="s">
        <v>138</v>
      </c>
      <c r="C36" s="60"/>
      <c r="D36" s="61">
        <f t="shared" si="9"/>
        <v>107.88</v>
      </c>
      <c r="E36" s="64">
        <f>sumifs(Dados!$N:$N,Dados!$B:$B,B36,Dados!$J:$J,$D$1,Dados!$I:$I,$E$4)</f>
        <v>0</v>
      </c>
      <c r="F36" s="64">
        <f>sumifs(Dados!$N:$N,Dados!$B:$B,B36,Dados!$J:$J,$D$1,Dados!$I:$I,$F$4)</f>
        <v>0</v>
      </c>
      <c r="G36" s="64">
        <f>sumifs(Dados!$N:$N,Dados!$B:$B,B36,Dados!$J:$J,$D$1,Dados!$I:$I,$G$4)</f>
        <v>0</v>
      </c>
      <c r="H36" s="64">
        <f>sumifs(Dados!$N:$N,Dados!$B:$B,B36,Dados!$J:$J,$D$1,Dados!$I:$I,$H$4)</f>
        <v>25.08</v>
      </c>
      <c r="I36" s="64">
        <f>sumifs(Dados!$N:$N,Dados!$B:$B,B36,Dados!$J:$J,$D$1,Dados!$I:$I,$I$4)</f>
        <v>10.45</v>
      </c>
      <c r="J36" s="64">
        <f>sumifs(Dados!$N:$N,Dados!$B:$B,B36,Dados!$J:$J,$D$1,Dados!$I:$I,$J$4)</f>
        <v>29.4</v>
      </c>
      <c r="K36" s="64">
        <f>sumifs(Dados!$N:$N,Dados!$B:$B,B36,Dados!$J:$J,$D$1,Dados!$I:$I,$K$4)</f>
        <v>22.05</v>
      </c>
      <c r="L36" s="64">
        <f>sumifs(Dados!$N:$N,Dados!$B:$B,B36,Dados!$J:$J,$D$1,Dados!$I:$I,$L$4)</f>
        <v>20.9</v>
      </c>
      <c r="M36" s="64">
        <f>sumifs(Dados!$N:$N,Dados!$B:$B,B36,Dados!$J:$J,$D$1,Dados!$I:$I,$M$4)</f>
        <v>0</v>
      </c>
      <c r="N36" s="64">
        <f>sumifs(Dados!$N:$N,Dados!$B:$B,B36,Dados!$J:$J,$D$1,Dados!$I:$I,$N$4)</f>
        <v>0</v>
      </c>
      <c r="O36" s="64">
        <f>sumifs(Dados!$N:$N,Dados!$B:$B,B36,Dados!$J:$J,$D$1,Dados!$I:$I,$O$4)</f>
        <v>0</v>
      </c>
      <c r="P36" s="64">
        <f>sumifs(Dados!$N:$N,Dados!$B:$B,B36,Dados!$J:$J,$D$1,Dados!$I:$I,$P$4)</f>
        <v>0</v>
      </c>
      <c r="Q36" s="64"/>
    </row>
    <row r="37" ht="15.75" customHeight="1">
      <c r="A37" s="58"/>
      <c r="B37" s="59" t="s">
        <v>139</v>
      </c>
      <c r="C37" s="60"/>
      <c r="D37" s="61">
        <f t="shared" si="9"/>
        <v>4.29</v>
      </c>
      <c r="E37" s="64">
        <f>sumifs(Dados!$N:$N,Dados!$B:$B,B37,Dados!$J:$J,$D$1,Dados!$I:$I,$E$4)</f>
        <v>0</v>
      </c>
      <c r="F37" s="64">
        <f>sumifs(Dados!$N:$N,Dados!$B:$B,B37,Dados!$J:$J,$D$1,Dados!$I:$I,$F$4)</f>
        <v>0</v>
      </c>
      <c r="G37" s="64">
        <f>sumifs(Dados!$N:$N,Dados!$B:$B,B37,Dados!$J:$J,$D$1,Dados!$I:$I,$G$4)</f>
        <v>0</v>
      </c>
      <c r="H37" s="64">
        <f>sumifs(Dados!$N:$N,Dados!$B:$B,B37,Dados!$J:$J,$D$1,Dados!$I:$I,$H$4)</f>
        <v>4.29</v>
      </c>
      <c r="I37" s="64">
        <f>sumifs(Dados!$N:$N,Dados!$B:$B,B37,Dados!$J:$J,$D$1,Dados!$I:$I,$I$4)</f>
        <v>0</v>
      </c>
      <c r="J37" s="64">
        <f>sumifs(Dados!$N:$N,Dados!$B:$B,B37,Dados!$J:$J,$D$1,Dados!$I:$I,$J$4)</f>
        <v>0</v>
      </c>
      <c r="K37" s="64">
        <f>sumifs(Dados!$N:$N,Dados!$B:$B,B37,Dados!$J:$J,$D$1,Dados!$I:$I,$K$4)</f>
        <v>0</v>
      </c>
      <c r="L37" s="64">
        <f>sumifs(Dados!$N:$N,Dados!$B:$B,B37,Dados!$J:$J,$D$1,Dados!$I:$I,$L$4)</f>
        <v>0</v>
      </c>
      <c r="M37" s="64">
        <f>sumifs(Dados!$N:$N,Dados!$B:$B,B37,Dados!$J:$J,$D$1,Dados!$I:$I,$M$4)</f>
        <v>0</v>
      </c>
      <c r="N37" s="64">
        <f>sumifs(Dados!$N:$N,Dados!$B:$B,B37,Dados!$J:$J,$D$1,Dados!$I:$I,$N$4)</f>
        <v>0</v>
      </c>
      <c r="O37" s="64">
        <f>sumifs(Dados!$N:$N,Dados!$B:$B,B37,Dados!$J:$J,$D$1,Dados!$I:$I,$O$4)</f>
        <v>0</v>
      </c>
      <c r="P37" s="64">
        <f>sumifs(Dados!$N:$N,Dados!$B:$B,B37,Dados!$J:$J,$D$1,Dados!$I:$I,$P$4)</f>
        <v>0</v>
      </c>
      <c r="Q37" s="64"/>
    </row>
    <row r="38" ht="15.75" customHeight="1">
      <c r="A38" s="58"/>
      <c r="B38" s="59" t="s">
        <v>140</v>
      </c>
      <c r="C38" s="60"/>
      <c r="D38" s="61">
        <f t="shared" si="9"/>
        <v>6.85</v>
      </c>
      <c r="E38" s="64">
        <f>sumifs(Dados!$N:$N,Dados!$B:$B,B38,Dados!$J:$J,$D$1,Dados!$I:$I,$E$4)</f>
        <v>0</v>
      </c>
      <c r="F38" s="64">
        <f>sumifs(Dados!$N:$N,Dados!$B:$B,B38,Dados!$J:$J,$D$1,Dados!$I:$I,$F$4)</f>
        <v>0</v>
      </c>
      <c r="G38" s="64">
        <f>sumifs(Dados!$N:$N,Dados!$B:$B,B38,Dados!$J:$J,$D$1,Dados!$I:$I,$G$4)</f>
        <v>0</v>
      </c>
      <c r="H38" s="64">
        <f>sumifs(Dados!$N:$N,Dados!$B:$B,B38,Dados!$J:$J,$D$1,Dados!$I:$I,$H$4)</f>
        <v>2.49</v>
      </c>
      <c r="I38" s="64">
        <f>sumifs(Dados!$N:$N,Dados!$B:$B,B38,Dados!$J:$J,$D$1,Dados!$I:$I,$I$4)</f>
        <v>0</v>
      </c>
      <c r="J38" s="64">
        <f>sumifs(Dados!$N:$N,Dados!$B:$B,B38,Dados!$J:$J,$D$1,Dados!$I:$I,$J$4)</f>
        <v>0</v>
      </c>
      <c r="K38" s="64">
        <f>sumifs(Dados!$N:$N,Dados!$B:$B,B38,Dados!$J:$J,$D$1,Dados!$I:$I,$K$4)</f>
        <v>0</v>
      </c>
      <c r="L38" s="64">
        <f>sumifs(Dados!$N:$N,Dados!$B:$B,B38,Dados!$J:$J,$D$1,Dados!$I:$I,$L$4)</f>
        <v>0</v>
      </c>
      <c r="M38" s="64">
        <f>sumifs(Dados!$N:$N,Dados!$B:$B,B38,Dados!$J:$J,$D$1,Dados!$I:$I,$M$4)</f>
        <v>4.36</v>
      </c>
      <c r="N38" s="64">
        <f>sumifs(Dados!$N:$N,Dados!$B:$B,B38,Dados!$J:$J,$D$1,Dados!$I:$I,$N$4)</f>
        <v>0</v>
      </c>
      <c r="O38" s="64">
        <f>sumifs(Dados!$N:$N,Dados!$B:$B,B38,Dados!$J:$J,$D$1,Dados!$I:$I,$O$4)</f>
        <v>0</v>
      </c>
      <c r="P38" s="64">
        <f>sumifs(Dados!$N:$N,Dados!$B:$B,B38,Dados!$J:$J,$D$1,Dados!$I:$I,$P$4)</f>
        <v>0</v>
      </c>
      <c r="Q38" s="64"/>
    </row>
    <row r="39" ht="15.75" customHeight="1">
      <c r="A39" s="58"/>
      <c r="B39" s="59" t="s">
        <v>146</v>
      </c>
      <c r="C39" s="60"/>
      <c r="D39" s="61">
        <f t="shared" si="9"/>
        <v>507.5</v>
      </c>
      <c r="E39" s="64">
        <f>sumifs(Dados!$N:$N,Dados!$B:$B,B39,Dados!$J:$J,$D$1,Dados!$I:$I,$E$4)</f>
        <v>0</v>
      </c>
      <c r="F39" s="64">
        <f>sumifs(Dados!$N:$N,Dados!$B:$B,B39,Dados!$J:$J,$D$1,Dados!$I:$I,$F$4)</f>
        <v>0</v>
      </c>
      <c r="G39" s="64">
        <f>sumifs(Dados!$N:$N,Dados!$B:$B,B39,Dados!$J:$J,$D$1,Dados!$I:$I,$G$4)</f>
        <v>0</v>
      </c>
      <c r="H39" s="64">
        <f>sumifs(Dados!$N:$N,Dados!$B:$B,B39,Dados!$J:$J,$D$1,Dados!$I:$I,$H$4)</f>
        <v>59</v>
      </c>
      <c r="I39" s="64">
        <f>sumifs(Dados!$N:$N,Dados!$B:$B,B39,Dados!$J:$J,$D$1,Dados!$I:$I,$I$4)</f>
        <v>59.1</v>
      </c>
      <c r="J39" s="64">
        <f>sumifs(Dados!$N:$N,Dados!$B:$B,B39,Dados!$J:$J,$D$1,Dados!$I:$I,$J$4)</f>
        <v>94.6</v>
      </c>
      <c r="K39" s="64">
        <f>sumifs(Dados!$N:$N,Dados!$B:$B,B39,Dados!$J:$J,$D$1,Dados!$I:$I,$K$4)</f>
        <v>121.11</v>
      </c>
      <c r="L39" s="64">
        <f>sumifs(Dados!$N:$N,Dados!$B:$B,B39,Dados!$J:$J,$D$1,Dados!$I:$I,$L$4)</f>
        <v>85.19</v>
      </c>
      <c r="M39" s="64">
        <f>sumifs(Dados!$N:$N,Dados!$B:$B,B39,Dados!$J:$J,$D$1,Dados!$I:$I,$M$4)</f>
        <v>88.5</v>
      </c>
      <c r="N39" s="64">
        <f>sumifs(Dados!$N:$N,Dados!$B:$B,B39,Dados!$J:$J,$D$1,Dados!$I:$I,$N$4)</f>
        <v>0</v>
      </c>
      <c r="O39" s="64">
        <f>sumifs(Dados!$N:$N,Dados!$B:$B,B39,Dados!$J:$J,$D$1,Dados!$I:$I,$O$4)</f>
        <v>0</v>
      </c>
      <c r="P39" s="64">
        <f>sumifs(Dados!$N:$N,Dados!$B:$B,B39,Dados!$J:$J,$D$1,Dados!$I:$I,$P$4)</f>
        <v>0</v>
      </c>
      <c r="Q39" s="64"/>
    </row>
    <row r="40" ht="15.75" customHeight="1">
      <c r="A40" s="109"/>
      <c r="B40" s="59" t="s">
        <v>159</v>
      </c>
      <c r="C40" s="60"/>
      <c r="D40" s="61">
        <f t="shared" si="9"/>
        <v>0</v>
      </c>
      <c r="E40" s="64">
        <f>sumifs(Dados!$N:$N,Dados!$B:$B,B40,Dados!$J:$J,$D$1,Dados!$I:$I,$E$4)</f>
        <v>0</v>
      </c>
      <c r="F40" s="64">
        <f>sumifs(Dados!$N:$N,Dados!$B:$B,B40,Dados!$J:$J,$D$1,Dados!$I:$I,$F$4)</f>
        <v>0</v>
      </c>
      <c r="G40" s="64">
        <f>sumifs(Dados!$N:$N,Dados!$B:$B,B40,Dados!$J:$J,$D$1,Dados!$I:$I,$G$4)</f>
        <v>0</v>
      </c>
      <c r="H40" s="64">
        <f>sumifs(Dados!$N:$N,Dados!$B:$B,B40,Dados!$J:$J,$D$1,Dados!$I:$I,$H$4)</f>
        <v>0</v>
      </c>
      <c r="I40" s="64">
        <f>sumifs(Dados!$N:$N,Dados!$B:$B,B40,Dados!$J:$J,$D$1,Dados!$I:$I,$I$4)</f>
        <v>0</v>
      </c>
      <c r="J40" s="64">
        <f>sumifs(Dados!$N:$N,Dados!$B:$B,B40,Dados!$J:$J,$D$1,Dados!$I:$I,$J$4)</f>
        <v>0</v>
      </c>
      <c r="K40" s="64">
        <f>sumifs(Dados!$N:$N,Dados!$B:$B,B40,Dados!$J:$J,$D$1,Dados!$I:$I,$K$4)</f>
        <v>0</v>
      </c>
      <c r="L40" s="64">
        <f>sumifs(Dados!$N:$N,Dados!$B:$B,B40,Dados!$J:$J,$D$1,Dados!$I:$I,$L$4)</f>
        <v>0</v>
      </c>
      <c r="M40" s="64">
        <f>sumifs(Dados!$N:$N,Dados!$B:$B,B40,Dados!$J:$J,$D$1,Dados!$I:$I,$M$4)</f>
        <v>0</v>
      </c>
      <c r="N40" s="64">
        <f>sumifs(Dados!$N:$N,Dados!$B:$B,B40,Dados!$J:$J,$D$1,Dados!$I:$I,$N$4)</f>
        <v>0</v>
      </c>
      <c r="O40" s="64">
        <f>sumifs(Dados!$N:$N,Dados!$B:$B,B40,Dados!$J:$J,$D$1,Dados!$I:$I,$O$4)</f>
        <v>0</v>
      </c>
      <c r="P40" s="64">
        <f>sumifs(Dados!$N:$N,Dados!$B:$B,B40,Dados!$J:$J,$D$1,Dados!$I:$I,$P$4)</f>
        <v>0</v>
      </c>
      <c r="Q40" s="64"/>
    </row>
    <row r="41" ht="15.75" customHeight="1">
      <c r="A41" s="58"/>
      <c r="B41" s="59" t="s">
        <v>173</v>
      </c>
      <c r="C41" s="60"/>
      <c r="D41" s="61">
        <f t="shared" si="9"/>
        <v>35.88</v>
      </c>
      <c r="E41" s="64">
        <f>sumifs(Dados!$N:$N,Dados!$B:$B,B41,Dados!$J:$J,$D$1,Dados!$I:$I,$E$4)</f>
        <v>0</v>
      </c>
      <c r="F41" s="64">
        <f>sumifs(Dados!$N:$N,Dados!$B:$B,B41,Dados!$J:$J,$D$1,Dados!$I:$I,$F$4)</f>
        <v>0</v>
      </c>
      <c r="G41" s="64">
        <f>sumifs(Dados!$N:$N,Dados!$B:$B,B41,Dados!$J:$J,$D$1,Dados!$I:$I,$G$4)</f>
        <v>0</v>
      </c>
      <c r="H41" s="64">
        <f>sumifs(Dados!$N:$N,Dados!$B:$B,B41,Dados!$J:$J,$D$1,Dados!$I:$I,$H$4)</f>
        <v>8.97</v>
      </c>
      <c r="I41" s="64">
        <f>sumifs(Dados!$N:$N,Dados!$B:$B,B41,Dados!$J:$J,$D$1,Dados!$I:$I,$I$4)</f>
        <v>0</v>
      </c>
      <c r="J41" s="64">
        <f>sumifs(Dados!$N:$N,Dados!$B:$B,B41,Dados!$J:$J,$D$1,Dados!$I:$I,$J$4)</f>
        <v>8.97</v>
      </c>
      <c r="K41" s="64">
        <f>sumifs(Dados!$N:$N,Dados!$B:$B,B41,Dados!$J:$J,$D$1,Dados!$I:$I,$K$4)</f>
        <v>0</v>
      </c>
      <c r="L41" s="64">
        <f>sumifs(Dados!$N:$N,Dados!$B:$B,B41,Dados!$J:$J,$D$1,Dados!$I:$I,$L$4)</f>
        <v>0</v>
      </c>
      <c r="M41" s="64">
        <f>sumifs(Dados!$N:$N,Dados!$B:$B,B41,Dados!$J:$J,$D$1,Dados!$I:$I,$M$4)</f>
        <v>17.94</v>
      </c>
      <c r="N41" s="64">
        <f>sumifs(Dados!$N:$N,Dados!$B:$B,B41,Dados!$J:$J,$D$1,Dados!$I:$I,$N$4)</f>
        <v>0</v>
      </c>
      <c r="O41" s="64">
        <f>sumifs(Dados!$N:$N,Dados!$B:$B,B41,Dados!$J:$J,$D$1,Dados!$I:$I,$O$4)</f>
        <v>0</v>
      </c>
      <c r="P41" s="64">
        <f>sumifs(Dados!$N:$N,Dados!$B:$B,B41,Dados!$J:$J,$D$1,Dados!$I:$I,$P$4)</f>
        <v>0</v>
      </c>
      <c r="Q41" s="64"/>
    </row>
    <row r="42" ht="15.75" customHeight="1">
      <c r="A42" s="58"/>
      <c r="B42" s="59" t="s">
        <v>181</v>
      </c>
      <c r="C42" s="60"/>
      <c r="D42" s="61">
        <f t="shared" si="9"/>
        <v>322.98</v>
      </c>
      <c r="E42" s="64">
        <f>sumifs(Dados!$N:$N,Dados!$B:$B,B42,Dados!$J:$J,$D$1,Dados!$I:$I,$E$4)</f>
        <v>0</v>
      </c>
      <c r="F42" s="64">
        <f>sumifs(Dados!$N:$N,Dados!$B:$B,B42,Dados!$J:$J,$D$1,Dados!$I:$I,$F$4)</f>
        <v>0</v>
      </c>
      <c r="G42" s="64">
        <f>sumifs(Dados!$N:$N,Dados!$B:$B,B42,Dados!$J:$J,$D$1,Dados!$I:$I,$G$4)</f>
        <v>0</v>
      </c>
      <c r="H42" s="64">
        <f>sumifs(Dados!$N:$N,Dados!$B:$B,B42,Dados!$J:$J,$D$1,Dados!$I:$I,$H$4)</f>
        <v>39.8</v>
      </c>
      <c r="I42" s="64">
        <f>sumifs(Dados!$N:$N,Dados!$B:$B,B42,Dados!$J:$J,$D$1,Dados!$I:$I,$I$4)</f>
        <v>59.7</v>
      </c>
      <c r="J42" s="64">
        <f>sumifs(Dados!$N:$N,Dados!$B:$B,B42,Dados!$J:$J,$D$1,Dados!$I:$I,$J$4)</f>
        <v>40.27</v>
      </c>
      <c r="K42" s="64">
        <f>sumifs(Dados!$N:$N,Dados!$B:$B,B42,Dados!$J:$J,$D$1,Dados!$I:$I,$K$4)</f>
        <v>99.5</v>
      </c>
      <c r="L42" s="64">
        <f>sumifs(Dados!$N:$N,Dados!$B:$B,B42,Dados!$J:$J,$D$1,Dados!$I:$I,$L$4)</f>
        <v>37.28</v>
      </c>
      <c r="M42" s="64">
        <f>sumifs(Dados!$N:$N,Dados!$B:$B,B42,Dados!$J:$J,$D$1,Dados!$I:$I,$M$4)</f>
        <v>46.43</v>
      </c>
      <c r="N42" s="64">
        <f>sumifs(Dados!$N:$N,Dados!$B:$B,B42,Dados!$J:$J,$D$1,Dados!$I:$I,$N$4)</f>
        <v>0</v>
      </c>
      <c r="O42" s="64">
        <f>sumifs(Dados!$N:$N,Dados!$B:$B,B42,Dados!$J:$J,$D$1,Dados!$I:$I,$O$4)</f>
        <v>0</v>
      </c>
      <c r="P42" s="64">
        <f>sumifs(Dados!$N:$N,Dados!$B:$B,B42,Dados!$J:$J,$D$1,Dados!$I:$I,$P$4)</f>
        <v>0</v>
      </c>
      <c r="Q42" s="64"/>
    </row>
    <row r="43" ht="15.75" customHeight="1">
      <c r="A43" s="109"/>
      <c r="B43" s="59" t="s">
        <v>182</v>
      </c>
      <c r="C43" s="60"/>
      <c r="D43" s="61">
        <f t="shared" si="9"/>
        <v>25.13</v>
      </c>
      <c r="E43" s="64">
        <f>sumifs(Dados!$N:$N,Dados!$B:$B,B43,Dados!$J:$J,$D$1,Dados!$I:$I,$E$4)</f>
        <v>0</v>
      </c>
      <c r="F43" s="64">
        <f>sumifs(Dados!$N:$N,Dados!$B:$B,B43,Dados!$J:$J,$D$1,Dados!$I:$I,$F$4)</f>
        <v>0</v>
      </c>
      <c r="G43" s="64">
        <f>sumifs(Dados!$N:$N,Dados!$B:$B,B43,Dados!$J:$J,$D$1,Dados!$I:$I,$G$4)</f>
        <v>0</v>
      </c>
      <c r="H43" s="64">
        <f>sumifs(Dados!$N:$N,Dados!$B:$B,B43,Dados!$J:$J,$D$1,Dados!$I:$I,$H$4)</f>
        <v>0</v>
      </c>
      <c r="I43" s="64">
        <f>sumifs(Dados!$N:$N,Dados!$B:$B,B43,Dados!$J:$J,$D$1,Dados!$I:$I,$I$4)</f>
        <v>5.45</v>
      </c>
      <c r="J43" s="64">
        <f>sumifs(Dados!$N:$N,Dados!$B:$B,B43,Dados!$J:$J,$D$1,Dados!$I:$I,$J$4)</f>
        <v>0</v>
      </c>
      <c r="K43" s="64">
        <f>sumifs(Dados!$N:$N,Dados!$B:$B,B43,Dados!$J:$J,$D$1,Dados!$I:$I,$K$4)</f>
        <v>0</v>
      </c>
      <c r="L43" s="64">
        <f>sumifs(Dados!$N:$N,Dados!$B:$B,B43,Dados!$J:$J,$D$1,Dados!$I:$I,$L$4)</f>
        <v>8.51</v>
      </c>
      <c r="M43" s="64">
        <f>sumifs(Dados!$N:$N,Dados!$B:$B,B43,Dados!$J:$J,$D$1,Dados!$I:$I,$M$4)</f>
        <v>11.17</v>
      </c>
      <c r="N43" s="64">
        <f>sumifs(Dados!$N:$N,Dados!$B:$B,B43,Dados!$J:$J,$D$1,Dados!$I:$I,$N$4)</f>
        <v>0</v>
      </c>
      <c r="O43" s="64">
        <f>sumifs(Dados!$N:$N,Dados!$B:$B,B43,Dados!$J:$J,$D$1,Dados!$I:$I,$O$4)</f>
        <v>0</v>
      </c>
      <c r="P43" s="64">
        <f>sumifs(Dados!$N:$N,Dados!$B:$B,B43,Dados!$J:$J,$D$1,Dados!$I:$I,$P$4)</f>
        <v>0</v>
      </c>
      <c r="Q43" s="64"/>
    </row>
    <row r="44" ht="15.75" customHeight="1">
      <c r="A44" s="109"/>
      <c r="B44" s="59" t="s">
        <v>183</v>
      </c>
      <c r="C44" s="60"/>
      <c r="D44" s="61">
        <f t="shared" si="9"/>
        <v>0</v>
      </c>
      <c r="E44" s="64">
        <f>sumifs(Dados!$N:$N,Dados!$B:$B,B44,Dados!$J:$J,$D$1,Dados!$I:$I,$E$4)</f>
        <v>0</v>
      </c>
      <c r="F44" s="64">
        <f>sumifs(Dados!$N:$N,Dados!$B:$B,B44,Dados!$J:$J,$D$1,Dados!$I:$I,$F$4)</f>
        <v>0</v>
      </c>
      <c r="G44" s="64">
        <f>sumifs(Dados!$N:$N,Dados!$B:$B,B44,Dados!$J:$J,$D$1,Dados!$I:$I,$G$4)</f>
        <v>0</v>
      </c>
      <c r="H44" s="64">
        <f>sumifs(Dados!$N:$N,Dados!$B:$B,B44,Dados!$J:$J,$D$1,Dados!$I:$I,$H$4)</f>
        <v>0</v>
      </c>
      <c r="I44" s="64">
        <f>sumifs(Dados!$N:$N,Dados!$B:$B,B44,Dados!$J:$J,$D$1,Dados!$I:$I,$I$4)</f>
        <v>0</v>
      </c>
      <c r="J44" s="64">
        <f>sumifs(Dados!$N:$N,Dados!$B:$B,B44,Dados!$J:$J,$D$1,Dados!$I:$I,$J$4)</f>
        <v>0</v>
      </c>
      <c r="K44" s="64">
        <f>sumifs(Dados!$N:$N,Dados!$B:$B,B44,Dados!$J:$J,$D$1,Dados!$I:$I,$K$4)</f>
        <v>0</v>
      </c>
      <c r="L44" s="64">
        <f>sumifs(Dados!$N:$N,Dados!$B:$B,B44,Dados!$J:$J,$D$1,Dados!$I:$I,$L$4)</f>
        <v>0</v>
      </c>
      <c r="M44" s="64">
        <f>sumifs(Dados!$N:$N,Dados!$B:$B,B44,Dados!$J:$J,$D$1,Dados!$I:$I,$M$4)</f>
        <v>0</v>
      </c>
      <c r="N44" s="64">
        <f>sumifs(Dados!$N:$N,Dados!$B:$B,B44,Dados!$J:$J,$D$1,Dados!$I:$I,$N$4)</f>
        <v>0</v>
      </c>
      <c r="O44" s="64">
        <f>sumifs(Dados!$N:$N,Dados!$B:$B,B44,Dados!$J:$J,$D$1,Dados!$I:$I,$O$4)</f>
        <v>0</v>
      </c>
      <c r="P44" s="64">
        <f>sumifs(Dados!$N:$N,Dados!$B:$B,B44,Dados!$J:$J,$D$1,Dados!$I:$I,$P$4)</f>
        <v>0</v>
      </c>
      <c r="Q44" s="64"/>
    </row>
    <row r="45" ht="15.75" customHeight="1">
      <c r="A45" s="109"/>
      <c r="B45" s="59" t="s">
        <v>184</v>
      </c>
      <c r="C45" s="60"/>
      <c r="D45" s="61">
        <f t="shared" si="9"/>
        <v>282.9</v>
      </c>
      <c r="E45" s="64">
        <f>sumifs(Dados!$N:$N,Dados!$B:$B,B45,Dados!$J:$J,$D$1,Dados!$I:$I,$E$4)</f>
        <v>0</v>
      </c>
      <c r="F45" s="64">
        <f>sumifs(Dados!$N:$N,Dados!$B:$B,B45,Dados!$J:$J,$D$1,Dados!$I:$I,$F$4)</f>
        <v>0</v>
      </c>
      <c r="G45" s="64">
        <f>sumifs(Dados!$N:$N,Dados!$B:$B,B45,Dados!$J:$J,$D$1,Dados!$I:$I,$G$4)</f>
        <v>0</v>
      </c>
      <c r="H45" s="64">
        <f>sumifs(Dados!$N:$N,Dados!$B:$B,B45,Dados!$J:$J,$D$1,Dados!$I:$I,$H$4)</f>
        <v>87.36</v>
      </c>
      <c r="I45" s="64">
        <f>sumifs(Dados!$N:$N,Dados!$B:$B,B45,Dados!$J:$J,$D$1,Dados!$I:$I,$I$4)</f>
        <v>0</v>
      </c>
      <c r="J45" s="64">
        <f>sumifs(Dados!$N:$N,Dados!$B:$B,B45,Dados!$J:$J,$D$1,Dados!$I:$I,$J$4)</f>
        <v>77.41</v>
      </c>
      <c r="K45" s="64">
        <f>sumifs(Dados!$N:$N,Dados!$B:$B,B45,Dados!$J:$J,$D$1,Dados!$I:$I,$K$4)</f>
        <v>59.6</v>
      </c>
      <c r="L45" s="64">
        <f>sumifs(Dados!$N:$N,Dados!$B:$B,B45,Dados!$J:$J,$D$1,Dados!$I:$I,$L$4)</f>
        <v>0</v>
      </c>
      <c r="M45" s="64">
        <f>sumifs(Dados!$N:$N,Dados!$B:$B,B45,Dados!$J:$J,$D$1,Dados!$I:$I,$M$4)</f>
        <v>58.53</v>
      </c>
      <c r="N45" s="64">
        <f>sumifs(Dados!$N:$N,Dados!$B:$B,B45,Dados!$J:$J,$D$1,Dados!$I:$I,$N$4)</f>
        <v>0</v>
      </c>
      <c r="O45" s="64">
        <f>sumifs(Dados!$N:$N,Dados!$B:$B,B45,Dados!$J:$J,$D$1,Dados!$I:$I,$O$4)</f>
        <v>0</v>
      </c>
      <c r="P45" s="64">
        <f>sumifs(Dados!$N:$N,Dados!$B:$B,B45,Dados!$J:$J,$D$1,Dados!$I:$I,$P$4)</f>
        <v>0</v>
      </c>
      <c r="Q45" s="64"/>
    </row>
    <row r="46" ht="15.75" customHeight="1">
      <c r="A46" s="109"/>
      <c r="B46" s="59" t="s">
        <v>185</v>
      </c>
      <c r="C46" s="60"/>
      <c r="D46" s="61">
        <f t="shared" si="9"/>
        <v>489.66</v>
      </c>
      <c r="E46" s="64">
        <f>sumifs(Dados!$N:$N,Dados!$B:$B,B46,Dados!$J:$J,$D$1,Dados!$I:$I,$E$4)</f>
        <v>0</v>
      </c>
      <c r="F46" s="64">
        <f>sumifs(Dados!$N:$N,Dados!$B:$B,B46,Dados!$J:$J,$D$1,Dados!$I:$I,$F$4)</f>
        <v>0</v>
      </c>
      <c r="G46" s="64">
        <f>sumifs(Dados!$N:$N,Dados!$B:$B,B46,Dados!$J:$J,$D$1,Dados!$I:$I,$G$4)</f>
        <v>0</v>
      </c>
      <c r="H46" s="64">
        <f>sumifs(Dados!$N:$N,Dados!$B:$B,B46,Dados!$J:$J,$D$1,Dados!$I:$I,$H$4)</f>
        <v>70.56</v>
      </c>
      <c r="I46" s="64">
        <f>sumifs(Dados!$N:$N,Dados!$B:$B,B46,Dados!$J:$J,$D$1,Dados!$I:$I,$I$4)</f>
        <v>51.6</v>
      </c>
      <c r="J46" s="64">
        <f>sumifs(Dados!$N:$N,Dados!$B:$B,B46,Dados!$J:$J,$D$1,Dados!$I:$I,$J$4)</f>
        <v>77.4</v>
      </c>
      <c r="K46" s="64">
        <f>sumifs(Dados!$N:$N,Dados!$B:$B,B46,Dados!$J:$J,$D$1,Dados!$I:$I,$K$4)</f>
        <v>72.24</v>
      </c>
      <c r="L46" s="64">
        <f>sumifs(Dados!$N:$N,Dados!$B:$B,B46,Dados!$J:$J,$D$1,Dados!$I:$I,$L$4)</f>
        <v>92.88</v>
      </c>
      <c r="M46" s="64">
        <f>sumifs(Dados!$N:$N,Dados!$B:$B,B46,Dados!$J:$J,$D$1,Dados!$I:$I,$M$4)</f>
        <v>124.98</v>
      </c>
      <c r="N46" s="64">
        <f>sumifs(Dados!$N:$N,Dados!$B:$B,B46,Dados!$J:$J,$D$1,Dados!$I:$I,$N$4)</f>
        <v>0</v>
      </c>
      <c r="O46" s="64">
        <f>sumifs(Dados!$N:$N,Dados!$B:$B,B46,Dados!$J:$J,$D$1,Dados!$I:$I,$O$4)</f>
        <v>0</v>
      </c>
      <c r="P46" s="64">
        <f>sumifs(Dados!$N:$N,Dados!$B:$B,B46,Dados!$J:$J,$D$1,Dados!$I:$I,$P$4)</f>
        <v>0</v>
      </c>
      <c r="Q46" s="64"/>
    </row>
    <row r="47" ht="15.75" customHeight="1">
      <c r="A47" s="109"/>
      <c r="B47" s="59" t="s">
        <v>186</v>
      </c>
      <c r="C47" s="60"/>
      <c r="D47" s="61">
        <f t="shared" si="9"/>
        <v>209.4</v>
      </c>
      <c r="E47" s="64">
        <f>sumifs(Dados!$N:$N,Dados!$B:$B,B47,Dados!$J:$J,$D$1,Dados!$I:$I,$E$4)</f>
        <v>0</v>
      </c>
      <c r="F47" s="64">
        <f>sumifs(Dados!$N:$N,Dados!$B:$B,B47,Dados!$J:$J,$D$1,Dados!$I:$I,$F$4)</f>
        <v>0</v>
      </c>
      <c r="G47" s="64">
        <f>sumifs(Dados!$N:$N,Dados!$B:$B,B47,Dados!$J:$J,$D$1,Dados!$I:$I,$G$4)</f>
        <v>0</v>
      </c>
      <c r="H47" s="64">
        <f>sumifs(Dados!$N:$N,Dados!$B:$B,B47,Dados!$J:$J,$D$1,Dados!$I:$I,$H$4)</f>
        <v>34.9</v>
      </c>
      <c r="I47" s="64">
        <f>sumifs(Dados!$N:$N,Dados!$B:$B,B47,Dados!$J:$J,$D$1,Dados!$I:$I,$I$4)</f>
        <v>69.8</v>
      </c>
      <c r="J47" s="64">
        <f>sumifs(Dados!$N:$N,Dados!$B:$B,B47,Dados!$J:$J,$D$1,Dados!$I:$I,$J$4)</f>
        <v>0</v>
      </c>
      <c r="K47" s="64">
        <f>sumifs(Dados!$N:$N,Dados!$B:$B,B47,Dados!$J:$J,$D$1,Dados!$I:$I,$K$4)</f>
        <v>34.9</v>
      </c>
      <c r="L47" s="64">
        <f>sumifs(Dados!$N:$N,Dados!$B:$B,B47,Dados!$J:$J,$D$1,Dados!$I:$I,$L$4)</f>
        <v>34.9</v>
      </c>
      <c r="M47" s="64">
        <f>sumifs(Dados!$N:$N,Dados!$B:$B,B47,Dados!$J:$J,$D$1,Dados!$I:$I,$M$4)</f>
        <v>34.9</v>
      </c>
      <c r="N47" s="64">
        <f>sumifs(Dados!$N:$N,Dados!$B:$B,B47,Dados!$J:$J,$D$1,Dados!$I:$I,$N$4)</f>
        <v>0</v>
      </c>
      <c r="O47" s="64">
        <f>sumifs(Dados!$N:$N,Dados!$B:$B,B47,Dados!$J:$J,$D$1,Dados!$I:$I,$O$4)</f>
        <v>0</v>
      </c>
      <c r="P47" s="64">
        <f>sumifs(Dados!$N:$N,Dados!$B:$B,B47,Dados!$J:$J,$D$1,Dados!$I:$I,$P$4)</f>
        <v>0</v>
      </c>
      <c r="Q47" s="64"/>
    </row>
    <row r="48" ht="15.75" customHeight="1">
      <c r="A48" s="58"/>
      <c r="B48" s="59" t="s">
        <v>187</v>
      </c>
      <c r="C48" s="60"/>
      <c r="D48" s="61">
        <f t="shared" si="9"/>
        <v>36.13</v>
      </c>
      <c r="E48" s="64">
        <f>sumifs(Dados!$N:$N,Dados!$B:$B,B48,Dados!$J:$J,$D$1,Dados!$I:$I,$E$4)</f>
        <v>0</v>
      </c>
      <c r="F48" s="64">
        <f>sumifs(Dados!$N:$N,Dados!$B:$B,B48,Dados!$J:$J,$D$1,Dados!$I:$I,$F$4)</f>
        <v>0</v>
      </c>
      <c r="G48" s="64">
        <f>sumifs(Dados!$N:$N,Dados!$B:$B,B48,Dados!$J:$J,$D$1,Dados!$I:$I,$G$4)</f>
        <v>0</v>
      </c>
      <c r="H48" s="64">
        <f>sumifs(Dados!$N:$N,Dados!$B:$B,B48,Dados!$J:$J,$D$1,Dados!$I:$I,$H$4)</f>
        <v>14.97</v>
      </c>
      <c r="I48" s="64">
        <f>sumifs(Dados!$N:$N,Dados!$B:$B,B48,Dados!$J:$J,$D$1,Dados!$I:$I,$I$4)</f>
        <v>0</v>
      </c>
      <c r="J48" s="64">
        <f>sumifs(Dados!$N:$N,Dados!$B:$B,B48,Dados!$J:$J,$D$1,Dados!$I:$I,$J$4)</f>
        <v>0</v>
      </c>
      <c r="K48" s="64">
        <f>sumifs(Dados!$N:$N,Dados!$B:$B,B48,Dados!$J:$J,$D$1,Dados!$I:$I,$K$4)</f>
        <v>15.87</v>
      </c>
      <c r="L48" s="64">
        <f>sumifs(Dados!$N:$N,Dados!$B:$B,B48,Dados!$J:$J,$D$1,Dados!$I:$I,$L$4)</f>
        <v>0</v>
      </c>
      <c r="M48" s="64">
        <f>sumifs(Dados!$N:$N,Dados!$B:$B,B48,Dados!$J:$J,$D$1,Dados!$I:$I,$M$4)</f>
        <v>5.29</v>
      </c>
      <c r="N48" s="64">
        <f>sumifs(Dados!$N:$N,Dados!$B:$B,B48,Dados!$J:$J,$D$1,Dados!$I:$I,$N$4)</f>
        <v>0</v>
      </c>
      <c r="O48" s="64">
        <f>sumifs(Dados!$N:$N,Dados!$B:$B,B48,Dados!$J:$J,$D$1,Dados!$I:$I,$O$4)</f>
        <v>0</v>
      </c>
      <c r="P48" s="64">
        <f>sumifs(Dados!$N:$N,Dados!$B:$B,B48,Dados!$J:$J,$D$1,Dados!$I:$I,$P$4)</f>
        <v>0</v>
      </c>
      <c r="Q48" s="64"/>
    </row>
    <row r="49" ht="15.75" customHeight="1">
      <c r="A49" s="109"/>
      <c r="B49" s="59" t="s">
        <v>188</v>
      </c>
      <c r="C49" s="60"/>
      <c r="D49" s="61">
        <f t="shared" si="9"/>
        <v>87.27</v>
      </c>
      <c r="E49" s="64">
        <f>sumifs(Dados!$N:$N,Dados!$B:$B,B49,Dados!$J:$J,$D$1,Dados!$I:$I,$E$4)</f>
        <v>0</v>
      </c>
      <c r="F49" s="64">
        <f>sumifs(Dados!$N:$N,Dados!$B:$B,B49,Dados!$J:$J,$D$1,Dados!$I:$I,$F$4)</f>
        <v>0</v>
      </c>
      <c r="G49" s="64">
        <f>sumifs(Dados!$N:$N,Dados!$B:$B,B49,Dados!$J:$J,$D$1,Dados!$I:$I,$G$4)</f>
        <v>0</v>
      </c>
      <c r="H49" s="64">
        <f>sumifs(Dados!$N:$N,Dados!$B:$B,B49,Dados!$J:$J,$D$1,Dados!$I:$I,$H$4)</f>
        <v>0</v>
      </c>
      <c r="I49" s="64">
        <f>sumifs(Dados!$N:$N,Dados!$B:$B,B49,Dados!$J:$J,$D$1,Dados!$I:$I,$I$4)</f>
        <v>24.48</v>
      </c>
      <c r="J49" s="64">
        <f>sumifs(Dados!$N:$N,Dados!$B:$B,B49,Dados!$J:$J,$D$1,Dados!$I:$I,$J$4)</f>
        <v>11.96</v>
      </c>
      <c r="K49" s="64">
        <f>sumifs(Dados!$N:$N,Dados!$B:$B,B49,Dados!$J:$J,$D$1,Dados!$I:$I,$K$4)</f>
        <v>11.96</v>
      </c>
      <c r="L49" s="64">
        <f>sumifs(Dados!$N:$N,Dados!$B:$B,B49,Dados!$J:$J,$D$1,Dados!$I:$I,$L$4)</f>
        <v>20.93</v>
      </c>
      <c r="M49" s="64">
        <f>sumifs(Dados!$N:$N,Dados!$B:$B,B49,Dados!$J:$J,$D$1,Dados!$I:$I,$M$4)</f>
        <v>17.94</v>
      </c>
      <c r="N49" s="64">
        <f>sumifs(Dados!$N:$N,Dados!$B:$B,B49,Dados!$J:$J,$D$1,Dados!$I:$I,$N$4)</f>
        <v>0</v>
      </c>
      <c r="O49" s="64">
        <f>sumifs(Dados!$N:$N,Dados!$B:$B,B49,Dados!$J:$J,$D$1,Dados!$I:$I,$O$4)</f>
        <v>0</v>
      </c>
      <c r="P49" s="64">
        <f>sumifs(Dados!$N:$N,Dados!$B:$B,B49,Dados!$J:$J,$D$1,Dados!$I:$I,$P$4)</f>
        <v>0</v>
      </c>
      <c r="Q49" s="64"/>
    </row>
    <row r="50" ht="15.75" customHeight="1">
      <c r="A50" s="109"/>
      <c r="B50" s="59" t="s">
        <v>189</v>
      </c>
      <c r="C50" s="60"/>
      <c r="D50" s="61">
        <f t="shared" si="9"/>
        <v>0</v>
      </c>
      <c r="E50" s="64">
        <f>sumifs(Dados!$N:$N,Dados!$B:$B,B50,Dados!$J:$J,$D$1,Dados!$I:$I,$E$4)</f>
        <v>0</v>
      </c>
      <c r="F50" s="64">
        <f>sumifs(Dados!$N:$N,Dados!$B:$B,B50,Dados!$J:$J,$D$1,Dados!$I:$I,$F$4)</f>
        <v>0</v>
      </c>
      <c r="G50" s="64">
        <f>sumifs(Dados!$N:$N,Dados!$B:$B,B50,Dados!$J:$J,$D$1,Dados!$I:$I,$G$4)</f>
        <v>0</v>
      </c>
      <c r="H50" s="64">
        <f>sumifs(Dados!$N:$N,Dados!$B:$B,B50,Dados!$J:$J,$D$1,Dados!$I:$I,$H$4)</f>
        <v>0</v>
      </c>
      <c r="I50" s="64">
        <f>sumifs(Dados!$N:$N,Dados!$B:$B,B50,Dados!$J:$J,$D$1,Dados!$I:$I,$I$4)</f>
        <v>0</v>
      </c>
      <c r="J50" s="64">
        <f>sumifs(Dados!$N:$N,Dados!$B:$B,B50,Dados!$J:$J,$D$1,Dados!$I:$I,$J$4)</f>
        <v>0</v>
      </c>
      <c r="K50" s="64">
        <f>sumifs(Dados!$N:$N,Dados!$B:$B,B50,Dados!$J:$J,$D$1,Dados!$I:$I,$K$4)</f>
        <v>0</v>
      </c>
      <c r="L50" s="64">
        <f>sumifs(Dados!$N:$N,Dados!$B:$B,B50,Dados!$J:$J,$D$1,Dados!$I:$I,$L$4)</f>
        <v>0</v>
      </c>
      <c r="M50" s="64">
        <f>sumifs(Dados!$N:$N,Dados!$B:$B,B50,Dados!$J:$J,$D$1,Dados!$I:$I,$M$4)</f>
        <v>0</v>
      </c>
      <c r="N50" s="64">
        <f>sumifs(Dados!$N:$N,Dados!$B:$B,B50,Dados!$J:$J,$D$1,Dados!$I:$I,$N$4)</f>
        <v>0</v>
      </c>
      <c r="O50" s="64">
        <f>sumifs(Dados!$N:$N,Dados!$B:$B,B50,Dados!$J:$J,$D$1,Dados!$I:$I,$O$4)</f>
        <v>0</v>
      </c>
      <c r="P50" s="64">
        <f>sumifs(Dados!$N:$N,Dados!$B:$B,B50,Dados!$J:$J,$D$1,Dados!$I:$I,$P$4)</f>
        <v>0</v>
      </c>
      <c r="Q50" s="64"/>
    </row>
    <row r="51" ht="15.75" customHeight="1">
      <c r="A51" s="109"/>
      <c r="B51" s="59" t="s">
        <v>190</v>
      </c>
      <c r="C51" s="60"/>
      <c r="D51" s="61">
        <f t="shared" si="9"/>
        <v>0</v>
      </c>
      <c r="E51" s="64">
        <f>sumifs(Dados!$N:$N,Dados!$B:$B,$B$51,Dados!$J:$J,$D$1,Dados!$I:$I,E4)</f>
        <v>0</v>
      </c>
      <c r="F51" s="64">
        <f>sumifs(Dados!$N:$N,Dados!$B:$B,$B$51,Dados!$J:$J,$D$1,Dados!$I:$I,F4)</f>
        <v>0</v>
      </c>
      <c r="G51" s="64">
        <f>sumifs(Dados!$N:$N,Dados!$B:$B,$B$51,Dados!$J:$J,$D$1,Dados!$I:$I,G4)</f>
        <v>0</v>
      </c>
      <c r="H51" s="64">
        <f>sumifs(Dados!$N:$N,Dados!$B:$B,$B$51,Dados!$J:$J,$D$1,Dados!$I:$I,H4)</f>
        <v>0</v>
      </c>
      <c r="I51" s="64">
        <f>sumifs(Dados!$N:$N,Dados!$B:$B,$B$51,Dados!$J:$J,$D$1,Dados!$I:$I,I4)</f>
        <v>0</v>
      </c>
      <c r="J51" s="64">
        <f>sumifs(Dados!$N:$N,Dados!$B:$B,$B$51,Dados!$J:$J,$D$1,Dados!$I:$I,J4)</f>
        <v>0</v>
      </c>
      <c r="K51" s="64">
        <f>sumifs(Dados!$N:$N,Dados!$B:$B,$B$51,Dados!$J:$J,$D$1,Dados!$I:$I,K4)</f>
        <v>0</v>
      </c>
      <c r="L51" s="64">
        <f>sumifs(Dados!$N:$N,Dados!$B:$B,$B$51,Dados!$J:$J,$D$1,Dados!$I:$I,L4)</f>
        <v>0</v>
      </c>
      <c r="M51" s="64">
        <f>sumifs(Dados!$N:$N,Dados!$B:$B,$B$51,Dados!$J:$J,$D$1,Dados!$I:$I,M4)</f>
        <v>0</v>
      </c>
      <c r="N51" s="64">
        <f>sumifs(Dados!$N:$N,Dados!$B:$B,$B$51,Dados!$J:$J,$D$1,Dados!$I:$I,N4)</f>
        <v>0</v>
      </c>
      <c r="O51" s="64">
        <f>sumifs(Dados!$N:$N,Dados!$B:$B,$B$51,Dados!$J:$J,$D$1,Dados!$I:$I,O4)</f>
        <v>0</v>
      </c>
      <c r="P51" s="64">
        <f>sumifs(Dados!$N:$N,Dados!$B:$B,$B$51,Dados!$J:$J,$D$1,Dados!$I:$I,P4)</f>
        <v>0</v>
      </c>
      <c r="Q51" s="64"/>
    </row>
    <row r="52" ht="15.75" customHeight="1">
      <c r="A52" s="109"/>
      <c r="B52" s="59" t="s">
        <v>191</v>
      </c>
      <c r="C52" s="60"/>
      <c r="D52" s="61">
        <f t="shared" si="9"/>
        <v>34.6</v>
      </c>
      <c r="E52" s="64">
        <f>sumifs(Dados!$N:$N,Dados!$B:$B,B52,Dados!$J:$J,$D$1,Dados!$I:$I,$E$4)</f>
        <v>0</v>
      </c>
      <c r="F52" s="64">
        <f>sumifs(Dados!$N:$N,Dados!$B:$B,B52,Dados!$J:$J,$D$1,Dados!$I:$I,$F$4)</f>
        <v>0</v>
      </c>
      <c r="G52" s="64">
        <f>sumifs(Dados!$N:$N,Dados!$B:$B,B52,Dados!$J:$J,$D$1,Dados!$I:$I,$G$4)</f>
        <v>0</v>
      </c>
      <c r="H52" s="64">
        <f>sumifs(Dados!$N:$N,Dados!$B:$B,B52,Dados!$J:$J,$D$1,Dados!$I:$I,$H$4)</f>
        <v>0</v>
      </c>
      <c r="I52" s="64">
        <f>sumifs(Dados!$N:$N,Dados!$B:$B,B52,Dados!$J:$J,$D$1,Dados!$I:$I,$I$4)</f>
        <v>0</v>
      </c>
      <c r="J52" s="64">
        <f>sumifs(Dados!$N:$N,Dados!$B:$B,B52,Dados!$J:$J,$D$1,Dados!$I:$I,$J$4)</f>
        <v>14.9</v>
      </c>
      <c r="K52" s="64">
        <f>sumifs(Dados!$N:$N,Dados!$B:$B,B52,Dados!$J:$J,$D$1,Dados!$I:$I,$K$4)</f>
        <v>0</v>
      </c>
      <c r="L52" s="64">
        <f>sumifs(Dados!$N:$N,Dados!$B:$B,B52,Dados!$J:$J,$D$1,Dados!$I:$I,$L$4)</f>
        <v>19.7</v>
      </c>
      <c r="M52" s="64">
        <f>sumifs(Dados!$N:$N,Dados!$B:$B,B52,Dados!$J:$J,$D$1,Dados!$I:$I,$M$4)</f>
        <v>0</v>
      </c>
      <c r="N52" s="64">
        <f>sumifs(Dados!$N:$N,Dados!$B:$B,B52,Dados!$J:$J,$D$1,Dados!$I:$I,$N$4)</f>
        <v>0</v>
      </c>
      <c r="O52" s="64">
        <f>sumifs(Dados!$N:$N,Dados!$B:$B,B52,Dados!$J:$J,$D$1,Dados!$I:$I,$O$4)</f>
        <v>0</v>
      </c>
      <c r="P52" s="64">
        <f>sumifs(Dados!$N:$N,Dados!$B:$B,B52,Dados!$J:$J,$D$1,Dados!$I:$I,$P$4)</f>
        <v>0</v>
      </c>
      <c r="Q52" s="64"/>
    </row>
    <row r="53" ht="15.75" customHeight="1">
      <c r="A53" s="109"/>
      <c r="B53" s="59" t="s">
        <v>192</v>
      </c>
      <c r="C53" s="60"/>
      <c r="D53" s="61">
        <f t="shared" si="9"/>
        <v>15.8</v>
      </c>
      <c r="E53" s="64">
        <f>sumifs(Dados!$N:$N,Dados!$B:$B,B53,Dados!$J:$J,$D$1,Dados!$I:$I,$E$4)</f>
        <v>0</v>
      </c>
      <c r="F53" s="64">
        <f>sumifs(Dados!$N:$N,Dados!$B:$B,B53,Dados!$J:$J,$D$1,Dados!$I:$I,$F$4)</f>
        <v>0</v>
      </c>
      <c r="G53" s="64">
        <f>sumifs(Dados!$N:$N,Dados!$B:$B,B53,Dados!$J:$J,$D$1,Dados!$I:$I,$G$4)</f>
        <v>0</v>
      </c>
      <c r="H53" s="64">
        <f>sumifs(Dados!$N:$N,Dados!$B:$B,B53,Dados!$J:$J,$D$1,Dados!$I:$I,$H$4)</f>
        <v>11.85</v>
      </c>
      <c r="I53" s="64">
        <f>sumifs(Dados!$N:$N,Dados!$B:$B,B53,Dados!$J:$J,$D$1,Dados!$I:$I,$I$4)</f>
        <v>0</v>
      </c>
      <c r="J53" s="64">
        <f>sumifs(Dados!$N:$N,Dados!$B:$B,B53,Dados!$J:$J,$D$1,Dados!$I:$I,$J$4)</f>
        <v>0</v>
      </c>
      <c r="K53" s="64">
        <f>sumifs(Dados!$N:$N,Dados!$B:$B,B53,Dados!$J:$J,$D$1,Dados!$I:$I,$K$4)</f>
        <v>0</v>
      </c>
      <c r="L53" s="64">
        <f>sumifs(Dados!$N:$N,Dados!$B:$B,B53,Dados!$J:$J,$D$1,Dados!$I:$I,$L$4)</f>
        <v>0</v>
      </c>
      <c r="M53" s="64">
        <f>sumifs(Dados!$N:$N,Dados!$B:$B,B53,Dados!$J:$J,$D$1,Dados!$I:$I,$M$4)</f>
        <v>3.95</v>
      </c>
      <c r="N53" s="64">
        <f>sumifs(Dados!$N:$N,Dados!$B:$B,B53,Dados!$J:$J,$D$1,Dados!$I:$I,$N$4)</f>
        <v>0</v>
      </c>
      <c r="O53" s="64">
        <f>sumifs(Dados!$N:$N,Dados!$B:$B,B53,Dados!$J:$J,$D$1,Dados!$I:$I,$O$4)</f>
        <v>0</v>
      </c>
      <c r="P53" s="64">
        <f>sumifs(Dados!$N:$N,Dados!$B:$B,B53,Dados!$J:$J,$D$1,Dados!$I:$I,$P$4)</f>
        <v>0</v>
      </c>
      <c r="Q53" s="64"/>
    </row>
    <row r="54" ht="15.75" customHeight="1">
      <c r="A54" s="109"/>
      <c r="B54" s="59" t="s">
        <v>193</v>
      </c>
      <c r="C54" s="60"/>
      <c r="D54" s="61">
        <f t="shared" si="9"/>
        <v>72</v>
      </c>
      <c r="E54" s="64">
        <f>sumifs(Dados!$N:$N,Dados!$B:$B,B54,Dados!$J:$J,$D$1,Dados!$I:$I,$E$4)</f>
        <v>0</v>
      </c>
      <c r="F54" s="64">
        <f>sumifs(Dados!$N:$N,Dados!$B:$B,B54,Dados!$J:$J,$D$1,Dados!$I:$I,$F$4)</f>
        <v>0</v>
      </c>
      <c r="G54" s="64">
        <f>sumifs(Dados!$N:$N,Dados!$B:$B,B54,Dados!$J:$J,$D$1,Dados!$I:$I,$G$4)</f>
        <v>0</v>
      </c>
      <c r="H54" s="64">
        <f>sumifs(Dados!$N:$N,Dados!$B:$B,B54,Dados!$J:$J,$D$1,Dados!$I:$I,$H$4)</f>
        <v>0</v>
      </c>
      <c r="I54" s="64">
        <f>sumifs(Dados!$N:$N,Dados!$B:$B,B54,Dados!$J:$J,$D$1,Dados!$I:$I,$I$4)</f>
        <v>0</v>
      </c>
      <c r="J54" s="64">
        <f>sumifs(Dados!$N:$N,Dados!$B:$B,B54,Dados!$J:$J,$D$1,Dados!$I:$I,$J$4)</f>
        <v>32.2</v>
      </c>
      <c r="K54" s="64">
        <f>sumifs(Dados!$N:$N,Dados!$B:$B,B54,Dados!$J:$J,$D$1,Dados!$I:$I,$K$4)</f>
        <v>20.84</v>
      </c>
      <c r="L54" s="64">
        <f>sumifs(Dados!$N:$N,Dados!$B:$B,B54,Dados!$J:$J,$D$1,Dados!$I:$I,$L$4)</f>
        <v>0</v>
      </c>
      <c r="M54" s="64">
        <f>sumifs(Dados!$N:$N,Dados!$B:$B,B54,Dados!$J:$J,$D$1,Dados!$I:$I,$M$4)</f>
        <v>18.96</v>
      </c>
      <c r="N54" s="64">
        <f>sumifs(Dados!$N:$N,Dados!$B:$B,B54,Dados!$J:$J,$D$1,Dados!$I:$I,$N$4)</f>
        <v>0</v>
      </c>
      <c r="O54" s="64">
        <f>sumifs(Dados!$N:$N,Dados!$B:$B,B54,Dados!$J:$J,$D$1,Dados!$I:$I,$O$4)</f>
        <v>0</v>
      </c>
      <c r="P54" s="64">
        <f>sumifs(Dados!$N:$N,Dados!$B:$B,B54,Dados!$J:$J,$D$1,Dados!$I:$I,$P$4)</f>
        <v>0</v>
      </c>
      <c r="Q54" s="64"/>
    </row>
    <row r="55" ht="15.75" customHeight="1">
      <c r="A55" s="88" t="s">
        <v>151</v>
      </c>
      <c r="B55" s="89">
        <f>sumifs(Dados!$N:$N,Dados!$A:$A,A55,Dados!$H:$H,$D$1)</f>
        <v>2253.32</v>
      </c>
      <c r="C55" s="90">
        <f>B55-D55</f>
        <v>0</v>
      </c>
      <c r="D55" s="89">
        <f t="shared" ref="D55:P55" si="10">SUM(D35:D54)</f>
        <v>2253.32</v>
      </c>
      <c r="E55" s="89">
        <f t="shared" si="10"/>
        <v>0</v>
      </c>
      <c r="F55" s="89">
        <f t="shared" si="10"/>
        <v>0</v>
      </c>
      <c r="G55" s="89">
        <f t="shared" si="10"/>
        <v>0</v>
      </c>
      <c r="H55" s="89">
        <f t="shared" si="10"/>
        <v>359.27</v>
      </c>
      <c r="I55" s="89">
        <f t="shared" si="10"/>
        <v>280.58</v>
      </c>
      <c r="J55" s="89">
        <f t="shared" si="10"/>
        <v>392.21</v>
      </c>
      <c r="K55" s="89">
        <f t="shared" si="10"/>
        <v>459.23</v>
      </c>
      <c r="L55" s="89">
        <f t="shared" si="10"/>
        <v>323.93</v>
      </c>
      <c r="M55" s="89">
        <f t="shared" si="10"/>
        <v>438.1</v>
      </c>
      <c r="N55" s="89">
        <f t="shared" si="10"/>
        <v>0</v>
      </c>
      <c r="O55" s="89">
        <f t="shared" si="10"/>
        <v>0</v>
      </c>
      <c r="P55" s="89">
        <f t="shared" si="10"/>
        <v>0</v>
      </c>
      <c r="Q55" s="89"/>
    </row>
    <row r="56" ht="15.75" customHeight="1">
      <c r="A56" s="58"/>
      <c r="B56" s="59" t="s">
        <v>204</v>
      </c>
      <c r="C56" s="60"/>
      <c r="D56" s="61">
        <f t="shared" ref="D56:D67" si="11">SUM(E56:P56)</f>
        <v>3.96</v>
      </c>
      <c r="E56" s="64">
        <f>sumifs(Dados!$N:$N,Dados!$B:$B,B56,Dados!$J:$J,$D$1,Dados!$I:$I,$E$4)</f>
        <v>0</v>
      </c>
      <c r="F56" s="64">
        <f>sumifs(Dados!$N:$N,Dados!$B:$B,B56,Dados!$J:$J,$D$1,Dados!$I:$I,$F$4)</f>
        <v>0</v>
      </c>
      <c r="G56" s="64">
        <f>sumifs(Dados!$N:$N,Dados!$B:$B,B56,Dados!$J:$J,$D$1,Dados!$I:$I,$G$4)</f>
        <v>0</v>
      </c>
      <c r="H56" s="64">
        <f>sumifs(Dados!$N:$N,Dados!$B:$B,B56,Dados!$J:$J,$D$1,Dados!$I:$I,$H$4)</f>
        <v>0</v>
      </c>
      <c r="I56" s="64">
        <f>sumifs(Dados!$N:$N,Dados!$B:$B,B56,Dados!$J:$J,$D$1,Dados!$I:$I,$I$4)</f>
        <v>0</v>
      </c>
      <c r="J56" s="64">
        <f>sumifs(Dados!$N:$N,Dados!$B:$B,B56,Dados!$J:$J,$D$1,Dados!$I:$I,$J$4)</f>
        <v>3.96</v>
      </c>
      <c r="K56" s="64">
        <f>sumifs(Dados!$N:$N,Dados!$B:$B,B56,Dados!$J:$J,$D$1,Dados!$I:$I,$K$4)</f>
        <v>0</v>
      </c>
      <c r="L56" s="64">
        <f>sumifs(Dados!$N:$N,Dados!$B:$B,B56,Dados!$J:$J,$D$1,Dados!$I:$I,$L$4)</f>
        <v>0</v>
      </c>
      <c r="M56" s="64">
        <f>sumifs(Dados!$N:$N,Dados!$B:$B,B56,Dados!$J:$J,$D$1,Dados!$I:$I,$M$4)</f>
        <v>0</v>
      </c>
      <c r="N56" s="64">
        <f>sumifs(Dados!$N:$N,Dados!$B:$B,B56,Dados!$J:$J,$D$1,Dados!$I:$I,$N$4)</f>
        <v>0</v>
      </c>
      <c r="O56" s="64">
        <f>sumifs(Dados!$N:$N,Dados!$B:$B,B56,Dados!$J:$J,$D$1,Dados!$I:$I,$O$4)</f>
        <v>0</v>
      </c>
      <c r="P56" s="64">
        <f>sumifs(Dados!$N:$N,Dados!$B:$B,B56,Dados!$J:$J,$D$1,Dados!$I:$I,$P$4)</f>
        <v>0</v>
      </c>
      <c r="Q56" s="64"/>
    </row>
    <row r="57" ht="15.75" customHeight="1">
      <c r="A57" s="58"/>
      <c r="B57" s="59" t="s">
        <v>220</v>
      </c>
      <c r="C57" s="60"/>
      <c r="D57" s="61">
        <f t="shared" si="11"/>
        <v>2.07</v>
      </c>
      <c r="E57" s="64">
        <f>sumifs(Dados!$N:$N,Dados!$B:$B,B57,Dados!$J:$J,$D$1,Dados!$I:$I,$E$4)</f>
        <v>0</v>
      </c>
      <c r="F57" s="64">
        <f>sumifs(Dados!$N:$N,Dados!$B:$B,B57,Dados!$J:$J,$D$1,Dados!$I:$I,$F$4)</f>
        <v>0</v>
      </c>
      <c r="G57" s="64">
        <f>sumifs(Dados!$N:$N,Dados!$B:$B,B57,Dados!$J:$J,$D$1,Dados!$I:$I,$G$4)</f>
        <v>0</v>
      </c>
      <c r="H57" s="64">
        <f>sumifs(Dados!$N:$N,Dados!$B:$B,B57,Dados!$J:$J,$D$1,Dados!$I:$I,$H$4)</f>
        <v>0</v>
      </c>
      <c r="I57" s="64">
        <f>sumifs(Dados!$N:$N,Dados!$B:$B,B57,Dados!$J:$J,$D$1,Dados!$I:$I,$I$4)</f>
        <v>0</v>
      </c>
      <c r="J57" s="64">
        <f>sumifs(Dados!$N:$N,Dados!$B:$B,B57,Dados!$J:$J,$D$1,Dados!$I:$I,$J$4)</f>
        <v>0</v>
      </c>
      <c r="K57" s="64">
        <f>sumifs(Dados!$N:$N,Dados!$B:$B,B57,Dados!$J:$J,$D$1,Dados!$I:$I,$K$4)</f>
        <v>0</v>
      </c>
      <c r="L57" s="64">
        <f>sumifs(Dados!$N:$N,Dados!$B:$B,B57,Dados!$J:$J,$D$1,Dados!$I:$I,$L$4)</f>
        <v>0</v>
      </c>
      <c r="M57" s="64">
        <f>sumifs(Dados!$N:$N,Dados!$B:$B,B57,Dados!$J:$J,$D$1,Dados!$I:$I,$M$4)</f>
        <v>2.07</v>
      </c>
      <c r="N57" s="64">
        <f>sumifs(Dados!$N:$N,Dados!$B:$B,B57,Dados!$J:$J,$D$1,Dados!$I:$I,$N$4)</f>
        <v>0</v>
      </c>
      <c r="O57" s="64">
        <f>sumifs(Dados!$N:$N,Dados!$B:$B,B57,Dados!$J:$J,$D$1,Dados!$I:$I,$O$4)</f>
        <v>0</v>
      </c>
      <c r="P57" s="64">
        <f>sumifs(Dados!$N:$N,Dados!$B:$B,B57,Dados!$J:$J,$D$1,Dados!$I:$I,$P$4)</f>
        <v>0</v>
      </c>
      <c r="Q57" s="64"/>
    </row>
    <row r="58" ht="15.75" customHeight="1">
      <c r="A58" s="58"/>
      <c r="B58" s="59" t="s">
        <v>230</v>
      </c>
      <c r="C58" s="60"/>
      <c r="D58" s="61">
        <f t="shared" si="11"/>
        <v>79.33</v>
      </c>
      <c r="E58" s="64">
        <f>sumifs(Dados!$N:$N,Dados!$B:$B,B58,Dados!$J:$J,$D$1,Dados!$I:$I,$E$4)</f>
        <v>0</v>
      </c>
      <c r="F58" s="64">
        <f>sumifs(Dados!$N:$N,Dados!$B:$B,B58,Dados!$J:$J,$D$1,Dados!$I:$I,$F$4)</f>
        <v>0</v>
      </c>
      <c r="G58" s="64">
        <f>sumifs(Dados!$N:$N,Dados!$B:$B,B58,Dados!$J:$J,$D$1,Dados!$I:$I,$G$4)</f>
        <v>0</v>
      </c>
      <c r="H58" s="64">
        <f>sumifs(Dados!$N:$N,Dados!$B:$B,B58,Dados!$J:$J,$D$1,Dados!$I:$I,$H$4)</f>
        <v>41.87</v>
      </c>
      <c r="I58" s="64">
        <f>sumifs(Dados!$N:$N,Dados!$B:$B,B58,Dados!$J:$J,$D$1,Dados!$I:$I,$I$4)</f>
        <v>0</v>
      </c>
      <c r="J58" s="64">
        <f>sumifs(Dados!$N:$N,Dados!$B:$B,B58,Dados!$J:$J,$D$1,Dados!$I:$I,$J$4)</f>
        <v>0</v>
      </c>
      <c r="K58" s="64">
        <f>sumifs(Dados!$N:$N,Dados!$B:$B,B58,Dados!$J:$J,$D$1,Dados!$I:$I,$K$4)</f>
        <v>28.47</v>
      </c>
      <c r="L58" s="64">
        <f>sumifs(Dados!$N:$N,Dados!$B:$B,B58,Dados!$J:$J,$D$1,Dados!$I:$I,$L$4)</f>
        <v>8.99</v>
      </c>
      <c r="M58" s="64">
        <f>sumifs(Dados!$N:$N,Dados!$B:$B,B58,Dados!$J:$J,$D$1,Dados!$I:$I,$M$4)</f>
        <v>0</v>
      </c>
      <c r="N58" s="64">
        <f>sumifs(Dados!$N:$N,Dados!$B:$B,B58,Dados!$J:$J,$D$1,Dados!$I:$I,$N$4)</f>
        <v>0</v>
      </c>
      <c r="O58" s="64">
        <f>sumifs(Dados!$N:$N,Dados!$B:$B,B58,Dados!$J:$J,$D$1,Dados!$I:$I,$O$4)</f>
        <v>0</v>
      </c>
      <c r="P58" s="64">
        <f>sumifs(Dados!$N:$N,Dados!$B:$B,B58,Dados!$J:$J,$D$1,Dados!$I:$I,$P$4)</f>
        <v>0</v>
      </c>
      <c r="Q58" s="64"/>
    </row>
    <row r="59" ht="15.75" customHeight="1">
      <c r="A59" s="58"/>
      <c r="B59" s="59" t="s">
        <v>231</v>
      </c>
      <c r="C59" s="60"/>
      <c r="D59" s="61">
        <f t="shared" si="11"/>
        <v>199.38</v>
      </c>
      <c r="E59" s="64">
        <f>sumifs(Dados!$N:$N,Dados!$B:$B,B59,Dados!$J:$J,$D$1,Dados!$I:$I,$E$4)</f>
        <v>0</v>
      </c>
      <c r="F59" s="64">
        <f>sumifs(Dados!$N:$N,Dados!$B:$B,B59,Dados!$J:$J,$D$1,Dados!$I:$I,$F$4)</f>
        <v>0</v>
      </c>
      <c r="G59" s="64">
        <f>sumifs(Dados!$N:$N,Dados!$B:$B,B59,Dados!$J:$J,$D$1,Dados!$I:$I,$G$4)</f>
        <v>0</v>
      </c>
      <c r="H59" s="64">
        <f>sumifs(Dados!$N:$N,Dados!$B:$B,B59,Dados!$J:$J,$D$1,Dados!$I:$I,$H$4)</f>
        <v>131.44</v>
      </c>
      <c r="I59" s="64">
        <f>sumifs(Dados!$N:$N,Dados!$B:$B,B59,Dados!$J:$J,$D$1,Dados!$I:$I,$I$4)</f>
        <v>16.77</v>
      </c>
      <c r="J59" s="64">
        <f>sumifs(Dados!$N:$N,Dados!$B:$B,B59,Dados!$J:$J,$D$1,Dados!$I:$I,$J$4)</f>
        <v>11.95</v>
      </c>
      <c r="K59" s="64">
        <f>sumifs(Dados!$N:$N,Dados!$B:$B,B59,Dados!$J:$J,$D$1,Dados!$I:$I,$K$4)</f>
        <v>8.07</v>
      </c>
      <c r="L59" s="64">
        <f>sumifs(Dados!$N:$N,Dados!$B:$B,B59,Dados!$J:$J,$D$1,Dados!$I:$I,$L$4)</f>
        <v>3.96</v>
      </c>
      <c r="M59" s="64">
        <f>sumifs(Dados!$N:$N,Dados!$B:$B,B59,Dados!$J:$J,$D$1,Dados!$I:$I,$M$4)</f>
        <v>27.19</v>
      </c>
      <c r="N59" s="64">
        <f>sumifs(Dados!$N:$N,Dados!$B:$B,B59,Dados!$J:$J,$D$1,Dados!$I:$I,$N$4)</f>
        <v>0</v>
      </c>
      <c r="O59" s="64">
        <f>sumifs(Dados!$N:$N,Dados!$B:$B,B59,Dados!$J:$J,$D$1,Dados!$I:$I,$O$4)</f>
        <v>0</v>
      </c>
      <c r="P59" s="64">
        <f>sumifs(Dados!$N:$N,Dados!$B:$B,B59,Dados!$J:$J,$D$1,Dados!$I:$I,$P$4)</f>
        <v>0</v>
      </c>
      <c r="Q59" s="64"/>
    </row>
    <row r="60" ht="15.75" customHeight="1">
      <c r="A60" s="74"/>
      <c r="B60" s="59" t="s">
        <v>233</v>
      </c>
      <c r="C60" s="60"/>
      <c r="D60" s="61">
        <f t="shared" si="11"/>
        <v>20.4</v>
      </c>
      <c r="E60" s="64">
        <f>sumifs(Dados!$N:$N,Dados!$B:$B,B60,Dados!$J:$J,$D$1,Dados!$I:$I,$E$4)</f>
        <v>0</v>
      </c>
      <c r="F60" s="64">
        <f>sumifs(Dados!$N:$N,Dados!$B:$B,B60,Dados!$J:$J,$D$1,Dados!$I:$I,$F$4)</f>
        <v>0</v>
      </c>
      <c r="G60" s="64">
        <f>sumifs(Dados!$N:$N,Dados!$B:$B,B60,Dados!$J:$J,$D$1,Dados!$I:$I,$G$4)</f>
        <v>0</v>
      </c>
      <c r="H60" s="64">
        <f>sumifs(Dados!$N:$N,Dados!$B:$B,B60,Dados!$J:$J,$D$1,Dados!$I:$I,$H$4)</f>
        <v>10.2</v>
      </c>
      <c r="I60" s="64">
        <f>sumifs(Dados!$N:$N,Dados!$B:$B,B60,Dados!$J:$J,$D$1,Dados!$I:$I,$I$4)</f>
        <v>0</v>
      </c>
      <c r="J60" s="64">
        <f>sumifs(Dados!$N:$N,Dados!$B:$B,B60,Dados!$J:$J,$D$1,Dados!$I:$I,$J$4)</f>
        <v>0</v>
      </c>
      <c r="K60" s="64">
        <f>sumifs(Dados!$N:$N,Dados!$B:$B,B60,Dados!$J:$J,$D$1,Dados!$I:$I,$K$4)</f>
        <v>10.2</v>
      </c>
      <c r="L60" s="64">
        <f>sumifs(Dados!$N:$N,Dados!$B:$B,B60,Dados!$J:$J,$D$1,Dados!$I:$I,$L$4)</f>
        <v>0</v>
      </c>
      <c r="M60" s="64">
        <f>sumifs(Dados!$N:$N,Dados!$B:$B,B60,Dados!$J:$J,$D$1,Dados!$I:$I,$M$4)</f>
        <v>0</v>
      </c>
      <c r="N60" s="64">
        <f>sumifs(Dados!$N:$N,Dados!$B:$B,B60,Dados!$J:$J,$D$1,Dados!$I:$I,$N$4)</f>
        <v>0</v>
      </c>
      <c r="O60" s="64">
        <f>sumifs(Dados!$N:$N,Dados!$B:$B,B60,Dados!$J:$J,$D$1,Dados!$I:$I,$O$4)</f>
        <v>0</v>
      </c>
      <c r="P60" s="64">
        <f>sumifs(Dados!$N:$N,Dados!$B:$B,B60,Dados!$J:$J,$D$1,Dados!$I:$I,$P$4)</f>
        <v>0</v>
      </c>
      <c r="Q60" s="64"/>
    </row>
    <row r="61" ht="15.75" customHeight="1">
      <c r="A61" s="58"/>
      <c r="B61" s="59" t="s">
        <v>235</v>
      </c>
      <c r="C61" s="60"/>
      <c r="D61" s="61">
        <f t="shared" si="11"/>
        <v>6.5</v>
      </c>
      <c r="E61" s="64">
        <f>sumifs(Dados!$N:$N,Dados!$B:$B,B61,Dados!$J:$J,$D$1,Dados!$I:$I,$E$4)</f>
        <v>0</v>
      </c>
      <c r="F61" s="64">
        <f>sumifs(Dados!$N:$N,Dados!$B:$B,B61,Dados!$J:$J,$D$1,Dados!$I:$I,$F$4)</f>
        <v>0</v>
      </c>
      <c r="G61" s="64">
        <f>sumifs(Dados!$N:$N,Dados!$B:$B,B61,Dados!$J:$J,$D$1,Dados!$I:$I,$G$4)</f>
        <v>0</v>
      </c>
      <c r="H61" s="64">
        <f>sumifs(Dados!$N:$N,Dados!$B:$B,B61,Dados!$J:$J,$D$1,Dados!$I:$I,$H$4)</f>
        <v>6.5</v>
      </c>
      <c r="I61" s="64">
        <f>sumifs(Dados!$N:$N,Dados!$B:$B,B61,Dados!$J:$J,$D$1,Dados!$I:$I,$I$4)</f>
        <v>0</v>
      </c>
      <c r="J61" s="64">
        <f>sumifs(Dados!$N:$N,Dados!$B:$B,B61,Dados!$J:$J,$D$1,Dados!$I:$I,$J$4)</f>
        <v>0</v>
      </c>
      <c r="K61" s="64">
        <f>sumifs(Dados!$N:$N,Dados!$B:$B,B61,Dados!$J:$J,$D$1,Dados!$I:$I,$K$4)</f>
        <v>0</v>
      </c>
      <c r="L61" s="64">
        <f>sumifs(Dados!$N:$N,Dados!$B:$B,B61,Dados!$J:$J,$D$1,Dados!$I:$I,$L$4)</f>
        <v>0</v>
      </c>
      <c r="M61" s="64">
        <f>sumifs(Dados!$N:$N,Dados!$B:$B,B61,Dados!$J:$J,$D$1,Dados!$I:$I,$M$4)</f>
        <v>0</v>
      </c>
      <c r="N61" s="64">
        <f>sumifs(Dados!$N:$N,Dados!$B:$B,B61,Dados!$J:$J,$D$1,Dados!$I:$I,$N$4)</f>
        <v>0</v>
      </c>
      <c r="O61" s="64">
        <f>sumifs(Dados!$N:$N,Dados!$B:$B,B61,Dados!$J:$J,$D$1,Dados!$I:$I,$O$4)</f>
        <v>0</v>
      </c>
      <c r="P61" s="64">
        <f>sumifs(Dados!$N:$N,Dados!$B:$B,B61,Dados!$J:$J,$D$1,Dados!$I:$I,$P$4)</f>
        <v>0</v>
      </c>
      <c r="Q61" s="64"/>
    </row>
    <row r="62" ht="15.75" customHeight="1">
      <c r="A62" s="58"/>
      <c r="B62" s="59" t="s">
        <v>236</v>
      </c>
      <c r="C62" s="60"/>
      <c r="D62" s="61">
        <f t="shared" si="11"/>
        <v>0</v>
      </c>
      <c r="E62" s="64">
        <f>sumifs(Dados!$N:$N,Dados!$B:$B,B62,Dados!$J:$J,$D$1,Dados!$I:$I,$E$4)</f>
        <v>0</v>
      </c>
      <c r="F62" s="64">
        <f>sumifs(Dados!$N:$N,Dados!$B:$B,B62,Dados!$J:$J,$D$1,Dados!$I:$I,$F$4)</f>
        <v>0</v>
      </c>
      <c r="G62" s="64">
        <f>sumifs(Dados!$N:$N,Dados!$B:$B,B62,Dados!$J:$J,$D$1,Dados!$I:$I,$G$4)</f>
        <v>0</v>
      </c>
      <c r="H62" s="64">
        <f>sumifs(Dados!$N:$N,Dados!$B:$B,B62,Dados!$J:$J,$D$1,Dados!$I:$I,$H$4)</f>
        <v>0</v>
      </c>
      <c r="I62" s="64">
        <f>sumifs(Dados!$N:$N,Dados!$B:$B,B62,Dados!$J:$J,$D$1,Dados!$I:$I,$I$4)</f>
        <v>0</v>
      </c>
      <c r="J62" s="64">
        <f>sumifs(Dados!$N:$N,Dados!$B:$B,B62,Dados!$J:$J,$D$1,Dados!$I:$I,$J$4)</f>
        <v>0</v>
      </c>
      <c r="K62" s="64">
        <f>sumifs(Dados!$N:$N,Dados!$B:$B,B62,Dados!$J:$J,$D$1,Dados!$I:$I,$K$4)</f>
        <v>0</v>
      </c>
      <c r="L62" s="64">
        <f>sumifs(Dados!$N:$N,Dados!$B:$B,B62,Dados!$J:$J,$D$1,Dados!$I:$I,$L$4)</f>
        <v>0</v>
      </c>
      <c r="M62" s="64">
        <f>sumifs(Dados!$N:$N,Dados!$B:$B,B62,Dados!$J:$J,$D$1,Dados!$I:$I,$M$4)</f>
        <v>0</v>
      </c>
      <c r="N62" s="64">
        <f>sumifs(Dados!$N:$N,Dados!$B:$B,B62,Dados!$J:$J,$D$1,Dados!$I:$I,$N$4)</f>
        <v>0</v>
      </c>
      <c r="O62" s="64">
        <f>sumifs(Dados!$N:$N,Dados!$B:$B,B62,Dados!$J:$J,$D$1,Dados!$I:$I,$O$4)</f>
        <v>0</v>
      </c>
      <c r="P62" s="64">
        <f>sumifs(Dados!$N:$N,Dados!$B:$B,B62,Dados!$J:$J,$D$1,Dados!$I:$I,$P$4)</f>
        <v>0</v>
      </c>
      <c r="Q62" s="64"/>
    </row>
    <row r="63" ht="15.75" customHeight="1">
      <c r="A63" s="74"/>
      <c r="B63" s="59" t="s">
        <v>239</v>
      </c>
      <c r="C63" s="60"/>
      <c r="D63" s="61">
        <f t="shared" si="11"/>
        <v>38.01</v>
      </c>
      <c r="E63" s="64">
        <f>sumifs(Dados!$N:$N,Dados!$B:$B,B63,Dados!$J:$J,$D$1,Dados!$I:$I,$E$4)</f>
        <v>0</v>
      </c>
      <c r="F63" s="64">
        <f>sumifs(Dados!$N:$N,Dados!$B:$B,B63,Dados!$J:$J,$D$1,Dados!$I:$I,$F$4)</f>
        <v>0</v>
      </c>
      <c r="G63" s="64">
        <f>sumifs(Dados!$N:$N,Dados!$B:$B,B63,Dados!$J:$J,$D$1,Dados!$I:$I,$G$4)</f>
        <v>0</v>
      </c>
      <c r="H63" s="64">
        <f>sumifs(Dados!$N:$N,Dados!$B:$B,B63,Dados!$J:$J,$D$1,Dados!$I:$I,$H$4)</f>
        <v>19.61</v>
      </c>
      <c r="I63" s="64">
        <f>sumifs(Dados!$N:$N,Dados!$B:$B,B63,Dados!$J:$J,$D$1,Dados!$I:$I,$I$4)</f>
        <v>0</v>
      </c>
      <c r="J63" s="64">
        <f>sumifs(Dados!$N:$N,Dados!$B:$B,B63,Dados!$J:$J,$D$1,Dados!$I:$I,$J$4)</f>
        <v>0</v>
      </c>
      <c r="K63" s="64">
        <f>sumifs(Dados!$N:$N,Dados!$B:$B,B63,Dados!$J:$J,$D$1,Dados!$I:$I,$K$4)</f>
        <v>18.4</v>
      </c>
      <c r="L63" s="64">
        <f>sumifs(Dados!$N:$N,Dados!$B:$B,B63,Dados!$J:$J,$D$1,Dados!$I:$I,$L$4)</f>
        <v>0</v>
      </c>
      <c r="M63" s="64">
        <f>sumifs(Dados!$N:$N,Dados!$B:$B,B63,Dados!$J:$J,$D$1,Dados!$I:$I,$M$4)</f>
        <v>0</v>
      </c>
      <c r="N63" s="64">
        <f>sumifs(Dados!$N:$N,Dados!$B:$B,B63,Dados!$J:$J,$D$1,Dados!$I:$I,$N$4)</f>
        <v>0</v>
      </c>
      <c r="O63" s="64">
        <f>sumifs(Dados!$N:$N,Dados!$B:$B,B63,Dados!$J:$J,$D$1,Dados!$I:$I,$O$4)</f>
        <v>0</v>
      </c>
      <c r="P63" s="64">
        <f>sumifs(Dados!$N:$N,Dados!$B:$B,B63,Dados!$J:$J,$D$1,Dados!$I:$I,$P$4)</f>
        <v>0</v>
      </c>
      <c r="Q63" s="64"/>
    </row>
    <row r="64" ht="15.75" customHeight="1">
      <c r="A64" s="74"/>
      <c r="B64" s="59" t="s">
        <v>241</v>
      </c>
      <c r="C64" s="60"/>
      <c r="D64" s="61">
        <f t="shared" si="11"/>
        <v>60.86</v>
      </c>
      <c r="E64" s="64">
        <f>sumifs(Dados!$N:$N,Dados!$B:$B,B64,Dados!$J:$J,$D$1,Dados!$I:$I,$E$4)</f>
        <v>0</v>
      </c>
      <c r="F64" s="64">
        <f>sumifs(Dados!$N:$N,Dados!$B:$B,B64,Dados!$J:$J,$D$1,Dados!$I:$I,$F$4)</f>
        <v>0</v>
      </c>
      <c r="G64" s="64">
        <f>sumifs(Dados!$N:$N,Dados!$B:$B,B64,Dados!$J:$J,$D$1,Dados!$I:$I,$G$4)</f>
        <v>0</v>
      </c>
      <c r="H64" s="64">
        <f>sumifs(Dados!$N:$N,Dados!$B:$B,B64,Dados!$J:$J,$D$1,Dados!$I:$I,$H$4)</f>
        <v>14.32</v>
      </c>
      <c r="I64" s="64">
        <f>sumifs(Dados!$N:$N,Dados!$B:$B,B64,Dados!$J:$J,$D$1,Dados!$I:$I,$I$4)</f>
        <v>0</v>
      </c>
      <c r="J64" s="64">
        <f>sumifs(Dados!$N:$N,Dados!$B:$B,B64,Dados!$J:$J,$D$1,Dados!$I:$I,$J$4)</f>
        <v>8.95</v>
      </c>
      <c r="K64" s="64">
        <f>sumifs(Dados!$N:$N,Dados!$B:$B,B64,Dados!$J:$J,$D$1,Dados!$I:$I,$K$4)</f>
        <v>17.9</v>
      </c>
      <c r="L64" s="64">
        <f>sumifs(Dados!$N:$N,Dados!$B:$B,B64,Dados!$J:$J,$D$1,Dados!$I:$I,$L$4)</f>
        <v>0</v>
      </c>
      <c r="M64" s="64">
        <f>sumifs(Dados!$N:$N,Dados!$B:$B,B64,Dados!$J:$J,$D$1,Dados!$I:$I,$M$4)</f>
        <v>19.69</v>
      </c>
      <c r="N64" s="64">
        <f>sumifs(Dados!$N:$N,Dados!$B:$B,B64,Dados!$J:$J,$D$1,Dados!$I:$I,$N$4)</f>
        <v>0</v>
      </c>
      <c r="O64" s="64">
        <f>sumifs(Dados!$N:$N,Dados!$B:$B,B64,Dados!$J:$J,$D$1,Dados!$I:$I,$O$4)</f>
        <v>0</v>
      </c>
      <c r="P64" s="64">
        <f>sumifs(Dados!$N:$N,Dados!$B:$B,B64,Dados!$J:$J,$D$1,Dados!$I:$I,$P$4)</f>
        <v>0</v>
      </c>
      <c r="Q64" s="64"/>
    </row>
    <row r="65" ht="15.75" customHeight="1">
      <c r="A65" s="74"/>
      <c r="B65" s="59" t="s">
        <v>243</v>
      </c>
      <c r="C65" s="60"/>
      <c r="D65" s="61">
        <f t="shared" si="11"/>
        <v>4.45</v>
      </c>
      <c r="E65" s="64">
        <f>sumifs(Dados!$N:$N,Dados!$B:$B,B65,Dados!$J:$J,$D$1,Dados!$I:$I,$E$4)</f>
        <v>0</v>
      </c>
      <c r="F65" s="64">
        <f>sumifs(Dados!$N:$N,Dados!$B:$B,B65,Dados!$J:$J,$D$1,Dados!$I:$I,$F$4)</f>
        <v>0</v>
      </c>
      <c r="G65" s="64">
        <f>sumifs(Dados!$N:$N,Dados!$B:$B,B65,Dados!$J:$J,$D$1,Dados!$I:$I,$G$4)</f>
        <v>0</v>
      </c>
      <c r="H65" s="64">
        <f>sumifs(Dados!$N:$N,Dados!$B:$B,B65,Dados!$J:$J,$D$1,Dados!$I:$I,$H$4)</f>
        <v>0</v>
      </c>
      <c r="I65" s="64">
        <f>sumifs(Dados!$N:$N,Dados!$B:$B,B65,Dados!$J:$J,$D$1,Dados!$I:$I,$I$4)</f>
        <v>0</v>
      </c>
      <c r="J65" s="64">
        <f>sumifs(Dados!$N:$N,Dados!$B:$B,B65,Dados!$J:$J,$D$1,Dados!$I:$I,$J$4)</f>
        <v>0</v>
      </c>
      <c r="K65" s="64">
        <f>sumifs(Dados!$N:$N,Dados!$B:$B,B65,Dados!$J:$J,$D$1,Dados!$I:$I,$K$4)</f>
        <v>0</v>
      </c>
      <c r="L65" s="64">
        <f>sumifs(Dados!$N:$N,Dados!$B:$B,B65,Dados!$J:$J,$D$1,Dados!$I:$I,$L$4)</f>
        <v>0</v>
      </c>
      <c r="M65" s="64">
        <f>sumifs(Dados!$N:$N,Dados!$B:$B,B65,Dados!$J:$J,$D$1,Dados!$I:$I,$M$4)</f>
        <v>4.45</v>
      </c>
      <c r="N65" s="64">
        <f>sumifs(Dados!$N:$N,Dados!$B:$B,B65,Dados!$J:$J,$D$1,Dados!$I:$I,$N$4)</f>
        <v>0</v>
      </c>
      <c r="O65" s="64">
        <f>sumifs(Dados!$N:$N,Dados!$B:$B,B65,Dados!$J:$J,$D$1,Dados!$I:$I,$O$4)</f>
        <v>0</v>
      </c>
      <c r="P65" s="64">
        <f>sumifs(Dados!$N:$N,Dados!$B:$B,B65,Dados!$J:$J,$D$1,Dados!$I:$I,$P$4)</f>
        <v>0</v>
      </c>
      <c r="Q65" s="64"/>
    </row>
    <row r="66" ht="15.75" customHeight="1">
      <c r="A66" s="58"/>
      <c r="B66" s="59" t="s">
        <v>246</v>
      </c>
      <c r="C66" s="60"/>
      <c r="D66" s="61">
        <f t="shared" si="11"/>
        <v>43.89</v>
      </c>
      <c r="E66" s="64">
        <f>sumifs(Dados!$N:$N,Dados!$B:$B,B66,Dados!$J:$J,$D$1,Dados!$I:$I,$E$4)</f>
        <v>0</v>
      </c>
      <c r="F66" s="64">
        <f>sumifs(Dados!$N:$N,Dados!$B:$B,B66,Dados!$J:$J,$D$1,Dados!$I:$I,$F$4)</f>
        <v>0</v>
      </c>
      <c r="G66" s="64">
        <f>sumifs(Dados!$N:$N,Dados!$B:$B,B66,Dados!$J:$J,$D$1,Dados!$I:$I,$G$4)</f>
        <v>0</v>
      </c>
      <c r="H66" s="64">
        <f>sumifs(Dados!$N:$N,Dados!$B:$B,B66,Dados!$J:$J,$D$1,Dados!$I:$I,$H$4)</f>
        <v>0</v>
      </c>
      <c r="I66" s="64">
        <f>sumifs(Dados!$N:$N,Dados!$B:$B,B66,Dados!$J:$J,$D$1,Dados!$I:$I,$I$4)</f>
        <v>0</v>
      </c>
      <c r="J66" s="64">
        <f>sumifs(Dados!$N:$N,Dados!$B:$B,B66,Dados!$J:$J,$D$1,Dados!$I:$I,$J$4)</f>
        <v>29.04</v>
      </c>
      <c r="K66" s="64">
        <f>sumifs(Dados!$N:$N,Dados!$B:$B,B66,Dados!$J:$J,$D$1,Dados!$I:$I,$K$4)</f>
        <v>0</v>
      </c>
      <c r="L66" s="64">
        <f>sumifs(Dados!$N:$N,Dados!$B:$B,B66,Dados!$J:$J,$D$1,Dados!$I:$I,$L$4)</f>
        <v>14.85</v>
      </c>
      <c r="M66" s="64">
        <f>sumifs(Dados!$N:$N,Dados!$B:$B,B66,Dados!$J:$J,$D$1,Dados!$I:$I,$M$4)</f>
        <v>0</v>
      </c>
      <c r="N66" s="64">
        <f>sumifs(Dados!$N:$N,Dados!$B:$B,B66,Dados!$J:$J,$D$1,Dados!$I:$I,$N$4)</f>
        <v>0</v>
      </c>
      <c r="O66" s="64">
        <f>sumifs(Dados!$N:$N,Dados!$B:$B,B66,Dados!$J:$J,$D$1,Dados!$I:$I,$O$4)</f>
        <v>0</v>
      </c>
      <c r="P66" s="64">
        <f>sumifs(Dados!$N:$N,Dados!$B:$B,B66,Dados!$J:$J,$D$1,Dados!$I:$I,$P$4)</f>
        <v>0</v>
      </c>
      <c r="Q66" s="64"/>
    </row>
    <row r="67" ht="15.75" customHeight="1">
      <c r="A67" s="58"/>
      <c r="B67" s="59" t="s">
        <v>248</v>
      </c>
      <c r="C67" s="60"/>
      <c r="D67" s="61">
        <f t="shared" si="11"/>
        <v>30.87</v>
      </c>
      <c r="E67" s="64">
        <f>sumifs(Dados!$N:$N,Dados!$B:$B,B67,Dados!$J:$J,$D$1,Dados!$I:$I,$E$4)</f>
        <v>0</v>
      </c>
      <c r="F67" s="64">
        <f>sumifs(Dados!$N:$N,Dados!$B:$B,B67,Dados!$J:$J,$D$1,Dados!$I:$I,$F$4)</f>
        <v>0</v>
      </c>
      <c r="G67" s="64">
        <f>sumifs(Dados!$N:$N,Dados!$B:$B,B67,Dados!$J:$J,$D$1,Dados!$I:$I,$G$4)</f>
        <v>0</v>
      </c>
      <c r="H67" s="64">
        <f>sumifs(Dados!$N:$N,Dados!$B:$B,B67,Dados!$J:$J,$D$1,Dados!$I:$I,$H$4)</f>
        <v>0</v>
      </c>
      <c r="I67" s="64">
        <f>sumifs(Dados!$N:$N,Dados!$B:$B,B67,Dados!$J:$J,$D$1,Dados!$I:$I,$I$4)</f>
        <v>0</v>
      </c>
      <c r="J67" s="64">
        <f>sumifs(Dados!$N:$N,Dados!$B:$B,B67,Dados!$J:$J,$D$1,Dados!$I:$I,$J$4)</f>
        <v>0</v>
      </c>
      <c r="K67" s="64">
        <f>sumifs(Dados!$N:$N,Dados!$B:$B,B67,Dados!$J:$J,$D$1,Dados!$I:$I,$K$4)</f>
        <v>0</v>
      </c>
      <c r="L67" s="64">
        <f>sumifs(Dados!$N:$N,Dados!$B:$B,B67,Dados!$J:$J,$D$1,Dados!$I:$I,$L$4)</f>
        <v>0</v>
      </c>
      <c r="M67" s="64">
        <f>sumifs(Dados!$N:$N,Dados!$B:$B,B67,Dados!$J:$J,$D$1,Dados!$I:$I,$M$4)</f>
        <v>30.87</v>
      </c>
      <c r="N67" s="64">
        <f>sumifs(Dados!$N:$N,Dados!$B:$B,B67,Dados!$J:$J,$D$1,Dados!$I:$I,$N$4)</f>
        <v>0</v>
      </c>
      <c r="O67" s="64">
        <f>sumifs(Dados!$N:$N,Dados!$B:$B,B67,Dados!$J:$J,$D$1,Dados!$I:$I,$O$4)</f>
        <v>0</v>
      </c>
      <c r="P67" s="64">
        <f>sumifs(Dados!$N:$N,Dados!$B:$B,B67,Dados!$J:$J,$D$1,Dados!$I:$I,$P$4)</f>
        <v>0</v>
      </c>
      <c r="Q67" s="64"/>
    </row>
    <row r="68" ht="15.75" customHeight="1">
      <c r="A68" s="88" t="s">
        <v>154</v>
      </c>
      <c r="B68" s="89">
        <f>sumifs(Dados!$N:$N,Dados!$A:$A,A68,Dados!$J:$J,$D$1)</f>
        <v>489.72</v>
      </c>
      <c r="C68" s="90">
        <f>B68-D68</f>
        <v>0</v>
      </c>
      <c r="D68" s="89">
        <f t="shared" ref="D68:P68" si="12">SUM(D56:D67)</f>
        <v>489.72</v>
      </c>
      <c r="E68" s="89">
        <f t="shared" si="12"/>
        <v>0</v>
      </c>
      <c r="F68" s="89">
        <f t="shared" si="12"/>
        <v>0</v>
      </c>
      <c r="G68" s="89">
        <f t="shared" si="12"/>
        <v>0</v>
      </c>
      <c r="H68" s="89">
        <f t="shared" si="12"/>
        <v>223.94</v>
      </c>
      <c r="I68" s="89">
        <f t="shared" si="12"/>
        <v>16.77</v>
      </c>
      <c r="J68" s="89">
        <f t="shared" si="12"/>
        <v>53.9</v>
      </c>
      <c r="K68" s="89">
        <f t="shared" si="12"/>
        <v>83.04</v>
      </c>
      <c r="L68" s="89">
        <f t="shared" si="12"/>
        <v>27.8</v>
      </c>
      <c r="M68" s="89">
        <f t="shared" si="12"/>
        <v>84.27</v>
      </c>
      <c r="N68" s="89">
        <f t="shared" si="12"/>
        <v>0</v>
      </c>
      <c r="O68" s="89">
        <f t="shared" si="12"/>
        <v>0</v>
      </c>
      <c r="P68" s="89">
        <f t="shared" si="12"/>
        <v>0</v>
      </c>
      <c r="Q68" s="89"/>
    </row>
    <row r="69" ht="15.75" customHeight="1">
      <c r="A69" s="58"/>
      <c r="B69" s="58" t="s">
        <v>250</v>
      </c>
      <c r="C69" s="60"/>
      <c r="D69" s="61">
        <f t="shared" ref="D69:D75" si="13">SUM(E69:P69)</f>
        <v>334.45</v>
      </c>
      <c r="E69" s="64">
        <f>sumifs(Dados!$N:$N,Dados!$B:$B,B69,Dados!$J:$J,$D$1,Dados!$I:$I,$E$4)</f>
        <v>0</v>
      </c>
      <c r="F69" s="64">
        <f>sumifs(Dados!$N:$N,Dados!$B:$B,B69,Dados!$J:$J,$D$1,Dados!$I:$I,$F$4)</f>
        <v>0</v>
      </c>
      <c r="G69" s="64">
        <f>sumifs(Dados!$N:$N,Dados!$B:$B,B69,Dados!$J:$J,$D$1,Dados!$I:$I,$G$4)</f>
        <v>0</v>
      </c>
      <c r="H69" s="64">
        <f>sumifs(Dados!$N:$N,Dados!$B:$B,B69,Dados!$J:$J,$D$1,Dados!$I:$I,$H$4)</f>
        <v>0</v>
      </c>
      <c r="I69" s="64">
        <f>sumifs(Dados!$N:$N,Dados!$B:$B,B69,Dados!$J:$J,$D$1,Dados!$I:$I,$I$4)</f>
        <v>334.45</v>
      </c>
      <c r="J69" s="64">
        <f>sumifs(Dados!$N:$N,Dados!$B:$B,B69,Dados!$J:$J,$D$1,Dados!$I:$I,$J$4)</f>
        <v>0</v>
      </c>
      <c r="K69" s="64">
        <f>sumifs(Dados!$N:$N,Dados!$B:$B,B69,Dados!$J:$J,$D$1,Dados!$I:$I,$K$4)</f>
        <v>0</v>
      </c>
      <c r="L69" s="64">
        <f>sumifs(Dados!$N:$N,Dados!$B:$B,B69,Dados!$J:$J,$D$1,Dados!$I:$I,$L$4)</f>
        <v>0</v>
      </c>
      <c r="M69" s="64">
        <f>sumifs(Dados!$N:$N,Dados!$B:$B,B69,Dados!$J:$J,$D$1,Dados!$I:$I,$M$4)</f>
        <v>0</v>
      </c>
      <c r="N69" s="64">
        <f>sumifs(Dados!$N:$N,Dados!$B:$B,B69,Dados!$J:$J,$D$1,Dados!$I:$I,$N$4)</f>
        <v>0</v>
      </c>
      <c r="O69" s="64">
        <f>sumifs(Dados!$N:$N,Dados!$B:$B,B69,Dados!$J:$J,$D$1,Dados!$I:$I,$O$4)</f>
        <v>0</v>
      </c>
      <c r="P69" s="64">
        <f>sumifs(Dados!$N:$N,Dados!$B:$B,B69,Dados!$J:$J,$D$1,Dados!$I:$I,$P$4)</f>
        <v>0</v>
      </c>
      <c r="Q69" s="64"/>
    </row>
    <row r="70" ht="15.75" customHeight="1">
      <c r="A70" s="58"/>
      <c r="B70" s="58" t="s">
        <v>252</v>
      </c>
      <c r="C70" s="60"/>
      <c r="D70" s="61">
        <f t="shared" si="13"/>
        <v>0</v>
      </c>
      <c r="E70" s="64">
        <f>sumifs(Dados!$N:$N,Dados!$B:$B,B70,Dados!$J:$J,$D$1,Dados!$I:$I,$E$4)</f>
        <v>0</v>
      </c>
      <c r="F70" s="64">
        <f>sumifs(Dados!$N:$N,Dados!$B:$B,B70,Dados!$J:$J,$D$1,Dados!$I:$I,$F$4)</f>
        <v>0</v>
      </c>
      <c r="G70" s="64">
        <f>sumifs(Dados!$N:$N,Dados!$B:$B,B70,Dados!$J:$J,$D$1,Dados!$I:$I,$G$4)</f>
        <v>0</v>
      </c>
      <c r="H70" s="64">
        <f>sumifs(Dados!$N:$N,Dados!$B:$B,B70,Dados!$J:$J,$D$1,Dados!$I:$I,$H$4)</f>
        <v>0</v>
      </c>
      <c r="I70" s="64">
        <f>sumifs(Dados!$N:$N,Dados!$B:$B,B70,Dados!$J:$J,$D$1,Dados!$I:$I,$I$4)</f>
        <v>0</v>
      </c>
      <c r="J70" s="64">
        <f>sumifs(Dados!$N:$N,Dados!$B:$B,B70,Dados!$J:$J,$D$1,Dados!$I:$I,$J$4)</f>
        <v>0</v>
      </c>
      <c r="K70" s="64">
        <f>sumifs(Dados!$N:$N,Dados!$B:$B,B70,Dados!$J:$J,$D$1,Dados!$I:$I,$K$4)</f>
        <v>0</v>
      </c>
      <c r="L70" s="64">
        <f>sumifs(Dados!$N:$N,Dados!$B:$B,B70,Dados!$J:$J,$D$1,Dados!$I:$I,$L$4)</f>
        <v>0</v>
      </c>
      <c r="M70" s="64">
        <f>sumifs(Dados!$N:$N,Dados!$B:$B,B70,Dados!$J:$J,$D$1,Dados!$I:$I,$M$4)</f>
        <v>0</v>
      </c>
      <c r="N70" s="64">
        <f>sumifs(Dados!$N:$N,Dados!$B:$B,B70,Dados!$J:$J,$D$1,Dados!$I:$I,$N$4)</f>
        <v>0</v>
      </c>
      <c r="O70" s="64">
        <f>sumifs(Dados!$N:$N,Dados!$B:$B,B70,Dados!$J:$J,$D$1,Dados!$I:$I,$O$4)</f>
        <v>0</v>
      </c>
      <c r="P70" s="64">
        <f>sumifs(Dados!$N:$N,Dados!$B:$B,B70,Dados!$J:$J,$D$1,Dados!$I:$I,$P$4)</f>
        <v>0</v>
      </c>
      <c r="Q70" s="64"/>
    </row>
    <row r="71" ht="15.75" customHeight="1">
      <c r="A71" s="58"/>
      <c r="B71" s="58" t="s">
        <v>254</v>
      </c>
      <c r="C71" s="60"/>
      <c r="D71" s="61">
        <f t="shared" si="13"/>
        <v>334.45</v>
      </c>
      <c r="E71" s="64">
        <f>sumifs(Dados!$N:$N,Dados!$B:$B,$B$71,Dados!$J:$J,$D$1,Dados!$I:$I,E4)</f>
        <v>0</v>
      </c>
      <c r="F71" s="64">
        <f>sumifs(Dados!$N:$N,Dados!$B:$B,$B$71,Dados!$J:$J,$D$1,Dados!$I:$I,F4)</f>
        <v>0</v>
      </c>
      <c r="G71" s="64">
        <f>sumifs(Dados!$N:$N,Dados!$B:$B,$B$71,Dados!$J:$J,$D$1,Dados!$I:$I,G4)</f>
        <v>0</v>
      </c>
      <c r="H71" s="64">
        <f>sumifs(Dados!$N:$N,Dados!$B:$B,$B$71,Dados!$J:$J,$D$1,Dados!$I:$I,H4)</f>
        <v>0</v>
      </c>
      <c r="I71" s="64">
        <f>sumifs(Dados!$N:$N,Dados!$B:$B,$B$71,Dados!$J:$J,$D$1,Dados!$I:$I,I4)</f>
        <v>0</v>
      </c>
      <c r="J71" s="64">
        <f>sumifs(Dados!$N:$N,Dados!$B:$B,$B$71,Dados!$J:$J,$D$1,Dados!$I:$I,J4)</f>
        <v>0</v>
      </c>
      <c r="K71" s="64">
        <f>sumifs(Dados!$N:$N,Dados!$B:$B,$B$71,Dados!$J:$J,$D$1,Dados!$I:$I,K4)</f>
        <v>0</v>
      </c>
      <c r="L71" s="64">
        <f>sumifs(Dados!$N:$N,Dados!$B:$B,$B$71,Dados!$J:$J,$D$1,Dados!$I:$I,L4)</f>
        <v>334.45</v>
      </c>
      <c r="M71" s="64">
        <f>sumifs(Dados!$N:$N,Dados!$B:$B,$B$71,Dados!$J:$J,$D$1,Dados!$I:$I,M4)</f>
        <v>0</v>
      </c>
      <c r="N71" s="64">
        <f>sumifs(Dados!$N:$N,Dados!$B:$B,$B$71,Dados!$J:$J,$D$1,Dados!$I:$I,N4)</f>
        <v>0</v>
      </c>
      <c r="O71" s="64">
        <f>sumifs(Dados!$N:$N,Dados!$B:$B,$B$71,Dados!$J:$J,$D$1,Dados!$I:$I,O4)</f>
        <v>0</v>
      </c>
      <c r="P71" s="64">
        <f>sumifs(Dados!$N:$N,Dados!$B:$B,$B$71,Dados!$J:$J,$D$1,Dados!$I:$I,P4)</f>
        <v>0</v>
      </c>
      <c r="Q71" s="64"/>
    </row>
    <row r="72" ht="15.75" customHeight="1">
      <c r="A72" s="109"/>
      <c r="B72" s="109" t="s">
        <v>255</v>
      </c>
      <c r="C72" s="60"/>
      <c r="D72" s="61">
        <f t="shared" si="13"/>
        <v>2286.98</v>
      </c>
      <c r="E72" s="64">
        <f>sumifs(Dados!$N:$N,Dados!$B:$B,B72,Dados!$J:$J,$D$1,Dados!$I:$I,$E$4)</f>
        <v>0</v>
      </c>
      <c r="F72" s="64">
        <f>sumifs(Dados!$N:$N,Dados!$B:$B,B72,Dados!$J:$J,$D$1,Dados!$I:$I,$F$4)</f>
        <v>0</v>
      </c>
      <c r="G72" s="64">
        <f>sumifs(Dados!$N:$N,Dados!$B:$B,B72,Dados!$J:$J,$D$1,Dados!$I:$I,$G$4)</f>
        <v>0</v>
      </c>
      <c r="H72" s="64">
        <f>sumifs(Dados!$N:$N,Dados!$B:$B,B72,Dados!$J:$J,$D$1,Dados!$I:$I,$H$4)</f>
        <v>0</v>
      </c>
      <c r="I72" s="64">
        <f>sumifs(Dados!$N:$N,Dados!$B:$B,B72,Dados!$J:$J,$D$1,Dados!$I:$I,$I$4)</f>
        <v>0</v>
      </c>
      <c r="J72" s="64">
        <f>sumifs(Dados!$N:$N,Dados!$B:$B,B72,Dados!$J:$J,$D$1,Dados!$I:$I,$J$4)</f>
        <v>1467.98</v>
      </c>
      <c r="K72" s="64">
        <f>sumifs(Dados!$N:$N,Dados!$B:$B,B72,Dados!$J:$J,$D$1,Dados!$I:$I,$K$4)</f>
        <v>0</v>
      </c>
      <c r="L72" s="64">
        <f>sumifs(Dados!$N:$N,Dados!$B:$B,B72,Dados!$J:$J,$D$1,Dados!$I:$I,$L$4)</f>
        <v>819</v>
      </c>
      <c r="M72" s="64">
        <f>sumifs(Dados!$N:$N,Dados!$B:$B,B72,Dados!$J:$J,$D$1,Dados!$I:$I,$M$4)</f>
        <v>0</v>
      </c>
      <c r="N72" s="64">
        <f>sumifs(Dados!$N:$N,Dados!$B:$B,B72,Dados!$J:$J,$D$1,Dados!$I:$I,$N$4)</f>
        <v>0</v>
      </c>
      <c r="O72" s="64">
        <f>sumifs(Dados!$N:$N,Dados!$B:$B,B72,Dados!$J:$J,$D$1,Dados!$I:$I,$O$4)</f>
        <v>0</v>
      </c>
      <c r="P72" s="64">
        <f>sumifs(Dados!$N:$N,Dados!$B:$B,B72,Dados!$J:$J,$D$1,Dados!$I:$I,$P$4)</f>
        <v>0</v>
      </c>
      <c r="Q72" s="64"/>
    </row>
    <row r="73" ht="15.75" customHeight="1">
      <c r="A73" s="58"/>
      <c r="B73" s="58" t="s">
        <v>45</v>
      </c>
      <c r="C73" s="60"/>
      <c r="D73" s="61">
        <f t="shared" si="13"/>
        <v>224.05</v>
      </c>
      <c r="E73" s="64">
        <f>sumifs(Dados!$N:$N,Dados!$B:$B,B73,Dados!$J:$J,$D$1,Dados!$I:$I,$E$4)</f>
        <v>224.05</v>
      </c>
      <c r="F73" s="64">
        <f>sumifs(Dados!$N:$N,Dados!$B:$B,B73,Dados!$J:$J,$D$1,Dados!$I:$I,$F$4)</f>
        <v>0</v>
      </c>
      <c r="G73" s="64">
        <f>sumifs(Dados!$N:$N,Dados!$B:$B,B73,Dados!$J:$J,$D$1,Dados!$I:$I,$G$4)</f>
        <v>0</v>
      </c>
      <c r="H73" s="64">
        <f>sumifs(Dados!$N:$N,Dados!$B:$B,B73,Dados!$J:$J,$D$1,Dados!$I:$I,$H$4)</f>
        <v>0</v>
      </c>
      <c r="I73" s="64">
        <f>sumifs(Dados!$N:$N,Dados!$B:$B,B73,Dados!$J:$J,$D$1,Dados!$I:$I,$I$4)</f>
        <v>0</v>
      </c>
      <c r="J73" s="64">
        <f>sumifs(Dados!$N:$N,Dados!$B:$B,B73,Dados!$J:$J,$D$1,Dados!$I:$I,$J$4)</f>
        <v>0</v>
      </c>
      <c r="K73" s="64">
        <f>sumifs(Dados!$N:$N,Dados!$B:$B,B73,Dados!$J:$J,$D$1,Dados!$I:$I,$K$4)</f>
        <v>0</v>
      </c>
      <c r="L73" s="64">
        <f>sumifs(Dados!$N:$N,Dados!$B:$B,B73,Dados!$J:$J,$D$1,Dados!$I:$I,$L$4)</f>
        <v>0</v>
      </c>
      <c r="M73" s="64">
        <f>sumifs(Dados!$N:$N,Dados!$B:$B,B73,Dados!$J:$J,$D$1,Dados!$I:$I,$M$4)</f>
        <v>0</v>
      </c>
      <c r="N73" s="64">
        <f>sumifs(Dados!$N:$N,Dados!$B:$B,B73,Dados!$J:$J,$D$1,Dados!$I:$I,$N$4)</f>
        <v>0</v>
      </c>
      <c r="O73" s="64">
        <f>sumifs(Dados!$N:$N,Dados!$B:$B,B73,Dados!$J:$J,$D$1,Dados!$I:$I,$O$4)</f>
        <v>0</v>
      </c>
      <c r="P73" s="64">
        <f>sumifs(Dados!$N:$N,Dados!$B:$B,B73,Dados!$J:$J,$D$1,Dados!$I:$I,$P$4)</f>
        <v>0</v>
      </c>
      <c r="Q73" s="64"/>
    </row>
    <row r="74" ht="15.75" customHeight="1">
      <c r="A74" s="74"/>
      <c r="B74" s="74" t="s">
        <v>256</v>
      </c>
      <c r="C74" s="60"/>
      <c r="D74" s="61">
        <f t="shared" si="13"/>
        <v>112</v>
      </c>
      <c r="E74" s="64">
        <f>sumifs(Dados!$N:$N,Dados!$B:$B,B74,Dados!$J:$J,$D$1,Dados!$I:$I,$E$4)</f>
        <v>0</v>
      </c>
      <c r="F74" s="64">
        <f>sumifs(Dados!$N:$N,Dados!$B:$B,B74,Dados!$J:$J,$D$1,Dados!$I:$I,$F$4)</f>
        <v>0</v>
      </c>
      <c r="G74" s="64">
        <f>sumifs(Dados!$N:$N,Dados!$B:$B,B74,Dados!$J:$J,$D$1,Dados!$I:$I,$G$4)</f>
        <v>0</v>
      </c>
      <c r="H74" s="64">
        <f>sumifs(Dados!$N:$N,Dados!$B:$B,B74,Dados!$J:$J,$D$1,Dados!$I:$I,$H$4)</f>
        <v>0</v>
      </c>
      <c r="I74" s="64">
        <f>sumifs(Dados!$N:$N,Dados!$B:$B,B74,Dados!$J:$J,$D$1,Dados!$I:$I,$I$4)</f>
        <v>112</v>
      </c>
      <c r="J74" s="64">
        <f>sumifs(Dados!$N:$N,Dados!$B:$B,B74,Dados!$J:$J,$D$1,Dados!$I:$I,$J$4)</f>
        <v>0</v>
      </c>
      <c r="K74" s="64">
        <f>sumifs(Dados!$N:$N,Dados!$B:$B,B74,Dados!$J:$J,$D$1,Dados!$I:$I,$K$4)</f>
        <v>0</v>
      </c>
      <c r="L74" s="64">
        <f>sumifs(Dados!$N:$N,Dados!$B:$B,B74,Dados!$J:$J,$D$1,Dados!$I:$I,$L$4)</f>
        <v>0</v>
      </c>
      <c r="M74" s="64">
        <f>sumifs(Dados!$N:$N,Dados!$B:$B,B74,Dados!$J:$J,$D$1,Dados!$I:$I,$M$4)</f>
        <v>0</v>
      </c>
      <c r="N74" s="64">
        <f>sumifs(Dados!$N:$N,Dados!$B:$B,B74,Dados!$J:$J,$D$1,Dados!$I:$I,$N$4)</f>
        <v>0</v>
      </c>
      <c r="O74" s="64">
        <f>sumifs(Dados!$N:$N,Dados!$B:$B,B74,Dados!$J:$J,$D$1,Dados!$I:$I,$O$4)</f>
        <v>0</v>
      </c>
      <c r="P74" s="64">
        <f>sumifs(Dados!$N:$N,Dados!$B:$B,B74,Dados!$J:$J,$D$1,Dados!$I:$I,$P$4)</f>
        <v>0</v>
      </c>
      <c r="Q74" s="64"/>
    </row>
    <row r="75" ht="15.75" customHeight="1">
      <c r="A75" s="58"/>
      <c r="B75" s="58" t="s">
        <v>44</v>
      </c>
      <c r="C75" s="60"/>
      <c r="D75" s="61">
        <f t="shared" si="13"/>
        <v>3589.15</v>
      </c>
      <c r="E75" s="64">
        <f>sumifs(Dados!$N:$N,Dados!$B:$B,B75,Dados!$J:$J,$D$1,Dados!$I:$I,$E$4)</f>
        <v>188.1</v>
      </c>
      <c r="F75" s="64">
        <f>sumifs(Dados!$N:$N,Dados!$B:$B,B75,Dados!$J:$J,$D$1,Dados!$I:$I,$F$4)</f>
        <v>188.1</v>
      </c>
      <c r="G75" s="64">
        <f>sumifs(Dados!$N:$N,Dados!$B:$B,B75,Dados!$J:$J,$D$1,Dados!$I:$I,$G$4)</f>
        <v>188.1</v>
      </c>
      <c r="H75" s="64">
        <f>sumifs(Dados!$N:$N,Dados!$B:$B,B75,Dados!$J:$J,$D$1,Dados!$I:$I,$H$4)</f>
        <v>188.1</v>
      </c>
      <c r="I75" s="64">
        <f>sumifs(Dados!$N:$N,Dados!$B:$B,B75,Dados!$J:$J,$D$1,Dados!$I:$I,$I$4)</f>
        <v>20</v>
      </c>
      <c r="J75" s="64">
        <f>sumifs(Dados!$N:$N,Dados!$B:$B,B75,Dados!$J:$J,$D$1,Dados!$I:$I,$J$4)</f>
        <v>40</v>
      </c>
      <c r="K75" s="64">
        <f>sumifs(Dados!$N:$N,Dados!$B:$B,B75,Dados!$J:$J,$D$1,Dados!$I:$I,$K$4)</f>
        <v>0</v>
      </c>
      <c r="L75" s="64">
        <f>sumifs(Dados!$N:$N,Dados!$B:$B,B75,Dados!$J:$J,$D$1,Dados!$I:$I,$L$4)</f>
        <v>2397.47</v>
      </c>
      <c r="M75" s="64">
        <f>sumifs(Dados!$N:$N,Dados!$B:$B,B75,Dados!$J:$J,$D$1,Dados!$I:$I,$M$4)</f>
        <v>379.28</v>
      </c>
      <c r="N75" s="64">
        <f>sumifs(Dados!$N:$N,Dados!$B:$B,B75,Dados!$J:$J,$D$1,Dados!$I:$I,$N$4)</f>
        <v>0</v>
      </c>
      <c r="O75" s="64">
        <f>sumifs(Dados!$N:$N,Dados!$B:$B,B75,Dados!$J:$J,$D$1,Dados!$I:$I,$O$4)</f>
        <v>0</v>
      </c>
      <c r="P75" s="64">
        <f>sumifs(Dados!$N:$N,Dados!$B:$B,B75,Dados!$J:$J,$D$1,Dados!$I:$I,$P$4)</f>
        <v>0</v>
      </c>
      <c r="Q75" s="64"/>
    </row>
    <row r="76" ht="15.75" customHeight="1">
      <c r="A76" s="88" t="s">
        <v>156</v>
      </c>
      <c r="B76" s="89">
        <f>sumifs(Dados!$N:$N,Dados!$A:$A,A76,Dados!$H:$H,$D$1)</f>
        <v>6881.08</v>
      </c>
      <c r="C76" s="90">
        <f>B76-D76</f>
        <v>0</v>
      </c>
      <c r="D76" s="89">
        <f t="shared" ref="D76:P76" si="14">SUM(D69:D75)</f>
        <v>6881.08</v>
      </c>
      <c r="E76" s="89">
        <f t="shared" si="14"/>
        <v>412.15</v>
      </c>
      <c r="F76" s="89">
        <f t="shared" si="14"/>
        <v>188.1</v>
      </c>
      <c r="G76" s="89">
        <f t="shared" si="14"/>
        <v>188.1</v>
      </c>
      <c r="H76" s="89">
        <f t="shared" si="14"/>
        <v>188.1</v>
      </c>
      <c r="I76" s="89">
        <f t="shared" si="14"/>
        <v>466.45</v>
      </c>
      <c r="J76" s="89">
        <f t="shared" si="14"/>
        <v>1507.98</v>
      </c>
      <c r="K76" s="89">
        <f t="shared" si="14"/>
        <v>0</v>
      </c>
      <c r="L76" s="89">
        <f t="shared" si="14"/>
        <v>3550.92</v>
      </c>
      <c r="M76" s="89">
        <f t="shared" si="14"/>
        <v>379.28</v>
      </c>
      <c r="N76" s="89">
        <f t="shared" si="14"/>
        <v>0</v>
      </c>
      <c r="O76" s="89">
        <f t="shared" si="14"/>
        <v>0</v>
      </c>
      <c r="P76" s="89">
        <f t="shared" si="14"/>
        <v>0</v>
      </c>
      <c r="Q76" s="89"/>
    </row>
    <row r="77" ht="15.75" customHeight="1">
      <c r="A77" s="58"/>
      <c r="B77" s="58" t="s">
        <v>258</v>
      </c>
      <c r="C77" s="60"/>
      <c r="D77" s="61">
        <f t="shared" ref="D77:D82" si="15">SUM(E77:P77)</f>
        <v>0</v>
      </c>
      <c r="E77" s="64">
        <f>sumifs(Dados!$N:$N,Dados!$B:$B,B77,Dados!$J:$J,$D$1,Dados!$I:$I,$E$4)</f>
        <v>0</v>
      </c>
      <c r="F77" s="64">
        <f>sumifs(Dados!$N:$N,Dados!$B:$B,B77,Dados!$J:$J,$D$1,Dados!$I:$I,$F$4)</f>
        <v>0</v>
      </c>
      <c r="G77" s="64">
        <f>sumifs(Dados!$N:$N,Dados!$B:$B,B77,Dados!$J:$J,$D$1,Dados!$I:$I,$G$4)</f>
        <v>0</v>
      </c>
      <c r="H77" s="64">
        <f>sumifs(Dados!$N:$N,Dados!$B:$B,B77,Dados!$J:$J,$D$1,Dados!$I:$I,$H$4)</f>
        <v>0</v>
      </c>
      <c r="I77" s="64">
        <f>sumifs(Dados!$N:$N,Dados!$B:$B,B77,Dados!$J:$J,$D$1,Dados!$I:$I,$I$4)</f>
        <v>0</v>
      </c>
      <c r="J77" s="64">
        <f>sumifs(Dados!$N:$N,Dados!$B:$B,B77,Dados!$J:$J,$D$1,Dados!$I:$I,$J$4)</f>
        <v>0</v>
      </c>
      <c r="K77" s="64">
        <f>sumifs(Dados!$N:$N,Dados!$B:$B,B77,Dados!$J:$J,$D$1,Dados!$I:$I,$K$4)</f>
        <v>0</v>
      </c>
      <c r="L77" s="64">
        <f>sumifs(Dados!$N:$N,Dados!$B:$B,B77,Dados!$J:$J,$D$1,Dados!$I:$I,$L$4)</f>
        <v>0</v>
      </c>
      <c r="M77" s="64">
        <f>sumifs(Dados!$N:$N,Dados!$B:$B,B77,Dados!$J:$J,$D$1,Dados!$I:$I,$M$4)</f>
        <v>0</v>
      </c>
      <c r="N77" s="64">
        <f>sumifs(Dados!$N:$N,Dados!$B:$B,B77,Dados!$J:$J,$D$1,Dados!$I:$I,$N$4)</f>
        <v>0</v>
      </c>
      <c r="O77" s="64">
        <f>sumifs(Dados!$N:$N,Dados!$B:$B,B77,Dados!$J:$J,$D$1,Dados!$I:$I,$O$4)</f>
        <v>0</v>
      </c>
      <c r="P77" s="64">
        <f>sumifs(Dados!$N:$N,Dados!$B:$B,B77,Dados!$J:$J,$D$1,Dados!$I:$I,$P$4)</f>
        <v>0</v>
      </c>
      <c r="Q77" s="64"/>
    </row>
    <row r="78" ht="15.75" customHeight="1">
      <c r="A78" s="58"/>
      <c r="B78" s="58" t="s">
        <v>261</v>
      </c>
      <c r="C78" s="60"/>
      <c r="D78" s="61">
        <f t="shared" si="15"/>
        <v>246.04</v>
      </c>
      <c r="E78" s="64">
        <f>sumifs(Dados!$N:$N,Dados!$B:$B,B78,Dados!$J:$J,$D$1,Dados!$I:$I,$E$4)</f>
        <v>0</v>
      </c>
      <c r="F78" s="64">
        <f>sumifs(Dados!$N:$N,Dados!$B:$B,B78,Dados!$J:$J,$D$1,Dados!$I:$I,$F$4)</f>
        <v>0</v>
      </c>
      <c r="G78" s="64">
        <f>sumifs(Dados!$N:$N,Dados!$B:$B,B78,Dados!$J:$J,$D$1,Dados!$I:$I,$G$4)</f>
        <v>0</v>
      </c>
      <c r="H78" s="64">
        <f>sumifs(Dados!$N:$N,Dados!$B:$B,B78,Dados!$J:$J,$D$1,Dados!$I:$I,$H$4)</f>
        <v>0</v>
      </c>
      <c r="I78" s="64">
        <f>sumifs(Dados!$N:$N,Dados!$B:$B,B78,Dados!$J:$J,$D$1,Dados!$I:$I,$I$4)</f>
        <v>0</v>
      </c>
      <c r="J78" s="64">
        <f>sumifs(Dados!$N:$N,Dados!$B:$B,B78,Dados!$J:$J,$D$1,Dados!$I:$I,$J$4)</f>
        <v>0</v>
      </c>
      <c r="K78" s="64">
        <f>sumifs(Dados!$N:$N,Dados!$B:$B,B78,Dados!$J:$J,$D$1,Dados!$I:$I,$K$4)</f>
        <v>0</v>
      </c>
      <c r="L78" s="64">
        <f>sumifs(Dados!$N:$N,Dados!$B:$B,B78,Dados!$J:$J,$D$1,Dados!$I:$I,$L$4)</f>
        <v>0</v>
      </c>
      <c r="M78" s="64">
        <f>sumifs(Dados!$N:$N,Dados!$B:$B,B78,Dados!$J:$J,$D$1,Dados!$I:$I,$M$4)</f>
        <v>246.04</v>
      </c>
      <c r="N78" s="64">
        <f>sumifs(Dados!$N:$N,Dados!$B:$B,B78,Dados!$J:$J,$D$1,Dados!$I:$I,$N$4)</f>
        <v>0</v>
      </c>
      <c r="O78" s="64">
        <f>sumifs(Dados!$N:$N,Dados!$B:$B,B78,Dados!$J:$J,$D$1,Dados!$I:$I,$O$4)</f>
        <v>0</v>
      </c>
      <c r="P78" s="64">
        <f>sumifs(Dados!$N:$N,Dados!$B:$B,B78,Dados!$J:$J,$D$1,Dados!$I:$I,$P$4)</f>
        <v>0</v>
      </c>
      <c r="Q78" s="64"/>
    </row>
    <row r="79" ht="15.75" customHeight="1">
      <c r="A79" s="58"/>
      <c r="B79" s="58" t="s">
        <v>263</v>
      </c>
      <c r="C79" s="60"/>
      <c r="D79" s="61">
        <f t="shared" si="15"/>
        <v>0</v>
      </c>
      <c r="E79" s="64">
        <f>sumifs(Dados!$N:$N,Dados!$B:$B,B79,Dados!$J:$J,$D$1,Dados!$I:$I,$E$4)</f>
        <v>0</v>
      </c>
      <c r="F79" s="64">
        <f>sumifs(Dados!$N:$N,Dados!$B:$B,B79,Dados!$J:$J,$D$1,Dados!$I:$I,$F$4)</f>
        <v>0</v>
      </c>
      <c r="G79" s="64">
        <f>sumifs(Dados!$N:$N,Dados!$B:$B,B79,Dados!$J:$J,$D$1,Dados!$I:$I,$G$4)</f>
        <v>0</v>
      </c>
      <c r="H79" s="64">
        <f>sumifs(Dados!$N:$N,Dados!$B:$B,B79,Dados!$J:$J,$D$1,Dados!$I:$I,$H$4)</f>
        <v>0</v>
      </c>
      <c r="I79" s="64">
        <f>sumifs(Dados!$N:$N,Dados!$B:$B,B79,Dados!$J:$J,$D$1,Dados!$I:$I,$I$4)</f>
        <v>0</v>
      </c>
      <c r="J79" s="64">
        <f>sumifs(Dados!$N:$N,Dados!$B:$B,B79,Dados!$J:$J,$D$1,Dados!$I:$I,$J$4)</f>
        <v>0</v>
      </c>
      <c r="K79" s="64">
        <f>sumifs(Dados!$N:$N,Dados!$B:$B,B79,Dados!$J:$J,$D$1,Dados!$I:$I,$K$4)</f>
        <v>0</v>
      </c>
      <c r="L79" s="64">
        <f>sumifs(Dados!$N:$N,Dados!$B:$B,B79,Dados!$J:$J,$D$1,Dados!$I:$I,$L$4)</f>
        <v>0</v>
      </c>
      <c r="M79" s="64">
        <f>sumifs(Dados!$N:$N,Dados!$B:$B,B79,Dados!$J:$J,$D$1,Dados!$I:$I,$M$4)</f>
        <v>0</v>
      </c>
      <c r="N79" s="64">
        <f>sumifs(Dados!$N:$N,Dados!$B:$B,B79,Dados!$J:$J,$D$1,Dados!$I:$I,$N$4)</f>
        <v>0</v>
      </c>
      <c r="O79" s="64">
        <f>sumifs(Dados!$N:$N,Dados!$B:$B,B79,Dados!$J:$J,$D$1,Dados!$I:$I,$O$4)</f>
        <v>0</v>
      </c>
      <c r="P79" s="64">
        <f>sumifs(Dados!$N:$N,Dados!$B:$B,B79,Dados!$J:$J,$D$1,Dados!$I:$I,$P$4)</f>
        <v>0</v>
      </c>
      <c r="Q79" s="64"/>
    </row>
    <row r="80" ht="15.75" customHeight="1">
      <c r="A80" s="58"/>
      <c r="B80" s="58" t="s">
        <v>264</v>
      </c>
      <c r="C80" s="60"/>
      <c r="D80" s="61">
        <f t="shared" si="15"/>
        <v>191.99</v>
      </c>
      <c r="E80" s="64">
        <f>sumifs(Dados!$N:$N,Dados!$B:$B,B80,Dados!$J:$J,$D$1,Dados!$I:$I,$E$4)</f>
        <v>0</v>
      </c>
      <c r="F80" s="64">
        <f>sumifs(Dados!$N:$N,Dados!$B:$B,B80,Dados!$J:$J,$D$1,Dados!$I:$I,$F$4)</f>
        <v>0</v>
      </c>
      <c r="G80" s="64">
        <f>sumifs(Dados!$N:$N,Dados!$B:$B,B80,Dados!$J:$J,$D$1,Dados!$I:$I,$G$4)</f>
        <v>0</v>
      </c>
      <c r="H80" s="64">
        <f>sumifs(Dados!$N:$N,Dados!$B:$B,B80,Dados!$J:$J,$D$1,Dados!$I:$I,$H$4)</f>
        <v>0</v>
      </c>
      <c r="I80" s="64">
        <f>sumifs(Dados!$N:$N,Dados!$B:$B,B80,Dados!$J:$J,$D$1,Dados!$I:$I,$I$4)</f>
        <v>0</v>
      </c>
      <c r="J80" s="64">
        <f>sumifs(Dados!$N:$N,Dados!$B:$B,B80,Dados!$J:$J,$D$1,Dados!$I:$I,$J$4)</f>
        <v>0</v>
      </c>
      <c r="K80" s="64">
        <f>sumifs(Dados!$N:$N,Dados!$B:$B,B80,Dados!$J:$J,$D$1,Dados!$I:$I,$K$4)</f>
        <v>0</v>
      </c>
      <c r="L80" s="64">
        <f>sumifs(Dados!$N:$N,Dados!$B:$B,B80,Dados!$J:$J,$D$1,Dados!$I:$I,$L$4)</f>
        <v>0</v>
      </c>
      <c r="M80" s="64">
        <f>sumifs(Dados!$N:$N,Dados!$B:$B,B80,Dados!$J:$J,$D$1,Dados!$I:$I,$M$4)</f>
        <v>191.99</v>
      </c>
      <c r="N80" s="64">
        <f>sumifs(Dados!$N:$N,Dados!$B:$B,B80,Dados!$J:$J,$D$1,Dados!$I:$I,$N$4)</f>
        <v>0</v>
      </c>
      <c r="O80" s="64">
        <f>sumifs(Dados!$N:$N,Dados!$B:$B,B80,Dados!$J:$J,$D$1,Dados!$I:$I,$O$4)</f>
        <v>0</v>
      </c>
      <c r="P80" s="64">
        <f>sumifs(Dados!$N:$N,Dados!$B:$B,B80,Dados!$J:$J,$D$1,Dados!$I:$I,$P$4)</f>
        <v>0</v>
      </c>
      <c r="Q80" s="64"/>
    </row>
    <row r="81" ht="15.75" customHeight="1">
      <c r="A81" s="58"/>
      <c r="B81" s="58" t="s">
        <v>39</v>
      </c>
      <c r="C81" s="60"/>
      <c r="D81" s="61">
        <f t="shared" si="15"/>
        <v>1330.28</v>
      </c>
      <c r="E81" s="64">
        <f>sumifs(Dados!$N:$N,Dados!$B:$B,B81,Dados!$J:$J,$D$1,Dados!$I:$I,$E$4)</f>
        <v>88.59</v>
      </c>
      <c r="F81" s="64">
        <f>sumifs(Dados!$N:$N,Dados!$B:$B,B81,Dados!$J:$J,$D$1,Dados!$I:$I,$F$4)</f>
        <v>88.59</v>
      </c>
      <c r="G81" s="64">
        <f>sumifs(Dados!$N:$N,Dados!$B:$B,B81,Dados!$J:$J,$D$1,Dados!$I:$I,$G$4)</f>
        <v>345.56</v>
      </c>
      <c r="H81" s="64">
        <f>sumifs(Dados!$N:$N,Dados!$B:$B,B81,Dados!$J:$J,$D$1,Dados!$I:$I,$H$4)</f>
        <v>88.59</v>
      </c>
      <c r="I81" s="64">
        <f>sumifs(Dados!$N:$N,Dados!$B:$B,B81,Dados!$J:$J,$D$1,Dados!$I:$I,$I$4)</f>
        <v>88.59</v>
      </c>
      <c r="J81" s="64">
        <f>sumifs(Dados!$N:$N,Dados!$B:$B,B81,Dados!$J:$J,$D$1,Dados!$I:$I,$J$4)</f>
        <v>42.18</v>
      </c>
      <c r="K81" s="64">
        <f>sumifs(Dados!$N:$N,Dados!$B:$B,B81,Dados!$J:$J,$D$1,Dados!$I:$I,$K$4)</f>
        <v>411</v>
      </c>
      <c r="L81" s="64">
        <f>sumifs(Dados!$N:$N,Dados!$B:$B,B81,Dados!$J:$J,$D$1,Dados!$I:$I,$L$4)</f>
        <v>88.59</v>
      </c>
      <c r="M81" s="64">
        <f>sumifs(Dados!$N:$N,Dados!$B:$B,B81,Dados!$J:$J,$D$1,Dados!$I:$I,$M$4)</f>
        <v>88.59</v>
      </c>
      <c r="N81" s="64">
        <f>sumifs(Dados!$N:$N,Dados!$B:$B,B81,Dados!$J:$J,$D$1,Dados!$I:$I,$N$4)</f>
        <v>0</v>
      </c>
      <c r="O81" s="64">
        <f>sumifs(Dados!$N:$N,Dados!$B:$B,B81,Dados!$J:$J,$D$1,Dados!$I:$I,$O$4)</f>
        <v>0</v>
      </c>
      <c r="P81" s="64">
        <f>sumifs(Dados!$N:$N,Dados!$B:$B,B81,Dados!$J:$J,$D$1,Dados!$I:$I,$P$4)</f>
        <v>0</v>
      </c>
      <c r="Q81" s="64"/>
    </row>
    <row r="82" ht="15.75" customHeight="1">
      <c r="A82" s="58"/>
      <c r="B82" s="58" t="s">
        <v>42</v>
      </c>
      <c r="C82" s="60"/>
      <c r="D82" s="61">
        <f t="shared" si="15"/>
        <v>780</v>
      </c>
      <c r="E82" s="64">
        <f>sumifs(Dados!$N:$N,Dados!$B:$B,B82,Dados!$J:$J,$D$1,Dados!$I:$I,$E$4)</f>
        <v>369</v>
      </c>
      <c r="F82" s="64">
        <f>sumifs(Dados!$N:$N,Dados!$B:$B,B82,Dados!$J:$J,$D$1,Dados!$I:$I,$F$4)</f>
        <v>0</v>
      </c>
      <c r="G82" s="64">
        <f>sumifs(Dados!$N:$N,Dados!$B:$B,B82,Dados!$J:$J,$D$1,Dados!$I:$I,$G$4)</f>
        <v>0</v>
      </c>
      <c r="H82" s="64">
        <f>sumifs(Dados!$N:$N,Dados!$B:$B,B82,Dados!$J:$J,$D$1,Dados!$I:$I,$H$4)</f>
        <v>411</v>
      </c>
      <c r="I82" s="64">
        <f>sumifs(Dados!$N:$N,Dados!$B:$B,B82,Dados!$J:$J,$D$1,Dados!$I:$I,$I$4)</f>
        <v>0</v>
      </c>
      <c r="J82" s="64">
        <f>sumifs(Dados!$N:$N,Dados!$B:$B,B82,Dados!$J:$J,$D$1,Dados!$I:$I,$J$4)</f>
        <v>0</v>
      </c>
      <c r="K82" s="64">
        <f>sumifs(Dados!$N:$N,Dados!$B:$B,B82,Dados!$J:$J,$D$1,Dados!$I:$I,$K$4)</f>
        <v>0</v>
      </c>
      <c r="L82" s="64">
        <f>sumifs(Dados!$N:$N,Dados!$B:$B,B82,Dados!$J:$J,$D$1,Dados!$I:$I,$L$4)</f>
        <v>0</v>
      </c>
      <c r="M82" s="64">
        <f>sumifs(Dados!$N:$N,Dados!$B:$B,B82,Dados!$J:$J,$D$1,Dados!$I:$I,$M$4)</f>
        <v>0</v>
      </c>
      <c r="N82" s="64">
        <f>sumifs(Dados!$N:$N,Dados!$B:$B,B82,Dados!$J:$J,$D$1,Dados!$I:$I,$N$4)</f>
        <v>0</v>
      </c>
      <c r="O82" s="64">
        <f>sumifs(Dados!$N:$N,Dados!$B:$B,B82,Dados!$J:$J,$D$1,Dados!$I:$I,$O$4)</f>
        <v>0</v>
      </c>
      <c r="P82" s="64">
        <f>sumifs(Dados!$N:$N,Dados!$B:$B,B82,Dados!$J:$J,$D$1,Dados!$I:$I,$P$4)</f>
        <v>0</v>
      </c>
      <c r="Q82" s="64"/>
    </row>
    <row r="83" ht="15.75" customHeight="1">
      <c r="A83" s="88" t="s">
        <v>160</v>
      </c>
      <c r="B83" s="89">
        <f>sumifs(Dados!$N:$N,Dados!$A:$A,A83,Dados!$H:$H,$D$1)</f>
        <v>2548.31</v>
      </c>
      <c r="C83" s="90">
        <f>B83-D83</f>
        <v>0</v>
      </c>
      <c r="D83" s="89">
        <f t="shared" ref="D83:P83" si="16">SUM(D77:D82)</f>
        <v>2548.31</v>
      </c>
      <c r="E83" s="89">
        <f t="shared" si="16"/>
        <v>457.59</v>
      </c>
      <c r="F83" s="89">
        <f t="shared" si="16"/>
        <v>88.59</v>
      </c>
      <c r="G83" s="89">
        <f t="shared" si="16"/>
        <v>345.56</v>
      </c>
      <c r="H83" s="89">
        <f t="shared" si="16"/>
        <v>499.59</v>
      </c>
      <c r="I83" s="89">
        <f t="shared" si="16"/>
        <v>88.59</v>
      </c>
      <c r="J83" s="89">
        <f t="shared" si="16"/>
        <v>42.18</v>
      </c>
      <c r="K83" s="89">
        <f t="shared" si="16"/>
        <v>411</v>
      </c>
      <c r="L83" s="89">
        <f t="shared" si="16"/>
        <v>88.59</v>
      </c>
      <c r="M83" s="89">
        <f t="shared" si="16"/>
        <v>526.62</v>
      </c>
      <c r="N83" s="89">
        <f t="shared" si="16"/>
        <v>0</v>
      </c>
      <c r="O83" s="89">
        <f t="shared" si="16"/>
        <v>0</v>
      </c>
      <c r="P83" s="89">
        <f t="shared" si="16"/>
        <v>0</v>
      </c>
      <c r="Q83" s="89"/>
    </row>
    <row r="84" ht="15.75" customHeight="1">
      <c r="A84" s="58"/>
      <c r="B84" s="58" t="s">
        <v>267</v>
      </c>
      <c r="C84" s="60"/>
      <c r="D84" s="61">
        <f t="shared" ref="D84:D85" si="17">SUM(E84:P84)</f>
        <v>0</v>
      </c>
      <c r="E84" s="64">
        <f>sumifs(Dados!$N:$N,Dados!$B:$B,B84,Dados!$J:$J,$D$1,Dados!$I:$I,$E$4)</f>
        <v>0</v>
      </c>
      <c r="F84" s="64">
        <f>sumifs(Dados!$N:$N,Dados!$B:$B,B84,Dados!$J:$J,$D$1,Dados!$I:$I,$F$4)</f>
        <v>0</v>
      </c>
      <c r="G84" s="64">
        <f>sumifs(Dados!$N:$N,Dados!$B:$B,B84,Dados!$J:$J,$D$1,Dados!$I:$I,$G$4)</f>
        <v>0</v>
      </c>
      <c r="H84" s="64">
        <f>sumifs(Dados!$N:$N,Dados!$B:$B,B84,Dados!$J:$J,$D$1,Dados!$I:$I,$H$4)</f>
        <v>0</v>
      </c>
      <c r="I84" s="64">
        <f>sumifs(Dados!$N:$N,Dados!$B:$B,B84,Dados!$J:$J,$D$1,Dados!$I:$I,$I$4)</f>
        <v>0</v>
      </c>
      <c r="J84" s="64">
        <f>sumifs(Dados!$N:$N,Dados!$B:$B,B84,Dados!$J:$J,$D$1,Dados!$I:$I,$J$4)</f>
        <v>0</v>
      </c>
      <c r="K84" s="64">
        <f>sumifs(Dados!$N:$N,Dados!$B:$B,B84,Dados!$J:$J,$D$1,Dados!$I:$I,$K$4)</f>
        <v>0</v>
      </c>
      <c r="L84" s="64">
        <f>sumifs(Dados!$N:$N,Dados!$B:$B,B84,Dados!$J:$J,$D$1,Dados!$I:$I,$L$4)</f>
        <v>0</v>
      </c>
      <c r="M84" s="64">
        <f>sumifs(Dados!$N:$N,Dados!$B:$B,B84,Dados!$J:$J,$D$1,Dados!$I:$I,$M$4)</f>
        <v>0</v>
      </c>
      <c r="N84" s="64">
        <f>sumifs(Dados!$N:$N,Dados!$B:$B,B84,Dados!$J:$J,$D$1,Dados!$I:$I,$N$4)</f>
        <v>0</v>
      </c>
      <c r="O84" s="64">
        <f>sumifs(Dados!$N:$N,Dados!$B:$B,B84,Dados!$J:$J,$D$1,Dados!$I:$I,$O$4)</f>
        <v>0</v>
      </c>
      <c r="P84" s="64">
        <f>sumifs(Dados!$N:$N,Dados!$B:$B,B84,Dados!$J:$J,$D$1,Dados!$I:$I,$P$4)</f>
        <v>0</v>
      </c>
      <c r="Q84" s="64"/>
    </row>
    <row r="85" ht="15.75" customHeight="1">
      <c r="A85" s="154"/>
      <c r="B85" s="154" t="s">
        <v>268</v>
      </c>
      <c r="C85" s="60"/>
      <c r="D85" s="61">
        <f t="shared" si="17"/>
        <v>0</v>
      </c>
      <c r="E85" s="64">
        <f>sumifs(Dados!$N:$N,Dados!$B:$B,B85,Dados!$J:$J,$D$1,Dados!$I:$I,$E$4)</f>
        <v>0</v>
      </c>
      <c r="F85" s="64">
        <f>sumifs(Dados!$N:$N,Dados!$B:$B,B85,Dados!$J:$J,$D$1,Dados!$I:$I,$F$4)</f>
        <v>0</v>
      </c>
      <c r="G85" s="64">
        <f>sumifs(Dados!$N:$N,Dados!$B:$B,B85,Dados!$J:$J,$D$1,Dados!$I:$I,$G$4)</f>
        <v>0</v>
      </c>
      <c r="H85" s="64">
        <f>sumifs(Dados!$N:$N,Dados!$B:$B,B85,Dados!$J:$J,$D$1,Dados!$I:$I,$H$4)</f>
        <v>0</v>
      </c>
      <c r="I85" s="64">
        <f>sumifs(Dados!$N:$N,Dados!$B:$B,B85,Dados!$J:$J,$D$1,Dados!$I:$I,$I$4)</f>
        <v>0</v>
      </c>
      <c r="J85" s="64">
        <f>sumifs(Dados!$N:$N,Dados!$B:$B,B85,Dados!$J:$J,$D$1,Dados!$I:$I,$J$4)</f>
        <v>0</v>
      </c>
      <c r="K85" s="64">
        <f>sumifs(Dados!$N:$N,Dados!$B:$B,B85,Dados!$J:$J,$D$1,Dados!$I:$I,$K$4)</f>
        <v>0</v>
      </c>
      <c r="L85" s="64">
        <f>sumifs(Dados!$N:$N,Dados!$B:$B,B85,Dados!$J:$J,$D$1,Dados!$I:$I,$L$4)</f>
        <v>0</v>
      </c>
      <c r="M85" s="64">
        <f>sumifs(Dados!$N:$N,Dados!$B:$B,B85,Dados!$J:$J,$D$1,Dados!$I:$I,$M$4)</f>
        <v>0</v>
      </c>
      <c r="N85" s="64">
        <f>sumifs(Dados!$N:$N,Dados!$B:$B,B85,Dados!$J:$J,$D$1,Dados!$I:$I,$N$4)</f>
        <v>0</v>
      </c>
      <c r="O85" s="64">
        <f>sumifs(Dados!$N:$N,Dados!$B:$B,B85,Dados!$J:$J,$D$1,Dados!$I:$I,$O$4)</f>
        <v>0</v>
      </c>
      <c r="P85" s="64">
        <f>sumifs(Dados!$N:$N,Dados!$B:$B,B85,Dados!$J:$J,$D$1,Dados!$I:$I,$P$4)</f>
        <v>0</v>
      </c>
      <c r="Q85" s="64"/>
    </row>
    <row r="86" ht="15.75" customHeight="1">
      <c r="A86" s="88" t="s">
        <v>201</v>
      </c>
      <c r="B86" s="89">
        <f>sumifs(Dados!$N:$N,Dados!$A:$A,A86,Dados!$H:$H,$D$1)</f>
        <v>0</v>
      </c>
      <c r="C86" s="90">
        <f>B86-D86</f>
        <v>0</v>
      </c>
      <c r="D86" s="89">
        <f t="shared" ref="D86:P86" si="18">SUM(D84:D85)</f>
        <v>0</v>
      </c>
      <c r="E86" s="89">
        <f t="shared" si="18"/>
        <v>0</v>
      </c>
      <c r="F86" s="89">
        <f t="shared" si="18"/>
        <v>0</v>
      </c>
      <c r="G86" s="89">
        <f t="shared" si="18"/>
        <v>0</v>
      </c>
      <c r="H86" s="89">
        <f t="shared" si="18"/>
        <v>0</v>
      </c>
      <c r="I86" s="89">
        <f t="shared" si="18"/>
        <v>0</v>
      </c>
      <c r="J86" s="89">
        <f t="shared" si="18"/>
        <v>0</v>
      </c>
      <c r="K86" s="89">
        <f t="shared" si="18"/>
        <v>0</v>
      </c>
      <c r="L86" s="89">
        <f t="shared" si="18"/>
        <v>0</v>
      </c>
      <c r="M86" s="89">
        <f t="shared" si="18"/>
        <v>0</v>
      </c>
      <c r="N86" s="89">
        <f t="shared" si="18"/>
        <v>0</v>
      </c>
      <c r="O86" s="89">
        <f t="shared" si="18"/>
        <v>0</v>
      </c>
      <c r="P86" s="89">
        <f t="shared" si="18"/>
        <v>0</v>
      </c>
      <c r="Q86" s="89"/>
    </row>
    <row r="87" ht="15.75" customHeight="1">
      <c r="A87" s="58"/>
      <c r="B87" s="58" t="s">
        <v>270</v>
      </c>
      <c r="C87" s="60"/>
      <c r="D87" s="61">
        <f>SUM(E87:P87)</f>
        <v>149.51</v>
      </c>
      <c r="E87" s="64">
        <f>sumifs(Dados!$N:$N,Dados!$B:$B,$B$87,Dados!$J:$J,$D$1,Dados!$I:$I,E4)</f>
        <v>0</v>
      </c>
      <c r="F87" s="64">
        <f>sumifs(Dados!$N:$N,Dados!$B:$B,$B$87,Dados!$J:$J,$D$1,Dados!$I:$I,F4)</f>
        <v>0</v>
      </c>
      <c r="G87" s="64">
        <f>sumifs(Dados!$N:$N,Dados!$B:$B,$B$87,Dados!$J:$J,$D$1,Dados!$I:$I,G4)</f>
        <v>56</v>
      </c>
      <c r="H87" s="64">
        <f>sumifs(Dados!$N:$N,Dados!$B:$B,$B$87,Dados!$J:$J,$D$1,Dados!$I:$I,H4)</f>
        <v>62.73</v>
      </c>
      <c r="I87" s="64">
        <f>sumifs(Dados!$N:$N,Dados!$B:$B,$B$87,Dados!$J:$J,$D$1,Dados!$I:$I,I4)</f>
        <v>0</v>
      </c>
      <c r="J87" s="64">
        <f>sumifs(Dados!$N:$N,Dados!$B:$B,$B$87,Dados!$J:$J,$D$1,Dados!$I:$I,J4)</f>
        <v>0</v>
      </c>
      <c r="K87" s="64">
        <f>sumifs(Dados!$N:$N,Dados!$B:$B,$B$87,Dados!$J:$J,$D$1,Dados!$I:$I,K4)</f>
        <v>0</v>
      </c>
      <c r="L87" s="64">
        <f>sumifs(Dados!$N:$N,Dados!$B:$B,$B$87,Dados!$J:$J,$D$1,Dados!$I:$I,L4)</f>
        <v>0</v>
      </c>
      <c r="M87" s="64">
        <f>sumifs(Dados!$N:$N,Dados!$B:$B,$B$87,Dados!$J:$J,$D$1,Dados!$I:$I,M4)</f>
        <v>30.78</v>
      </c>
      <c r="N87" s="64">
        <f>sumifs(Dados!$N:$N,Dados!$B:$B,$B$87,Dados!$J:$J,$D$1,Dados!$I:$I,N4)</f>
        <v>0</v>
      </c>
      <c r="O87" s="64">
        <f>sumifs(Dados!$N:$N,Dados!$B:$B,$B$87,Dados!$J:$J,$D$1,Dados!$I:$I,O4)</f>
        <v>0</v>
      </c>
      <c r="P87" s="64">
        <f>sumifs(Dados!$N:$N,Dados!$B:$B,$B$87,Dados!$J:$J,$D$1,Dados!$I:$I,P4)</f>
        <v>0</v>
      </c>
      <c r="Q87" s="64"/>
    </row>
    <row r="88" ht="15.75" customHeight="1">
      <c r="A88" s="88" t="s">
        <v>164</v>
      </c>
      <c r="B88" s="89">
        <f>sumifs(Dados!$N:$N,Dados!$A:$A,A88,Dados!$H:$H,$D$1)</f>
        <v>149.51</v>
      </c>
      <c r="C88" s="90">
        <f>B88-D88</f>
        <v>0</v>
      </c>
      <c r="D88" s="89">
        <f t="shared" ref="D88:P88" si="19">SUM(D87)</f>
        <v>149.51</v>
      </c>
      <c r="E88" s="89">
        <f t="shared" si="19"/>
        <v>0</v>
      </c>
      <c r="F88" s="89">
        <f t="shared" si="19"/>
        <v>0</v>
      </c>
      <c r="G88" s="89">
        <f t="shared" si="19"/>
        <v>56</v>
      </c>
      <c r="H88" s="89">
        <f t="shared" si="19"/>
        <v>62.73</v>
      </c>
      <c r="I88" s="89">
        <f t="shared" si="19"/>
        <v>0</v>
      </c>
      <c r="J88" s="89">
        <f t="shared" si="19"/>
        <v>0</v>
      </c>
      <c r="K88" s="89">
        <f t="shared" si="19"/>
        <v>0</v>
      </c>
      <c r="L88" s="89">
        <f t="shared" si="19"/>
        <v>0</v>
      </c>
      <c r="M88" s="89">
        <f t="shared" si="19"/>
        <v>30.78</v>
      </c>
      <c r="N88" s="89">
        <f t="shared" si="19"/>
        <v>0</v>
      </c>
      <c r="O88" s="89">
        <f t="shared" si="19"/>
        <v>0</v>
      </c>
      <c r="P88" s="89">
        <f t="shared" si="19"/>
        <v>0</v>
      </c>
      <c r="Q88" s="89"/>
    </row>
    <row r="89" ht="15.75" customHeight="1">
      <c r="A89" s="58"/>
      <c r="B89" s="59" t="s">
        <v>41</v>
      </c>
      <c r="C89" s="60"/>
      <c r="D89" s="61">
        <f t="shared" ref="D89:D96" si="20">SUM(E89:P89)</f>
        <v>2314.65</v>
      </c>
      <c r="E89" s="64">
        <f>sumifs(Dados!$N:$N,Dados!$B:$B,B89,Dados!$J:$J,$D$1,Dados!$I:$I,$E$4)</f>
        <v>88.87</v>
      </c>
      <c r="F89" s="64">
        <f>sumifs(Dados!$N:$N,Dados!$B:$B,B89,Dados!$J:$J,$D$1,Dados!$I:$I,$F$4)</f>
        <v>93.33</v>
      </c>
      <c r="G89" s="64">
        <f>sumifs(Dados!$N:$N,Dados!$B:$B,B89,Dados!$J:$J,$D$1,Dados!$I:$I,$G$4)</f>
        <v>97.04</v>
      </c>
      <c r="H89" s="64">
        <f>sumifs(Dados!$N:$N,Dados!$B:$B,B89,Dados!$J:$J,$D$1,Dados!$I:$I,$H$4)</f>
        <v>125.08</v>
      </c>
      <c r="I89" s="64">
        <f>sumifs(Dados!$N:$N,Dados!$B:$B,B89,Dados!$J:$J,$D$1,Dados!$I:$I,$I$4)</f>
        <v>90.38</v>
      </c>
      <c r="J89" s="64">
        <f>sumifs(Dados!$N:$N,Dados!$B:$B,B89,Dados!$J:$J,$D$1,Dados!$I:$I,$J$4)</f>
        <v>560.75</v>
      </c>
      <c r="K89" s="64">
        <f>sumifs(Dados!$N:$N,Dados!$B:$B,B89,Dados!$J:$J,$D$1,Dados!$I:$I,$K$4)</f>
        <v>589.55</v>
      </c>
      <c r="L89" s="64">
        <f>sumifs(Dados!$N:$N,Dados!$B:$B,B89,Dados!$J:$J,$D$1,Dados!$I:$I,$L$4)</f>
        <v>669.65</v>
      </c>
      <c r="M89" s="64">
        <f>sumifs(Dados!$N:$N,Dados!$B:$B,B89,Dados!$J:$J,$D$1,Dados!$I:$I,$M$4)</f>
        <v>0</v>
      </c>
      <c r="N89" s="64">
        <f>sumifs(Dados!$N:$N,Dados!$B:$B,B89,Dados!$J:$J,$D$1,Dados!$I:$I,$N$4)</f>
        <v>0</v>
      </c>
      <c r="O89" s="64">
        <f>sumifs(Dados!$N:$N,Dados!$B:$B,B89,Dados!$J:$J,$D$1,Dados!$I:$I,$O$4)</f>
        <v>0</v>
      </c>
      <c r="P89" s="64">
        <f>sumifs(Dados!$N:$N,Dados!$B:$B,B89,Dados!$J:$J,$D$1,Dados!$I:$I,$P$4)</f>
        <v>0</v>
      </c>
      <c r="Q89" s="64"/>
    </row>
    <row r="90" ht="15.75" customHeight="1">
      <c r="A90" s="109"/>
      <c r="B90" s="59" t="s">
        <v>61</v>
      </c>
      <c r="C90" s="60"/>
      <c r="D90" s="61">
        <f t="shared" si="20"/>
        <v>5504</v>
      </c>
      <c r="E90" s="64">
        <f>sumifs(Dados!$N:$N,Dados!$B:$B,B90,Dados!$J:$J,$D$1,Dados!$I:$I,$E$4)</f>
        <v>0</v>
      </c>
      <c r="F90" s="64">
        <f>sumifs(Dados!$N:$N,Dados!$B:$B,B90,Dados!$J:$J,$D$1,Dados!$I:$I,$F$4)</f>
        <v>0</v>
      </c>
      <c r="G90" s="64">
        <f>sumifs(Dados!$N:$N,Dados!$B:$B,B90,Dados!$J:$J,$D$1,Dados!$I:$I,$G$4)</f>
        <v>0</v>
      </c>
      <c r="H90" s="64">
        <f>sumifs(Dados!$N:$N,Dados!$B:$B,B90,Dados!$J:$J,$D$1,Dados!$I:$I,$H$4)</f>
        <v>0</v>
      </c>
      <c r="I90" s="64">
        <f>sumifs(Dados!$N:$N,Dados!$B:$B,B90,Dados!$J:$J,$D$1,Dados!$I:$I,$I$4)</f>
        <v>578</v>
      </c>
      <c r="J90" s="64">
        <f>sumifs(Dados!$N:$N,Dados!$B:$B,B90,Dados!$J:$J,$D$1,Dados!$I:$I,$J$4)</f>
        <v>1332</v>
      </c>
      <c r="K90" s="64">
        <f>sumifs(Dados!$N:$N,Dados!$B:$B,B90,Dados!$J:$J,$D$1,Dados!$I:$I,$K$4)</f>
        <v>1184</v>
      </c>
      <c r="L90" s="64">
        <f>sumifs(Dados!$N:$N,Dados!$B:$B,B90,Dados!$J:$J,$D$1,Dados!$I:$I,$L$4)</f>
        <v>1160</v>
      </c>
      <c r="M90" s="64">
        <f>sumifs(Dados!$N:$N,Dados!$B:$B,B90,Dados!$J:$J,$D$1,Dados!$I:$I,$M$4)</f>
        <v>1250</v>
      </c>
      <c r="N90" s="64">
        <f>sumifs(Dados!$N:$N,Dados!$B:$B,B90,Dados!$J:$J,$D$1,Dados!$I:$I,$N$4)</f>
        <v>0</v>
      </c>
      <c r="O90" s="64">
        <f>sumifs(Dados!$N:$N,Dados!$B:$B,B90,Dados!$J:$J,$D$1,Dados!$I:$I,$O$4)</f>
        <v>0</v>
      </c>
      <c r="P90" s="64">
        <f>sumifs(Dados!$N:$N,Dados!$B:$B,B90,Dados!$J:$J,$D$1,Dados!$I:$I,$P$4)</f>
        <v>0</v>
      </c>
      <c r="Q90" s="64"/>
    </row>
    <row r="91" ht="15.75" customHeight="1">
      <c r="A91" s="109"/>
      <c r="B91" s="59" t="s">
        <v>49</v>
      </c>
      <c r="C91" s="60"/>
      <c r="D91" s="61">
        <f t="shared" si="20"/>
        <v>523.8</v>
      </c>
      <c r="E91" s="64">
        <f>sumifs(Dados!$N:$N,Dados!$B:$B,B91,Dados!$J:$J,$D$1,Dados!$I:$I,$E$4)</f>
        <v>0</v>
      </c>
      <c r="F91" s="64">
        <f>sumifs(Dados!$N:$N,Dados!$B:$B,B91,Dados!$J:$J,$D$1,Dados!$I:$I,$F$4)</f>
        <v>0</v>
      </c>
      <c r="G91" s="64">
        <f>sumifs(Dados!$N:$N,Dados!$B:$B,B91,Dados!$J:$J,$D$1,Dados!$I:$I,$G$4)</f>
        <v>0</v>
      </c>
      <c r="H91" s="64">
        <f>sumifs(Dados!$N:$N,Dados!$B:$B,B91,Dados!$J:$J,$D$1,Dados!$I:$I,$H$4)</f>
        <v>87.3</v>
      </c>
      <c r="I91" s="64">
        <f>sumifs(Dados!$N:$N,Dados!$B:$B,B91,Dados!$J:$J,$D$1,Dados!$I:$I,$I$4)</f>
        <v>87.3</v>
      </c>
      <c r="J91" s="64">
        <f>sumifs(Dados!$N:$N,Dados!$B:$B,B91,Dados!$J:$J,$D$1,Dados!$I:$I,$J$4)</f>
        <v>87.3</v>
      </c>
      <c r="K91" s="64">
        <f>sumifs(Dados!$N:$N,Dados!$B:$B,B91,Dados!$J:$J,$D$1,Dados!$I:$I,$K$4)</f>
        <v>87.3</v>
      </c>
      <c r="L91" s="64">
        <f>sumifs(Dados!$N:$N,Dados!$B:$B,B91,Dados!$J:$J,$D$1,Dados!$I:$I,$L$4)</f>
        <v>87.3</v>
      </c>
      <c r="M91" s="64">
        <f>sumifs(Dados!$N:$N,Dados!$B:$B,B91,Dados!$J:$J,$D$1,Dados!$I:$I,$M$4)</f>
        <v>87.3</v>
      </c>
      <c r="N91" s="64">
        <f>sumifs(Dados!$N:$N,Dados!$B:$B,B91,Dados!$J:$J,$D$1,Dados!$I:$I,$N$4)</f>
        <v>0</v>
      </c>
      <c r="O91" s="64">
        <f>sumifs(Dados!$N:$N,Dados!$B:$B,B91,Dados!$J:$J,$D$1,Dados!$I:$I,$O$4)</f>
        <v>0</v>
      </c>
      <c r="P91" s="64">
        <f>sumifs(Dados!$N:$N,Dados!$B:$B,B91,Dados!$J:$J,$D$1,Dados!$I:$I,$P$4)</f>
        <v>0</v>
      </c>
      <c r="Q91" s="64"/>
    </row>
    <row r="92" ht="15.75" customHeight="1">
      <c r="A92" s="58"/>
      <c r="B92" s="59" t="s">
        <v>32</v>
      </c>
      <c r="C92" s="60"/>
      <c r="D92" s="61">
        <f t="shared" si="20"/>
        <v>3720</v>
      </c>
      <c r="E92" s="64">
        <f>sumifs(Dados!$N:$N,Dados!$B:$B,B92,Dados!$J:$J,$D$1,Dados!$I:$I,$E$4)</f>
        <v>815</v>
      </c>
      <c r="F92" s="64">
        <f>sumifs(Dados!$N:$N,Dados!$B:$B,B92,Dados!$J:$J,$D$1,Dados!$I:$I,$F$4)</f>
        <v>115</v>
      </c>
      <c r="G92" s="64">
        <f>sumifs(Dados!$N:$N,Dados!$B:$B,B92,Dados!$J:$J,$D$1,Dados!$I:$I,$G$4)</f>
        <v>115</v>
      </c>
      <c r="H92" s="64">
        <f>sumifs(Dados!$N:$N,Dados!$B:$B,B92,Dados!$J:$J,$D$1,Dados!$I:$I,$H$4)</f>
        <v>115</v>
      </c>
      <c r="I92" s="64">
        <f>sumifs(Dados!$N:$N,Dados!$B:$B,B92,Dados!$J:$J,$D$1,Dados!$I:$I,$I$4)</f>
        <v>365</v>
      </c>
      <c r="J92" s="64">
        <f>sumifs(Dados!$N:$N,Dados!$B:$B,B92,Dados!$J:$J,$D$1,Dados!$I:$I,$J$4)</f>
        <v>115</v>
      </c>
      <c r="K92" s="64">
        <f>sumifs(Dados!$N:$N,Dados!$B:$B,B92,Dados!$J:$J,$D$1,Dados!$I:$I,$K$4)</f>
        <v>620</v>
      </c>
      <c r="L92" s="64">
        <f>sumifs(Dados!$N:$N,Dados!$B:$B,B92,Dados!$J:$J,$D$1,Dados!$I:$I,$L$4)</f>
        <v>1230</v>
      </c>
      <c r="M92" s="64">
        <f>sumifs(Dados!$N:$N,Dados!$B:$B,B92,Dados!$J:$J,$D$1,Dados!$I:$I,$M$4)</f>
        <v>230</v>
      </c>
      <c r="N92" s="64">
        <f>sumifs(Dados!$N:$N,Dados!$B:$B,B92,Dados!$J:$J,$D$1,Dados!$I:$I,$N$4)</f>
        <v>0</v>
      </c>
      <c r="O92" s="64">
        <f>sumifs(Dados!$N:$N,Dados!$B:$B,B92,Dados!$J:$J,$D$1,Dados!$I:$I,$O$4)</f>
        <v>0</v>
      </c>
      <c r="P92" s="64">
        <f>sumifs(Dados!$N:$N,Dados!$B:$B,B92,Dados!$J:$J,$D$1,Dados!$I:$I,$P$4)</f>
        <v>0</v>
      </c>
      <c r="Q92" s="64"/>
    </row>
    <row r="93" ht="15.75" customHeight="1">
      <c r="A93" s="58"/>
      <c r="B93" s="59" t="s">
        <v>40</v>
      </c>
      <c r="C93" s="60"/>
      <c r="D93" s="61">
        <f t="shared" si="20"/>
        <v>2308.83</v>
      </c>
      <c r="E93" s="64">
        <f>sumifs(Dados!$N:$N,Dados!$B:$B,B93,Dados!$J:$J,$D$1,Dados!$I:$I,$E$4)</f>
        <v>158.61</v>
      </c>
      <c r="F93" s="64">
        <f>sumifs(Dados!$N:$N,Dados!$B:$B,B93,Dados!$J:$J,$D$1,Dados!$I:$I,$F$4)</f>
        <v>219.01</v>
      </c>
      <c r="G93" s="64">
        <f>sumifs(Dados!$N:$N,Dados!$B:$B,B93,Dados!$J:$J,$D$1,Dados!$I:$I,$G$4)</f>
        <v>149.88</v>
      </c>
      <c r="H93" s="64">
        <f>sumifs(Dados!$N:$N,Dados!$B:$B,B93,Dados!$J:$J,$D$1,Dados!$I:$I,$H$4)</f>
        <v>132.28</v>
      </c>
      <c r="I93" s="64">
        <f>sumifs(Dados!$N:$N,Dados!$B:$B,B93,Dados!$J:$J,$D$1,Dados!$I:$I,$I$4)</f>
        <v>257.51</v>
      </c>
      <c r="J93" s="64">
        <f>sumifs(Dados!$N:$N,Dados!$B:$B,B93,Dados!$J:$J,$D$1,Dados!$I:$I,$J$4)</f>
        <v>422.3</v>
      </c>
      <c r="K93" s="64">
        <f>sumifs(Dados!$N:$N,Dados!$B:$B,B93,Dados!$J:$J,$D$1,Dados!$I:$I,$K$4)</f>
        <v>468.92</v>
      </c>
      <c r="L93" s="64">
        <f>sumifs(Dados!$N:$N,Dados!$B:$B,B93,Dados!$J:$J,$D$1,Dados!$I:$I,$L$4)</f>
        <v>416.07</v>
      </c>
      <c r="M93" s="64">
        <f>sumifs(Dados!$N:$N,Dados!$B:$B,B93,Dados!$J:$J,$D$1,Dados!$I:$I,$M$4)</f>
        <v>84.25</v>
      </c>
      <c r="N93" s="64">
        <f>sumifs(Dados!$N:$N,Dados!$B:$B,B93,Dados!$J:$J,$D$1,Dados!$I:$I,$N$4)</f>
        <v>0</v>
      </c>
      <c r="O93" s="64">
        <f>sumifs(Dados!$N:$N,Dados!$B:$B,B93,Dados!$J:$J,$D$1,Dados!$I:$I,$O$4)</f>
        <v>0</v>
      </c>
      <c r="P93" s="64">
        <f>sumifs(Dados!$N:$N,Dados!$B:$B,B93,Dados!$J:$J,$D$1,Dados!$I:$I,$P$4)</f>
        <v>0</v>
      </c>
      <c r="Q93" s="64"/>
    </row>
    <row r="94" ht="15.75" customHeight="1">
      <c r="A94" s="109"/>
      <c r="B94" s="59" t="s">
        <v>161</v>
      </c>
      <c r="C94" s="60"/>
      <c r="D94" s="61">
        <f t="shared" si="20"/>
        <v>244</v>
      </c>
      <c r="E94" s="64">
        <f>sumifs(Dados!$N:$N,Dados!$B:$B,B94,Dados!$J:$J,$D$1,Dados!$I:$I,$E$4)</f>
        <v>0</v>
      </c>
      <c r="F94" s="64">
        <f>sumifs(Dados!$N:$N,Dados!$B:$B,B94,Dados!$J:$J,$D$1,Dados!$I:$I,$F$4)</f>
        <v>0</v>
      </c>
      <c r="G94" s="64">
        <f>sumifs(Dados!$N:$N,Dados!$B:$B,B94,Dados!$J:$J,$D$1,Dados!$I:$I,$G$4)</f>
        <v>0</v>
      </c>
      <c r="H94" s="64">
        <f>sumifs(Dados!$N:$N,Dados!$B:$B,B94,Dados!$J:$J,$D$1,Dados!$I:$I,$H$4)</f>
        <v>0</v>
      </c>
      <c r="I94" s="64">
        <f>sumifs(Dados!$N:$N,Dados!$B:$B,B94,Dados!$J:$J,$D$1,Dados!$I:$I,$I$4)</f>
        <v>84</v>
      </c>
      <c r="J94" s="64">
        <f>sumifs(Dados!$N:$N,Dados!$B:$B,B94,Dados!$J:$J,$D$1,Dados!$I:$I,$J$4)</f>
        <v>40</v>
      </c>
      <c r="K94" s="64">
        <f>sumifs(Dados!$N:$N,Dados!$B:$B,B94,Dados!$J:$J,$D$1,Dados!$I:$I,$K$4)</f>
        <v>40</v>
      </c>
      <c r="L94" s="64">
        <f>sumifs(Dados!$N:$N,Dados!$B:$B,B94,Dados!$J:$J,$D$1,Dados!$I:$I,$L$4)</f>
        <v>0</v>
      </c>
      <c r="M94" s="64">
        <f>sumifs(Dados!$N:$N,Dados!$B:$B,B94,Dados!$J:$J,$D$1,Dados!$I:$I,$M$4)</f>
        <v>80</v>
      </c>
      <c r="N94" s="64">
        <f>sumifs(Dados!$N:$N,Dados!$B:$B,B94,Dados!$J:$J,$D$1,Dados!$I:$I,$N$4)</f>
        <v>0</v>
      </c>
      <c r="O94" s="64">
        <f>sumifs(Dados!$N:$N,Dados!$B:$B,B94,Dados!$J:$J,$D$1,Dados!$I:$I,$O$4)</f>
        <v>0</v>
      </c>
      <c r="P94" s="64">
        <f>sumifs(Dados!$N:$N,Dados!$B:$B,B94,Dados!$J:$J,$D$1,Dados!$I:$I,$P$4)</f>
        <v>0</v>
      </c>
      <c r="Q94" s="64"/>
    </row>
    <row r="95" ht="15.75" customHeight="1">
      <c r="A95" s="109"/>
      <c r="B95" s="59" t="s">
        <v>37</v>
      </c>
      <c r="C95" s="60"/>
      <c r="D95" s="61">
        <f t="shared" si="20"/>
        <v>532.72</v>
      </c>
      <c r="E95" s="64">
        <f>sumifs(Dados!$N:$N,Dados!$B:$B,B95,Dados!$J:$J,$D$1,Dados!$I:$I,$E$4)</f>
        <v>66.44</v>
      </c>
      <c r="F95" s="64">
        <f>sumifs(Dados!$N:$N,Dados!$B:$B,B95,Dados!$J:$J,$D$1,Dados!$I:$I,$F$4)</f>
        <v>67.84</v>
      </c>
      <c r="G95" s="64">
        <f>sumifs(Dados!$N:$N,Dados!$B:$B,B95,Dados!$J:$J,$D$1,Dados!$I:$I,$G$4)</f>
        <v>67.6</v>
      </c>
      <c r="H95" s="64">
        <f>sumifs(Dados!$N:$N,Dados!$B:$B,B95,Dados!$J:$J,$D$1,Dados!$I:$I,$H$4)</f>
        <v>62.86</v>
      </c>
      <c r="I95" s="64">
        <f>sumifs(Dados!$N:$N,Dados!$B:$B,B95,Dados!$J:$J,$D$1,Dados!$I:$I,$I$4)</f>
        <v>64.45</v>
      </c>
      <c r="J95" s="64">
        <f>sumifs(Dados!$N:$N,Dados!$B:$B,B95,Dados!$J:$J,$D$1,Dados!$I:$I,$J$4)</f>
        <v>75.57</v>
      </c>
      <c r="K95" s="64">
        <f>sumifs(Dados!$N:$N,Dados!$B:$B,B95,Dados!$J:$J,$D$1,Dados!$I:$I,$K$4)</f>
        <v>63.76</v>
      </c>
      <c r="L95" s="64">
        <f>sumifs(Dados!$N:$N,Dados!$B:$B,B95,Dados!$J:$J,$D$1,Dados!$I:$I,$L$4)</f>
        <v>64.2</v>
      </c>
      <c r="M95" s="64">
        <f>sumifs(Dados!$N:$N,Dados!$B:$B,B95,Dados!$J:$J,$D$1,Dados!$I:$I,$M$4)</f>
        <v>0</v>
      </c>
      <c r="N95" s="64">
        <f>sumifs(Dados!$N:$N,Dados!$B:$B,B95,Dados!$J:$J,$D$1,Dados!$I:$I,$N$4)</f>
        <v>0</v>
      </c>
      <c r="O95" s="64">
        <f>sumifs(Dados!$N:$N,Dados!$B:$B,B95,Dados!$J:$J,$D$1,Dados!$I:$I,$O$4)</f>
        <v>0</v>
      </c>
      <c r="P95" s="64">
        <f>sumifs(Dados!$N:$N,Dados!$B:$B,B95,Dados!$J:$J,$D$1,Dados!$I:$I,$P$4)</f>
        <v>0</v>
      </c>
      <c r="Q95" s="64"/>
    </row>
    <row r="96" ht="15.75" customHeight="1">
      <c r="A96" s="109"/>
      <c r="B96" s="59" t="s">
        <v>168</v>
      </c>
      <c r="C96" s="60"/>
      <c r="D96" s="61">
        <f t="shared" si="20"/>
        <v>0</v>
      </c>
      <c r="E96" s="64">
        <f>sumifs(Dados!$N:$N,Dados!$B:$B,B96,Dados!$J:$J,$D$1,Dados!$I:$I,$E$4)</f>
        <v>0</v>
      </c>
      <c r="F96" s="64">
        <f>sumifs(Dados!$N:$N,Dados!$B:$B,B96,Dados!$J:$J,$D$1,Dados!$I:$I,$F$4)</f>
        <v>0</v>
      </c>
      <c r="G96" s="64">
        <f>sumifs(Dados!$N:$N,Dados!$B:$B,B96,Dados!$J:$J,$D$1,Dados!$I:$I,$G$4)</f>
        <v>0</v>
      </c>
      <c r="H96" s="64">
        <f>sumifs(Dados!$N:$N,Dados!$B:$B,B96,Dados!$J:$J,$D$1,Dados!$I:$I,$H$4)</f>
        <v>0</v>
      </c>
      <c r="I96" s="64">
        <f>sumifs(Dados!$N:$N,Dados!$B:$B,B96,Dados!$J:$J,$D$1,Dados!$I:$I,$I$4)</f>
        <v>0</v>
      </c>
      <c r="J96" s="64">
        <f>sumifs(Dados!$N:$N,Dados!$B:$B,B96,Dados!$J:$J,$D$1,Dados!$I:$I,$J$4)</f>
        <v>0</v>
      </c>
      <c r="K96" s="64">
        <f>sumifs(Dados!$N:$N,Dados!$B:$B,B96,Dados!$J:$J,$D$1,Dados!$I:$I,$K$4)</f>
        <v>0</v>
      </c>
      <c r="L96" s="64">
        <f>sumifs(Dados!$N:$N,Dados!$B:$B,B96,Dados!$J:$J,$D$1,Dados!$I:$I,$L$4)</f>
        <v>0</v>
      </c>
      <c r="M96" s="64">
        <f>sumifs(Dados!$N:$N,Dados!$B:$B,B96,Dados!$J:$J,$D$1,Dados!$I:$I,$M$4)</f>
        <v>0</v>
      </c>
      <c r="N96" s="64">
        <f>sumifs(Dados!$N:$N,Dados!$B:$B,B96,Dados!$J:$J,$D$1,Dados!$I:$I,$N$4)</f>
        <v>0</v>
      </c>
      <c r="O96" s="64">
        <f>sumifs(Dados!$N:$N,Dados!$B:$B,B96,Dados!$J:$J,$D$1,Dados!$I:$I,$O$4)</f>
        <v>0</v>
      </c>
      <c r="P96" s="64">
        <f>sumifs(Dados!$N:$N,Dados!$B:$B,B96,Dados!$J:$J,$D$1,Dados!$I:$I,$P$4)</f>
        <v>0</v>
      </c>
      <c r="Q96" s="64"/>
    </row>
    <row r="97" ht="15.75" customHeight="1">
      <c r="A97" s="88" t="s">
        <v>167</v>
      </c>
      <c r="B97" s="89">
        <f>sumifs(Dados!$N:$N,Dados!$A:$A,A97,Dados!$H:$H,$D$1)</f>
        <v>15447.15</v>
      </c>
      <c r="C97" s="90">
        <f>B97-D97</f>
        <v>299.15</v>
      </c>
      <c r="D97" s="89">
        <f t="shared" ref="D97:P97" si="21">SUM(D89:D96)</f>
        <v>15148</v>
      </c>
      <c r="E97" s="89">
        <f t="shared" si="21"/>
        <v>1128.92</v>
      </c>
      <c r="F97" s="89">
        <f t="shared" si="21"/>
        <v>495.18</v>
      </c>
      <c r="G97" s="89">
        <f t="shared" si="21"/>
        <v>429.52</v>
      </c>
      <c r="H97" s="89">
        <f t="shared" si="21"/>
        <v>522.52</v>
      </c>
      <c r="I97" s="89">
        <f t="shared" si="21"/>
        <v>1526.64</v>
      </c>
      <c r="J97" s="89">
        <f t="shared" si="21"/>
        <v>2632.92</v>
      </c>
      <c r="K97" s="89">
        <f t="shared" si="21"/>
        <v>3053.53</v>
      </c>
      <c r="L97" s="89">
        <f t="shared" si="21"/>
        <v>3627.22</v>
      </c>
      <c r="M97" s="89">
        <f t="shared" si="21"/>
        <v>1731.55</v>
      </c>
      <c r="N97" s="89">
        <f t="shared" si="21"/>
        <v>0</v>
      </c>
      <c r="O97" s="89">
        <f t="shared" si="21"/>
        <v>0</v>
      </c>
      <c r="P97" s="89">
        <f t="shared" si="21"/>
        <v>0</v>
      </c>
      <c r="Q97" s="89"/>
    </row>
    <row r="98" ht="15.75" customHeight="1">
      <c r="A98" s="109"/>
      <c r="B98" s="59" t="s">
        <v>277</v>
      </c>
      <c r="C98" s="60"/>
      <c r="D98" s="61">
        <f t="shared" ref="D98:D107" si="22">SUM(E98:P98)</f>
        <v>28.92</v>
      </c>
      <c r="E98" s="64">
        <f>sumifs(Dados!$N:$N,Dados!$B:$B,B98,Dados!$J:$J,$D$1,Dados!$I:$I,$E$4)</f>
        <v>0</v>
      </c>
      <c r="F98" s="64">
        <f>sumifs(Dados!$N:$N,Dados!$B:$B,B98,Dados!$J:$J,$D$1,Dados!$I:$I,$F$4)</f>
        <v>0</v>
      </c>
      <c r="G98" s="64">
        <f>sumifs(Dados!$N:$N,Dados!$B:$B,B98,Dados!$J:$J,$D$1,Dados!$I:$I,$G$4)</f>
        <v>0</v>
      </c>
      <c r="H98" s="64">
        <f>sumifs(Dados!$N:$N,Dados!$B:$B,B98,Dados!$J:$J,$D$1,Dados!$I:$I,$H$4)</f>
        <v>0</v>
      </c>
      <c r="I98" s="64">
        <f>sumifs(Dados!$N:$N,Dados!$B:$B,B98,Dados!$J:$J,$D$1,Dados!$I:$I,$I$4)</f>
        <v>28.92</v>
      </c>
      <c r="J98" s="64">
        <f>sumifs(Dados!$N:$N,Dados!$B:$B,B98,Dados!$J:$J,$D$1,Dados!$I:$I,$J$4)</f>
        <v>0</v>
      </c>
      <c r="K98" s="64">
        <f>sumifs(Dados!$N:$N,Dados!$B:$B,B98,Dados!$J:$J,$D$1,Dados!$I:$I,$K$4)</f>
        <v>0</v>
      </c>
      <c r="L98" s="64">
        <f>sumifs(Dados!$N:$N,Dados!$B:$B,B98,Dados!$J:$J,$D$1,Dados!$I:$I,$L$4)</f>
        <v>0</v>
      </c>
      <c r="M98" s="64">
        <f>sumifs(Dados!$N:$N,Dados!$B:$B,B98,Dados!$J:$J,$D$1,Dados!$I:$I,$M$4)</f>
        <v>0</v>
      </c>
      <c r="N98" s="64">
        <f>sumifs(Dados!$N:$N,Dados!$B:$B,B98,Dados!$J:$J,$D$1,Dados!$I:$I,$N$4)</f>
        <v>0</v>
      </c>
      <c r="O98" s="64">
        <f>sumifs(Dados!$N:$N,Dados!$B:$B,B98,Dados!$J:$J,$D$1,Dados!$I:$I,$O$4)</f>
        <v>0</v>
      </c>
      <c r="P98" s="64">
        <f>sumifs(Dados!$N:$N,Dados!$B:$B,B98,Dados!$J:$J,$D$1,Dados!$I:$I,$P$4)</f>
        <v>0</v>
      </c>
      <c r="Q98" s="64"/>
    </row>
    <row r="99" ht="15.75" customHeight="1">
      <c r="A99" s="109"/>
      <c r="B99" s="59" t="s">
        <v>279</v>
      </c>
      <c r="C99" s="60"/>
      <c r="D99" s="61">
        <f t="shared" si="22"/>
        <v>0</v>
      </c>
      <c r="E99" s="64">
        <f>sumifs(Dados!$N:$N,Dados!$B:$B,B99,Dados!$J:$J,$D$1,Dados!$I:$I,$E$4)</f>
        <v>0</v>
      </c>
      <c r="F99" s="64">
        <f>sumifs(Dados!$N:$N,Dados!$B:$B,B99,Dados!$J:$J,$D$1,Dados!$I:$I,$F$4)</f>
        <v>0</v>
      </c>
      <c r="G99" s="64">
        <f>sumifs(Dados!$N:$N,Dados!$B:$B,B99,Dados!$J:$J,$D$1,Dados!$I:$I,$G$4)</f>
        <v>0</v>
      </c>
      <c r="H99" s="64">
        <f>sumifs(Dados!$N:$N,Dados!$B:$B,B99,Dados!$J:$J,$D$1,Dados!$I:$I,$H$4)</f>
        <v>0</v>
      </c>
      <c r="I99" s="64">
        <f>sumifs(Dados!$N:$N,Dados!$B:$B,B99,Dados!$J:$J,$D$1,Dados!$I:$I,$I$4)</f>
        <v>0</v>
      </c>
      <c r="J99" s="64">
        <f>sumifs(Dados!$N:$N,Dados!$B:$B,B99,Dados!$J:$J,$D$1,Dados!$I:$I,$J$4)</f>
        <v>0</v>
      </c>
      <c r="K99" s="64">
        <f>sumifs(Dados!$N:$N,Dados!$B:$B,B99,Dados!$J:$J,$D$1,Dados!$I:$I,$K$4)</f>
        <v>0</v>
      </c>
      <c r="L99" s="64">
        <f>sumifs(Dados!$N:$N,Dados!$B:$B,B99,Dados!$J:$J,$D$1,Dados!$I:$I,$L$4)</f>
        <v>0</v>
      </c>
      <c r="M99" s="64">
        <f>sumifs(Dados!$N:$N,Dados!$B:$B,B99,Dados!$J:$J,$D$1,Dados!$I:$I,$M$4)</f>
        <v>0</v>
      </c>
      <c r="N99" s="64">
        <f>sumifs(Dados!$N:$N,Dados!$B:$B,B99,Dados!$J:$J,$D$1,Dados!$I:$I,$N$4)</f>
        <v>0</v>
      </c>
      <c r="O99" s="64">
        <f>sumifs(Dados!$N:$N,Dados!$B:$B,B99,Dados!$J:$J,$D$1,Dados!$I:$I,$O$4)</f>
        <v>0</v>
      </c>
      <c r="P99" s="64">
        <f>sumifs(Dados!$N:$N,Dados!$B:$B,B99,Dados!$J:$J,$D$1,Dados!$I:$I,$P$4)</f>
        <v>0</v>
      </c>
      <c r="Q99" s="64"/>
    </row>
    <row r="100" ht="15.75" customHeight="1">
      <c r="A100" s="58"/>
      <c r="B100" s="59" t="s">
        <v>280</v>
      </c>
      <c r="C100" s="60"/>
      <c r="D100" s="61">
        <f t="shared" si="22"/>
        <v>93.6</v>
      </c>
      <c r="E100" s="64">
        <f>sumifs(Dados!$N:$N,Dados!$B:$B,B100,Dados!$J:$J,$D$1,Dados!$I:$I,$E$4)</f>
        <v>0</v>
      </c>
      <c r="F100" s="64">
        <f>sumifs(Dados!$N:$N,Dados!$B:$B,B100,Dados!$J:$J,$D$1,Dados!$I:$I,$F$4)</f>
        <v>0</v>
      </c>
      <c r="G100" s="64">
        <f>sumifs(Dados!$N:$N,Dados!$B:$B,B100,Dados!$J:$J,$D$1,Dados!$I:$I,$G$4)</f>
        <v>0</v>
      </c>
      <c r="H100" s="64">
        <f>sumifs(Dados!$N:$N,Dados!$B:$B,B100,Dados!$J:$J,$D$1,Dados!$I:$I,$H$4)</f>
        <v>0</v>
      </c>
      <c r="I100" s="64">
        <f>sumifs(Dados!$N:$N,Dados!$B:$B,B100,Dados!$J:$J,$D$1,Dados!$I:$I,$I$4)</f>
        <v>46.8</v>
      </c>
      <c r="J100" s="64">
        <f>sumifs(Dados!$N:$N,Dados!$B:$B,B100,Dados!$J:$J,$D$1,Dados!$I:$I,$J$4)</f>
        <v>31.2</v>
      </c>
      <c r="K100" s="64">
        <f>sumifs(Dados!$N:$N,Dados!$B:$B,B100,Dados!$J:$J,$D$1,Dados!$I:$I,$K$4)</f>
        <v>0</v>
      </c>
      <c r="L100" s="64">
        <f>sumifs(Dados!$N:$N,Dados!$B:$B,B100,Dados!$J:$J,$D$1,Dados!$I:$I,$L$4)</f>
        <v>15.6</v>
      </c>
      <c r="M100" s="64">
        <f>sumifs(Dados!$N:$N,Dados!$B:$B,B100,Dados!$J:$J,$D$1,Dados!$I:$I,$M$4)</f>
        <v>0</v>
      </c>
      <c r="N100" s="64">
        <f>sumifs(Dados!$N:$N,Dados!$B:$B,B100,Dados!$J:$J,$D$1,Dados!$I:$I,$N$4)</f>
        <v>0</v>
      </c>
      <c r="O100" s="64">
        <f>sumifs(Dados!$N:$N,Dados!$B:$B,B100,Dados!$J:$J,$D$1,Dados!$I:$I,$O$4)</f>
        <v>0</v>
      </c>
      <c r="P100" s="64">
        <f>sumifs(Dados!$N:$N,Dados!$B:$B,B100,Dados!$J:$J,$D$1,Dados!$I:$I,$P$4)</f>
        <v>0</v>
      </c>
      <c r="Q100" s="64"/>
    </row>
    <row r="101" ht="15.75" customHeight="1">
      <c r="A101" s="58"/>
      <c r="B101" s="59" t="s">
        <v>281</v>
      </c>
      <c r="C101" s="60"/>
      <c r="D101" s="61">
        <f t="shared" si="22"/>
        <v>251.79</v>
      </c>
      <c r="E101" s="64">
        <f>sumifs(Dados!$N:$N,Dados!$B:$B,B101,Dados!$J:$J,$D$1,Dados!$I:$I,$E$4)</f>
        <v>0</v>
      </c>
      <c r="F101" s="64">
        <f>sumifs(Dados!$N:$N,Dados!$B:$B,B101,Dados!$J:$J,$D$1,Dados!$I:$I,$F$4)</f>
        <v>0</v>
      </c>
      <c r="G101" s="64">
        <f>sumifs(Dados!$N:$N,Dados!$B:$B,B101,Dados!$J:$J,$D$1,Dados!$I:$I,$G$4)</f>
        <v>0</v>
      </c>
      <c r="H101" s="64">
        <f>sumifs(Dados!$N:$N,Dados!$B:$B,B101,Dados!$J:$J,$D$1,Dados!$I:$I,$H$4)</f>
        <v>0</v>
      </c>
      <c r="I101" s="64">
        <f>sumifs(Dados!$N:$N,Dados!$B:$B,B101,Dados!$J:$J,$D$1,Dados!$I:$I,$I$4)</f>
        <v>56.29</v>
      </c>
      <c r="J101" s="64">
        <f>sumifs(Dados!$N:$N,Dados!$B:$B,B101,Dados!$J:$J,$D$1,Dados!$I:$I,$J$4)</f>
        <v>85.26</v>
      </c>
      <c r="K101" s="64">
        <f>sumifs(Dados!$N:$N,Dados!$B:$B,B101,Dados!$J:$J,$D$1,Dados!$I:$I,$K$4)</f>
        <v>26.77</v>
      </c>
      <c r="L101" s="64">
        <f>sumifs(Dados!$N:$N,Dados!$B:$B,B101,Dados!$J:$J,$D$1,Dados!$I:$I,$L$4)</f>
        <v>39.08</v>
      </c>
      <c r="M101" s="64">
        <f>sumifs(Dados!$N:$N,Dados!$B:$B,B101,Dados!$J:$J,$D$1,Dados!$I:$I,$M$4)</f>
        <v>44.39</v>
      </c>
      <c r="N101" s="64">
        <f>sumifs(Dados!$N:$N,Dados!$B:$B,B101,Dados!$J:$J,$D$1,Dados!$I:$I,$N$4)</f>
        <v>0</v>
      </c>
      <c r="O101" s="64">
        <f>sumifs(Dados!$N:$N,Dados!$B:$B,B101,Dados!$J:$J,$D$1,Dados!$I:$I,$O$4)</f>
        <v>0</v>
      </c>
      <c r="P101" s="64">
        <f>sumifs(Dados!$N:$N,Dados!$B:$B,B101,Dados!$J:$J,$D$1,Dados!$I:$I,$P$4)</f>
        <v>0</v>
      </c>
      <c r="Q101" s="64"/>
    </row>
    <row r="102" ht="15.75" customHeight="1">
      <c r="A102" s="109"/>
      <c r="B102" s="59" t="s">
        <v>285</v>
      </c>
      <c r="C102" s="60"/>
      <c r="D102" s="61">
        <f t="shared" si="22"/>
        <v>128.4</v>
      </c>
      <c r="E102" s="64">
        <f>sumifs(Dados!$N:$N,Dados!$B:$B,B102,Dados!$J:$J,$D$1,Dados!$I:$I,$E$4)</f>
        <v>0</v>
      </c>
      <c r="F102" s="64">
        <f>sumifs(Dados!$N:$N,Dados!$B:$B,B102,Dados!$J:$J,$D$1,Dados!$I:$I,$F$4)</f>
        <v>0</v>
      </c>
      <c r="G102" s="64">
        <f>sumifs(Dados!$N:$N,Dados!$B:$B,B102,Dados!$J:$J,$D$1,Dados!$I:$I,$G$4)</f>
        <v>0</v>
      </c>
      <c r="H102" s="64">
        <f>sumifs(Dados!$N:$N,Dados!$B:$B,B102,Dados!$J:$J,$D$1,Dados!$I:$I,$H$4)</f>
        <v>0</v>
      </c>
      <c r="I102" s="64">
        <f>sumifs(Dados!$N:$N,Dados!$B:$B,B102,Dados!$J:$J,$D$1,Dados!$I:$I,$I$4)</f>
        <v>0</v>
      </c>
      <c r="J102" s="64">
        <f>sumifs(Dados!$N:$N,Dados!$B:$B,B102,Dados!$J:$J,$D$1,Dados!$I:$I,$J$4)</f>
        <v>42.8</v>
      </c>
      <c r="K102" s="64">
        <f>sumifs(Dados!$N:$N,Dados!$B:$B,B102,Dados!$J:$J,$D$1,Dados!$I:$I,$K$4)</f>
        <v>21.4</v>
      </c>
      <c r="L102" s="64">
        <f>sumifs(Dados!$N:$N,Dados!$B:$B,B102,Dados!$J:$J,$D$1,Dados!$I:$I,$L$4)</f>
        <v>21.4</v>
      </c>
      <c r="M102" s="64">
        <f>sumifs(Dados!$N:$N,Dados!$B:$B,B102,Dados!$J:$J,$D$1,Dados!$I:$I,$M$4)</f>
        <v>42.8</v>
      </c>
      <c r="N102" s="64">
        <f>sumifs(Dados!$N:$N,Dados!$B:$B,B102,Dados!$J:$J,$D$1,Dados!$I:$I,$N$4)</f>
        <v>0</v>
      </c>
      <c r="O102" s="64">
        <f>sumifs(Dados!$N:$N,Dados!$B:$B,B102,Dados!$J:$J,$D$1,Dados!$I:$I,$O$4)</f>
        <v>0</v>
      </c>
      <c r="P102" s="64">
        <f>sumifs(Dados!$N:$N,Dados!$B:$B,B102,Dados!$J:$J,$D$1,Dados!$I:$I,$P$4)</f>
        <v>0</v>
      </c>
      <c r="Q102" s="64"/>
    </row>
    <row r="103" ht="15.75" customHeight="1">
      <c r="A103" s="58"/>
      <c r="B103" s="59" t="s">
        <v>288</v>
      </c>
      <c r="C103" s="60"/>
      <c r="D103" s="61">
        <f t="shared" si="22"/>
        <v>106.8</v>
      </c>
      <c r="E103" s="64">
        <f>sumifs(Dados!$N:$N,Dados!$B:$B,B103,Dados!$J:$J,$D$1,Dados!$I:$I,$E$4)</f>
        <v>0</v>
      </c>
      <c r="F103" s="64">
        <f>sumifs(Dados!$N:$N,Dados!$B:$B,B103,Dados!$J:$J,$D$1,Dados!$I:$I,$F$4)</f>
        <v>0</v>
      </c>
      <c r="G103" s="64">
        <f>sumifs(Dados!$N:$N,Dados!$B:$B,B103,Dados!$J:$J,$D$1,Dados!$I:$I,$G$4)</f>
        <v>0</v>
      </c>
      <c r="H103" s="64">
        <f>sumifs(Dados!$N:$N,Dados!$B:$B,B103,Dados!$J:$J,$D$1,Dados!$I:$I,$H$4)</f>
        <v>0</v>
      </c>
      <c r="I103" s="64">
        <f>sumifs(Dados!$N:$N,Dados!$B:$B,B103,Dados!$J:$J,$D$1,Dados!$I:$I,$I$4)</f>
        <v>35</v>
      </c>
      <c r="J103" s="64">
        <f>sumifs(Dados!$N:$N,Dados!$B:$B,B103,Dados!$J:$J,$D$1,Dados!$I:$I,$J$4)</f>
        <v>35.9</v>
      </c>
      <c r="K103" s="64">
        <f>sumifs(Dados!$N:$N,Dados!$B:$B,B103,Dados!$J:$J,$D$1,Dados!$I:$I,$K$4)</f>
        <v>0</v>
      </c>
      <c r="L103" s="64">
        <f>sumifs(Dados!$N:$N,Dados!$B:$B,B103,Dados!$J:$J,$D$1,Dados!$I:$I,$L$4)</f>
        <v>35.9</v>
      </c>
      <c r="M103" s="64">
        <f>sumifs(Dados!$N:$N,Dados!$B:$B,B103,Dados!$J:$J,$D$1,Dados!$I:$I,$M$4)</f>
        <v>0</v>
      </c>
      <c r="N103" s="64">
        <f>sumifs(Dados!$N:$N,Dados!$B:$B,B103,Dados!$J:$J,$D$1,Dados!$I:$I,$N$4)</f>
        <v>0</v>
      </c>
      <c r="O103" s="64">
        <f>sumifs(Dados!$N:$N,Dados!$B:$B,B103,Dados!$J:$J,$D$1,Dados!$I:$I,$O$4)</f>
        <v>0</v>
      </c>
      <c r="P103" s="64">
        <f>sumifs(Dados!$N:$N,Dados!$B:$B,B103,Dados!$J:$J,$D$1,Dados!$I:$I,$P$4)</f>
        <v>0</v>
      </c>
      <c r="Q103" s="64"/>
    </row>
    <row r="104" ht="15.75" customHeight="1">
      <c r="A104" s="109"/>
      <c r="B104" s="59" t="s">
        <v>290</v>
      </c>
      <c r="C104" s="60"/>
      <c r="D104" s="61">
        <f t="shared" si="22"/>
        <v>409.2</v>
      </c>
      <c r="E104" s="64">
        <f>sumifs(Dados!$N:$N,Dados!$B:$B,B104,Dados!$J:$J,$D$1,Dados!$I:$I,$E$4)</f>
        <v>0</v>
      </c>
      <c r="F104" s="64">
        <f>sumifs(Dados!$N:$N,Dados!$B:$B,B104,Dados!$J:$J,$D$1,Dados!$I:$I,$F$4)</f>
        <v>0</v>
      </c>
      <c r="G104" s="64">
        <f>sumifs(Dados!$N:$N,Dados!$B:$B,B104,Dados!$J:$J,$D$1,Dados!$I:$I,$G$4)</f>
        <v>0</v>
      </c>
      <c r="H104" s="64">
        <f>sumifs(Dados!$N:$N,Dados!$B:$B,B104,Dados!$J:$J,$D$1,Dados!$I:$I,$H$4)</f>
        <v>0</v>
      </c>
      <c r="I104" s="64">
        <f>sumifs(Dados!$N:$N,Dados!$B:$B,B104,Dados!$J:$J,$D$1,Dados!$I:$I,$I$4)</f>
        <v>55.8</v>
      </c>
      <c r="J104" s="64">
        <f>sumifs(Dados!$N:$N,Dados!$B:$B,B104,Dados!$J:$J,$D$1,Dados!$I:$I,$J$4)</f>
        <v>148.8</v>
      </c>
      <c r="K104" s="64">
        <f>sumifs(Dados!$N:$N,Dados!$B:$B,B104,Dados!$J:$J,$D$1,Dados!$I:$I,$K$4)</f>
        <v>74.4</v>
      </c>
      <c r="L104" s="64">
        <f>sumifs(Dados!$N:$N,Dados!$B:$B,B104,Dados!$J:$J,$D$1,Dados!$I:$I,$L$4)</f>
        <v>55.8</v>
      </c>
      <c r="M104" s="64">
        <f>sumifs(Dados!$N:$N,Dados!$B:$B,B104,Dados!$J:$J,$D$1,Dados!$I:$I,$M$4)</f>
        <v>74.4</v>
      </c>
      <c r="N104" s="64">
        <f>sumifs(Dados!$N:$N,Dados!$B:$B,B104,Dados!$J:$J,$D$1,Dados!$I:$I,$N$4)</f>
        <v>0</v>
      </c>
      <c r="O104" s="64">
        <f>sumifs(Dados!$N:$N,Dados!$B:$B,B104,Dados!$J:$J,$D$1,Dados!$I:$I,$O$4)</f>
        <v>0</v>
      </c>
      <c r="P104" s="64">
        <f>sumifs(Dados!$N:$N,Dados!$B:$B,B104,Dados!$J:$J,$D$1,Dados!$I:$I,$P$4)</f>
        <v>0</v>
      </c>
      <c r="Q104" s="64"/>
    </row>
    <row r="105" ht="15.75" customHeight="1">
      <c r="A105" s="74"/>
      <c r="B105" s="59" t="s">
        <v>291</v>
      </c>
      <c r="C105" s="60"/>
      <c r="D105" s="61">
        <f t="shared" si="22"/>
        <v>271.8</v>
      </c>
      <c r="E105" s="64">
        <f>sumifs(Dados!$N:$N,Dados!$B:$B,B105,Dados!$J:$J,$D$1,Dados!$I:$I,$E$4)</f>
        <v>0</v>
      </c>
      <c r="F105" s="64">
        <f>sumifs(Dados!$N:$N,Dados!$B:$B,B105,Dados!$J:$J,$D$1,Dados!$I:$I,$F$4)</f>
        <v>0</v>
      </c>
      <c r="G105" s="64">
        <f>sumifs(Dados!$N:$N,Dados!$B:$B,B105,Dados!$J:$J,$D$1,Dados!$I:$I,$G$4)</f>
        <v>0</v>
      </c>
      <c r="H105" s="64">
        <f>sumifs(Dados!$N:$N,Dados!$B:$B,B105,Dados!$J:$J,$D$1,Dados!$I:$I,$H$4)</f>
        <v>0</v>
      </c>
      <c r="I105" s="64">
        <f>sumifs(Dados!$N:$N,Dados!$B:$B,B105,Dados!$J:$J,$D$1,Dados!$I:$I,$I$4)</f>
        <v>64.2</v>
      </c>
      <c r="J105" s="64">
        <f>sumifs(Dados!$N:$N,Dados!$B:$B,B105,Dados!$J:$J,$D$1,Dados!$I:$I,$J$4)</f>
        <v>84</v>
      </c>
      <c r="K105" s="64">
        <f>sumifs(Dados!$N:$N,Dados!$B:$B,B105,Dados!$J:$J,$D$1,Dados!$I:$I,$K$4)</f>
        <v>20.6</v>
      </c>
      <c r="L105" s="64">
        <f>sumifs(Dados!$N:$N,Dados!$B:$B,B105,Dados!$J:$J,$D$1,Dados!$I:$I,$L$4)</f>
        <v>41.2</v>
      </c>
      <c r="M105" s="64">
        <f>sumifs(Dados!$N:$N,Dados!$B:$B,B105,Dados!$J:$J,$D$1,Dados!$I:$I,$M$4)</f>
        <v>61.8</v>
      </c>
      <c r="N105" s="64">
        <f>sumifs(Dados!$N:$N,Dados!$B:$B,B105,Dados!$J:$J,$D$1,Dados!$I:$I,$N$4)</f>
        <v>0</v>
      </c>
      <c r="O105" s="64">
        <f>sumifs(Dados!$N:$N,Dados!$B:$B,B105,Dados!$J:$J,$D$1,Dados!$I:$I,$O$4)</f>
        <v>0</v>
      </c>
      <c r="P105" s="64">
        <f>sumifs(Dados!$N:$N,Dados!$B:$B,B105,Dados!$J:$J,$D$1,Dados!$I:$I,$P$4)</f>
        <v>0</v>
      </c>
      <c r="Q105" s="64"/>
    </row>
    <row r="106" ht="15.75" customHeight="1">
      <c r="A106" s="109"/>
      <c r="B106" s="59" t="s">
        <v>292</v>
      </c>
      <c r="C106" s="60"/>
      <c r="D106" s="61">
        <f t="shared" si="22"/>
        <v>14</v>
      </c>
      <c r="E106" s="64">
        <f>sumifs(Dados!$N:$N,Dados!$B:$B,$B$106,Dados!$J:$J,$D$1,Dados!$I:$I,E4)</f>
        <v>0</v>
      </c>
      <c r="F106" s="64">
        <f>sumifs(Dados!$N:$N,Dados!$B:$B,$B$106,Dados!$J:$J,$D$1,Dados!$I:$I,F4)</f>
        <v>0</v>
      </c>
      <c r="G106" s="64">
        <f>sumifs(Dados!$N:$N,Dados!$B:$B,$B$106,Dados!$J:$J,$D$1,Dados!$I:$I,G4)</f>
        <v>0</v>
      </c>
      <c r="H106" s="64">
        <f>sumifs(Dados!$N:$N,Dados!$B:$B,$B$106,Dados!$J:$J,$D$1,Dados!$I:$I,H4)</f>
        <v>0</v>
      </c>
      <c r="I106" s="64">
        <f>sumifs(Dados!$N:$N,Dados!$B:$B,$B$106,Dados!$J:$J,$D$1,Dados!$I:$I,I4)</f>
        <v>0</v>
      </c>
      <c r="J106" s="64">
        <f>sumifs(Dados!$N:$N,Dados!$B:$B,$B$106,Dados!$J:$J,$D$1,Dados!$I:$I,J4)</f>
        <v>0</v>
      </c>
      <c r="K106" s="64">
        <f>sumifs(Dados!$N:$N,Dados!$B:$B,$B$106,Dados!$J:$J,$D$1,Dados!$I:$I,K4)</f>
        <v>0</v>
      </c>
      <c r="L106" s="64">
        <f>sumifs(Dados!$N:$N,Dados!$B:$B,$B$106,Dados!$J:$J,$D$1,Dados!$I:$I,L4)</f>
        <v>0</v>
      </c>
      <c r="M106" s="64">
        <f>sumifs(Dados!$N:$N,Dados!$B:$B,$B$106,Dados!$J:$J,$D$1,Dados!$I:$I,M4)</f>
        <v>14</v>
      </c>
      <c r="N106" s="64">
        <f>sumifs(Dados!$N:$N,Dados!$B:$B,$B$106,Dados!$J:$J,$D$1,Dados!$I:$I,N4)</f>
        <v>0</v>
      </c>
      <c r="O106" s="64">
        <f>sumifs(Dados!$N:$N,Dados!$B:$B,$B$106,Dados!$J:$J,$D$1,Dados!$I:$I,O4)</f>
        <v>0</v>
      </c>
      <c r="P106" s="64">
        <f>sumifs(Dados!$N:$N,Dados!$B:$B,$B$106,Dados!$J:$J,$D$1,Dados!$I:$I,P4)</f>
        <v>0</v>
      </c>
      <c r="Q106" s="64"/>
    </row>
    <row r="107" ht="15.75" customHeight="1">
      <c r="A107" s="109"/>
      <c r="B107" s="59" t="s">
        <v>293</v>
      </c>
      <c r="C107" s="60"/>
      <c r="D107" s="61">
        <f t="shared" si="22"/>
        <v>42</v>
      </c>
      <c r="E107" s="64">
        <f>sumifs(Dados!$N:$N,Dados!$B:$B,B107,Dados!$J:$J,$D$1,Dados!$I:$I,$E$4)</f>
        <v>0</v>
      </c>
      <c r="F107" s="64">
        <f>sumifs(Dados!$N:$N,Dados!$B:$B,B107,Dados!$J:$J,$D$1,Dados!$I:$I,$F$4)</f>
        <v>0</v>
      </c>
      <c r="G107" s="64">
        <f>sumifs(Dados!$N:$N,Dados!$B:$B,B107,Dados!$J:$J,$D$1,Dados!$I:$I,$G$4)</f>
        <v>0</v>
      </c>
      <c r="H107" s="64">
        <f>sumifs(Dados!$N:$N,Dados!$B:$B,B107,Dados!$J:$J,$D$1,Dados!$I:$I,$H$4)</f>
        <v>0</v>
      </c>
      <c r="I107" s="64">
        <f>sumifs(Dados!$N:$N,Dados!$B:$B,B107,Dados!$J:$J,$D$1,Dados!$I:$I,$I$4)</f>
        <v>14</v>
      </c>
      <c r="J107" s="64">
        <f>sumifs(Dados!$N:$N,Dados!$B:$B,B107,Dados!$J:$J,$D$1,Dados!$I:$I,$J$4)</f>
        <v>28</v>
      </c>
      <c r="K107" s="64">
        <f>sumifs(Dados!$N:$N,Dados!$B:$B,B107,Dados!$J:$J,$D$1,Dados!$I:$I,$K$4)</f>
        <v>0</v>
      </c>
      <c r="L107" s="64">
        <f>sumifs(Dados!$N:$N,Dados!$B:$B,B107,Dados!$J:$J,$D$1,Dados!$I:$I,$L$4)</f>
        <v>0</v>
      </c>
      <c r="M107" s="64">
        <f>sumifs(Dados!$N:$N,Dados!$B:$B,B107,Dados!$J:$J,$D$1,Dados!$I:$I,$M$4)</f>
        <v>0</v>
      </c>
      <c r="N107" s="64">
        <f>sumifs(Dados!$N:$N,Dados!$B:$B,B107,Dados!$J:$J,$D$1,Dados!$I:$I,$N$4)</f>
        <v>0</v>
      </c>
      <c r="O107" s="64">
        <f>sumifs(Dados!$N:$N,Dados!$B:$B,B107,Dados!$J:$J,$D$1,Dados!$I:$I,$O$4)</f>
        <v>0</v>
      </c>
      <c r="P107" s="64">
        <f>sumifs(Dados!$N:$N,Dados!$B:$B,B107,Dados!$J:$J,$D$1,Dados!$I:$I,$P$4)</f>
        <v>0</v>
      </c>
      <c r="Q107" s="64"/>
    </row>
    <row r="108" ht="15.75" customHeight="1">
      <c r="A108" s="88" t="s">
        <v>172</v>
      </c>
      <c r="B108" s="89">
        <f>sumifs(Dados!$N:$N,Dados!$A:$A,A108,Dados!$H:$H,$D$1)</f>
        <v>1346.51</v>
      </c>
      <c r="C108" s="90">
        <f>B108-D108</f>
        <v>0</v>
      </c>
      <c r="D108" s="89">
        <f t="shared" ref="D108:P108" si="23">SUM(D98:D107)</f>
        <v>1346.51</v>
      </c>
      <c r="E108" s="89">
        <f t="shared" si="23"/>
        <v>0</v>
      </c>
      <c r="F108" s="89">
        <f t="shared" si="23"/>
        <v>0</v>
      </c>
      <c r="G108" s="89">
        <f t="shared" si="23"/>
        <v>0</v>
      </c>
      <c r="H108" s="89">
        <f t="shared" si="23"/>
        <v>0</v>
      </c>
      <c r="I108" s="89">
        <f t="shared" si="23"/>
        <v>301.01</v>
      </c>
      <c r="J108" s="89">
        <f t="shared" si="23"/>
        <v>455.96</v>
      </c>
      <c r="K108" s="89">
        <f t="shared" si="23"/>
        <v>143.17</v>
      </c>
      <c r="L108" s="89">
        <f t="shared" si="23"/>
        <v>208.98</v>
      </c>
      <c r="M108" s="89">
        <f t="shared" si="23"/>
        <v>237.39</v>
      </c>
      <c r="N108" s="89">
        <f t="shared" si="23"/>
        <v>0</v>
      </c>
      <c r="O108" s="89">
        <f t="shared" si="23"/>
        <v>0</v>
      </c>
      <c r="P108" s="89">
        <f t="shared" si="23"/>
        <v>0</v>
      </c>
      <c r="Q108" s="89"/>
    </row>
    <row r="109" ht="15.75" customHeight="1">
      <c r="A109" s="109"/>
      <c r="B109" s="59" t="s">
        <v>294</v>
      </c>
      <c r="C109" s="60"/>
      <c r="D109" s="61">
        <f t="shared" ref="D109:D115" si="24">SUM(E109:P109)</f>
        <v>0</v>
      </c>
      <c r="E109" s="64">
        <f>sumifs(Dados!$N:$N,Dados!$B:$B,B109,Dados!$J:$J,$D$1,Dados!$I:$I,$E$4)</f>
        <v>0</v>
      </c>
      <c r="F109" s="64">
        <f>sumifs(Dados!$N:$N,Dados!$B:$B,B109,Dados!$J:$J,$D$1,Dados!$I:$I,$F$4)</f>
        <v>0</v>
      </c>
      <c r="G109" s="64">
        <f>sumifs(Dados!$N:$N,Dados!$B:$B,B109,Dados!$J:$J,$D$1,Dados!$I:$I,$G$4)</f>
        <v>0</v>
      </c>
      <c r="H109" s="64">
        <f>sumifs(Dados!$N:$N,Dados!$B:$B,B109,Dados!$J:$J,$D$1,Dados!$I:$I,$H$4)</f>
        <v>0</v>
      </c>
      <c r="I109" s="64">
        <f>sumifs(Dados!$N:$N,Dados!$B:$B,B109,Dados!$J:$J,$D$1,Dados!$I:$I,$I$4)</f>
        <v>0</v>
      </c>
      <c r="J109" s="64">
        <f>sumifs(Dados!$N:$N,Dados!$B:$B,B109,Dados!$J:$J,$D$1,Dados!$I:$I,$J$4)</f>
        <v>0</v>
      </c>
      <c r="K109" s="64">
        <f>sumifs(Dados!$N:$N,Dados!$B:$B,B109,Dados!$J:$J,$D$1,Dados!$I:$I,$K$4)</f>
        <v>0</v>
      </c>
      <c r="L109" s="64">
        <f>sumifs(Dados!$N:$N,Dados!$B:$B,B109,Dados!$J:$J,$D$1,Dados!$I:$I,$L$4)</f>
        <v>0</v>
      </c>
      <c r="M109" s="64">
        <f>sumifs(Dados!$N:$N,Dados!$B:$B,B109,Dados!$J:$J,$D$1,Dados!$I:$I,$M$4)</f>
        <v>0</v>
      </c>
      <c r="N109" s="64">
        <f>sumifs(Dados!$N:$N,Dados!$B:$B,B109,Dados!$J:$J,$D$1,Dados!$I:$I,$N$4)</f>
        <v>0</v>
      </c>
      <c r="O109" s="64">
        <f>sumifs(Dados!$N:$N,Dados!$B:$B,B109,Dados!$J:$J,$D$1,Dados!$I:$I,$O$4)</f>
        <v>0</v>
      </c>
      <c r="P109" s="64">
        <f>sumifs(Dados!$N:$N,Dados!$B:$B,B109,Dados!$J:$J,$D$1,Dados!$I:$I,$P$4)</f>
        <v>0</v>
      </c>
      <c r="Q109" s="64"/>
    </row>
    <row r="110" ht="15.75" customHeight="1">
      <c r="A110" s="27"/>
      <c r="B110" s="59" t="s">
        <v>295</v>
      </c>
      <c r="C110" s="60"/>
      <c r="D110" s="61">
        <f t="shared" si="24"/>
        <v>0</v>
      </c>
      <c r="E110" s="64">
        <f>sumifs(Dados!$N:$N,Dados!$B:$B,B110,Dados!$J:$J,$D$1,Dados!$I:$I,$E$4)</f>
        <v>0</v>
      </c>
      <c r="F110" s="64">
        <f>sumifs(Dados!$N:$N,Dados!$B:$B,B110,Dados!$J:$J,$D$1,Dados!$I:$I,$F$4)</f>
        <v>0</v>
      </c>
      <c r="G110" s="64">
        <f>sumifs(Dados!$N:$N,Dados!$B:$B,B110,Dados!$J:$J,$D$1,Dados!$I:$I,$G$4)</f>
        <v>0</v>
      </c>
      <c r="H110" s="64">
        <f>sumifs(Dados!$N:$N,Dados!$B:$B,B110,Dados!$J:$J,$D$1,Dados!$I:$I,$H$4)</f>
        <v>0</v>
      </c>
      <c r="I110" s="64">
        <f>sumifs(Dados!$N:$N,Dados!$B:$B,B110,Dados!$J:$J,$D$1,Dados!$I:$I,$I$4)</f>
        <v>0</v>
      </c>
      <c r="J110" s="64">
        <f>sumifs(Dados!$N:$N,Dados!$B:$B,B110,Dados!$J:$J,$D$1,Dados!$I:$I,$J$4)</f>
        <v>0</v>
      </c>
      <c r="K110" s="64">
        <f>sumifs(Dados!$N:$N,Dados!$B:$B,B110,Dados!$J:$J,$D$1,Dados!$I:$I,$K$4)</f>
        <v>0</v>
      </c>
      <c r="L110" s="64">
        <f>sumifs(Dados!$N:$N,Dados!$B:$B,B110,Dados!$J:$J,$D$1,Dados!$I:$I,$L$4)</f>
        <v>0</v>
      </c>
      <c r="M110" s="64">
        <f>sumifs(Dados!$N:$N,Dados!$B:$B,B110,Dados!$J:$J,$D$1,Dados!$I:$I,$M$4)</f>
        <v>0</v>
      </c>
      <c r="N110" s="64">
        <f>sumifs(Dados!$N:$N,Dados!$B:$B,B110,Dados!$J:$J,$D$1,Dados!$I:$I,$N$4)</f>
        <v>0</v>
      </c>
      <c r="O110" s="64">
        <f>sumifs(Dados!$N:$N,Dados!$B:$B,B110,Dados!$J:$J,$D$1,Dados!$I:$I,$O$4)</f>
        <v>0</v>
      </c>
      <c r="P110" s="64">
        <f>sumifs(Dados!$N:$N,Dados!$B:$B,B110,Dados!$J:$J,$D$1,Dados!$I:$I,$P$4)</f>
        <v>0</v>
      </c>
      <c r="Q110" s="64"/>
    </row>
    <row r="111" ht="15.75" customHeight="1">
      <c r="A111" s="27"/>
      <c r="B111" s="59" t="s">
        <v>296</v>
      </c>
      <c r="C111" s="60"/>
      <c r="D111" s="61">
        <f t="shared" si="24"/>
        <v>124.06</v>
      </c>
      <c r="E111" s="64">
        <f>sumifs(Dados!$N:$N,Dados!$B:$B,B111,Dados!$J:$J,$D$1,Dados!$I:$I,$E$4)</f>
        <v>0</v>
      </c>
      <c r="F111" s="64">
        <f>sumifs(Dados!$N:$N,Dados!$B:$B,B111,Dados!$J:$J,$D$1,Dados!$I:$I,$F$4)</f>
        <v>0</v>
      </c>
      <c r="G111" s="64">
        <f>sumifs(Dados!$N:$N,Dados!$B:$B,B111,Dados!$J:$J,$D$1,Dados!$I:$I,$G$4)</f>
        <v>0</v>
      </c>
      <c r="H111" s="64">
        <f>sumifs(Dados!$N:$N,Dados!$B:$B,B111,Dados!$J:$J,$D$1,Dados!$I:$I,$H$4)</f>
        <v>0</v>
      </c>
      <c r="I111" s="64">
        <f>sumifs(Dados!$N:$N,Dados!$B:$B,B111,Dados!$J:$J,$D$1,Dados!$I:$I,$I$4)</f>
        <v>64.67</v>
      </c>
      <c r="J111" s="64">
        <f>sumifs(Dados!$N:$N,Dados!$B:$B,B111,Dados!$J:$J,$D$1,Dados!$I:$I,$J$4)</f>
        <v>12.99</v>
      </c>
      <c r="K111" s="64">
        <f>sumifs(Dados!$N:$N,Dados!$B:$B,B111,Dados!$J:$J,$D$1,Dados!$I:$I,$K$4)</f>
        <v>42.15</v>
      </c>
      <c r="L111" s="64">
        <f>sumifs(Dados!$N:$N,Dados!$B:$B,B111,Dados!$J:$J,$D$1,Dados!$I:$I,$L$4)</f>
        <v>4.25</v>
      </c>
      <c r="M111" s="64">
        <f>sumifs(Dados!$N:$N,Dados!$B:$B,B111,Dados!$J:$J,$D$1,Dados!$I:$I,$M$4)</f>
        <v>0</v>
      </c>
      <c r="N111" s="64">
        <f>sumifs(Dados!$N:$N,Dados!$B:$B,B111,Dados!$J:$J,$D$1,Dados!$I:$I,$N$4)</f>
        <v>0</v>
      </c>
      <c r="O111" s="64">
        <f>sumifs(Dados!$N:$N,Dados!$B:$B,B111,Dados!$J:$J,$D$1,Dados!$I:$I,$O$4)</f>
        <v>0</v>
      </c>
      <c r="P111" s="64">
        <f>sumifs(Dados!$N:$N,Dados!$B:$B,B111,Dados!$J:$J,$D$1,Dados!$I:$I,$P$4)</f>
        <v>0</v>
      </c>
      <c r="Q111" s="64"/>
    </row>
    <row r="112" ht="15.75" customHeight="1">
      <c r="A112" s="74"/>
      <c r="B112" s="59" t="s">
        <v>297</v>
      </c>
      <c r="C112" s="60"/>
      <c r="D112" s="61">
        <f t="shared" si="24"/>
        <v>0</v>
      </c>
      <c r="E112" s="64">
        <f>sumifs(Dados!$N:$N,Dados!$B:$B,B112,Dados!$J:$J,$D$1,Dados!$I:$I,$E$4)</f>
        <v>0</v>
      </c>
      <c r="F112" s="64">
        <f>sumifs(Dados!$N:$N,Dados!$B:$B,B112,Dados!$J:$J,$D$1,Dados!$I:$I,$F$4)</f>
        <v>0</v>
      </c>
      <c r="G112" s="64">
        <f>sumifs(Dados!$N:$N,Dados!$B:$B,B112,Dados!$J:$J,$D$1,Dados!$I:$I,$G$4)</f>
        <v>0</v>
      </c>
      <c r="H112" s="64">
        <f>sumifs(Dados!$N:$N,Dados!$B:$B,B112,Dados!$J:$J,$D$1,Dados!$I:$I,$H$4)</f>
        <v>0</v>
      </c>
      <c r="I112" s="64">
        <f>sumifs(Dados!$N:$N,Dados!$B:$B,B112,Dados!$J:$J,$D$1,Dados!$I:$I,$I$4)</f>
        <v>0</v>
      </c>
      <c r="J112" s="64">
        <f>sumifs(Dados!$N:$N,Dados!$B:$B,B112,Dados!$J:$J,$D$1,Dados!$I:$I,$J$4)</f>
        <v>0</v>
      </c>
      <c r="K112" s="64">
        <f>sumifs(Dados!$N:$N,Dados!$B:$B,B112,Dados!$J:$J,$D$1,Dados!$I:$I,$K$4)</f>
        <v>0</v>
      </c>
      <c r="L112" s="64">
        <f>sumifs(Dados!$N:$N,Dados!$B:$B,B112,Dados!$J:$J,$D$1,Dados!$I:$I,$L$4)</f>
        <v>0</v>
      </c>
      <c r="M112" s="64">
        <f>sumifs(Dados!$N:$N,Dados!$B:$B,B112,Dados!$J:$J,$D$1,Dados!$I:$I,$M$4)</f>
        <v>0</v>
      </c>
      <c r="N112" s="64">
        <f>sumifs(Dados!$N:$N,Dados!$B:$B,B112,Dados!$J:$J,$D$1,Dados!$I:$I,$N$4)</f>
        <v>0</v>
      </c>
      <c r="O112" s="64">
        <f>sumifs(Dados!$N:$N,Dados!$B:$B,B112,Dados!$J:$J,$D$1,Dados!$I:$I,$O$4)</f>
        <v>0</v>
      </c>
      <c r="P112" s="64">
        <f>sumifs(Dados!$N:$N,Dados!$B:$B,B112,Dados!$J:$J,$D$1,Dados!$I:$I,$P$4)</f>
        <v>0</v>
      </c>
      <c r="Q112" s="64"/>
    </row>
    <row r="113" ht="15.75" customHeight="1">
      <c r="A113" s="27"/>
      <c r="B113" s="59" t="s">
        <v>298</v>
      </c>
      <c r="C113" s="60"/>
      <c r="D113" s="61">
        <f t="shared" si="24"/>
        <v>0</v>
      </c>
      <c r="E113" s="64">
        <f>sumifs(Dados!$N:$N,Dados!$B:$B,B113,Dados!$J:$J,$D$1,Dados!$I:$I,$E$4)</f>
        <v>0</v>
      </c>
      <c r="F113" s="64">
        <f>sumifs(Dados!$N:$N,Dados!$B:$B,B113,Dados!$J:$J,$D$1,Dados!$I:$I,$F$4)</f>
        <v>0</v>
      </c>
      <c r="G113" s="64">
        <f>sumifs(Dados!$N:$N,Dados!$B:$B,B113,Dados!$J:$J,$D$1,Dados!$I:$I,$G$4)</f>
        <v>0</v>
      </c>
      <c r="H113" s="64">
        <f>sumifs(Dados!$N:$N,Dados!$B:$B,B113,Dados!$J:$J,$D$1,Dados!$I:$I,$H$4)</f>
        <v>0</v>
      </c>
      <c r="I113" s="64">
        <f>sumifs(Dados!$N:$N,Dados!$B:$B,B113,Dados!$J:$J,$D$1,Dados!$I:$I,$I$4)</f>
        <v>0</v>
      </c>
      <c r="J113" s="64">
        <f>sumifs(Dados!$N:$N,Dados!$B:$B,B113,Dados!$J:$J,$D$1,Dados!$I:$I,$J$4)</f>
        <v>0</v>
      </c>
      <c r="K113" s="64">
        <f>sumifs(Dados!$N:$N,Dados!$B:$B,B113,Dados!$J:$J,$D$1,Dados!$I:$I,$K$4)</f>
        <v>0</v>
      </c>
      <c r="L113" s="64">
        <f>sumifs(Dados!$N:$N,Dados!$B:$B,B113,Dados!$J:$J,$D$1,Dados!$I:$I,$L$4)</f>
        <v>0</v>
      </c>
      <c r="M113" s="64">
        <f>sumifs(Dados!$N:$N,Dados!$B:$B,B113,Dados!$J:$J,$D$1,Dados!$I:$I,$M$4)</f>
        <v>0</v>
      </c>
      <c r="N113" s="64">
        <f>sumifs(Dados!$N:$N,Dados!$B:$B,B113,Dados!$J:$J,$D$1,Dados!$I:$I,$N$4)</f>
        <v>0</v>
      </c>
      <c r="O113" s="64">
        <f>sumifs(Dados!$N:$N,Dados!$B:$B,B113,Dados!$J:$J,$D$1,Dados!$I:$I,$O$4)</f>
        <v>0</v>
      </c>
      <c r="P113" s="64">
        <f>sumifs(Dados!$N:$N,Dados!$B:$B,B113,Dados!$J:$J,$D$1,Dados!$I:$I,$P$4)</f>
        <v>0</v>
      </c>
      <c r="Q113" s="64"/>
    </row>
    <row r="114" ht="15.75" customHeight="1">
      <c r="A114" s="58"/>
      <c r="B114" s="59" t="s">
        <v>299</v>
      </c>
      <c r="C114" s="60"/>
      <c r="D114" s="61">
        <f t="shared" si="24"/>
        <v>240.1</v>
      </c>
      <c r="E114" s="64">
        <f>sumifs(Dados!$N:$N,Dados!$B:$B,B114,Dados!$J:$J,$D$1,Dados!$I:$I,$E$4)</f>
        <v>0</v>
      </c>
      <c r="F114" s="64">
        <f>sumifs(Dados!$N:$N,Dados!$B:$B,B114,Dados!$J:$J,$D$1,Dados!$I:$I,$F$4)</f>
        <v>0</v>
      </c>
      <c r="G114" s="64">
        <f>sumifs(Dados!$N:$N,Dados!$B:$B,B114,Dados!$J:$J,$D$1,Dados!$I:$I,$G$4)</f>
        <v>0</v>
      </c>
      <c r="H114" s="64">
        <f>sumifs(Dados!$N:$N,Dados!$B:$B,B114,Dados!$J:$J,$D$1,Dados!$I:$I,$H$4)</f>
        <v>0</v>
      </c>
      <c r="I114" s="64">
        <f>sumifs(Dados!$N:$N,Dados!$B:$B,B114,Dados!$J:$J,$D$1,Dados!$I:$I,$I$4)</f>
        <v>0</v>
      </c>
      <c r="J114" s="64">
        <f>sumifs(Dados!$N:$N,Dados!$B:$B,B114,Dados!$J:$J,$D$1,Dados!$I:$I,$J$4)</f>
        <v>0</v>
      </c>
      <c r="K114" s="64">
        <f>sumifs(Dados!$N:$N,Dados!$B:$B,B114,Dados!$J:$J,$D$1,Dados!$I:$I,$K$4)</f>
        <v>0</v>
      </c>
      <c r="L114" s="64">
        <f>sumifs(Dados!$N:$N,Dados!$B:$B,B114,Dados!$J:$J,$D$1,Dados!$I:$I,$L$4)</f>
        <v>218.9</v>
      </c>
      <c r="M114" s="64">
        <f>sumifs(Dados!$N:$N,Dados!$B:$B,B114,Dados!$J:$J,$D$1,Dados!$I:$I,$M$4)</f>
        <v>21.2</v>
      </c>
      <c r="N114" s="64">
        <f>sumifs(Dados!$N:$N,Dados!$B:$B,B114,Dados!$J:$J,$D$1,Dados!$I:$I,$N$4)</f>
        <v>0</v>
      </c>
      <c r="O114" s="64">
        <f>sumifs(Dados!$N:$N,Dados!$B:$B,B114,Dados!$J:$J,$D$1,Dados!$I:$I,$O$4)</f>
        <v>0</v>
      </c>
      <c r="P114" s="64">
        <f>sumifs(Dados!$N:$N,Dados!$B:$B,B114,Dados!$J:$J,$D$1,Dados!$I:$I,$P$4)</f>
        <v>0</v>
      </c>
      <c r="Q114" s="64"/>
    </row>
    <row r="115" ht="15.75" customHeight="1">
      <c r="A115" s="109"/>
      <c r="B115" s="59" t="s">
        <v>300</v>
      </c>
      <c r="C115" s="60"/>
      <c r="D115" s="61">
        <f t="shared" si="24"/>
        <v>0</v>
      </c>
      <c r="E115" s="64">
        <f>sumifs(Dados!$N:$N,Dados!$B:$B,B115,Dados!$J:$J,$D$1,Dados!$I:$I,$E$4)</f>
        <v>0</v>
      </c>
      <c r="F115" s="64">
        <f>sumifs(Dados!$N:$N,Dados!$B:$B,B115,Dados!$J:$J,$D$1,Dados!$I:$I,$F$4)</f>
        <v>0</v>
      </c>
      <c r="G115" s="64">
        <f>sumifs(Dados!$N:$N,Dados!$B:$B,B115,Dados!$J:$J,$D$1,Dados!$I:$I,$G$4)</f>
        <v>0</v>
      </c>
      <c r="H115" s="64">
        <f>sumifs(Dados!$N:$N,Dados!$B:$B,B115,Dados!$J:$J,$D$1,Dados!$I:$I,$H$4)</f>
        <v>0</v>
      </c>
      <c r="I115" s="64">
        <f>sumifs(Dados!$N:$N,Dados!$B:$B,B115,Dados!$J:$J,$D$1,Dados!$I:$I,$I$4)</f>
        <v>0</v>
      </c>
      <c r="J115" s="64">
        <f>sumifs(Dados!$N:$N,Dados!$B:$B,B115,Dados!$J:$J,$D$1,Dados!$I:$I,$J$4)</f>
        <v>0</v>
      </c>
      <c r="K115" s="64">
        <f>sumifs(Dados!$N:$N,Dados!$B:$B,B115,Dados!$J:$J,$D$1,Dados!$I:$I,$K$4)</f>
        <v>0</v>
      </c>
      <c r="L115" s="64">
        <f>sumifs(Dados!$N:$N,Dados!$B:$B,B115,Dados!$J:$J,$D$1,Dados!$I:$I,$L$4)</f>
        <v>0</v>
      </c>
      <c r="M115" s="64">
        <f>sumifs(Dados!$N:$N,Dados!$B:$B,B115,Dados!$J:$J,$D$1,Dados!$I:$I,$M$4)</f>
        <v>0</v>
      </c>
      <c r="N115" s="64">
        <f>sumifs(Dados!$N:$N,Dados!$B:$B,B115,Dados!$J:$J,$D$1,Dados!$I:$I,$N$4)</f>
        <v>0</v>
      </c>
      <c r="O115" s="64">
        <f>sumifs(Dados!$N:$N,Dados!$B:$B,B115,Dados!$J:$J,$D$1,Dados!$I:$I,$O$4)</f>
        <v>0</v>
      </c>
      <c r="P115" s="64">
        <f>sumifs(Dados!$N:$N,Dados!$B:$B,B115,Dados!$J:$J,$D$1,Dados!$I:$I,$P$4)</f>
        <v>0</v>
      </c>
      <c r="Q115" s="64"/>
    </row>
    <row r="116" ht="15.75" customHeight="1">
      <c r="A116" s="88" t="s">
        <v>175</v>
      </c>
      <c r="B116" s="89">
        <f>sumifs(Dados!$N:$N,Dados!$A:$A,A116,Dados!$J:$J,$D$1)</f>
        <v>364.16</v>
      </c>
      <c r="C116" s="90">
        <f>B116-D116</f>
        <v>0</v>
      </c>
      <c r="D116" s="89">
        <f t="shared" ref="D116:P116" si="25">SUM(D109:D115)</f>
        <v>364.16</v>
      </c>
      <c r="E116" s="89">
        <f t="shared" si="25"/>
        <v>0</v>
      </c>
      <c r="F116" s="89">
        <f t="shared" si="25"/>
        <v>0</v>
      </c>
      <c r="G116" s="89">
        <f t="shared" si="25"/>
        <v>0</v>
      </c>
      <c r="H116" s="89">
        <f t="shared" si="25"/>
        <v>0</v>
      </c>
      <c r="I116" s="89">
        <f t="shared" si="25"/>
        <v>64.67</v>
      </c>
      <c r="J116" s="89">
        <f t="shared" si="25"/>
        <v>12.99</v>
      </c>
      <c r="K116" s="89">
        <f t="shared" si="25"/>
        <v>42.15</v>
      </c>
      <c r="L116" s="89">
        <f t="shared" si="25"/>
        <v>223.15</v>
      </c>
      <c r="M116" s="89">
        <f t="shared" si="25"/>
        <v>21.2</v>
      </c>
      <c r="N116" s="89">
        <f t="shared" si="25"/>
        <v>0</v>
      </c>
      <c r="O116" s="89">
        <f t="shared" si="25"/>
        <v>0</v>
      </c>
      <c r="P116" s="89">
        <f t="shared" si="25"/>
        <v>0</v>
      </c>
      <c r="Q116" s="89"/>
    </row>
    <row r="117" ht="15.75" customHeight="1">
      <c r="A117" s="58"/>
      <c r="B117" s="59" t="s">
        <v>301</v>
      </c>
      <c r="C117" s="60"/>
      <c r="D117" s="61">
        <f t="shared" ref="D117:D128" si="26">SUM(E117:P117)</f>
        <v>0</v>
      </c>
      <c r="E117" s="64">
        <f>sumifs(Dados!$N:$N,Dados!$B:$B,B117,Dados!$J:$J,$D$1,Dados!$I:$I,$E$4)</f>
        <v>0</v>
      </c>
      <c r="F117" s="64">
        <f>sumifs(Dados!$N:$N,Dados!$B:$B,B117,Dados!$J:$J,$D$1,Dados!$I:$I,$F$4)</f>
        <v>0</v>
      </c>
      <c r="G117" s="64">
        <f>sumifs(Dados!$N:$N,Dados!$B:$B,B117,Dados!$J:$J,$D$1,Dados!$I:$I,$G$4)</f>
        <v>0</v>
      </c>
      <c r="H117" s="64">
        <f>sumifs(Dados!$N:$N,Dados!$B:$B,B117,Dados!$J:$J,$D$1,Dados!$I:$I,$H$4)</f>
        <v>0</v>
      </c>
      <c r="I117" s="64">
        <f>sumifs(Dados!$N:$N,Dados!$B:$B,B117,Dados!$J:$J,$D$1,Dados!$I:$I,$I$4)</f>
        <v>0</v>
      </c>
      <c r="J117" s="64">
        <f>sumifs(Dados!$N:$N,Dados!$B:$B,B117,Dados!$J:$J,$D$1,Dados!$I:$I,$J$4)</f>
        <v>0</v>
      </c>
      <c r="K117" s="64">
        <f>sumifs(Dados!$N:$N,Dados!$B:$B,B117,Dados!$J:$J,$D$1,Dados!$I:$I,$K$4)</f>
        <v>0</v>
      </c>
      <c r="L117" s="64">
        <f>sumifs(Dados!$N:$N,Dados!$B:$B,B117,Dados!$J:$J,$D$1,Dados!$I:$I,$L$4)</f>
        <v>0</v>
      </c>
      <c r="M117" s="64">
        <f>sumifs(Dados!$N:$N,Dados!$B:$B,B117,Dados!$J:$J,$D$1,Dados!$I:$I,$M$4)</f>
        <v>0</v>
      </c>
      <c r="N117" s="64">
        <f>sumifs(Dados!$N:$N,Dados!$B:$B,B117,Dados!$J:$J,$D$1,Dados!$I:$I,$N$4)</f>
        <v>0</v>
      </c>
      <c r="O117" s="64">
        <f>sumifs(Dados!$N:$N,Dados!$B:$B,B117,Dados!$J:$J,$D$1,Dados!$I:$I,$O$4)</f>
        <v>0</v>
      </c>
      <c r="P117" s="64">
        <f>sumifs(Dados!$N:$N,Dados!$B:$B,B117,Dados!$J:$J,$D$1,Dados!$I:$I,$P$4)</f>
        <v>0</v>
      </c>
      <c r="Q117" s="64"/>
    </row>
    <row r="118" ht="15.75" customHeight="1">
      <c r="A118" s="58"/>
      <c r="B118" s="59" t="s">
        <v>302</v>
      </c>
      <c r="C118" s="60"/>
      <c r="D118" s="61">
        <f t="shared" si="26"/>
        <v>0</v>
      </c>
      <c r="E118" s="64">
        <f>sumifs(Dados!$N:$N,Dados!$B:$B,B118,Dados!$J:$J,$D$1,Dados!$I:$I,$E$4)</f>
        <v>0</v>
      </c>
      <c r="F118" s="64">
        <f>sumifs(Dados!$N:$N,Dados!$B:$B,B118,Dados!$J:$J,$D$1,Dados!$I:$I,$F$4)</f>
        <v>0</v>
      </c>
      <c r="G118" s="64">
        <f>sumifs(Dados!$N:$N,Dados!$B:$B,B118,Dados!$J:$J,$D$1,Dados!$I:$I,$G$4)</f>
        <v>0</v>
      </c>
      <c r="H118" s="64">
        <f>sumifs(Dados!$N:$N,Dados!$B:$B,B118,Dados!$J:$J,$D$1,Dados!$I:$I,$H$4)</f>
        <v>0</v>
      </c>
      <c r="I118" s="64">
        <f>sumifs(Dados!$N:$N,Dados!$B:$B,B118,Dados!$J:$J,$D$1,Dados!$I:$I,$I$4)</f>
        <v>0</v>
      </c>
      <c r="J118" s="64">
        <f>sumifs(Dados!$N:$N,Dados!$B:$B,B118,Dados!$J:$J,$D$1,Dados!$I:$I,$J$4)</f>
        <v>0</v>
      </c>
      <c r="K118" s="64">
        <f>sumifs(Dados!$N:$N,Dados!$B:$B,B118,Dados!$J:$J,$D$1,Dados!$I:$I,$K$4)</f>
        <v>0</v>
      </c>
      <c r="L118" s="64">
        <f>sumifs(Dados!$N:$N,Dados!$B:$B,B118,Dados!$J:$J,$D$1,Dados!$I:$I,$L$4)</f>
        <v>0</v>
      </c>
      <c r="M118" s="64">
        <f>sumifs(Dados!$N:$N,Dados!$B:$B,B118,Dados!$J:$J,$D$1,Dados!$I:$I,$M$4)</f>
        <v>0</v>
      </c>
      <c r="N118" s="64">
        <f>sumifs(Dados!$N:$N,Dados!$B:$B,B118,Dados!$J:$J,$D$1,Dados!$I:$I,$N$4)</f>
        <v>0</v>
      </c>
      <c r="O118" s="64">
        <f>sumifs(Dados!$N:$N,Dados!$B:$B,B118,Dados!$J:$J,$D$1,Dados!$I:$I,$O$4)</f>
        <v>0</v>
      </c>
      <c r="P118" s="64">
        <f>sumifs(Dados!$N:$N,Dados!$B:$B,B118,Dados!$J:$J,$D$1,Dados!$I:$I,$P$4)</f>
        <v>0</v>
      </c>
      <c r="Q118" s="64"/>
    </row>
    <row r="119" ht="15.75" customHeight="1">
      <c r="A119" s="58"/>
      <c r="B119" s="59" t="s">
        <v>303</v>
      </c>
      <c r="C119" s="60"/>
      <c r="D119" s="61">
        <f t="shared" si="26"/>
        <v>0</v>
      </c>
      <c r="E119" s="64">
        <f>sumifs(Dados!$N:$N,Dados!$B:$B,B119,Dados!$J:$J,$D$1,Dados!$I:$I,$E$4)</f>
        <v>0</v>
      </c>
      <c r="F119" s="64">
        <f>sumifs(Dados!$N:$N,Dados!$B:$B,B119,Dados!$J:$J,$D$1,Dados!$I:$I,$F$4)</f>
        <v>0</v>
      </c>
      <c r="G119" s="64">
        <f>sumifs(Dados!$N:$N,Dados!$B:$B,B119,Dados!$J:$J,$D$1,Dados!$I:$I,$G$4)</f>
        <v>0</v>
      </c>
      <c r="H119" s="64">
        <f>sumifs(Dados!$N:$N,Dados!$B:$B,B119,Dados!$J:$J,$D$1,Dados!$I:$I,$H$4)</f>
        <v>0</v>
      </c>
      <c r="I119" s="64">
        <f>sumifs(Dados!$N:$N,Dados!$B:$B,B119,Dados!$J:$J,$D$1,Dados!$I:$I,$I$4)</f>
        <v>0</v>
      </c>
      <c r="J119" s="64">
        <f>sumifs(Dados!$N:$N,Dados!$B:$B,B119,Dados!$J:$J,$D$1,Dados!$I:$I,$J$4)</f>
        <v>0</v>
      </c>
      <c r="K119" s="64">
        <f>sumifs(Dados!$N:$N,Dados!$B:$B,B119,Dados!$J:$J,$D$1,Dados!$I:$I,$K$4)</f>
        <v>0</v>
      </c>
      <c r="L119" s="64">
        <f>sumifs(Dados!$N:$N,Dados!$B:$B,B119,Dados!$J:$J,$D$1,Dados!$I:$I,$L$4)</f>
        <v>0</v>
      </c>
      <c r="M119" s="64">
        <f>sumifs(Dados!$N:$N,Dados!$B:$B,B119,Dados!$J:$J,$D$1,Dados!$I:$I,$M$4)</f>
        <v>0</v>
      </c>
      <c r="N119" s="64">
        <f>sumifs(Dados!$N:$N,Dados!$B:$B,B119,Dados!$J:$J,$D$1,Dados!$I:$I,$N$4)</f>
        <v>0</v>
      </c>
      <c r="O119" s="64">
        <f>sumifs(Dados!$N:$N,Dados!$B:$B,B119,Dados!$J:$J,$D$1,Dados!$I:$I,$O$4)</f>
        <v>0</v>
      </c>
      <c r="P119" s="64">
        <f>sumifs(Dados!$N:$N,Dados!$B:$B,B119,Dados!$J:$J,$D$1,Dados!$I:$I,$P$4)</f>
        <v>0</v>
      </c>
      <c r="Q119" s="64"/>
    </row>
    <row r="120" ht="15.75" customHeight="1">
      <c r="A120" s="74"/>
      <c r="B120" s="59" t="s">
        <v>154</v>
      </c>
      <c r="C120" s="60"/>
      <c r="D120" s="61">
        <f t="shared" si="26"/>
        <v>9743.2</v>
      </c>
      <c r="E120" s="64">
        <f>sumifs(Dados!$N:$N,Dados!$B:$B,$B$120,Dados!$J:$J,$D$1,Dados!$I:$I,E4)</f>
        <v>0</v>
      </c>
      <c r="F120" s="64">
        <f>sumifs(Dados!$N:$N,Dados!$B:$B,$B$120,Dados!$J:$J,$D$1,Dados!$I:$I,F4)</f>
        <v>0</v>
      </c>
      <c r="G120" s="64">
        <f>sumifs(Dados!$N:$N,Dados!$B:$B,$B$120,Dados!$J:$J,$D$1,Dados!$I:$I,G4)</f>
        <v>0</v>
      </c>
      <c r="H120" s="64">
        <f>sumifs(Dados!$N:$N,Dados!$B:$B,$B$120,Dados!$J:$J,$D$1,Dados!$I:$I,H4)</f>
        <v>0</v>
      </c>
      <c r="I120" s="64">
        <f>sumifs(Dados!$N:$N,Dados!$B:$B,$B$120,Dados!$J:$J,$D$1,Dados!$I:$I,I4)</f>
        <v>2410.8</v>
      </c>
      <c r="J120" s="64">
        <f>sumifs(Dados!$N:$N,Dados!$B:$B,$B$120,Dados!$J:$J,$D$1,Dados!$I:$I,J4)</f>
        <v>2410.8</v>
      </c>
      <c r="K120" s="64">
        <f>sumifs(Dados!$N:$N,Dados!$B:$B,$B$120,Dados!$J:$J,$D$1,Dados!$I:$I,K4)</f>
        <v>0</v>
      </c>
      <c r="L120" s="64">
        <f>sumifs(Dados!$N:$N,Dados!$B:$B,$B$120,Dados!$J:$J,$D$1,Dados!$I:$I,L4)</f>
        <v>2410.8</v>
      </c>
      <c r="M120" s="64">
        <f>sumifs(Dados!$N:$N,Dados!$B:$B,$B$120,Dados!$J:$J,$D$1,Dados!$I:$I,M4)</f>
        <v>2510.8</v>
      </c>
      <c r="N120" s="64">
        <f>sumifs(Dados!$N:$N,Dados!$B:$B,$B$120,Dados!$J:$J,$D$1,Dados!$I:$I,N4)</f>
        <v>0</v>
      </c>
      <c r="O120" s="64">
        <f>sumifs(Dados!$N:$N,Dados!$B:$B,$B$120,Dados!$J:$J,$D$1,Dados!$I:$I,O4)</f>
        <v>0</v>
      </c>
      <c r="P120" s="64">
        <f>sumifs(Dados!$N:$N,Dados!$B:$B,$B$120,Dados!$J:$J,$D$1,Dados!$I:$I,P4)</f>
        <v>0</v>
      </c>
      <c r="Q120" s="64"/>
    </row>
    <row r="121" ht="15.75" customHeight="1">
      <c r="A121" s="58"/>
      <c r="B121" s="59" t="s">
        <v>304</v>
      </c>
      <c r="C121" s="60"/>
      <c r="D121" s="61">
        <f t="shared" si="26"/>
        <v>0</v>
      </c>
      <c r="E121" s="64">
        <f>sumifs(Dados!$N:$N,Dados!$B:$B,B121,Dados!$J:$J,$D$1,Dados!$I:$I,$E$4)</f>
        <v>0</v>
      </c>
      <c r="F121" s="64">
        <f>sumifs(Dados!$N:$N,Dados!$B:$B,B121,Dados!$J:$J,$D$1,Dados!$I:$I,$F$4)</f>
        <v>0</v>
      </c>
      <c r="G121" s="64">
        <f>sumifs(Dados!$N:$N,Dados!$B:$B,B121,Dados!$J:$J,$D$1,Dados!$I:$I,$G$4)</f>
        <v>0</v>
      </c>
      <c r="H121" s="64">
        <f>sumifs(Dados!$N:$N,Dados!$B:$B,B121,Dados!$J:$J,$D$1,Dados!$I:$I,$H$4)</f>
        <v>0</v>
      </c>
      <c r="I121" s="64">
        <f>sumifs(Dados!$N:$N,Dados!$B:$B,B121,Dados!$J:$J,$D$1,Dados!$I:$I,$I$4)</f>
        <v>0</v>
      </c>
      <c r="J121" s="64">
        <f>sumifs(Dados!$N:$N,Dados!$B:$B,B121,Dados!$J:$J,$D$1,Dados!$I:$I,$J$4)</f>
        <v>0</v>
      </c>
      <c r="K121" s="64">
        <f>sumifs(Dados!$N:$N,Dados!$B:$B,B121,Dados!$J:$J,$D$1,Dados!$I:$I,$K$4)</f>
        <v>0</v>
      </c>
      <c r="L121" s="64">
        <f>sumifs(Dados!$N:$N,Dados!$B:$B,B121,Dados!$J:$J,$D$1,Dados!$I:$I,$L$4)</f>
        <v>0</v>
      </c>
      <c r="M121" s="64">
        <f>sumifs(Dados!$N:$N,Dados!$B:$B,B121,Dados!$J:$J,$D$1,Dados!$I:$I,$M$4)</f>
        <v>0</v>
      </c>
      <c r="N121" s="64">
        <f>sumifs(Dados!$N:$N,Dados!$B:$B,B121,Dados!$J:$J,$D$1,Dados!$I:$I,$N$4)</f>
        <v>0</v>
      </c>
      <c r="O121" s="64">
        <f>sumifs(Dados!$N:$N,Dados!$B:$B,B121,Dados!$J:$J,$D$1,Dados!$I:$I,$O$4)</f>
        <v>0</v>
      </c>
      <c r="P121" s="64">
        <f>sumifs(Dados!$N:$N,Dados!$B:$B,B121,Dados!$J:$J,$D$1,Dados!$I:$I,$P$4)</f>
        <v>0</v>
      </c>
      <c r="Q121" s="64"/>
    </row>
    <row r="122" ht="15.75" customHeight="1">
      <c r="A122" s="58"/>
      <c r="B122" s="59" t="s">
        <v>305</v>
      </c>
      <c r="C122" s="60"/>
      <c r="D122" s="61">
        <f t="shared" si="26"/>
        <v>0</v>
      </c>
      <c r="E122" s="64">
        <f>sumifs(Dados!$N:$N,Dados!$B:$B,B122,Dados!$J:$J,$D$1,Dados!$I:$I,$E$4)</f>
        <v>0</v>
      </c>
      <c r="F122" s="64">
        <f>sumifs(Dados!$N:$N,Dados!$B:$B,B122,Dados!$J:$J,$D$1,Dados!$I:$I,$F$4)</f>
        <v>0</v>
      </c>
      <c r="G122" s="64">
        <f>sumifs(Dados!$N:$N,Dados!$B:$B,B122,Dados!$J:$J,$D$1,Dados!$I:$I,$G$4)</f>
        <v>0</v>
      </c>
      <c r="H122" s="64">
        <f>sumifs(Dados!$N:$N,Dados!$B:$B,B122,Dados!$J:$J,$D$1,Dados!$I:$I,$H$4)</f>
        <v>0</v>
      </c>
      <c r="I122" s="64">
        <f>sumifs(Dados!$N:$N,Dados!$B:$B,B122,Dados!$J:$J,$D$1,Dados!$I:$I,$I$4)</f>
        <v>0</v>
      </c>
      <c r="J122" s="64">
        <f>sumifs(Dados!$N:$N,Dados!$B:$B,B122,Dados!$J:$J,$D$1,Dados!$I:$I,$J$4)</f>
        <v>0</v>
      </c>
      <c r="K122" s="64">
        <f>sumifs(Dados!$N:$N,Dados!$B:$B,B122,Dados!$J:$J,$D$1,Dados!$I:$I,$K$4)</f>
        <v>0</v>
      </c>
      <c r="L122" s="64">
        <f>sumifs(Dados!$N:$N,Dados!$B:$B,B122,Dados!$J:$J,$D$1,Dados!$I:$I,$L$4)</f>
        <v>0</v>
      </c>
      <c r="M122" s="64">
        <f>sumifs(Dados!$N:$N,Dados!$B:$B,B122,Dados!$J:$J,$D$1,Dados!$I:$I,$M$4)</f>
        <v>0</v>
      </c>
      <c r="N122" s="64">
        <f>sumifs(Dados!$N:$N,Dados!$B:$B,B122,Dados!$J:$J,$D$1,Dados!$I:$I,$N$4)</f>
        <v>0</v>
      </c>
      <c r="O122" s="64">
        <f>sumifs(Dados!$N:$N,Dados!$B:$B,B122,Dados!$J:$J,$D$1,Dados!$I:$I,$O$4)</f>
        <v>0</v>
      </c>
      <c r="P122" s="64">
        <f>sumifs(Dados!$N:$N,Dados!$B:$B,B122,Dados!$J:$J,$D$1,Dados!$I:$I,$P$4)</f>
        <v>0</v>
      </c>
      <c r="Q122" s="64"/>
    </row>
    <row r="123" ht="15.75" customHeight="1">
      <c r="A123" s="58"/>
      <c r="B123" s="59" t="s">
        <v>306</v>
      </c>
      <c r="C123" s="60"/>
      <c r="D123" s="61">
        <f t="shared" si="26"/>
        <v>0</v>
      </c>
      <c r="E123" s="64">
        <f>sumifs(Dados!$N:$N,Dados!$B:$B,$B$123,Dados!$J:$J,$D$1,Dados!$I:$I,E4)</f>
        <v>0</v>
      </c>
      <c r="F123" s="64">
        <f>sumifs(Dados!$N:$N,Dados!$B:$B,$B$123,Dados!$J:$J,$D$1,Dados!$I:$I,F4)</f>
        <v>0</v>
      </c>
      <c r="G123" s="64">
        <f>sumifs(Dados!$N:$N,Dados!$B:$B,$B$123,Dados!$J:$J,$D$1,Dados!$I:$I,G4)</f>
        <v>0</v>
      </c>
      <c r="H123" s="64">
        <f>sumifs(Dados!$N:$N,Dados!$B:$B,$B$123,Dados!$J:$J,$D$1,Dados!$I:$I,H4)</f>
        <v>0</v>
      </c>
      <c r="I123" s="64">
        <f>sumifs(Dados!$N:$N,Dados!$B:$B,$B$123,Dados!$J:$J,$D$1,Dados!$I:$I,I4)</f>
        <v>0</v>
      </c>
      <c r="J123" s="64">
        <f>sumifs(Dados!$N:$N,Dados!$B:$B,$B$123,Dados!$J:$J,$D$1,Dados!$I:$I,J4)</f>
        <v>0</v>
      </c>
      <c r="K123" s="64">
        <f>sumifs(Dados!$N:$N,Dados!$B:$B,$B$123,Dados!$J:$J,$D$1,Dados!$I:$I,K4)</f>
        <v>0</v>
      </c>
      <c r="L123" s="64">
        <f>sumifs(Dados!$N:$N,Dados!$B:$B,$B$123,Dados!$J:$J,$D$1,Dados!$I:$I,L4)</f>
        <v>0</v>
      </c>
      <c r="M123" s="64">
        <f>sumifs(Dados!$N:$N,Dados!$B:$B,$B$123,Dados!$J:$J,$D$1,Dados!$I:$I,M4)</f>
        <v>0</v>
      </c>
      <c r="N123" s="64">
        <f>sumifs(Dados!$N:$N,Dados!$B:$B,$B$123,Dados!$J:$J,$D$1,Dados!$I:$I,N4)</f>
        <v>0</v>
      </c>
      <c r="O123" s="64">
        <f>sumifs(Dados!$N:$N,Dados!$B:$B,$B$123,Dados!$J:$J,$D$1,Dados!$I:$I,O4)</f>
        <v>0</v>
      </c>
      <c r="P123" s="64">
        <f>sumifs(Dados!$N:$N,Dados!$B:$B,$B$123,Dados!$J:$J,$D$1,Dados!$I:$I,P4)</f>
        <v>0</v>
      </c>
      <c r="Q123" s="64"/>
    </row>
    <row r="124" ht="15.75" customHeight="1">
      <c r="A124" s="58"/>
      <c r="B124" s="59" t="s">
        <v>307</v>
      </c>
      <c r="C124" s="60"/>
      <c r="D124" s="61">
        <f t="shared" si="26"/>
        <v>0</v>
      </c>
      <c r="E124" s="64">
        <f>sumifs(Dados!$N:$N,Dados!$B:$B,B124,Dados!$J:$J,$D$1,Dados!$I:$I,$E$4)</f>
        <v>0</v>
      </c>
      <c r="F124" s="64">
        <f>sumifs(Dados!$N:$N,Dados!$B:$B,B124,Dados!$J:$J,$D$1,Dados!$I:$I,$F$4)</f>
        <v>0</v>
      </c>
      <c r="G124" s="64">
        <f>sumifs(Dados!$N:$N,Dados!$B:$B,B124,Dados!$J:$J,$D$1,Dados!$I:$I,$G$4)</f>
        <v>0</v>
      </c>
      <c r="H124" s="64">
        <f>sumifs(Dados!$N:$N,Dados!$B:$B,B124,Dados!$J:$J,$D$1,Dados!$I:$I,$H$4)</f>
        <v>0</v>
      </c>
      <c r="I124" s="64">
        <f>sumifs(Dados!$N:$N,Dados!$B:$B,B124,Dados!$J:$J,$D$1,Dados!$I:$I,$I$4)</f>
        <v>0</v>
      </c>
      <c r="J124" s="64">
        <f>sumifs(Dados!$N:$N,Dados!$B:$B,B124,Dados!$J:$J,$D$1,Dados!$I:$I,$J$4)</f>
        <v>0</v>
      </c>
      <c r="K124" s="64">
        <f>sumifs(Dados!$N:$N,Dados!$B:$B,B124,Dados!$J:$J,$D$1,Dados!$I:$I,$K$4)</f>
        <v>0</v>
      </c>
      <c r="L124" s="64">
        <f>sumifs(Dados!$N:$N,Dados!$B:$B,B124,Dados!$J:$J,$D$1,Dados!$I:$I,$L$4)</f>
        <v>0</v>
      </c>
      <c r="M124" s="64">
        <f>sumifs(Dados!$N:$N,Dados!$B:$B,B124,Dados!$J:$J,$D$1,Dados!$I:$I,$M$4)</f>
        <v>0</v>
      </c>
      <c r="N124" s="64">
        <f>sumifs(Dados!$N:$N,Dados!$B:$B,B124,Dados!$J:$J,$D$1,Dados!$I:$I,$N$4)</f>
        <v>0</v>
      </c>
      <c r="O124" s="64">
        <f>sumifs(Dados!$N:$N,Dados!$B:$B,B124,Dados!$J:$J,$D$1,Dados!$I:$I,$O$4)</f>
        <v>0</v>
      </c>
      <c r="P124" s="64">
        <f>sumifs(Dados!$N:$N,Dados!$B:$B,B124,Dados!$J:$J,$D$1,Dados!$I:$I,$P$4)</f>
        <v>0</v>
      </c>
      <c r="Q124" s="64"/>
    </row>
    <row r="125" ht="15.75" customHeight="1">
      <c r="A125" s="58"/>
      <c r="B125" s="59" t="s">
        <v>308</v>
      </c>
      <c r="C125" s="60"/>
      <c r="D125" s="61">
        <f t="shared" si="26"/>
        <v>0</v>
      </c>
      <c r="E125" s="64">
        <f>sumifs(Dados!$N:$N,Dados!$B:$B,B125,Dados!$J:$J,$D$1,Dados!$I:$I,$E$4)</f>
        <v>0</v>
      </c>
      <c r="F125" s="64">
        <f>sumifs(Dados!$N:$N,Dados!$B:$B,B125,Dados!$J:$J,$D$1,Dados!$I:$I,$F$4)</f>
        <v>0</v>
      </c>
      <c r="G125" s="64">
        <f>sumifs(Dados!$N:$N,Dados!$B:$B,B125,Dados!$J:$J,$D$1,Dados!$I:$I,$G$4)</f>
        <v>0</v>
      </c>
      <c r="H125" s="64">
        <f>sumifs(Dados!$N:$N,Dados!$B:$B,B125,Dados!$J:$J,$D$1,Dados!$I:$I,$H$4)</f>
        <v>0</v>
      </c>
      <c r="I125" s="64">
        <f>sumifs(Dados!$N:$N,Dados!$B:$B,B125,Dados!$J:$J,$D$1,Dados!$I:$I,$I$4)</f>
        <v>0</v>
      </c>
      <c r="J125" s="64">
        <f>sumifs(Dados!$N:$N,Dados!$B:$B,B125,Dados!$J:$J,$D$1,Dados!$I:$I,$J$4)</f>
        <v>0</v>
      </c>
      <c r="K125" s="64">
        <f>sumifs(Dados!$N:$N,Dados!$B:$B,B125,Dados!$J:$J,$D$1,Dados!$I:$I,$K$4)</f>
        <v>0</v>
      </c>
      <c r="L125" s="64">
        <f>sumifs(Dados!$N:$N,Dados!$B:$B,B125,Dados!$J:$J,$D$1,Dados!$I:$I,$L$4)</f>
        <v>0</v>
      </c>
      <c r="M125" s="64">
        <f>sumifs(Dados!$N:$N,Dados!$B:$B,B125,Dados!$J:$J,$D$1,Dados!$I:$I,$M$4)</f>
        <v>0</v>
      </c>
      <c r="N125" s="64">
        <f>sumifs(Dados!$N:$N,Dados!$B:$B,B125,Dados!$J:$J,$D$1,Dados!$I:$I,$N$4)</f>
        <v>0</v>
      </c>
      <c r="O125" s="64">
        <f>sumifs(Dados!$N:$N,Dados!$B:$B,B125,Dados!$J:$J,$D$1,Dados!$I:$I,$O$4)</f>
        <v>0</v>
      </c>
      <c r="P125" s="64">
        <f>sumifs(Dados!$N:$N,Dados!$B:$B,B125,Dados!$J:$J,$D$1,Dados!$I:$I,$P$4)</f>
        <v>0</v>
      </c>
      <c r="Q125" s="64"/>
    </row>
    <row r="126" ht="15.75" customHeight="1">
      <c r="A126" s="58"/>
      <c r="B126" s="59" t="s">
        <v>309</v>
      </c>
      <c r="C126" s="60"/>
      <c r="D126" s="61">
        <f t="shared" si="26"/>
        <v>4977.5</v>
      </c>
      <c r="E126" s="64">
        <f>sumifs(Dados!$N:$N,Dados!$B:$B,$B$126,Dados!$J:$J,$D$1,Dados!$I:$I,E4)</f>
        <v>0</v>
      </c>
      <c r="F126" s="64">
        <f>sumifs(Dados!$N:$N,Dados!$B:$B,$B$126,Dados!$J:$J,$D$1,Dados!$I:$I,F4)</f>
        <v>0</v>
      </c>
      <c r="G126" s="64">
        <f>sumifs(Dados!$N:$N,Dados!$B:$B,$B$126,Dados!$J:$J,$D$1,Dados!$I:$I,G4)</f>
        <v>0</v>
      </c>
      <c r="H126" s="64">
        <f>sumifs(Dados!$N:$N,Dados!$B:$B,$B$126,Dados!$J:$J,$D$1,Dados!$I:$I,H4)</f>
        <v>0</v>
      </c>
      <c r="I126" s="64">
        <f>sumifs(Dados!$N:$N,Dados!$B:$B,$B$126,Dados!$J:$J,$D$1,Dados!$I:$I,I4)</f>
        <v>1002.5</v>
      </c>
      <c r="J126" s="64">
        <f>sumifs(Dados!$N:$N,Dados!$B:$B,$B$126,Dados!$J:$J,$D$1,Dados!$I:$I,J4)</f>
        <v>0</v>
      </c>
      <c r="K126" s="64">
        <f>sumifs(Dados!$N:$N,Dados!$B:$B,$B$126,Dados!$J:$J,$D$1,Dados!$I:$I,K4)</f>
        <v>0</v>
      </c>
      <c r="L126" s="64">
        <f>sumifs(Dados!$N:$N,Dados!$B:$B,$B$126,Dados!$J:$J,$D$1,Dados!$I:$I,L4)</f>
        <v>1900</v>
      </c>
      <c r="M126" s="64">
        <f>sumifs(Dados!$N:$N,Dados!$B:$B,$B$126,Dados!$J:$J,$D$1,Dados!$I:$I,M4)</f>
        <v>2075</v>
      </c>
      <c r="N126" s="64">
        <f>sumifs(Dados!$N:$N,Dados!$B:$B,$B$126,Dados!$J:$J,$D$1,Dados!$I:$I,N4)</f>
        <v>0</v>
      </c>
      <c r="O126" s="64">
        <f>sumifs(Dados!$N:$N,Dados!$B:$B,$B$126,Dados!$J:$J,$D$1,Dados!$I:$I,O4)</f>
        <v>0</v>
      </c>
      <c r="P126" s="64">
        <f>sumifs(Dados!$N:$N,Dados!$B:$B,$B$126,Dados!$J:$J,$D$1,Dados!$I:$I,P4)</f>
        <v>0</v>
      </c>
      <c r="Q126" s="64"/>
    </row>
    <row r="127" ht="15.75" customHeight="1">
      <c r="A127" s="58"/>
      <c r="B127" s="59" t="s">
        <v>310</v>
      </c>
      <c r="C127" s="60"/>
      <c r="D127" s="61">
        <f t="shared" si="26"/>
        <v>7595</v>
      </c>
      <c r="E127" s="64">
        <f>sumifs(Dados!$N:$N,Dados!$B:$B,B127,Dados!$J:$J,$D$1,Dados!$I:$I,$E$4)</f>
        <v>0</v>
      </c>
      <c r="F127" s="64">
        <f>sumifs(Dados!$N:$N,Dados!$B:$B,B127,Dados!$J:$J,$D$1,Dados!$I:$I,$F$4)</f>
        <v>0</v>
      </c>
      <c r="G127" s="64">
        <f>sumifs(Dados!$N:$N,Dados!$B:$B,B127,Dados!$J:$J,$D$1,Dados!$I:$I,$G$4)</f>
        <v>0</v>
      </c>
      <c r="H127" s="64">
        <f>sumifs(Dados!$N:$N,Dados!$B:$B,B127,Dados!$J:$J,$D$1,Dados!$I:$I,$H$4)</f>
        <v>0</v>
      </c>
      <c r="I127" s="64">
        <f>sumifs(Dados!$N:$N,Dados!$B:$B,B127,Dados!$J:$J,$D$1,Dados!$I:$I,$I$4)</f>
        <v>1000</v>
      </c>
      <c r="J127" s="64">
        <f>sumifs(Dados!$N:$N,Dados!$B:$B,B127,Dados!$J:$J,$D$1,Dados!$I:$I,$J$4)</f>
        <v>1800</v>
      </c>
      <c r="K127" s="64">
        <f>sumifs(Dados!$N:$N,Dados!$B:$B,B127,Dados!$J:$J,$D$1,Dados!$I:$I,$K$4)</f>
        <v>1975</v>
      </c>
      <c r="L127" s="64">
        <f>sumifs(Dados!$N:$N,Dados!$B:$B,B127,Dados!$J:$J,$D$1,Dados!$I:$I,$L$4)</f>
        <v>1420</v>
      </c>
      <c r="M127" s="64">
        <f>sumifs(Dados!$N:$N,Dados!$B:$B,B127,Dados!$J:$J,$D$1,Dados!$I:$I,$M$4)</f>
        <v>1400</v>
      </c>
      <c r="N127" s="64">
        <f>sumifs(Dados!$N:$N,Dados!$B:$B,B127,Dados!$J:$J,$D$1,Dados!$I:$I,$N$4)</f>
        <v>0</v>
      </c>
      <c r="O127" s="64">
        <f>sumifs(Dados!$N:$N,Dados!$B:$B,B127,Dados!$J:$J,$D$1,Dados!$I:$I,$O$4)</f>
        <v>0</v>
      </c>
      <c r="P127" s="64">
        <f>sumifs(Dados!$N:$N,Dados!$B:$B,B127,Dados!$J:$J,$D$1,Dados!$I:$I,$P$4)</f>
        <v>0</v>
      </c>
      <c r="Q127" s="64"/>
    </row>
    <row r="128" ht="15.75" customHeight="1">
      <c r="A128" s="58"/>
      <c r="B128" s="59" t="s">
        <v>311</v>
      </c>
      <c r="C128" s="60"/>
      <c r="D128" s="61">
        <f t="shared" si="26"/>
        <v>18400.65</v>
      </c>
      <c r="E128" s="64">
        <f>sumifs(Dados!$N:$N,Dados!$B:$B,B128,Dados!$J:$J,$D$1,Dados!$I:$I,$E$4)</f>
        <v>0</v>
      </c>
      <c r="F128" s="64">
        <f>sumifs(Dados!$N:$N,Dados!$B:$B,B128,Dados!$J:$J,$D$1,Dados!$I:$I,$F$4)</f>
        <v>0</v>
      </c>
      <c r="G128" s="64">
        <f>sumifs(Dados!$N:$N,Dados!$B:$B,B128,Dados!$J:$J,$D$1,Dados!$I:$I,$G$4)</f>
        <v>0</v>
      </c>
      <c r="H128" s="64">
        <f>sumifs(Dados!$N:$N,Dados!$B:$B,B128,Dados!$J:$J,$D$1,Dados!$I:$I,$H$4)</f>
        <v>0</v>
      </c>
      <c r="I128" s="64">
        <f>sumifs(Dados!$N:$N,Dados!$B:$B,B128,Dados!$J:$J,$D$1,Dados!$I:$I,$I$4)</f>
        <v>2770.27</v>
      </c>
      <c r="J128" s="64">
        <f>sumifs(Dados!$N:$N,Dados!$B:$B,B128,Dados!$J:$J,$D$1,Dados!$I:$I,$J$4)</f>
        <v>4259.58</v>
      </c>
      <c r="K128" s="64">
        <f>sumifs(Dados!$N:$N,Dados!$B:$B,B128,Dados!$J:$J,$D$1,Dados!$I:$I,$K$4)</f>
        <v>6690.8</v>
      </c>
      <c r="L128" s="64">
        <f>sumifs(Dados!$N:$N,Dados!$B:$B,B128,Dados!$J:$J,$D$1,Dados!$I:$I,$L$4)</f>
        <v>2400</v>
      </c>
      <c r="M128" s="64">
        <f>sumifs(Dados!$N:$N,Dados!$B:$B,B128,Dados!$J:$J,$D$1,Dados!$I:$I,$M$4)</f>
        <v>2280</v>
      </c>
      <c r="N128" s="64">
        <f>sumifs(Dados!$N:$N,Dados!$B:$B,B128,Dados!$J:$J,$D$1,Dados!$I:$I,$N$4)</f>
        <v>0</v>
      </c>
      <c r="O128" s="64">
        <f>sumifs(Dados!$N:$N,Dados!$B:$B,B128,Dados!$J:$J,$D$1,Dados!$I:$I,$O$4)</f>
        <v>0</v>
      </c>
      <c r="P128" s="64">
        <f>sumifs(Dados!$N:$N,Dados!$B:$B,B128,Dados!$J:$J,$D$1,Dados!$I:$I,$P$4)</f>
        <v>0</v>
      </c>
      <c r="Q128" s="64"/>
    </row>
    <row r="129" ht="15.75" customHeight="1">
      <c r="A129" s="88" t="s">
        <v>178</v>
      </c>
      <c r="B129" s="89">
        <f>sumifs(Dados!$N:$N,Dados!$A:$A,A129,Dados!$H:$H,$D$1)</f>
        <v>40716.35</v>
      </c>
      <c r="C129" s="90">
        <f>B129-D129</f>
        <v>0</v>
      </c>
      <c r="D129" s="89">
        <f t="shared" ref="D129:P129" si="27">SUM(D117:D128)</f>
        <v>40716.35</v>
      </c>
      <c r="E129" s="89">
        <f t="shared" si="27"/>
        <v>0</v>
      </c>
      <c r="F129" s="89">
        <f t="shared" si="27"/>
        <v>0</v>
      </c>
      <c r="G129" s="89">
        <f t="shared" si="27"/>
        <v>0</v>
      </c>
      <c r="H129" s="89">
        <f t="shared" si="27"/>
        <v>0</v>
      </c>
      <c r="I129" s="89">
        <f t="shared" si="27"/>
        <v>7183.57</v>
      </c>
      <c r="J129" s="89">
        <f t="shared" si="27"/>
        <v>8470.38</v>
      </c>
      <c r="K129" s="89">
        <f t="shared" si="27"/>
        <v>8665.8</v>
      </c>
      <c r="L129" s="89">
        <f t="shared" si="27"/>
        <v>8130.8</v>
      </c>
      <c r="M129" s="89">
        <f t="shared" si="27"/>
        <v>8265.8</v>
      </c>
      <c r="N129" s="89">
        <f t="shared" si="27"/>
        <v>0</v>
      </c>
      <c r="O129" s="89">
        <f t="shared" si="27"/>
        <v>0</v>
      </c>
      <c r="P129" s="89">
        <f t="shared" si="27"/>
        <v>0</v>
      </c>
      <c r="Q129" s="89"/>
    </row>
    <row r="130" ht="15.75" customHeight="1">
      <c r="A130" s="58"/>
      <c r="B130" s="58" t="s">
        <v>312</v>
      </c>
      <c r="C130" s="60"/>
      <c r="D130" s="61">
        <f t="shared" ref="D130:D135" si="28">SUM(E130:P130)</f>
        <v>0</v>
      </c>
      <c r="E130" s="64">
        <f>sumifs(Dados!$N:$N,Dados!$B:$B,B130,Dados!$J:$J,$D$1,Dados!$I:$I,$E$4)</f>
        <v>0</v>
      </c>
      <c r="F130" s="64">
        <f>sumifs(Dados!$N:$N,Dados!$B:$B,B130,Dados!$J:$J,$D$1,Dados!$I:$I,$F$4)</f>
        <v>0</v>
      </c>
      <c r="G130" s="64">
        <f>sumifs(Dados!$N:$N,Dados!$B:$B,B130,Dados!$J:$J,$D$1,Dados!$I:$I,$G$4)</f>
        <v>0</v>
      </c>
      <c r="H130" s="64">
        <f>sumifs(Dados!$N:$N,Dados!$B:$B,B130,Dados!$J:$J,$D$1,Dados!$I:$I,$H$4)</f>
        <v>0</v>
      </c>
      <c r="I130" s="64">
        <f>sumifs(Dados!$N:$N,Dados!$B:$B,B130,Dados!$J:$J,$D$1,Dados!$I:$I,$I$4)</f>
        <v>0</v>
      </c>
      <c r="J130" s="64">
        <f>sumifs(Dados!$N:$N,Dados!$B:$B,B130,Dados!$J:$J,$D$1,Dados!$I:$I,$J$4)</f>
        <v>0</v>
      </c>
      <c r="K130" s="64">
        <f>sumifs(Dados!$N:$N,Dados!$B:$B,B130,Dados!$J:$J,$D$1,Dados!$I:$I,$K$4)</f>
        <v>0</v>
      </c>
      <c r="L130" s="64">
        <f>sumifs(Dados!$N:$N,Dados!$B:$B,B130,Dados!$J:$J,$D$1,Dados!$I:$I,$L$4)</f>
        <v>0</v>
      </c>
      <c r="M130" s="64">
        <f>sumifs(Dados!$N:$N,Dados!$B:$B,B130,Dados!$J:$J,$D$1,Dados!$I:$I,$M$4)</f>
        <v>0</v>
      </c>
      <c r="N130" s="64">
        <f>sumifs(Dados!$N:$N,Dados!$B:$B,B130,Dados!$J:$J,$D$1,Dados!$I:$I,$N$4)</f>
        <v>0</v>
      </c>
      <c r="O130" s="64">
        <f>sumifs(Dados!$N:$N,Dados!$B:$B,B130,Dados!$J:$J,$D$1,Dados!$I:$I,$O$4)</f>
        <v>0</v>
      </c>
      <c r="P130" s="64">
        <f>sumifs(Dados!$N:$N,Dados!$B:$B,B130,Dados!$J:$J,$D$1,Dados!$I:$I,$P$4)</f>
        <v>0</v>
      </c>
      <c r="Q130" s="64"/>
    </row>
    <row r="131" ht="15.75" customHeight="1">
      <c r="A131" s="58"/>
      <c r="B131" s="58" t="s">
        <v>47</v>
      </c>
      <c r="C131" s="60"/>
      <c r="D131" s="61">
        <f t="shared" si="28"/>
        <v>51.59</v>
      </c>
      <c r="E131" s="64">
        <f>sumifs(Dados!$N:$N,Dados!$B:$B,B131,Dados!$J:$J,$D$1,Dados!$I:$I,$E$4)</f>
        <v>0</v>
      </c>
      <c r="F131" s="64">
        <f>sumifs(Dados!$N:$N,Dados!$B:$B,B131,Dados!$J:$J,$D$1,Dados!$I:$I,$F$4)</f>
        <v>0</v>
      </c>
      <c r="G131" s="64">
        <f>sumifs(Dados!$N:$N,Dados!$B:$B,B131,Dados!$J:$J,$D$1,Dados!$I:$I,$G$4)</f>
        <v>34.66</v>
      </c>
      <c r="H131" s="64">
        <f>sumifs(Dados!$N:$N,Dados!$B:$B,B131,Dados!$J:$J,$D$1,Dados!$I:$I,$H$4)</f>
        <v>0</v>
      </c>
      <c r="I131" s="64">
        <f>sumifs(Dados!$N:$N,Dados!$B:$B,B131,Dados!$J:$J,$D$1,Dados!$I:$I,$I$4)</f>
        <v>0</v>
      </c>
      <c r="J131" s="64">
        <f>sumifs(Dados!$N:$N,Dados!$B:$B,B131,Dados!$J:$J,$D$1,Dados!$I:$I,$J$4)</f>
        <v>0</v>
      </c>
      <c r="K131" s="64">
        <f>sumifs(Dados!$N:$N,Dados!$B:$B,B131,Dados!$J:$J,$D$1,Dados!$I:$I,$K$4)</f>
        <v>13</v>
      </c>
      <c r="L131" s="64">
        <f>sumifs(Dados!$N:$N,Dados!$B:$B,B131,Dados!$J:$J,$D$1,Dados!$I:$I,$L$4)</f>
        <v>3.93</v>
      </c>
      <c r="M131" s="64">
        <f>sumifs(Dados!$N:$N,Dados!$B:$B,B131,Dados!$J:$J,$D$1,Dados!$I:$I,$M$4)</f>
        <v>0</v>
      </c>
      <c r="N131" s="64">
        <f>sumifs(Dados!$N:$N,Dados!$B:$B,B131,Dados!$J:$J,$D$1,Dados!$I:$I,$N$4)</f>
        <v>0</v>
      </c>
      <c r="O131" s="64">
        <f>sumifs(Dados!$N:$N,Dados!$B:$B,B131,Dados!$J:$J,$D$1,Dados!$I:$I,$O$4)</f>
        <v>0</v>
      </c>
      <c r="P131" s="64">
        <f>sumifs(Dados!$N:$N,Dados!$B:$B,B131,Dados!$J:$J,$D$1,Dados!$I:$I,$P$4)</f>
        <v>0</v>
      </c>
      <c r="Q131" s="64"/>
    </row>
    <row r="132" ht="15.75" customHeight="1">
      <c r="A132" s="88" t="s">
        <v>177</v>
      </c>
      <c r="B132" s="89">
        <f>sumifs(Dados!$N:$N,Dados!$A:$A,A132,Dados!$H:$H,$D$1)</f>
        <v>51.59</v>
      </c>
      <c r="C132" s="90">
        <f>B132-D132</f>
        <v>0</v>
      </c>
      <c r="D132" s="89">
        <f t="shared" si="28"/>
        <v>51.59</v>
      </c>
      <c r="E132" s="89">
        <f t="shared" ref="E132:P132" si="29">SUM(E130:E131)</f>
        <v>0</v>
      </c>
      <c r="F132" s="89">
        <f t="shared" si="29"/>
        <v>0</v>
      </c>
      <c r="G132" s="89">
        <f t="shared" si="29"/>
        <v>34.66</v>
      </c>
      <c r="H132" s="89">
        <f t="shared" si="29"/>
        <v>0</v>
      </c>
      <c r="I132" s="89">
        <f t="shared" si="29"/>
        <v>0</v>
      </c>
      <c r="J132" s="89">
        <f t="shared" si="29"/>
        <v>0</v>
      </c>
      <c r="K132" s="89">
        <f t="shared" si="29"/>
        <v>13</v>
      </c>
      <c r="L132" s="89">
        <f t="shared" si="29"/>
        <v>3.93</v>
      </c>
      <c r="M132" s="89">
        <f t="shared" si="29"/>
        <v>0</v>
      </c>
      <c r="N132" s="89">
        <f t="shared" si="29"/>
        <v>0</v>
      </c>
      <c r="O132" s="89">
        <f t="shared" si="29"/>
        <v>0</v>
      </c>
      <c r="P132" s="89">
        <f t="shared" si="29"/>
        <v>0</v>
      </c>
      <c r="Q132" s="89"/>
    </row>
    <row r="133" ht="15.75" customHeight="1">
      <c r="A133" s="58"/>
      <c r="B133" s="58" t="s">
        <v>313</v>
      </c>
      <c r="C133" s="60"/>
      <c r="D133" s="61">
        <f t="shared" si="28"/>
        <v>43.5</v>
      </c>
      <c r="E133" s="64">
        <f>sumifs(Dados!$N:$N,Dados!$B:$B,B133,Dados!$J:$J,$D$1,Dados!$I:$I,$E$4)</f>
        <v>0</v>
      </c>
      <c r="F133" s="64">
        <f>sumifs(Dados!$N:$N,Dados!$B:$B,B133,Dados!$J:$J,$D$1,Dados!$I:$I,$F$4)</f>
        <v>0</v>
      </c>
      <c r="G133" s="64">
        <f>sumifs(Dados!$N:$N,Dados!$B:$B,B133,Dados!$J:$J,$D$1,Dados!$I:$I,$G$4)</f>
        <v>0</v>
      </c>
      <c r="H133" s="64">
        <f>sumifs(Dados!$N:$N,Dados!$B:$B,B133,Dados!$J:$J,$D$1,Dados!$I:$I,$H$4)</f>
        <v>0</v>
      </c>
      <c r="I133" s="64">
        <f>sumifs(Dados!$N:$N,Dados!$B:$B,B133,Dados!$J:$J,$D$1,Dados!$I:$I,$I$4)</f>
        <v>0</v>
      </c>
      <c r="J133" s="64">
        <f>sumifs(Dados!$N:$N,Dados!$B:$B,B133,Dados!$J:$J,$D$1,Dados!$I:$I,$J$4)</f>
        <v>5</v>
      </c>
      <c r="K133" s="64">
        <f>sumifs(Dados!$N:$N,Dados!$B:$B,B133,Dados!$J:$J,$D$1,Dados!$I:$I,$K$4)</f>
        <v>3.5</v>
      </c>
      <c r="L133" s="64">
        <f>sumifs(Dados!$N:$N,Dados!$B:$B,B133,Dados!$J:$J,$D$1,Dados!$I:$I,$L$4)</f>
        <v>35</v>
      </c>
      <c r="M133" s="64">
        <f>sumifs(Dados!$N:$N,Dados!$B:$B,B133,Dados!$J:$J,$D$1,Dados!$I:$I,$M$4)</f>
        <v>0</v>
      </c>
      <c r="N133" s="64">
        <f>sumifs(Dados!$N:$N,Dados!$B:$B,B133,Dados!$J:$J,$D$1,Dados!$I:$I,$N$4)</f>
        <v>0</v>
      </c>
      <c r="O133" s="64">
        <f>sumifs(Dados!$N:$N,Dados!$B:$B,B133,Dados!$J:$J,$D$1,Dados!$I:$I,$O$4)</f>
        <v>0</v>
      </c>
      <c r="P133" s="64">
        <f>sumifs(Dados!$N:$N,Dados!$B:$B,B133,Dados!$J:$J,$D$1,Dados!$I:$I,$P$4)</f>
        <v>0</v>
      </c>
      <c r="Q133" s="64"/>
    </row>
    <row r="134" ht="15.75" customHeight="1">
      <c r="A134" s="58"/>
      <c r="B134" s="58" t="s">
        <v>314</v>
      </c>
      <c r="C134" s="60"/>
      <c r="D134" s="61">
        <f t="shared" si="28"/>
        <v>124.88</v>
      </c>
      <c r="E134" s="64">
        <f>sumifs(Dados!$N:$N,Dados!$B:$B,B134,Dados!$J:$J,$D$1,Dados!$I:$I,$E$4)</f>
        <v>0</v>
      </c>
      <c r="F134" s="64">
        <f>sumifs(Dados!$N:$N,Dados!$B:$B,B134,Dados!$J:$J,$D$1,Dados!$I:$I,$F$4)</f>
        <v>0</v>
      </c>
      <c r="G134" s="64">
        <f>sumifs(Dados!$N:$N,Dados!$B:$B,B134,Dados!$J:$J,$D$1,Dados!$I:$I,$G$4)</f>
        <v>0</v>
      </c>
      <c r="H134" s="64">
        <f>sumifs(Dados!$N:$N,Dados!$B:$B,B134,Dados!$J:$J,$D$1,Dados!$I:$I,$H$4)</f>
        <v>0</v>
      </c>
      <c r="I134" s="64">
        <f>sumifs(Dados!$N:$N,Dados!$B:$B,B134,Dados!$J:$J,$D$1,Dados!$I:$I,$I$4)</f>
        <v>70</v>
      </c>
      <c r="J134" s="64">
        <f>sumifs(Dados!$N:$N,Dados!$B:$B,B134,Dados!$J:$J,$D$1,Dados!$I:$I,$J$4)</f>
        <v>31.16</v>
      </c>
      <c r="K134" s="64">
        <f>sumifs(Dados!$N:$N,Dados!$B:$B,B134,Dados!$J:$J,$D$1,Dados!$I:$I,$K$4)</f>
        <v>2</v>
      </c>
      <c r="L134" s="64">
        <f>sumifs(Dados!$N:$N,Dados!$B:$B,B134,Dados!$J:$J,$D$1,Dados!$I:$I,$L$4)</f>
        <v>0</v>
      </c>
      <c r="M134" s="64">
        <f>sumifs(Dados!$N:$N,Dados!$B:$B,B134,Dados!$J:$J,$D$1,Dados!$I:$I,$M$4)</f>
        <v>21.72</v>
      </c>
      <c r="N134" s="64">
        <f>sumifs(Dados!$N:$N,Dados!$B:$B,B134,Dados!$J:$J,$D$1,Dados!$I:$I,$N$4)</f>
        <v>0</v>
      </c>
      <c r="O134" s="64">
        <f>sumifs(Dados!$N:$N,Dados!$B:$B,B134,Dados!$J:$J,$D$1,Dados!$I:$I,$O$4)</f>
        <v>0</v>
      </c>
      <c r="P134" s="64">
        <f>sumifs(Dados!$N:$N,Dados!$B:$B,B134,Dados!$J:$J,$D$1,Dados!$I:$I,$P$4)</f>
        <v>0</v>
      </c>
      <c r="Q134" s="64"/>
    </row>
    <row r="135" ht="15.75" customHeight="1">
      <c r="A135" s="58"/>
      <c r="B135" s="58" t="s">
        <v>315</v>
      </c>
      <c r="C135" s="60"/>
      <c r="D135" s="61">
        <f t="shared" si="28"/>
        <v>54</v>
      </c>
      <c r="E135" s="64">
        <f>sumifs(Dados!$N:$N,Dados!$B:$B,B135,Dados!$J:$J,$D$1,Dados!$I:$I,$E$4)</f>
        <v>0</v>
      </c>
      <c r="F135" s="64">
        <f>sumifs(Dados!$N:$N,Dados!$B:$B,B135,Dados!$J:$J,$D$1,Dados!$I:$I,$F$4)</f>
        <v>0</v>
      </c>
      <c r="G135" s="64">
        <f>sumifs(Dados!$N:$N,Dados!$B:$B,B135,Dados!$J:$J,$D$1,Dados!$I:$I,$G$4)</f>
        <v>0</v>
      </c>
      <c r="H135" s="64">
        <f>sumifs(Dados!$N:$N,Dados!$B:$B,B135,Dados!$J:$J,$D$1,Dados!$I:$I,$H$4)</f>
        <v>0</v>
      </c>
      <c r="I135" s="64">
        <f>sumifs(Dados!$N:$N,Dados!$B:$B,B135,Dados!$J:$J,$D$1,Dados!$I:$I,$I$4)</f>
        <v>10</v>
      </c>
      <c r="J135" s="64">
        <f>sumifs(Dados!$N:$N,Dados!$B:$B,B135,Dados!$J:$J,$D$1,Dados!$I:$I,$J$4)</f>
        <v>6</v>
      </c>
      <c r="K135" s="64">
        <f>sumifs(Dados!$N:$N,Dados!$B:$B,B135,Dados!$J:$J,$D$1,Dados!$I:$I,$K$4)</f>
        <v>8.5</v>
      </c>
      <c r="L135" s="64">
        <f>sumifs(Dados!$N:$N,Dados!$B:$B,B135,Dados!$J:$J,$D$1,Dados!$I:$I,$L$4)</f>
        <v>29.5</v>
      </c>
      <c r="M135" s="64">
        <f>sumifs(Dados!$N:$N,Dados!$B:$B,B135,Dados!$J:$J,$D$1,Dados!$I:$I,$M$4)</f>
        <v>0</v>
      </c>
      <c r="N135" s="64">
        <f>sumifs(Dados!$N:$N,Dados!$B:$B,B135,Dados!$J:$J,$D$1,Dados!$I:$I,$N$4)</f>
        <v>0</v>
      </c>
      <c r="O135" s="64">
        <f>sumifs(Dados!$N:$N,Dados!$B:$B,B135,Dados!$J:$J,$D$1,Dados!$I:$I,$O$4)</f>
        <v>0</v>
      </c>
      <c r="P135" s="64">
        <f>sumifs(Dados!$N:$N,Dados!$B:$B,B135,Dados!$J:$J,$D$1,Dados!$I:$I,$P$4)</f>
        <v>0</v>
      </c>
      <c r="Q135" s="64"/>
    </row>
    <row r="136" ht="15.75" customHeight="1">
      <c r="A136" s="88" t="s">
        <v>153</v>
      </c>
      <c r="B136" s="89">
        <f>sumifs(Dados!$N:$N,Dados!$A:$A,A136,Dados!$H:$H,$D$1)</f>
        <v>222.38</v>
      </c>
      <c r="C136" s="90">
        <f>B136-D136</f>
        <v>0</v>
      </c>
      <c r="D136" s="89">
        <f t="shared" ref="D136:P136" si="30">SUM(D133:D135)</f>
        <v>222.38</v>
      </c>
      <c r="E136" s="89">
        <f t="shared" si="30"/>
        <v>0</v>
      </c>
      <c r="F136" s="89">
        <f t="shared" si="30"/>
        <v>0</v>
      </c>
      <c r="G136" s="89">
        <f t="shared" si="30"/>
        <v>0</v>
      </c>
      <c r="H136" s="89">
        <f t="shared" si="30"/>
        <v>0</v>
      </c>
      <c r="I136" s="89">
        <f t="shared" si="30"/>
        <v>80</v>
      </c>
      <c r="J136" s="89">
        <f t="shared" si="30"/>
        <v>42.16</v>
      </c>
      <c r="K136" s="89">
        <f t="shared" si="30"/>
        <v>14</v>
      </c>
      <c r="L136" s="89">
        <f t="shared" si="30"/>
        <v>64.5</v>
      </c>
      <c r="M136" s="89">
        <f t="shared" si="30"/>
        <v>21.72</v>
      </c>
      <c r="N136" s="89">
        <f t="shared" si="30"/>
        <v>0</v>
      </c>
      <c r="O136" s="89">
        <f t="shared" si="30"/>
        <v>0</v>
      </c>
      <c r="P136" s="89">
        <f t="shared" si="30"/>
        <v>0</v>
      </c>
      <c r="Q136" s="89"/>
    </row>
    <row r="137" ht="15.75" customHeight="1">
      <c r="A137" s="168" t="s">
        <v>115</v>
      </c>
      <c r="B137" s="169">
        <f>D13+D18+D24+D29+D34+D55+D68+D76+D83+D86+D88+D97+D108+D116+D129+D136+B132</f>
        <v>70963.48</v>
      </c>
      <c r="C137" s="170"/>
      <c r="D137" s="171"/>
      <c r="E137" s="171">
        <f t="shared" ref="E137:P137" si="31">E13+E18+E24+E29+E34+E55+E68+E76+E83+E86+E88+E97+E108+E116+E129+E132+E136</f>
        <v>2003.85</v>
      </c>
      <c r="F137" s="171">
        <f t="shared" si="31"/>
        <v>780.18</v>
      </c>
      <c r="G137" s="171">
        <f t="shared" si="31"/>
        <v>1059.03</v>
      </c>
      <c r="H137" s="171">
        <f t="shared" si="31"/>
        <v>1861.34</v>
      </c>
      <c r="I137" s="171">
        <f t="shared" si="31"/>
        <v>10013.47</v>
      </c>
      <c r="J137" s="171">
        <f t="shared" si="31"/>
        <v>14358.59</v>
      </c>
      <c r="K137" s="171">
        <f t="shared" si="31"/>
        <v>12890.11</v>
      </c>
      <c r="L137" s="171">
        <f t="shared" si="31"/>
        <v>16255.01</v>
      </c>
      <c r="M137" s="171">
        <f t="shared" si="31"/>
        <v>11741.9</v>
      </c>
      <c r="N137" s="171">
        <f t="shared" si="31"/>
        <v>0</v>
      </c>
      <c r="O137" s="171">
        <f t="shared" si="31"/>
        <v>0</v>
      </c>
      <c r="P137" s="171">
        <f t="shared" si="31"/>
        <v>0</v>
      </c>
      <c r="Q137" s="172">
        <f>R13+R18+R24+R29+R34+R55+R68+R76+R83+R86+R88+R97+R108+R116+R129+R136</f>
        <v>0</v>
      </c>
    </row>
    <row r="138" ht="15.75" customHeight="1"/>
    <row r="139" ht="15.75" customHeight="1">
      <c r="A139" s="109"/>
      <c r="B139" s="109" t="s">
        <v>316</v>
      </c>
      <c r="C139" s="60"/>
      <c r="D139" s="61">
        <f t="shared" ref="D139:D143" si="32">SUM(E139:P139)</f>
        <v>0</v>
      </c>
      <c r="E139" s="64">
        <f>sumifs(Dados!$N:$N,Dados!$B:$B,B139,Dados!$J:$J,$D$1,Dados!$I:$I,$E$4)</f>
        <v>0</v>
      </c>
      <c r="F139" s="64">
        <f>sumifs(Dados!$N:$N,Dados!$B:$B,B139,Dados!$J:$J,$D$1,Dados!$I:$I,$F$4)</f>
        <v>0</v>
      </c>
      <c r="G139" s="64">
        <f>sumifs(Dados!$N:$N,Dados!$B:$B,B139,Dados!$J:$J,$D$1,Dados!$I:$I,$G$4)</f>
        <v>0</v>
      </c>
      <c r="H139" s="64">
        <f>sumifs(Dados!$N:$N,Dados!$B:$B,B139,Dados!$J:$J,$D$1,Dados!$I:$I,$H$4)</f>
        <v>0</v>
      </c>
      <c r="I139" s="64">
        <f>sumifs(Dados!$N:$N,Dados!$B:$B,B139,Dados!$J:$J,$D$1,Dados!$I:$I,$I$4)</f>
        <v>0</v>
      </c>
      <c r="J139" s="64">
        <f>sumifs(Dados!$N:$N,Dados!$B:$B,B139,Dados!$J:$J,$D$1,Dados!$I:$I,$J$4)</f>
        <v>0</v>
      </c>
      <c r="K139" s="64">
        <f>sumifs(Dados!$N:$N,Dados!$B:$B,B139,Dados!$J:$J,$D$1,Dados!$I:$I,$K$4)</f>
        <v>0</v>
      </c>
      <c r="L139" s="64">
        <f>sumifs(Dados!$N:$N,Dados!$B:$B,B139,Dados!$J:$J,$D$1,Dados!$I:$I,$L$4)</f>
        <v>0</v>
      </c>
      <c r="M139" s="64">
        <f>sumifs(Dados!$N:$N,Dados!$B:$B,B139,Dados!$J:$J,$D$1,Dados!$I:$I,$M$4)</f>
        <v>0</v>
      </c>
      <c r="N139" s="64">
        <f>sumifs(Dados!$N:$N,Dados!$B:$B,B139,Dados!$J:$J,$D$1,Dados!$I:$I,$N$4)</f>
        <v>0</v>
      </c>
      <c r="O139" s="64">
        <f>sumifs(Dados!$N:$N,Dados!$B:$B,B139,Dados!$J:$J,$D$1,Dados!$I:$I,$O$4)</f>
        <v>0</v>
      </c>
      <c r="P139" s="64">
        <f>sumifs(Dados!$N:$N,Dados!$B:$B,B139,Dados!$J:$J,$D$1,Dados!$I:$I,$P$4)</f>
        <v>0</v>
      </c>
      <c r="Q139" s="64"/>
    </row>
    <row r="140" ht="15.75" customHeight="1">
      <c r="A140" s="109"/>
      <c r="B140" s="109" t="s">
        <v>317</v>
      </c>
      <c r="C140" s="60"/>
      <c r="D140" s="61">
        <f t="shared" si="32"/>
        <v>0</v>
      </c>
      <c r="E140" s="64">
        <f>sumifs(Dados!$N:$N,Dados!$B:$B,B140,Dados!$J:$J,$D$1,Dados!$I:$I,$E$4)</f>
        <v>0</v>
      </c>
      <c r="F140" s="64">
        <f>sumifs(Dados!$N:$N,Dados!$B:$B,B140,Dados!$J:$J,$D$1,Dados!$I:$I,$F$4)</f>
        <v>0</v>
      </c>
      <c r="G140" s="64">
        <f>sumifs(Dados!$N:$N,Dados!$B:$B,B140,Dados!$J:$J,$D$1,Dados!$I:$I,$G$4)</f>
        <v>0</v>
      </c>
      <c r="H140" s="64">
        <f>sumifs(Dados!$N:$N,Dados!$B:$B,B140,Dados!$J:$J,$D$1,Dados!$I:$I,$H$4)</f>
        <v>0</v>
      </c>
      <c r="I140" s="64">
        <f>sumifs(Dados!$N:$N,Dados!$B:$B,B140,Dados!$J:$J,$D$1,Dados!$I:$I,$I$4)</f>
        <v>0</v>
      </c>
      <c r="J140" s="64">
        <f>sumifs(Dados!$N:$N,Dados!$B:$B,B140,Dados!$J:$J,$D$1,Dados!$I:$I,$J$4)</f>
        <v>0</v>
      </c>
      <c r="K140" s="64">
        <f>sumifs(Dados!$N:$N,Dados!$B:$B,B140,Dados!$J:$J,$D$1,Dados!$I:$I,$K$4)</f>
        <v>0</v>
      </c>
      <c r="L140" s="64">
        <f>sumifs(Dados!$N:$N,Dados!$B:$B,B140,Dados!$J:$J,$D$1,Dados!$I:$I,$L$4)</f>
        <v>0</v>
      </c>
      <c r="M140" s="64">
        <f>sumifs(Dados!$N:$N,Dados!$B:$B,B140,Dados!$J:$J,$D$1,Dados!$I:$I,$M$4)</f>
        <v>0</v>
      </c>
      <c r="N140" s="64">
        <f>sumifs(Dados!$N:$N,Dados!$B:$B,B140,Dados!$J:$J,$D$1,Dados!$I:$I,$N$4)</f>
        <v>0</v>
      </c>
      <c r="O140" s="64">
        <f>sumifs(Dados!$N:$N,Dados!$B:$B,B140,Dados!$J:$J,$D$1,Dados!$I:$I,$O$4)</f>
        <v>0</v>
      </c>
      <c r="P140" s="64">
        <f>sumifs(Dados!$N:$N,Dados!$B:$B,B140,Dados!$J:$J,$D$1,Dados!$I:$I,$P$4)</f>
        <v>0</v>
      </c>
      <c r="Q140" s="64"/>
    </row>
    <row r="141" ht="15.75" customHeight="1">
      <c r="A141" s="109"/>
      <c r="B141" s="109" t="s">
        <v>318</v>
      </c>
      <c r="C141" s="60"/>
      <c r="D141" s="61">
        <f t="shared" si="32"/>
        <v>0</v>
      </c>
      <c r="E141" s="64">
        <f>sumifs(Dados!$N:$N,Dados!$B:$B,B141,Dados!$J:$J,$D$1,Dados!$I:$I,$E$4)</f>
        <v>0</v>
      </c>
      <c r="F141" s="64">
        <f>sumifs(Dados!$N:$N,Dados!$B:$B,B141,Dados!$J:$J,$D$1,Dados!$I:$I,$F$4)</f>
        <v>0</v>
      </c>
      <c r="G141" s="64">
        <f>sumifs(Dados!$N:$N,Dados!$B:$B,B141,Dados!$J:$J,$D$1,Dados!$I:$I,$G$4)</f>
        <v>0</v>
      </c>
      <c r="H141" s="64">
        <f>sumifs(Dados!$N:$N,Dados!$B:$B,B141,Dados!$J:$J,$D$1,Dados!$I:$I,$H$4)</f>
        <v>0</v>
      </c>
      <c r="I141" s="64">
        <f>sumifs(Dados!$N:$N,Dados!$B:$B,B141,Dados!$J:$J,$D$1,Dados!$I:$I,$I$4)</f>
        <v>0</v>
      </c>
      <c r="J141" s="64">
        <f>sumifs(Dados!$N:$N,Dados!$B:$B,B141,Dados!$J:$J,$D$1,Dados!$I:$I,$J$4)</f>
        <v>0</v>
      </c>
      <c r="K141" s="64">
        <f>sumifs(Dados!$N:$N,Dados!$B:$B,B141,Dados!$J:$J,$D$1,Dados!$I:$I,$K$4)</f>
        <v>0</v>
      </c>
      <c r="L141" s="64">
        <f>sumifs(Dados!$N:$N,Dados!$B:$B,B141,Dados!$J:$J,$D$1,Dados!$I:$I,$L$4)</f>
        <v>0</v>
      </c>
      <c r="M141" s="64">
        <f>sumifs(Dados!$N:$N,Dados!$B:$B,B141,Dados!$J:$J,$D$1,Dados!$I:$I,$M$4)</f>
        <v>0</v>
      </c>
      <c r="N141" s="64">
        <f>sumifs(Dados!$N:$N,Dados!$B:$B,B141,Dados!$J:$J,$D$1,Dados!$I:$I,$N$4)</f>
        <v>0</v>
      </c>
      <c r="O141" s="64">
        <f>sumifs(Dados!$N:$N,Dados!$B:$B,B141,Dados!$J:$J,$D$1,Dados!$I:$I,$O$4)</f>
        <v>0</v>
      </c>
      <c r="P141" s="64">
        <f>sumifs(Dados!$N:$N,Dados!$B:$B,B141,Dados!$J:$J,$D$1,Dados!$I:$I,$P$4)</f>
        <v>0</v>
      </c>
      <c r="Q141" s="64"/>
    </row>
    <row r="142" ht="15.75" customHeight="1">
      <c r="A142" s="109"/>
      <c r="B142" s="109" t="s">
        <v>323</v>
      </c>
      <c r="C142" s="60"/>
      <c r="D142" s="61">
        <f t="shared" si="32"/>
        <v>0</v>
      </c>
      <c r="E142" s="64">
        <f>sumifs(Dados!$N:$N,Dados!$B:$B,B142,Dados!$J:$J,$D$1,Dados!$I:$I,$E$4)</f>
        <v>0</v>
      </c>
      <c r="F142" s="64">
        <f>sumifs(Dados!$N:$N,Dados!$B:$B,B142,Dados!$J:$J,$D$1,Dados!$I:$I,$F$4)</f>
        <v>0</v>
      </c>
      <c r="G142" s="64">
        <f>sumifs(Dados!$N:$N,Dados!$B:$B,B142,Dados!$J:$J,$D$1,Dados!$I:$I,$G$4)</f>
        <v>0</v>
      </c>
      <c r="H142" s="64">
        <f>sumifs(Dados!$N:$N,Dados!$B:$B,B142,Dados!$J:$J,$D$1,Dados!$I:$I,$H$4)</f>
        <v>0</v>
      </c>
      <c r="I142" s="64">
        <f>sumifs(Dados!$N:$N,Dados!$B:$B,B142,Dados!$J:$J,$D$1,Dados!$I:$I,$I$4)</f>
        <v>0</v>
      </c>
      <c r="J142" s="64">
        <f>sumifs(Dados!$N:$N,Dados!$B:$B,B142,Dados!$J:$J,$D$1,Dados!$I:$I,$J$4)</f>
        <v>0</v>
      </c>
      <c r="K142" s="64">
        <f>sumifs(Dados!$N:$N,Dados!$B:$B,B142,Dados!$J:$J,$D$1,Dados!$I:$I,$K$4)</f>
        <v>0</v>
      </c>
      <c r="L142" s="64">
        <f>sumifs(Dados!$N:$N,Dados!$B:$B,B142,Dados!$J:$J,$D$1,Dados!$I:$I,$L$4)</f>
        <v>0</v>
      </c>
      <c r="M142" s="64">
        <f>sumifs(Dados!$N:$N,Dados!$B:$B,B142,Dados!$J:$J,$D$1,Dados!$I:$I,$M$4)</f>
        <v>0</v>
      </c>
      <c r="N142" s="64">
        <f>sumifs(Dados!$N:$N,Dados!$B:$B,B142,Dados!$J:$J,$D$1,Dados!$I:$I,$N$4)</f>
        <v>0</v>
      </c>
      <c r="O142" s="64">
        <f>sumifs(Dados!$N:$N,Dados!$B:$B,B142,Dados!$J:$J,$D$1,Dados!$I:$I,$O$4)</f>
        <v>0</v>
      </c>
      <c r="P142" s="64">
        <f>sumifs(Dados!$N:$N,Dados!$B:$B,B142,Dados!$J:$J,$D$1,Dados!$I:$I,$P$4)</f>
        <v>0</v>
      </c>
      <c r="Q142" s="64"/>
    </row>
    <row r="143" ht="15.75" customHeight="1">
      <c r="A143" s="109"/>
      <c r="B143" s="109" t="s">
        <v>332</v>
      </c>
      <c r="C143" s="60"/>
      <c r="D143" s="61">
        <f t="shared" si="32"/>
        <v>0</v>
      </c>
      <c r="E143" s="64">
        <f>sumifs(Dados!$N:$N,Dados!$B:$B,B143,Dados!$J:$J,$D$1,Dados!$I:$I,$E$4)</f>
        <v>0</v>
      </c>
      <c r="F143" s="64">
        <f>sumifs(Dados!$N:$N,Dados!$B:$B,B143,Dados!$J:$J,$D$1,Dados!$I:$I,$F$4)</f>
        <v>0</v>
      </c>
      <c r="G143" s="64">
        <f>sumifs(Dados!$N:$N,Dados!$B:$B,B143,Dados!$J:$J,$D$1,Dados!$I:$I,$G$4)</f>
        <v>0</v>
      </c>
      <c r="H143" s="64">
        <f>sumifs(Dados!$N:$N,Dados!$B:$B,B143,Dados!$J:$J,$D$1,Dados!$I:$I,$H$4)</f>
        <v>0</v>
      </c>
      <c r="I143" s="64">
        <f>sumifs(Dados!$N:$N,Dados!$B:$B,B143,Dados!$J:$J,$D$1,Dados!$I:$I,$I$4)</f>
        <v>0</v>
      </c>
      <c r="J143" s="64">
        <f>sumifs(Dados!$N:$N,Dados!$B:$B,B143,Dados!$J:$J,$D$1,Dados!$I:$I,$J$4)</f>
        <v>0</v>
      </c>
      <c r="K143" s="64">
        <f>sumifs(Dados!$N:$N,Dados!$B:$B,B143,Dados!$J:$J,$D$1,Dados!$I:$I,$K$4)</f>
        <v>0</v>
      </c>
      <c r="L143" s="64">
        <f>sumifs(Dados!$N:$N,Dados!$B:$B,B143,Dados!$J:$J,$D$1,Dados!$I:$I,$L$4)</f>
        <v>0</v>
      </c>
      <c r="M143" s="64">
        <f>sumifs(Dados!$N:$N,Dados!$B:$B,B143,Dados!$J:$J,$D$1,Dados!$I:$I,$M$4)</f>
        <v>0</v>
      </c>
      <c r="N143" s="64">
        <f>sumifs(Dados!$N:$N,Dados!$B:$B,B143,Dados!$J:$J,$D$1,Dados!$I:$I,$N$4)</f>
        <v>0</v>
      </c>
      <c r="O143" s="64">
        <f>sumifs(Dados!$N:$N,Dados!$B:$B,B143,Dados!$J:$J,$D$1,Dados!$I:$I,$O$4)</f>
        <v>0</v>
      </c>
      <c r="P143" s="64">
        <f>sumifs(Dados!$N:$N,Dados!$B:$B,B143,Dados!$J:$J,$D$1,Dados!$I:$I,$P$4)</f>
        <v>0</v>
      </c>
      <c r="Q143" s="64"/>
    </row>
    <row r="144" ht="15.75" customHeight="1">
      <c r="A144" s="88" t="s">
        <v>148</v>
      </c>
      <c r="B144" s="89">
        <f>sumifs(Dados!$N:$N,Dados!$A:$A,A144,Dados!$H:$H,$D$1)</f>
        <v>0</v>
      </c>
      <c r="C144" s="90">
        <f>B144-D144</f>
        <v>0</v>
      </c>
      <c r="D144" s="89">
        <f t="shared" ref="D144:P144" si="33">SUM(D139:D143)</f>
        <v>0</v>
      </c>
      <c r="E144" s="89">
        <f t="shared" si="33"/>
        <v>0</v>
      </c>
      <c r="F144" s="89">
        <f t="shared" si="33"/>
        <v>0</v>
      </c>
      <c r="G144" s="89">
        <f t="shared" si="33"/>
        <v>0</v>
      </c>
      <c r="H144" s="89">
        <f t="shared" si="33"/>
        <v>0</v>
      </c>
      <c r="I144" s="89">
        <f t="shared" si="33"/>
        <v>0</v>
      </c>
      <c r="J144" s="89">
        <f t="shared" si="33"/>
        <v>0</v>
      </c>
      <c r="K144" s="89">
        <f t="shared" si="33"/>
        <v>0</v>
      </c>
      <c r="L144" s="89">
        <f t="shared" si="33"/>
        <v>0</v>
      </c>
      <c r="M144" s="89">
        <f t="shared" si="33"/>
        <v>0</v>
      </c>
      <c r="N144" s="89">
        <f t="shared" si="33"/>
        <v>0</v>
      </c>
      <c r="O144" s="89">
        <f t="shared" si="33"/>
        <v>0</v>
      </c>
      <c r="P144" s="89">
        <f t="shared" si="33"/>
        <v>0</v>
      </c>
      <c r="Q144" s="89"/>
    </row>
    <row r="145" ht="15.75" customHeight="1">
      <c r="A145" s="58"/>
      <c r="B145" s="59" t="s">
        <v>346</v>
      </c>
      <c r="C145" s="60"/>
      <c r="D145" s="61">
        <f t="shared" ref="D145:D156" si="34">SUM(E145:P145)</f>
        <v>0</v>
      </c>
      <c r="E145" s="64">
        <f>sumifs(Dados!$N:$N,Dados!$B:$B,B145,Dados!$J:$J,$D$1,Dados!$I:$I,$E$4)</f>
        <v>0</v>
      </c>
      <c r="F145" s="64">
        <f>sumifs(Dados!$N:$N,Dados!$B:$B,B145,Dados!$J:$J,$D$1,Dados!$I:$I,$F$4)</f>
        <v>0</v>
      </c>
      <c r="G145" s="64">
        <f>sumifs(Dados!$N:$N,Dados!$B:$B,B145,Dados!$J:$J,$D$1,Dados!$I:$I,$G$4)</f>
        <v>0</v>
      </c>
      <c r="H145" s="64">
        <f>sumifs(Dados!$N:$N,Dados!$B:$B,B145,Dados!$J:$J,$D$1,Dados!$I:$I,$H$4)</f>
        <v>0</v>
      </c>
      <c r="I145" s="64">
        <f>sumifs(Dados!$N:$N,Dados!$B:$B,B145,Dados!$J:$J,$D$1,Dados!$I:$I,$I$4)</f>
        <v>0</v>
      </c>
      <c r="J145" s="64">
        <f>sumifs(Dados!$N:$N,Dados!$B:$B,B145,Dados!$J:$J,$D$1,Dados!$I:$I,$J$4)</f>
        <v>0</v>
      </c>
      <c r="K145" s="64">
        <f>sumifs(Dados!$N:$N,Dados!$B:$B,B145,Dados!$J:$J,$D$1,Dados!$I:$I,$K$4)</f>
        <v>0</v>
      </c>
      <c r="L145" s="64">
        <f>sumifs(Dados!$N:$N,Dados!$B:$B,B145,Dados!$J:$J,$D$1,Dados!$I:$I,$L$4)</f>
        <v>0</v>
      </c>
      <c r="M145" s="64">
        <f>sumifs(Dados!$N:$N,Dados!$B:$B,B145,Dados!$J:$J,$D$1,Dados!$I:$I,$M$4)</f>
        <v>0</v>
      </c>
      <c r="N145" s="64">
        <f>sumifs(Dados!$N:$N,Dados!$B:$B,B145,Dados!$J:$J,$D$1,Dados!$I:$I,$N$4)</f>
        <v>0</v>
      </c>
      <c r="O145" s="64">
        <f>sumifs(Dados!$N:$N,Dados!$B:$B,B145,Dados!$J:$J,$D$1,Dados!$I:$I,$O$4)</f>
        <v>0</v>
      </c>
      <c r="P145" s="64">
        <f>sumifs(Dados!$N:$N,Dados!$B:$B,B145,Dados!$J:$J,$D$1,Dados!$I:$I,$P$4)</f>
        <v>0</v>
      </c>
      <c r="Q145" s="64"/>
    </row>
    <row r="146" ht="15.75" customHeight="1">
      <c r="A146" s="58"/>
      <c r="B146" s="58" t="s">
        <v>354</v>
      </c>
      <c r="C146" s="60"/>
      <c r="D146" s="61">
        <f t="shared" si="34"/>
        <v>0</v>
      </c>
      <c r="E146" s="64">
        <f>sumifs(Dados!$N:$N,Dados!$B:$B,$B$146,Dados!$J:$J,$D$1,Dados!$I:$I,E4)</f>
        <v>0</v>
      </c>
      <c r="F146" s="64">
        <f>sumifs(Dados!$N:$N,Dados!$B:$B,$B$146,Dados!$J:$J,$D$1,Dados!$I:$I,F4)</f>
        <v>0</v>
      </c>
      <c r="G146" s="64">
        <f>sumifs(Dados!$N:$N,Dados!$B:$B,$B$146,Dados!$J:$J,$D$1,Dados!$I:$I,G4)</f>
        <v>0</v>
      </c>
      <c r="H146" s="64">
        <f>sumifs(Dados!$N:$N,Dados!$B:$B,$B$146,Dados!$J:$J,$D$1,Dados!$I:$I,H4)</f>
        <v>0</v>
      </c>
      <c r="I146" s="64">
        <f>sumifs(Dados!$N:$N,Dados!$B:$B,$B$146,Dados!$J:$J,$D$1,Dados!$I:$I,I4)</f>
        <v>0</v>
      </c>
      <c r="J146" s="64">
        <f>sumifs(Dados!$N:$N,Dados!$B:$B,$B$146,Dados!$J:$J,$D$1,Dados!$I:$I,J4)</f>
        <v>0</v>
      </c>
      <c r="K146" s="64">
        <f>sumifs(Dados!$N:$N,Dados!$B:$B,$B$146,Dados!$J:$J,$D$1,Dados!$I:$I,K4)</f>
        <v>0</v>
      </c>
      <c r="L146" s="64">
        <f>sumifs(Dados!$N:$N,Dados!$B:$B,$B$146,Dados!$J:$J,$D$1,Dados!$I:$I,L4)</f>
        <v>0</v>
      </c>
      <c r="M146" s="64">
        <f>sumifs(Dados!$N:$N,Dados!$B:$B,$B$146,Dados!$J:$J,$D$1,Dados!$I:$I,M4)</f>
        <v>0</v>
      </c>
      <c r="N146" s="64">
        <f>sumifs(Dados!$N:$N,Dados!$B:$B,$B$146,Dados!$J:$J,$D$1,Dados!$I:$I,N4)</f>
        <v>0</v>
      </c>
      <c r="O146" s="64">
        <f>sumifs(Dados!$N:$N,Dados!$B:$B,$B$146,Dados!$J:$J,$D$1,Dados!$I:$I,O4)</f>
        <v>0</v>
      </c>
      <c r="P146" s="64">
        <f>sumifs(Dados!$N:$N,Dados!$B:$B,$B$146,Dados!$J:$J,$D$1,Dados!$I:$I,P4)</f>
        <v>0</v>
      </c>
      <c r="Q146" s="64"/>
    </row>
    <row r="147" ht="15.75" customHeight="1">
      <c r="A147" s="58"/>
      <c r="B147" s="59" t="s">
        <v>362</v>
      </c>
      <c r="C147" s="60"/>
      <c r="D147" s="61">
        <f t="shared" si="34"/>
        <v>0</v>
      </c>
      <c r="E147" s="64">
        <f>sumifs(Dados!$N:$N,Dados!$B:$B,B147,Dados!$J:$J,$D$1,Dados!$I:$I,$E$4)</f>
        <v>0</v>
      </c>
      <c r="F147" s="64">
        <f>sumifs(Dados!$N:$N,Dados!$B:$B,B147,Dados!$J:$J,$D$1,Dados!$I:$I,$F$4)</f>
        <v>0</v>
      </c>
      <c r="G147" s="64">
        <f>sumifs(Dados!$N:$N,Dados!$B:$B,B147,Dados!$J:$J,$D$1,Dados!$I:$I,$G$4)</f>
        <v>0</v>
      </c>
      <c r="H147" s="64">
        <f>sumifs(Dados!$N:$N,Dados!$B:$B,B147,Dados!$J:$J,$D$1,Dados!$I:$I,$H$4)</f>
        <v>0</v>
      </c>
      <c r="I147" s="64">
        <f>sumifs(Dados!$N:$N,Dados!$B:$B,B147,Dados!$J:$J,$D$1,Dados!$I:$I,$I$4)</f>
        <v>0</v>
      </c>
      <c r="J147" s="64">
        <f>sumifs(Dados!$N:$N,Dados!$B:$B,B147,Dados!$J:$J,$D$1,Dados!$I:$I,$J$4)</f>
        <v>0</v>
      </c>
      <c r="K147" s="64">
        <f>sumifs(Dados!$N:$N,Dados!$B:$B,B147,Dados!$J:$J,$D$1,Dados!$I:$I,$K$4)</f>
        <v>0</v>
      </c>
      <c r="L147" s="64">
        <f>sumifs(Dados!$N:$N,Dados!$B:$B,B147,Dados!$J:$J,$D$1,Dados!$I:$I,$L$4)</f>
        <v>0</v>
      </c>
      <c r="M147" s="64">
        <f>sumifs(Dados!$N:$N,Dados!$B:$B,B147,Dados!$J:$J,$D$1,Dados!$I:$I,$M$4)</f>
        <v>0</v>
      </c>
      <c r="N147" s="64">
        <f>sumifs(Dados!$N:$N,Dados!$B:$B,B147,Dados!$J:$J,$D$1,Dados!$I:$I,$N$4)</f>
        <v>0</v>
      </c>
      <c r="O147" s="64">
        <f>sumifs(Dados!$N:$N,Dados!$B:$B,B147,Dados!$J:$J,$D$1,Dados!$I:$I,$O$4)</f>
        <v>0</v>
      </c>
      <c r="P147" s="64">
        <f>sumifs(Dados!$N:$N,Dados!$B:$B,B147,Dados!$J:$J,$D$1,Dados!$I:$I,$P$4)</f>
        <v>0</v>
      </c>
      <c r="Q147" s="64"/>
    </row>
    <row r="148" ht="15.75" customHeight="1">
      <c r="A148" s="58"/>
      <c r="B148" s="59" t="s">
        <v>371</v>
      </c>
      <c r="C148" s="60"/>
      <c r="D148" s="61">
        <f t="shared" si="34"/>
        <v>0</v>
      </c>
      <c r="E148" s="64">
        <f>sumifs(Dados!$N:$N,Dados!$B:$B,$B$148,Dados!$J:$J,$D$1,Dados!$I:$I,E4)</f>
        <v>0</v>
      </c>
      <c r="F148" s="64">
        <f>sumifs(Dados!$N:$N,Dados!$B:$B,$B$148,Dados!$J:$J,$D$1,Dados!$I:$I,F4)</f>
        <v>0</v>
      </c>
      <c r="G148" s="64">
        <f>sumifs(Dados!$N:$N,Dados!$B:$B,$B$148,Dados!$J:$J,$D$1,Dados!$I:$I,G4)</f>
        <v>0</v>
      </c>
      <c r="H148" s="64">
        <f>sumifs(Dados!$N:$N,Dados!$B:$B,$B$148,Dados!$J:$J,$D$1,Dados!$I:$I,H4)</f>
        <v>0</v>
      </c>
      <c r="I148" s="64">
        <f>sumifs(Dados!$N:$N,Dados!$B:$B,$B$148,Dados!$J:$J,$D$1,Dados!$I:$I,I4)</f>
        <v>0</v>
      </c>
      <c r="J148" s="64">
        <f>sumifs(Dados!$N:$N,Dados!$B:$B,$B$148,Dados!$J:$J,$D$1,Dados!$I:$I,J4)</f>
        <v>0</v>
      </c>
      <c r="K148" s="64">
        <f>sumifs(Dados!$N:$N,Dados!$B:$B,$B$148,Dados!$J:$J,$D$1,Dados!$I:$I,K4)</f>
        <v>0</v>
      </c>
      <c r="L148" s="64">
        <f>sumifs(Dados!$N:$N,Dados!$B:$B,$B$148,Dados!$J:$J,$D$1,Dados!$I:$I,L4)</f>
        <v>0</v>
      </c>
      <c r="M148" s="64">
        <f>sumifs(Dados!$N:$N,Dados!$B:$B,$B$148,Dados!$J:$J,$D$1,Dados!$I:$I,M4)</f>
        <v>0</v>
      </c>
      <c r="N148" s="64">
        <f>sumifs(Dados!$N:$N,Dados!$B:$B,$B$148,Dados!$J:$J,$D$1,Dados!$I:$I,N4)</f>
        <v>0</v>
      </c>
      <c r="O148" s="64">
        <f>sumifs(Dados!$N:$N,Dados!$B:$B,$B$148,Dados!$J:$J,$D$1,Dados!$I:$I,O4)</f>
        <v>0</v>
      </c>
      <c r="P148" s="64">
        <f>sumifs(Dados!$N:$N,Dados!$B:$B,$B$148,Dados!$J:$J,$D$1,Dados!$I:$I,P4)</f>
        <v>0</v>
      </c>
      <c r="Q148" s="64"/>
    </row>
    <row r="149" ht="15.75" customHeight="1">
      <c r="A149" s="58"/>
      <c r="B149" s="58" t="s">
        <v>380</v>
      </c>
      <c r="C149" s="60"/>
      <c r="D149" s="61">
        <f t="shared" si="34"/>
        <v>0</v>
      </c>
      <c r="E149" s="64">
        <f>sumifs(Dados!$N:$N,Dados!$B:$B,B149,Dados!$J:$J,$D$1,Dados!$I:$I,$E$4)</f>
        <v>0</v>
      </c>
      <c r="F149" s="64">
        <f>sumifs(Dados!$N:$N,Dados!$B:$B,B149,Dados!$J:$J,$D$1,Dados!$I:$I,$F$4)</f>
        <v>0</v>
      </c>
      <c r="G149" s="64">
        <f>sumifs(Dados!$N:$N,Dados!$B:$B,B149,Dados!$J:$J,$D$1,Dados!$I:$I,$G$4)</f>
        <v>0</v>
      </c>
      <c r="H149" s="64">
        <f>sumifs(Dados!$N:$N,Dados!$B:$B,B149,Dados!$J:$J,$D$1,Dados!$I:$I,$H$4)</f>
        <v>0</v>
      </c>
      <c r="I149" s="64">
        <f>sumifs(Dados!$N:$N,Dados!$B:$B,B149,Dados!$J:$J,$D$1,Dados!$I:$I,$I$4)</f>
        <v>0</v>
      </c>
      <c r="J149" s="64">
        <f>sumifs(Dados!$N:$N,Dados!$B:$B,B149,Dados!$J:$J,$D$1,Dados!$I:$I,$J$4)</f>
        <v>0</v>
      </c>
      <c r="K149" s="64">
        <f>sumifs(Dados!$N:$N,Dados!$B:$B,B149,Dados!$J:$J,$D$1,Dados!$I:$I,$K$4)</f>
        <v>0</v>
      </c>
      <c r="L149" s="64">
        <f>sumifs(Dados!$N:$N,Dados!$B:$B,B149,Dados!$J:$J,$D$1,Dados!$I:$I,$L$4)</f>
        <v>0</v>
      </c>
      <c r="M149" s="64">
        <f>sumifs(Dados!$N:$N,Dados!$B:$B,B149,Dados!$J:$J,$D$1,Dados!$I:$I,$M$4)</f>
        <v>0</v>
      </c>
      <c r="N149" s="64">
        <f>sumifs(Dados!$N:$N,Dados!$B:$B,B149,Dados!$J:$J,$D$1,Dados!$I:$I,$N$4)</f>
        <v>0</v>
      </c>
      <c r="O149" s="64">
        <f>sumifs(Dados!$N:$N,Dados!$B:$B,B149,Dados!$J:$J,$D$1,Dados!$I:$I,$O$4)</f>
        <v>0</v>
      </c>
      <c r="P149" s="64">
        <f>sumifs(Dados!$N:$N,Dados!$B:$B,B149,Dados!$J:$J,$D$1,Dados!$I:$I,$P$4)</f>
        <v>0</v>
      </c>
      <c r="Q149" s="64"/>
    </row>
    <row r="150" ht="15.75" customHeight="1">
      <c r="A150" s="58"/>
      <c r="B150" s="58" t="s">
        <v>387</v>
      </c>
      <c r="C150" s="60"/>
      <c r="D150" s="61">
        <f t="shared" si="34"/>
        <v>0</v>
      </c>
      <c r="E150" s="64">
        <f>sumifs(Dados!$N:$N,Dados!$B:$B,B150,Dados!$J:$J,$D$1,Dados!$I:$I,$E$4)</f>
        <v>0</v>
      </c>
      <c r="F150" s="64">
        <f>sumifs(Dados!$N:$N,Dados!$B:$B,B150,Dados!$J:$J,$D$1,Dados!$I:$I,$F$4)</f>
        <v>0</v>
      </c>
      <c r="G150" s="64">
        <f>sumifs(Dados!$N:$N,Dados!$B:$B,B150,Dados!$J:$J,$D$1,Dados!$I:$I,$G$4)</f>
        <v>0</v>
      </c>
      <c r="H150" s="64">
        <f>sumifs(Dados!$N:$N,Dados!$B:$B,B150,Dados!$J:$J,$D$1,Dados!$I:$I,$H$4)</f>
        <v>0</v>
      </c>
      <c r="I150" s="64">
        <f>sumifs(Dados!$N:$N,Dados!$B:$B,B150,Dados!$J:$J,$D$1,Dados!$I:$I,$I$4)</f>
        <v>0</v>
      </c>
      <c r="J150" s="64">
        <f>sumifs(Dados!$N:$N,Dados!$B:$B,B150,Dados!$J:$J,$D$1,Dados!$I:$I,$J$4)</f>
        <v>0</v>
      </c>
      <c r="K150" s="64">
        <f>sumifs(Dados!$N:$N,Dados!$B:$B,B150,Dados!$J:$J,$D$1,Dados!$I:$I,$K$4)</f>
        <v>0</v>
      </c>
      <c r="L150" s="64">
        <f>sumifs(Dados!$N:$N,Dados!$B:$B,B150,Dados!$J:$J,$D$1,Dados!$I:$I,$L$4)</f>
        <v>0</v>
      </c>
      <c r="M150" s="64">
        <f>sumifs(Dados!$N:$N,Dados!$B:$B,B150,Dados!$J:$J,$D$1,Dados!$I:$I,$M$4)</f>
        <v>0</v>
      </c>
      <c r="N150" s="64">
        <f>sumifs(Dados!$N:$N,Dados!$B:$B,B150,Dados!$J:$J,$D$1,Dados!$I:$I,$N$4)</f>
        <v>0</v>
      </c>
      <c r="O150" s="64">
        <f>sumifs(Dados!$N:$N,Dados!$B:$B,B150,Dados!$J:$J,$D$1,Dados!$I:$I,$O$4)</f>
        <v>0</v>
      </c>
      <c r="P150" s="64">
        <f>sumifs(Dados!$N:$N,Dados!$B:$B,B150,Dados!$J:$J,$D$1,Dados!$I:$I,$P$4)</f>
        <v>0</v>
      </c>
      <c r="Q150" s="64"/>
    </row>
    <row r="151" ht="15.75" customHeight="1">
      <c r="A151" s="58"/>
      <c r="B151" s="58" t="s">
        <v>396</v>
      </c>
      <c r="C151" s="60"/>
      <c r="D151" s="61">
        <f t="shared" si="34"/>
        <v>0</v>
      </c>
      <c r="E151" s="64">
        <f>sumifs(Dados!$N:$N,Dados!$B:$B,B151,Dados!$J:$J,$D$1,Dados!$I:$I,$E$4)</f>
        <v>0</v>
      </c>
      <c r="F151" s="64">
        <f>sumifs(Dados!$N:$N,Dados!$B:$B,B151,Dados!$J:$J,$D$1,Dados!$I:$I,$F$4)</f>
        <v>0</v>
      </c>
      <c r="G151" s="64">
        <f>sumifs(Dados!$N:$N,Dados!$B:$B,B151,Dados!$J:$J,$D$1,Dados!$I:$I,$G$4)</f>
        <v>0</v>
      </c>
      <c r="H151" s="64">
        <f>sumifs(Dados!$N:$N,Dados!$B:$B,B151,Dados!$J:$J,$D$1,Dados!$I:$I,$H$4)</f>
        <v>0</v>
      </c>
      <c r="I151" s="64">
        <f>sumifs(Dados!$N:$N,Dados!$B:$B,B151,Dados!$J:$J,$D$1,Dados!$I:$I,$I$4)</f>
        <v>0</v>
      </c>
      <c r="J151" s="64">
        <f>sumifs(Dados!$N:$N,Dados!$B:$B,B151,Dados!$J:$J,$D$1,Dados!$I:$I,$J$4)</f>
        <v>0</v>
      </c>
      <c r="K151" s="64">
        <f>sumifs(Dados!$N:$N,Dados!$B:$B,B151,Dados!$J:$J,$D$1,Dados!$I:$I,$K$4)</f>
        <v>0</v>
      </c>
      <c r="L151" s="64">
        <f>sumifs(Dados!$N:$N,Dados!$B:$B,B151,Dados!$J:$J,$D$1,Dados!$I:$I,$L$4)</f>
        <v>0</v>
      </c>
      <c r="M151" s="64">
        <f>sumifs(Dados!$N:$N,Dados!$B:$B,B151,Dados!$J:$J,$D$1,Dados!$I:$I,$M$4)</f>
        <v>0</v>
      </c>
      <c r="N151" s="64">
        <f>sumifs(Dados!$N:$N,Dados!$B:$B,B151,Dados!$J:$J,$D$1,Dados!$I:$I,$N$4)</f>
        <v>0</v>
      </c>
      <c r="O151" s="64">
        <f>sumifs(Dados!$N:$N,Dados!$B:$B,B151,Dados!$J:$J,$D$1,Dados!$I:$I,$O$4)</f>
        <v>0</v>
      </c>
      <c r="P151" s="64">
        <f>sumifs(Dados!$N:$N,Dados!$B:$B,B151,Dados!$J:$J,$D$1,Dados!$I:$I,$P$4)</f>
        <v>0</v>
      </c>
      <c r="Q151" s="64"/>
    </row>
    <row r="152" ht="15.75" customHeight="1">
      <c r="A152" s="58"/>
      <c r="B152" s="58" t="s">
        <v>404</v>
      </c>
      <c r="C152" s="60"/>
      <c r="D152" s="61">
        <f t="shared" si="34"/>
        <v>0</v>
      </c>
      <c r="E152" s="64">
        <f>sumifs(Dados!$N:$N,Dados!$B:$B,B152,Dados!$J:$J,$D$1,Dados!$I:$I,$E$4)</f>
        <v>0</v>
      </c>
      <c r="F152" s="64">
        <f>sumifs(Dados!$N:$N,Dados!$B:$B,B152,Dados!$J:$J,$D$1,Dados!$I:$I,$F$4)</f>
        <v>0</v>
      </c>
      <c r="G152" s="64">
        <f>sumifs(Dados!$N:$N,Dados!$B:$B,B152,Dados!$J:$J,$D$1,Dados!$I:$I,$G$4)</f>
        <v>0</v>
      </c>
      <c r="H152" s="64">
        <f>sumifs(Dados!$N:$N,Dados!$B:$B,B152,Dados!$J:$J,$D$1,Dados!$I:$I,$H$4)</f>
        <v>0</v>
      </c>
      <c r="I152" s="64">
        <f>sumifs(Dados!$N:$N,Dados!$B:$B,B152,Dados!$J:$J,$D$1,Dados!$I:$I,$I$4)</f>
        <v>0</v>
      </c>
      <c r="J152" s="64">
        <f>sumifs(Dados!$N:$N,Dados!$B:$B,B152,Dados!$J:$J,$D$1,Dados!$I:$I,$J$4)</f>
        <v>0</v>
      </c>
      <c r="K152" s="64">
        <f>sumifs(Dados!$N:$N,Dados!$B:$B,B152,Dados!$J:$J,$D$1,Dados!$I:$I,$K$4)</f>
        <v>0</v>
      </c>
      <c r="L152" s="64">
        <f>sumifs(Dados!$N:$N,Dados!$B:$B,B152,Dados!$J:$J,$D$1,Dados!$I:$I,$L$4)</f>
        <v>0</v>
      </c>
      <c r="M152" s="64">
        <f>sumifs(Dados!$N:$N,Dados!$B:$B,B152,Dados!$J:$J,$D$1,Dados!$I:$I,$M$4)</f>
        <v>0</v>
      </c>
      <c r="N152" s="64">
        <f>sumifs(Dados!$N:$N,Dados!$B:$B,B152,Dados!$J:$J,$D$1,Dados!$I:$I,$N$4)</f>
        <v>0</v>
      </c>
      <c r="O152" s="64">
        <f>sumifs(Dados!$N:$N,Dados!$B:$B,B152,Dados!$J:$J,$D$1,Dados!$I:$I,$O$4)</f>
        <v>0</v>
      </c>
      <c r="P152" s="64">
        <f>sumifs(Dados!$N:$N,Dados!$B:$B,B152,Dados!$J:$J,$D$1,Dados!$I:$I,$P$4)</f>
        <v>0</v>
      </c>
      <c r="Q152" s="64"/>
    </row>
    <row r="153" ht="15.75" customHeight="1">
      <c r="A153" s="58"/>
      <c r="B153" s="59" t="s">
        <v>410</v>
      </c>
      <c r="C153" s="60"/>
      <c r="D153" s="61">
        <f t="shared" si="34"/>
        <v>0</v>
      </c>
      <c r="E153" s="64">
        <f>sumifs(Dados!$N:$N,Dados!$B:$B,B153,Dados!$J:$J,$D$1,Dados!$I:$I,$E$4)</f>
        <v>0</v>
      </c>
      <c r="F153" s="64">
        <f>sumifs(Dados!$N:$N,Dados!$B:$B,B153,Dados!$J:$J,$D$1,Dados!$I:$I,$F$4)</f>
        <v>0</v>
      </c>
      <c r="G153" s="64">
        <f>sumifs(Dados!$N:$N,Dados!$B:$B,B153,Dados!$J:$J,$D$1,Dados!$I:$I,$G$4)</f>
        <v>0</v>
      </c>
      <c r="H153" s="64">
        <f>sumifs(Dados!$N:$N,Dados!$B:$B,B153,Dados!$J:$J,$D$1,Dados!$I:$I,$H$4)</f>
        <v>0</v>
      </c>
      <c r="I153" s="64">
        <f>sumifs(Dados!$N:$N,Dados!$B:$B,B153,Dados!$J:$J,$D$1,Dados!$I:$I,$I$4)</f>
        <v>0</v>
      </c>
      <c r="J153" s="64">
        <f>sumifs(Dados!$N:$N,Dados!$B:$B,B153,Dados!$J:$J,$D$1,Dados!$I:$I,$J$4)</f>
        <v>0</v>
      </c>
      <c r="K153" s="64">
        <f>sumifs(Dados!$N:$N,Dados!$B:$B,B153,Dados!$J:$J,$D$1,Dados!$I:$I,$K$4)</f>
        <v>0</v>
      </c>
      <c r="L153" s="64">
        <f>sumifs(Dados!$N:$N,Dados!$B:$B,B153,Dados!$J:$J,$D$1,Dados!$I:$I,$L$4)</f>
        <v>0</v>
      </c>
      <c r="M153" s="64">
        <f>sumifs(Dados!$N:$N,Dados!$B:$B,B153,Dados!$J:$J,$D$1,Dados!$I:$I,$M$4)</f>
        <v>0</v>
      </c>
      <c r="N153" s="64">
        <f>sumifs(Dados!$N:$N,Dados!$B:$B,B153,Dados!$J:$J,$D$1,Dados!$I:$I,$N$4)</f>
        <v>0</v>
      </c>
      <c r="O153" s="64">
        <f>sumifs(Dados!$N:$N,Dados!$B:$B,B153,Dados!$J:$J,$D$1,Dados!$I:$I,$O$4)</f>
        <v>0</v>
      </c>
      <c r="P153" s="64">
        <f>sumifs(Dados!$N:$N,Dados!$B:$B,B153,Dados!$J:$J,$D$1,Dados!$I:$I,$P$4)</f>
        <v>0</v>
      </c>
      <c r="Q153" s="64"/>
    </row>
    <row r="154" ht="15.75" customHeight="1">
      <c r="B154" s="27" t="s">
        <v>413</v>
      </c>
      <c r="C154" s="60"/>
      <c r="D154" s="61">
        <f t="shared" si="34"/>
        <v>0</v>
      </c>
      <c r="E154" s="64">
        <f>sumifs(Dados!$N:$N,Dados!$B:$B,$B$154,Dados!$J:$J,$D$1,Dados!$I:$I,E4)</f>
        <v>0</v>
      </c>
      <c r="F154" s="64">
        <f>sumifs(Dados!$N:$N,Dados!$B:$B,$B$154,Dados!$J:$J,$D$1,Dados!$I:$I,F4)</f>
        <v>0</v>
      </c>
      <c r="G154" s="64">
        <f>sumifs(Dados!$N:$N,Dados!$B:$B,$B$154,Dados!$J:$J,$D$1,Dados!$I:$I,G4)</f>
        <v>0</v>
      </c>
      <c r="H154" s="64">
        <f>sumifs(Dados!$N:$N,Dados!$B:$B,$B$154,Dados!$J:$J,$D$1,Dados!$I:$I,H4)</f>
        <v>0</v>
      </c>
      <c r="I154" s="64">
        <f>sumifs(Dados!$N:$N,Dados!$B:$B,$B$154,Dados!$J:$J,$D$1,Dados!$I:$I,I4)</f>
        <v>0</v>
      </c>
      <c r="J154" s="64">
        <f>sumifs(Dados!$N:$N,Dados!$B:$B,$B$154,Dados!$J:$J,$D$1,Dados!$I:$I,J4)</f>
        <v>0</v>
      </c>
      <c r="K154" s="64">
        <f>sumifs(Dados!$N:$N,Dados!$B:$B,$B$154,Dados!$J:$J,$D$1,Dados!$I:$I,K4)</f>
        <v>0</v>
      </c>
      <c r="L154" s="64">
        <f>sumifs(Dados!$N:$N,Dados!$B:$B,$B$154,Dados!$J:$J,$D$1,Dados!$I:$I,L4)</f>
        <v>0</v>
      </c>
      <c r="M154" s="64">
        <f>sumifs(Dados!$N:$N,Dados!$B:$B,$B$154,Dados!$J:$J,$D$1,Dados!$I:$I,M4)</f>
        <v>0</v>
      </c>
      <c r="N154" s="64">
        <f>sumifs(Dados!$N:$N,Dados!$B:$B,$B$154,Dados!$J:$J,$D$1,Dados!$I:$I,N4)</f>
        <v>0</v>
      </c>
      <c r="O154" s="64">
        <f>sumifs(Dados!$N:$N,Dados!$B:$B,$B$154,Dados!$J:$J,$D$1,Dados!$I:$I,O4)</f>
        <v>0</v>
      </c>
      <c r="P154" s="64">
        <f>sumifs(Dados!$N:$N,Dados!$B:$B,$B$154,Dados!$J:$J,$D$1,Dados!$I:$I,P4)</f>
        <v>0</v>
      </c>
      <c r="Q154" s="64"/>
    </row>
    <row r="155" ht="15.75" customHeight="1">
      <c r="A155" s="58"/>
      <c r="B155" s="58" t="s">
        <v>418</v>
      </c>
      <c r="C155" s="60"/>
      <c r="D155" s="61">
        <f t="shared" si="34"/>
        <v>0</v>
      </c>
      <c r="E155" s="64">
        <f>sumifs(Dados!$N:$N,Dados!$B:$B,B155,Dados!$J:$J,$D$1,Dados!$I:$I,$E$4)</f>
        <v>0</v>
      </c>
      <c r="F155" s="64">
        <f>sumifs(Dados!$N:$N,Dados!$B:$B,B155,Dados!$J:$J,$D$1,Dados!$I:$I,$F$4)</f>
        <v>0</v>
      </c>
      <c r="G155" s="64">
        <f>sumifs(Dados!$N:$N,Dados!$B:$B,B155,Dados!$J:$J,$D$1,Dados!$I:$I,$G$4)</f>
        <v>0</v>
      </c>
      <c r="H155" s="64">
        <f>sumifs(Dados!$N:$N,Dados!$B:$B,B155,Dados!$J:$J,$D$1,Dados!$I:$I,$H$4)</f>
        <v>0</v>
      </c>
      <c r="I155" s="64">
        <f>sumifs(Dados!$N:$N,Dados!$B:$B,B155,Dados!$J:$J,$D$1,Dados!$I:$I,$I$4)</f>
        <v>0</v>
      </c>
      <c r="J155" s="64">
        <f>sumifs(Dados!$N:$N,Dados!$B:$B,B155,Dados!$J:$J,$D$1,Dados!$I:$I,$J$4)</f>
        <v>0</v>
      </c>
      <c r="K155" s="64">
        <f>sumifs(Dados!$N:$N,Dados!$B:$B,B155,Dados!$J:$J,$D$1,Dados!$I:$I,$K$4)</f>
        <v>0</v>
      </c>
      <c r="L155" s="64">
        <f>sumifs(Dados!$N:$N,Dados!$B:$B,B155,Dados!$J:$J,$D$1,Dados!$I:$I,$L$4)</f>
        <v>0</v>
      </c>
      <c r="M155" s="64">
        <f>sumifs(Dados!$N:$N,Dados!$B:$B,B155,Dados!$J:$J,$D$1,Dados!$I:$I,$M$4)</f>
        <v>0</v>
      </c>
      <c r="N155" s="64">
        <f>sumifs(Dados!$N:$N,Dados!$B:$B,B155,Dados!$J:$J,$D$1,Dados!$I:$I,$N$4)</f>
        <v>0</v>
      </c>
      <c r="O155" s="64">
        <f>sumifs(Dados!$N:$N,Dados!$B:$B,B155,Dados!$J:$J,$D$1,Dados!$I:$I,$O$4)</f>
        <v>0</v>
      </c>
      <c r="P155" s="64">
        <f>sumifs(Dados!$N:$N,Dados!$B:$B,B155,Dados!$J:$J,$D$1,Dados!$I:$I,$P$4)</f>
        <v>0</v>
      </c>
      <c r="Q155" s="64"/>
    </row>
    <row r="156" ht="15.75" customHeight="1">
      <c r="A156" s="58"/>
      <c r="B156" s="59" t="s">
        <v>424</v>
      </c>
      <c r="C156" s="60"/>
      <c r="D156" s="61">
        <f t="shared" si="34"/>
        <v>0</v>
      </c>
      <c r="E156" s="64">
        <f>sumifs(Dados!$N:$N,Dados!$B:$B,B156,Dados!$J:$J,$D$1,Dados!$I:$I,$E$4)</f>
        <v>0</v>
      </c>
      <c r="F156" s="64">
        <f>sumifs(Dados!$N:$N,Dados!$B:$B,B156,Dados!$J:$J,$D$1,Dados!$I:$I,$F$4)</f>
        <v>0</v>
      </c>
      <c r="G156" s="64">
        <f>sumifs(Dados!$N:$N,Dados!$B:$B,B156,Dados!$J:$J,$D$1,Dados!$I:$I,$G$4)</f>
        <v>0</v>
      </c>
      <c r="H156" s="64">
        <f>sumifs(Dados!$N:$N,Dados!$B:$B,B156,Dados!$J:$J,$D$1,Dados!$I:$I,$H$4)</f>
        <v>0</v>
      </c>
      <c r="I156" s="64">
        <f>sumifs(Dados!$N:$N,Dados!$B:$B,B156,Dados!$J:$J,$D$1,Dados!$I:$I,$I$4)</f>
        <v>0</v>
      </c>
      <c r="J156" s="64">
        <f>sumifs(Dados!$N:$N,Dados!$B:$B,B156,Dados!$J:$J,$D$1,Dados!$I:$I,$J$4)</f>
        <v>0</v>
      </c>
      <c r="K156" s="64">
        <f>sumifs(Dados!$N:$N,Dados!$B:$B,B156,Dados!$J:$J,$D$1,Dados!$I:$I,$K$4)</f>
        <v>0</v>
      </c>
      <c r="L156" s="64">
        <f>sumifs(Dados!$N:$N,Dados!$B:$B,B156,Dados!$J:$J,$D$1,Dados!$I:$I,$L$4)</f>
        <v>0</v>
      </c>
      <c r="M156" s="64">
        <f>sumifs(Dados!$N:$N,Dados!$B:$B,B156,Dados!$J:$J,$D$1,Dados!$I:$I,$M$4)</f>
        <v>0</v>
      </c>
      <c r="N156" s="64">
        <f>sumifs(Dados!$N:$N,Dados!$B:$B,B156,Dados!$J:$J,$D$1,Dados!$I:$I,$N$4)</f>
        <v>0</v>
      </c>
      <c r="O156" s="64">
        <f>sumifs(Dados!$N:$N,Dados!$B:$B,B156,Dados!$J:$J,$D$1,Dados!$I:$I,$O$4)</f>
        <v>0</v>
      </c>
      <c r="P156" s="64">
        <f>sumifs(Dados!$N:$N,Dados!$B:$B,B156,Dados!$J:$J,$D$1,Dados!$I:$I,$P$4)</f>
        <v>0</v>
      </c>
      <c r="Q156" s="64"/>
    </row>
    <row r="157" ht="15.75" customHeight="1">
      <c r="A157" s="88" t="s">
        <v>435</v>
      </c>
      <c r="B157" s="89">
        <f>sumifs(Dados!$N:$N,Dados!$A:$A,A157,Dados!$H:$H,$D$1)</f>
        <v>0</v>
      </c>
      <c r="C157" s="90"/>
      <c r="D157" s="89">
        <f t="shared" ref="D157:P157" si="35">SUM(D145:D156)</f>
        <v>0</v>
      </c>
      <c r="E157" s="89">
        <f t="shared" si="35"/>
        <v>0</v>
      </c>
      <c r="F157" s="89">
        <f t="shared" si="35"/>
        <v>0</v>
      </c>
      <c r="G157" s="89">
        <f t="shared" si="35"/>
        <v>0</v>
      </c>
      <c r="H157" s="89">
        <f t="shared" si="35"/>
        <v>0</v>
      </c>
      <c r="I157" s="89">
        <f t="shared" si="35"/>
        <v>0</v>
      </c>
      <c r="J157" s="89">
        <f t="shared" si="35"/>
        <v>0</v>
      </c>
      <c r="K157" s="89">
        <f t="shared" si="35"/>
        <v>0</v>
      </c>
      <c r="L157" s="89">
        <f t="shared" si="35"/>
        <v>0</v>
      </c>
      <c r="M157" s="89">
        <f t="shared" si="35"/>
        <v>0</v>
      </c>
      <c r="N157" s="89">
        <f t="shared" si="35"/>
        <v>0</v>
      </c>
      <c r="O157" s="89">
        <f t="shared" si="35"/>
        <v>0</v>
      </c>
      <c r="P157" s="89">
        <f t="shared" si="35"/>
        <v>0</v>
      </c>
      <c r="Q157" s="89"/>
    </row>
    <row r="158" ht="15.75" customHeight="1">
      <c r="A158" s="58"/>
      <c r="B158" s="58" t="s">
        <v>437</v>
      </c>
      <c r="C158" s="60"/>
      <c r="D158" s="61">
        <f t="shared" ref="D158:D161" si="36">SUM(E158:P158)</f>
        <v>0</v>
      </c>
      <c r="E158" s="64">
        <f>sumifs(Dados!$N:$N,Dados!$B:$B,B158,Dados!$J:$J,$D$1,Dados!$I:$I,$E$4)</f>
        <v>0</v>
      </c>
      <c r="F158" s="64">
        <f>sumifs(Dados!$N:$N,Dados!$B:$B,B158,Dados!$J:$J,$D$1,Dados!$I:$I,$F$4)</f>
        <v>0</v>
      </c>
      <c r="G158" s="64">
        <f>sumifs(Dados!$N:$N,Dados!$B:$B,B158,Dados!$J:$J,$D$1,Dados!$I:$I,$G$4)</f>
        <v>0</v>
      </c>
      <c r="H158" s="64">
        <f>sumifs(Dados!$N:$N,Dados!$B:$B,B158,Dados!$J:$J,$D$1,Dados!$I:$I,$H$4)</f>
        <v>0</v>
      </c>
      <c r="I158" s="64">
        <f>sumifs(Dados!$N:$N,Dados!$B:$B,B158,Dados!$J:$J,$D$1,Dados!$I:$I,$I$4)</f>
        <v>0</v>
      </c>
      <c r="J158" s="64">
        <f>sumifs(Dados!$N:$N,Dados!$B:$B,B158,Dados!$J:$J,$D$1,Dados!$I:$I,$J$4)</f>
        <v>0</v>
      </c>
      <c r="K158" s="64">
        <f>sumifs(Dados!$N:$N,Dados!$B:$B,B158,Dados!$J:$J,$D$1,Dados!$I:$I,$K$4)</f>
        <v>0</v>
      </c>
      <c r="L158" s="64">
        <f>sumifs(Dados!$N:$N,Dados!$B:$B,B158,Dados!$J:$J,$D$1,Dados!$I:$I,$L$4)</f>
        <v>0</v>
      </c>
      <c r="M158" s="64">
        <f>sumifs(Dados!$N:$N,Dados!$B:$B,B158,Dados!$J:$J,$D$1,Dados!$I:$I,$M$4)</f>
        <v>0</v>
      </c>
      <c r="N158" s="64">
        <f>sumifs(Dados!$N:$N,Dados!$B:$B,B158,Dados!$J:$J,$D$1,Dados!$I:$I,$N$4)</f>
        <v>0</v>
      </c>
      <c r="O158" s="64">
        <f>sumifs(Dados!$N:$N,Dados!$B:$B,B158,Dados!$J:$J,$D$1,Dados!$I:$I,$O$4)</f>
        <v>0</v>
      </c>
      <c r="P158" s="64">
        <f>sumifs(Dados!$N:$N,Dados!$B:$B,B158,Dados!$J:$J,$D$1,Dados!$I:$I,$P$4)</f>
        <v>0</v>
      </c>
      <c r="Q158" s="64"/>
    </row>
    <row r="159" ht="15.75" customHeight="1">
      <c r="A159" s="58"/>
      <c r="B159" s="58" t="s">
        <v>449</v>
      </c>
      <c r="C159" s="60"/>
      <c r="D159" s="61">
        <f t="shared" si="36"/>
        <v>0</v>
      </c>
      <c r="E159" s="64">
        <f>sumifs(Dados!$N:$N,Dados!$B:$B,B159,Dados!$J:$J,$D$1,Dados!$I:$I,$E$4)</f>
        <v>0</v>
      </c>
      <c r="F159" s="64">
        <f>sumifs(Dados!$N:$N,Dados!$B:$B,B159,Dados!$J:$J,$D$1,Dados!$I:$I,$F$4)</f>
        <v>0</v>
      </c>
      <c r="G159" s="64">
        <f>sumifs(Dados!$N:$N,Dados!$B:$B,B159,Dados!$J:$J,$D$1,Dados!$I:$I,$G$4)</f>
        <v>0</v>
      </c>
      <c r="H159" s="64">
        <f>sumifs(Dados!$N:$N,Dados!$B:$B,B159,Dados!$J:$J,$D$1,Dados!$I:$I,$H$4)</f>
        <v>0</v>
      </c>
      <c r="I159" s="64">
        <f>sumifs(Dados!$N:$N,Dados!$B:$B,B159,Dados!$J:$J,$D$1,Dados!$I:$I,$I$4)</f>
        <v>0</v>
      </c>
      <c r="J159" s="64">
        <f>sumifs(Dados!$N:$N,Dados!$B:$B,B159,Dados!$J:$J,$D$1,Dados!$I:$I,$J$4)</f>
        <v>0</v>
      </c>
      <c r="K159" s="64">
        <f>sumifs(Dados!$N:$N,Dados!$B:$B,B159,Dados!$J:$J,$D$1,Dados!$I:$I,$K$4)</f>
        <v>0</v>
      </c>
      <c r="L159" s="64">
        <f>sumifs(Dados!$N:$N,Dados!$B:$B,B159,Dados!$J:$J,$D$1,Dados!$I:$I,$L$4)</f>
        <v>0</v>
      </c>
      <c r="M159" s="64">
        <f>sumifs(Dados!$N:$N,Dados!$B:$B,B159,Dados!$J:$J,$D$1,Dados!$I:$I,$M$4)</f>
        <v>0</v>
      </c>
      <c r="N159" s="64">
        <f>sumifs(Dados!$N:$N,Dados!$B:$B,B159,Dados!$J:$J,$D$1,Dados!$I:$I,$N$4)</f>
        <v>0</v>
      </c>
      <c r="O159" s="64">
        <f>sumifs(Dados!$N:$N,Dados!$B:$B,B159,Dados!$J:$J,$D$1,Dados!$I:$I,$O$4)</f>
        <v>0</v>
      </c>
      <c r="P159" s="64">
        <f>sumifs(Dados!$N:$N,Dados!$B:$B,B159,Dados!$J:$J,$D$1,Dados!$I:$I,$P$4)</f>
        <v>0</v>
      </c>
      <c r="Q159" s="64"/>
    </row>
    <row r="160" ht="15.75" customHeight="1">
      <c r="A160" s="58"/>
      <c r="B160" s="59" t="s">
        <v>455</v>
      </c>
      <c r="C160" s="60"/>
      <c r="D160" s="61">
        <f t="shared" si="36"/>
        <v>50</v>
      </c>
      <c r="E160" s="64">
        <f>sumifs(Dados!$N:$N,Dados!$B:$B,$B$160,Dados!$J:$J,$D$1,Dados!$I:$I,E4)</f>
        <v>0</v>
      </c>
      <c r="F160" s="64">
        <f>sumifs(Dados!$N:$N,Dados!$B:$B,$B$160,Dados!$J:$J,$D$1,Dados!$I:$I,F4)</f>
        <v>0</v>
      </c>
      <c r="G160" s="64">
        <f>sumifs(Dados!$N:$N,Dados!$B:$B,$B$160,Dados!$J:$J,$D$1,Dados!$I:$I,G4)</f>
        <v>0</v>
      </c>
      <c r="H160" s="64">
        <f>sumifs(Dados!$N:$N,Dados!$B:$B,$B$160,Dados!$J:$J,$D$1,Dados!$I:$I,H4)</f>
        <v>0</v>
      </c>
      <c r="I160" s="64">
        <f>sumifs(Dados!$N:$N,Dados!$B:$B,$B$160,Dados!$J:$J,$D$1,Dados!$I:$I,I4)</f>
        <v>0</v>
      </c>
      <c r="J160" s="64">
        <f>sumifs(Dados!$N:$N,Dados!$B:$B,$B$160,Dados!$J:$J,$D$1,Dados!$I:$I,J4)</f>
        <v>0</v>
      </c>
      <c r="K160" s="64">
        <f>sumifs(Dados!$N:$N,Dados!$B:$B,$B$160,Dados!$J:$J,$D$1,Dados!$I:$I,K4)</f>
        <v>0</v>
      </c>
      <c r="L160" s="64">
        <f>sumifs(Dados!$N:$N,Dados!$B:$B,$B$160,Dados!$J:$J,$D$1,Dados!$I:$I,L4)</f>
        <v>0</v>
      </c>
      <c r="M160" s="64">
        <f>sumifs(Dados!$N:$N,Dados!$B:$B,$B$160,Dados!$J:$J,$D$1,Dados!$I:$I,M4)</f>
        <v>50</v>
      </c>
      <c r="N160" s="64">
        <f>sumifs(Dados!$N:$N,Dados!$B:$B,$B$160,Dados!$J:$J,$D$1,Dados!$I:$I,N4)</f>
        <v>0</v>
      </c>
      <c r="O160" s="64">
        <f>sumifs(Dados!$N:$N,Dados!$B:$B,$B$160,Dados!$J:$J,$D$1,Dados!$I:$I,O4)</f>
        <v>0</v>
      </c>
      <c r="P160" s="64">
        <f>sumifs(Dados!$N:$N,Dados!$B:$B,$B$160,Dados!$J:$J,$D$1,Dados!$I:$I,P4)</f>
        <v>0</v>
      </c>
      <c r="Q160" s="64"/>
    </row>
    <row r="161" ht="15.75" customHeight="1">
      <c r="A161" s="58"/>
      <c r="B161" s="58" t="s">
        <v>463</v>
      </c>
      <c r="C161" s="60"/>
      <c r="D161" s="61">
        <f t="shared" si="36"/>
        <v>0</v>
      </c>
      <c r="E161" s="64">
        <f>sumifs(Dados!$N:$N,Dados!$B:$B,B161,Dados!$J:$J,$D$1,Dados!$I:$I,$E$4)</f>
        <v>0</v>
      </c>
      <c r="F161" s="64">
        <f>sumifs(Dados!$N:$N,Dados!$B:$B,B161,Dados!$J:$J,$D$1,Dados!$I:$I,$F$4)</f>
        <v>0</v>
      </c>
      <c r="G161" s="64">
        <f>sumifs(Dados!$N:$N,Dados!$B:$B,B161,Dados!$J:$J,$D$1,Dados!$I:$I,$G$4)</f>
        <v>0</v>
      </c>
      <c r="H161" s="64">
        <f>sumifs(Dados!$N:$N,Dados!$B:$B,B161,Dados!$J:$J,$D$1,Dados!$I:$I,$H$4)</f>
        <v>0</v>
      </c>
      <c r="I161" s="64">
        <f>sumifs(Dados!$N:$N,Dados!$B:$B,B161,Dados!$J:$J,$D$1,Dados!$I:$I,$I$4)</f>
        <v>0</v>
      </c>
      <c r="J161" s="64">
        <f>sumifs(Dados!$N:$N,Dados!$B:$B,B161,Dados!$J:$J,$D$1,Dados!$I:$I,$J$4)</f>
        <v>0</v>
      </c>
      <c r="K161" s="64">
        <f>sumifs(Dados!$N:$N,Dados!$B:$B,B161,Dados!$J:$J,$D$1,Dados!$I:$I,$K$4)</f>
        <v>0</v>
      </c>
      <c r="L161" s="64">
        <f>sumifs(Dados!$N:$N,Dados!$B:$B,B161,Dados!$J:$J,$D$1,Dados!$I:$I,$L$4)</f>
        <v>0</v>
      </c>
      <c r="M161" s="64">
        <f>sumifs(Dados!$N:$N,Dados!$B:$B,B161,Dados!$J:$J,$D$1,Dados!$I:$I,$M$4)</f>
        <v>0</v>
      </c>
      <c r="N161" s="64">
        <f>sumifs(Dados!$N:$N,Dados!$B:$B,B161,Dados!$J:$J,$D$1,Dados!$I:$I,$N$4)</f>
        <v>0</v>
      </c>
      <c r="O161" s="64">
        <f>sumifs(Dados!$N:$N,Dados!$B:$B,B161,Dados!$J:$J,$D$1,Dados!$I:$I,$O$4)</f>
        <v>0</v>
      </c>
      <c r="P161" s="64">
        <f>sumifs(Dados!$N:$N,Dados!$B:$B,B161,Dados!$J:$J,$D$1,Dados!$I:$I,$P$4)</f>
        <v>0</v>
      </c>
      <c r="Q161" s="64"/>
    </row>
    <row r="162" ht="15.75" customHeight="1">
      <c r="A162" s="88" t="s">
        <v>469</v>
      </c>
      <c r="B162" s="89">
        <f>sumifs(Dados!$N:$N,Dados!$A:$A,A162,Dados!$H:$H,$D$1)</f>
        <v>0</v>
      </c>
      <c r="C162" s="90"/>
      <c r="D162" s="89">
        <f t="shared" ref="D162:P162" si="37">SUM(D158:D161)</f>
        <v>50</v>
      </c>
      <c r="E162" s="89">
        <f t="shared" si="37"/>
        <v>0</v>
      </c>
      <c r="F162" s="89">
        <f t="shared" si="37"/>
        <v>0</v>
      </c>
      <c r="G162" s="89">
        <f t="shared" si="37"/>
        <v>0</v>
      </c>
      <c r="H162" s="89">
        <f t="shared" si="37"/>
        <v>0</v>
      </c>
      <c r="I162" s="89">
        <f t="shared" si="37"/>
        <v>0</v>
      </c>
      <c r="J162" s="89">
        <f t="shared" si="37"/>
        <v>0</v>
      </c>
      <c r="K162" s="89">
        <f t="shared" si="37"/>
        <v>0</v>
      </c>
      <c r="L162" s="89">
        <f t="shared" si="37"/>
        <v>0</v>
      </c>
      <c r="M162" s="89">
        <f t="shared" si="37"/>
        <v>50</v>
      </c>
      <c r="N162" s="89">
        <f t="shared" si="37"/>
        <v>0</v>
      </c>
      <c r="O162" s="89">
        <f t="shared" si="37"/>
        <v>0</v>
      </c>
      <c r="P162" s="89">
        <f t="shared" si="37"/>
        <v>0</v>
      </c>
      <c r="Q162" s="89"/>
    </row>
    <row r="163" ht="15.75" customHeight="1">
      <c r="A163" s="58"/>
      <c r="B163" s="59" t="s">
        <v>471</v>
      </c>
      <c r="C163" s="60"/>
      <c r="D163" s="61">
        <f t="shared" ref="D163:D166" si="38">SUM(E163:P163)</f>
        <v>0</v>
      </c>
      <c r="E163" s="64">
        <f>sumifs(Dados!$N:$N,Dados!$B:$B,B163,Dados!$J:$J,$D$1,Dados!$I:$I,$E$4)</f>
        <v>0</v>
      </c>
      <c r="F163" s="64">
        <f>sumifs(Dados!$N:$N,Dados!$B:$B,B163,Dados!$J:$J,$D$1,Dados!$I:$I,$F$4)</f>
        <v>0</v>
      </c>
      <c r="G163" s="64">
        <f>sumifs(Dados!$N:$N,Dados!$B:$B,B163,Dados!$J:$J,$D$1,Dados!$I:$I,$G$4)</f>
        <v>0</v>
      </c>
      <c r="H163" s="64">
        <f>sumifs(Dados!$N:$N,Dados!$B:$B,B163,Dados!$J:$J,$D$1,Dados!$I:$I,$H$4)</f>
        <v>0</v>
      </c>
      <c r="I163" s="64">
        <f>sumifs(Dados!$N:$N,Dados!$B:$B,B163,Dados!$J:$J,$D$1,Dados!$I:$I,$I$4)</f>
        <v>0</v>
      </c>
      <c r="J163" s="64">
        <f>sumifs(Dados!$N:$N,Dados!$B:$B,B163,Dados!$J:$J,$D$1,Dados!$I:$I,$J$4)</f>
        <v>0</v>
      </c>
      <c r="K163" s="64">
        <f>sumifs(Dados!$N:$N,Dados!$B:$B,B163,Dados!$J:$J,$D$1,Dados!$I:$I,$K$4)</f>
        <v>0</v>
      </c>
      <c r="L163" s="64">
        <f>sumifs(Dados!$N:$N,Dados!$B:$B,B163,Dados!$J:$J,$D$1,Dados!$I:$I,$L$4)</f>
        <v>0</v>
      </c>
      <c r="M163" s="64">
        <f>sumifs(Dados!$N:$N,Dados!$B:$B,B163,Dados!$J:$J,$D$1,Dados!$I:$I,$M$4)</f>
        <v>0</v>
      </c>
      <c r="N163" s="64">
        <f>sumifs(Dados!$N:$N,Dados!$B:$B,B163,Dados!$J:$J,$D$1,Dados!$I:$I,$N$4)</f>
        <v>0</v>
      </c>
      <c r="O163" s="64">
        <f>sumifs(Dados!$N:$N,Dados!$B:$B,B163,Dados!$J:$J,$D$1,Dados!$I:$I,$O$4)</f>
        <v>0</v>
      </c>
      <c r="P163" s="64">
        <f>sumifs(Dados!$N:$N,Dados!$B:$B,B163,Dados!$J:$J,$D$1,Dados!$I:$I,$P$4)</f>
        <v>0</v>
      </c>
      <c r="Q163" s="64"/>
    </row>
    <row r="164" ht="15.75" customHeight="1">
      <c r="A164" s="58"/>
      <c r="B164" s="59" t="s">
        <v>490</v>
      </c>
      <c r="C164" s="60"/>
      <c r="D164" s="61">
        <f t="shared" si="38"/>
        <v>0</v>
      </c>
      <c r="E164" s="64">
        <f>sumifs(Dados!$N:$N,Dados!$B:$B,B164,Dados!$J:$J,$D$1,Dados!$I:$I,$E$4)</f>
        <v>0</v>
      </c>
      <c r="F164" s="64">
        <f>sumifs(Dados!$N:$N,Dados!$B:$B,B164,Dados!$J:$J,$D$1,Dados!$I:$I,$F$4)</f>
        <v>0</v>
      </c>
      <c r="G164" s="64">
        <f>sumifs(Dados!$N:$N,Dados!$B:$B,B164,Dados!$J:$J,$D$1,Dados!$I:$I,$G$4)</f>
        <v>0</v>
      </c>
      <c r="H164" s="64">
        <f>sumifs(Dados!$N:$N,Dados!$B:$B,B164,Dados!$J:$J,$D$1,Dados!$I:$I,$H$4)</f>
        <v>0</v>
      </c>
      <c r="I164" s="64">
        <f>sumifs(Dados!$N:$N,Dados!$B:$B,B164,Dados!$J:$J,$D$1,Dados!$I:$I,$I$4)</f>
        <v>0</v>
      </c>
      <c r="J164" s="64">
        <f>sumifs(Dados!$N:$N,Dados!$B:$B,B164,Dados!$J:$J,$D$1,Dados!$I:$I,$J$4)</f>
        <v>0</v>
      </c>
      <c r="K164" s="64">
        <f>sumifs(Dados!$N:$N,Dados!$B:$B,B164,Dados!$J:$J,$D$1,Dados!$I:$I,$K$4)</f>
        <v>0</v>
      </c>
      <c r="L164" s="64">
        <f>sumifs(Dados!$N:$N,Dados!$B:$B,B164,Dados!$J:$J,$D$1,Dados!$I:$I,$L$4)</f>
        <v>0</v>
      </c>
      <c r="M164" s="64">
        <f>sumifs(Dados!$N:$N,Dados!$B:$B,B164,Dados!$J:$J,$D$1,Dados!$I:$I,$M$4)</f>
        <v>0</v>
      </c>
      <c r="N164" s="64">
        <f>sumifs(Dados!$N:$N,Dados!$B:$B,B164,Dados!$J:$J,$D$1,Dados!$I:$I,$N$4)</f>
        <v>0</v>
      </c>
      <c r="O164" s="64">
        <f>sumifs(Dados!$N:$N,Dados!$B:$B,B164,Dados!$J:$J,$D$1,Dados!$I:$I,$O$4)</f>
        <v>0</v>
      </c>
      <c r="P164" s="64">
        <f>sumifs(Dados!$N:$N,Dados!$B:$B,B164,Dados!$J:$J,$D$1,Dados!$I:$I,$P$4)</f>
        <v>0</v>
      </c>
      <c r="Q164" s="64"/>
    </row>
    <row r="165" ht="15.75" customHeight="1">
      <c r="A165" s="58"/>
      <c r="B165" s="58" t="s">
        <v>510</v>
      </c>
      <c r="C165" s="60"/>
      <c r="D165" s="61">
        <f t="shared" si="38"/>
        <v>0</v>
      </c>
      <c r="E165" s="64">
        <f>sumifs(Dados!$N:$N,Dados!$B:$B,B165,Dados!$J:$J,$D$1,Dados!$I:$I,$E$4)</f>
        <v>0</v>
      </c>
      <c r="F165" s="64">
        <f>sumifs(Dados!$N:$N,Dados!$B:$B,B165,Dados!$J:$J,$D$1,Dados!$I:$I,$F$4)</f>
        <v>0</v>
      </c>
      <c r="G165" s="64">
        <f>sumifs(Dados!$N:$N,Dados!$B:$B,B165,Dados!$J:$J,$D$1,Dados!$I:$I,$G$4)</f>
        <v>0</v>
      </c>
      <c r="H165" s="64">
        <f>sumifs(Dados!$N:$N,Dados!$B:$B,B165,Dados!$J:$J,$D$1,Dados!$I:$I,$H$4)</f>
        <v>0</v>
      </c>
      <c r="I165" s="64">
        <f>sumifs(Dados!$N:$N,Dados!$B:$B,B165,Dados!$J:$J,$D$1,Dados!$I:$I,$I$4)</f>
        <v>0</v>
      </c>
      <c r="J165" s="64">
        <f>sumifs(Dados!$N:$N,Dados!$B:$B,B165,Dados!$J:$J,$D$1,Dados!$I:$I,$J$4)</f>
        <v>0</v>
      </c>
      <c r="K165" s="64">
        <f>sumifs(Dados!$N:$N,Dados!$B:$B,B165,Dados!$J:$J,$D$1,Dados!$I:$I,$K$4)</f>
        <v>0</v>
      </c>
      <c r="L165" s="64">
        <f>sumifs(Dados!$N:$N,Dados!$B:$B,B165,Dados!$J:$J,$D$1,Dados!$I:$I,$L$4)</f>
        <v>0</v>
      </c>
      <c r="M165" s="64">
        <f>sumifs(Dados!$N:$N,Dados!$B:$B,B165,Dados!$J:$J,$D$1,Dados!$I:$I,$M$4)</f>
        <v>0</v>
      </c>
      <c r="N165" s="64">
        <f>sumifs(Dados!$N:$N,Dados!$B:$B,B165,Dados!$J:$J,$D$1,Dados!$I:$I,$N$4)</f>
        <v>0</v>
      </c>
      <c r="O165" s="64">
        <f>sumifs(Dados!$N:$N,Dados!$B:$B,B165,Dados!$J:$J,$D$1,Dados!$I:$I,$O$4)</f>
        <v>0</v>
      </c>
      <c r="P165" s="64">
        <f>sumifs(Dados!$N:$N,Dados!$B:$B,B165,Dados!$J:$J,$D$1,Dados!$I:$I,$P$4)</f>
        <v>0</v>
      </c>
      <c r="Q165" s="64"/>
    </row>
    <row r="166" ht="15.75" customHeight="1">
      <c r="A166" s="58"/>
      <c r="B166" s="58" t="s">
        <v>145</v>
      </c>
      <c r="C166" s="60"/>
      <c r="D166" s="61">
        <f t="shared" si="38"/>
        <v>782.91</v>
      </c>
      <c r="E166" s="64">
        <f>sumifs(Dados!$N:$N,Dados!$B:$B,B166,Dados!$J:$J,$D$1,Dados!$I:$I,$E$4)</f>
        <v>0</v>
      </c>
      <c r="F166" s="64">
        <f>sumifs(Dados!$N:$N,Dados!$B:$B,B166,Dados!$J:$J,$D$1,Dados!$I:$I,$F$4)</f>
        <v>0</v>
      </c>
      <c r="G166" s="64">
        <f>sumifs(Dados!$N:$N,Dados!$B:$B,B166,Dados!$J:$J,$D$1,Dados!$I:$I,$G$4)</f>
        <v>0</v>
      </c>
      <c r="H166" s="64">
        <f>sumifs(Dados!$N:$N,Dados!$B:$B,B166,Dados!$J:$J,$D$1,Dados!$I:$I,$H$4)</f>
        <v>89.28</v>
      </c>
      <c r="I166" s="64">
        <f>sumifs(Dados!$N:$N,Dados!$B:$B,B166,Dados!$J:$J,$D$1,Dados!$I:$I,$I$4)</f>
        <v>167.4</v>
      </c>
      <c r="J166" s="64">
        <f>sumifs(Dados!$N:$N,Dados!$B:$B,B166,Dados!$J:$J,$D$1,Dados!$I:$I,$J$4)</f>
        <v>100.44</v>
      </c>
      <c r="K166" s="64">
        <f>sumifs(Dados!$N:$N,Dados!$B:$B,B166,Dados!$J:$J,$D$1,Dados!$I:$I,$K$4)</f>
        <v>152.37</v>
      </c>
      <c r="L166" s="64">
        <f>sumifs(Dados!$N:$N,Dados!$B:$B,B166,Dados!$J:$J,$D$1,Dados!$I:$I,$L$4)</f>
        <v>184.14</v>
      </c>
      <c r="M166" s="64">
        <f>sumifs(Dados!$N:$N,Dados!$B:$B,B166,Dados!$J:$J,$D$1,Dados!$I:$I,$M$4)</f>
        <v>89.28</v>
      </c>
      <c r="N166" s="64">
        <f>sumifs(Dados!$N:$N,Dados!$B:$B,B166,Dados!$J:$J,$D$1,Dados!$I:$I,$N$4)</f>
        <v>0</v>
      </c>
      <c r="O166" s="64">
        <f>sumifs(Dados!$N:$N,Dados!$B:$B,B166,Dados!$J:$J,$D$1,Dados!$I:$I,$O$4)</f>
        <v>0</v>
      </c>
      <c r="P166" s="64">
        <f>sumifs(Dados!$N:$N,Dados!$B:$B,B166,Dados!$J:$J,$D$1,Dados!$I:$I,$P$4)</f>
        <v>0</v>
      </c>
      <c r="Q166" s="64"/>
    </row>
    <row r="167" ht="15.75" customHeight="1">
      <c r="A167" s="88" t="s">
        <v>528</v>
      </c>
      <c r="B167" s="89">
        <f>sumifs(Dados!$N:$N,Dados!$A:$A,A167,Dados!$H:$H,$D$1)</f>
        <v>832.91</v>
      </c>
      <c r="C167" s="90">
        <f>D167+D162+D157-B167</f>
        <v>0</v>
      </c>
      <c r="D167" s="89">
        <f t="shared" ref="D167:P167" si="39">SUM(D163:D166)</f>
        <v>782.91</v>
      </c>
      <c r="E167" s="89">
        <f t="shared" si="39"/>
        <v>0</v>
      </c>
      <c r="F167" s="89">
        <f t="shared" si="39"/>
        <v>0</v>
      </c>
      <c r="G167" s="89">
        <f t="shared" si="39"/>
        <v>0</v>
      </c>
      <c r="H167" s="89">
        <f t="shared" si="39"/>
        <v>89.28</v>
      </c>
      <c r="I167" s="89">
        <f t="shared" si="39"/>
        <v>167.4</v>
      </c>
      <c r="J167" s="89">
        <f t="shared" si="39"/>
        <v>100.44</v>
      </c>
      <c r="K167" s="89">
        <f t="shared" si="39"/>
        <v>152.37</v>
      </c>
      <c r="L167" s="89">
        <f t="shared" si="39"/>
        <v>184.14</v>
      </c>
      <c r="M167" s="89">
        <f t="shared" si="39"/>
        <v>89.28</v>
      </c>
      <c r="N167" s="89">
        <f t="shared" si="39"/>
        <v>0</v>
      </c>
      <c r="O167" s="89">
        <f t="shared" si="39"/>
        <v>0</v>
      </c>
      <c r="P167" s="89">
        <f t="shared" si="39"/>
        <v>0</v>
      </c>
      <c r="Q167" s="89"/>
    </row>
    <row r="168" ht="15.75" customHeight="1">
      <c r="A168" s="58"/>
      <c r="B168" s="59" t="s">
        <v>424</v>
      </c>
      <c r="C168" s="60"/>
      <c r="D168" s="61">
        <f t="shared" ref="D168:D173" si="40">SUM(E168:P168)</f>
        <v>0</v>
      </c>
      <c r="E168" s="64">
        <f>sumifs(Dados!$N:$N,Dados!$B:$B,B168,Dados!$J:$J,$D$1,Dados!$I:$I,$E$4)</f>
        <v>0</v>
      </c>
      <c r="F168" s="64">
        <f>sumifs(Dados!$N:$N,Dados!$B:$B,B168,Dados!$J:$J,$D$1,Dados!$I:$I,$F$4)</f>
        <v>0</v>
      </c>
      <c r="G168" s="64">
        <f>sumifs(Dados!$N:$N,Dados!$B:$B,B168,Dados!$J:$J,$D$1,Dados!$I:$I,$G$4)</f>
        <v>0</v>
      </c>
      <c r="H168" s="64">
        <f>sumifs(Dados!$N:$N,Dados!$B:$B,B168,Dados!$J:$J,$D$1,Dados!$I:$I,$H$4)</f>
        <v>0</v>
      </c>
      <c r="I168" s="64">
        <f>sumifs(Dados!$N:$N,Dados!$B:$B,B168,Dados!$J:$J,$D$1,Dados!$I:$I,$I$4)</f>
        <v>0</v>
      </c>
      <c r="J168" s="64">
        <f>sumifs(Dados!$N:$N,Dados!$B:$B,B168,Dados!$J:$J,$D$1,Dados!$I:$I,$J$4)</f>
        <v>0</v>
      </c>
      <c r="K168" s="64">
        <f>sumifs(Dados!$N:$N,Dados!$B:$B,B168,Dados!$J:$J,$D$1,Dados!$I:$I,$K$4)</f>
        <v>0</v>
      </c>
      <c r="L168" s="64">
        <f>sumifs(Dados!$N:$N,Dados!$B:$B,B168,Dados!$J:$J,$D$1,Dados!$I:$I,$L$4)</f>
        <v>0</v>
      </c>
      <c r="M168" s="64">
        <f>sumifs(Dados!$N:$N,Dados!$B:$B,B168,Dados!$J:$J,$D$1,Dados!$I:$I,$M$4)</f>
        <v>0</v>
      </c>
      <c r="N168" s="64">
        <f>sumifs(Dados!$N:$N,Dados!$B:$B,B168,Dados!$J:$J,$D$1,Dados!$I:$I,$N$4)</f>
        <v>0</v>
      </c>
      <c r="O168" s="64">
        <f>sumifs(Dados!$N:$N,Dados!$B:$B,B168,Dados!$J:$J,$D$1,Dados!$I:$I,$O$4)</f>
        <v>0</v>
      </c>
      <c r="P168" s="64">
        <f>sumifs(Dados!$N:$N,Dados!$B:$B,B168,Dados!$J:$J,$D$1,Dados!$I:$I,$P$4)</f>
        <v>0</v>
      </c>
      <c r="Q168" s="64"/>
    </row>
    <row r="169" ht="15.75" customHeight="1">
      <c r="A169" s="58"/>
      <c r="B169" s="58" t="s">
        <v>546</v>
      </c>
      <c r="C169" s="60"/>
      <c r="D169" s="61">
        <f t="shared" si="40"/>
        <v>0</v>
      </c>
      <c r="E169" s="64">
        <f>sumifs(Dados!$N:$N,Dados!$B:$B,B169,Dados!$J:$J,$D$1,Dados!$I:$I,$E$4)</f>
        <v>0</v>
      </c>
      <c r="F169" s="64">
        <f>sumifs(Dados!$N:$N,Dados!$B:$B,B169,Dados!$J:$J,$D$1,Dados!$I:$I,$F$4)</f>
        <v>0</v>
      </c>
      <c r="G169" s="64">
        <f>sumifs(Dados!$N:$N,Dados!$B:$B,B169,Dados!$J:$J,$D$1,Dados!$I:$I,$G$4)</f>
        <v>0</v>
      </c>
      <c r="H169" s="64">
        <f>sumifs(Dados!$N:$N,Dados!$B:$B,B169,Dados!$J:$J,$D$1,Dados!$I:$I,$H$4)</f>
        <v>0</v>
      </c>
      <c r="I169" s="64">
        <f>sumifs(Dados!$N:$N,Dados!$B:$B,B169,Dados!$J:$J,$D$1,Dados!$I:$I,$I$4)</f>
        <v>0</v>
      </c>
      <c r="J169" s="64">
        <f>sumifs(Dados!$N:$N,Dados!$B:$B,B169,Dados!$J:$J,$D$1,Dados!$I:$I,$J$4)</f>
        <v>0</v>
      </c>
      <c r="K169" s="64">
        <f>sumifs(Dados!$N:$N,Dados!$B:$B,B169,Dados!$J:$J,$D$1,Dados!$I:$I,$K$4)</f>
        <v>0</v>
      </c>
      <c r="L169" s="64">
        <f>sumifs(Dados!$N:$N,Dados!$B:$B,B169,Dados!$J:$J,$D$1,Dados!$I:$I,$L$4)</f>
        <v>0</v>
      </c>
      <c r="M169" s="64">
        <f>sumifs(Dados!$N:$N,Dados!$B:$B,B169,Dados!$J:$J,$D$1,Dados!$I:$I,$M$4)</f>
        <v>0</v>
      </c>
      <c r="N169" s="64">
        <f>sumifs(Dados!$N:$N,Dados!$B:$B,B169,Dados!$J:$J,$D$1,Dados!$I:$I,$N$4)</f>
        <v>0</v>
      </c>
      <c r="O169" s="64">
        <f>sumifs(Dados!$N:$N,Dados!$B:$B,B169,Dados!$J:$J,$D$1,Dados!$I:$I,$O$4)</f>
        <v>0</v>
      </c>
      <c r="P169" s="64">
        <f>sumifs(Dados!$N:$N,Dados!$B:$B,B169,Dados!$J:$J,$D$1,Dados!$I:$I,$P$4)</f>
        <v>0</v>
      </c>
      <c r="Q169" s="64"/>
    </row>
    <row r="170" ht="15.75" customHeight="1">
      <c r="A170" s="58"/>
      <c r="B170" s="58" t="s">
        <v>560</v>
      </c>
      <c r="C170" s="60"/>
      <c r="D170" s="61">
        <f t="shared" si="40"/>
        <v>0</v>
      </c>
      <c r="E170" s="64">
        <f>sumifs(Dados!$N:$N,Dados!$B:$B,B170,Dados!$J:$J,$D$1,Dados!$I:$I,$E$4)</f>
        <v>0</v>
      </c>
      <c r="F170" s="64">
        <f>sumifs(Dados!$N:$N,Dados!$B:$B,B170,Dados!$J:$J,$D$1,Dados!$I:$I,$F$4)</f>
        <v>0</v>
      </c>
      <c r="G170" s="64">
        <f>sumifs(Dados!$N:$N,Dados!$B:$B,B170,Dados!$J:$J,$D$1,Dados!$I:$I,$G$4)</f>
        <v>0</v>
      </c>
      <c r="H170" s="64">
        <f>sumifs(Dados!$N:$N,Dados!$B:$B,B170,Dados!$J:$J,$D$1,Dados!$I:$I,$H$4)</f>
        <v>0</v>
      </c>
      <c r="I170" s="64">
        <f>sumifs(Dados!$N:$N,Dados!$B:$B,B170,Dados!$J:$J,$D$1,Dados!$I:$I,$I$4)</f>
        <v>0</v>
      </c>
      <c r="J170" s="64">
        <f>sumifs(Dados!$N:$N,Dados!$B:$B,B170,Dados!$J:$J,$D$1,Dados!$I:$I,$J$4)</f>
        <v>0</v>
      </c>
      <c r="K170" s="64">
        <f>sumifs(Dados!$N:$N,Dados!$B:$B,B170,Dados!$J:$J,$D$1,Dados!$I:$I,$K$4)</f>
        <v>0</v>
      </c>
      <c r="L170" s="64">
        <f>sumifs(Dados!$N:$N,Dados!$B:$B,B170,Dados!$J:$J,$D$1,Dados!$I:$I,$L$4)</f>
        <v>0</v>
      </c>
      <c r="M170" s="64">
        <f>sumifs(Dados!$N:$N,Dados!$B:$B,B170,Dados!$J:$J,$D$1,Dados!$I:$I,$M$4)</f>
        <v>0</v>
      </c>
      <c r="N170" s="64">
        <f>sumifs(Dados!$N:$N,Dados!$B:$B,B170,Dados!$J:$J,$D$1,Dados!$I:$I,$N$4)</f>
        <v>0</v>
      </c>
      <c r="O170" s="64">
        <f>sumifs(Dados!$N:$N,Dados!$B:$B,B170,Dados!$J:$J,$D$1,Dados!$I:$I,$O$4)</f>
        <v>0</v>
      </c>
      <c r="P170" s="64">
        <f>sumifs(Dados!$N:$N,Dados!$B:$B,B170,Dados!$J:$J,$D$1,Dados!$I:$I,$P$4)</f>
        <v>0</v>
      </c>
      <c r="Q170" s="64"/>
    </row>
    <row r="171" ht="15.75" customHeight="1">
      <c r="A171" s="58"/>
      <c r="B171" s="58" t="s">
        <v>574</v>
      </c>
      <c r="C171" s="60"/>
      <c r="D171" s="61">
        <f t="shared" si="40"/>
        <v>0</v>
      </c>
      <c r="E171" s="64">
        <f>sumifs(Dados!$N:$N,Dados!$B:$B,B171,Dados!$J:$J,$D$1,Dados!$I:$I,$E$4)</f>
        <v>0</v>
      </c>
      <c r="F171" s="64">
        <f>sumifs(Dados!$N:$N,Dados!$B:$B,B171,Dados!$J:$J,$D$1,Dados!$I:$I,$F$4)</f>
        <v>0</v>
      </c>
      <c r="G171" s="64">
        <f>sumifs(Dados!$N:$N,Dados!$B:$B,B171,Dados!$J:$J,$D$1,Dados!$I:$I,$G$4)</f>
        <v>0</v>
      </c>
      <c r="H171" s="64">
        <f>sumifs(Dados!$N:$N,Dados!$B:$B,B171,Dados!$J:$J,$D$1,Dados!$I:$I,$H$4)</f>
        <v>0</v>
      </c>
      <c r="I171" s="64">
        <f>sumifs(Dados!$N:$N,Dados!$B:$B,B171,Dados!$J:$J,$D$1,Dados!$I:$I,$I$4)</f>
        <v>0</v>
      </c>
      <c r="J171" s="64">
        <f>sumifs(Dados!$N:$N,Dados!$B:$B,B171,Dados!$J:$J,$D$1,Dados!$I:$I,$J$4)</f>
        <v>0</v>
      </c>
      <c r="K171" s="64">
        <f>sumifs(Dados!$N:$N,Dados!$B:$B,B171,Dados!$J:$J,$D$1,Dados!$I:$I,$K$4)</f>
        <v>0</v>
      </c>
      <c r="L171" s="64">
        <f>sumifs(Dados!$N:$N,Dados!$B:$B,B171,Dados!$J:$J,$D$1,Dados!$I:$I,$L$4)</f>
        <v>0</v>
      </c>
      <c r="M171" s="64">
        <f>sumifs(Dados!$N:$N,Dados!$B:$B,B171,Dados!$J:$J,$D$1,Dados!$I:$I,$M$4)</f>
        <v>0</v>
      </c>
      <c r="N171" s="64">
        <f>sumifs(Dados!$N:$N,Dados!$B:$B,B171,Dados!$J:$J,$D$1,Dados!$I:$I,$N$4)</f>
        <v>0</v>
      </c>
      <c r="O171" s="64">
        <f>sumifs(Dados!$N:$N,Dados!$B:$B,B171,Dados!$J:$J,$D$1,Dados!$I:$I,$O$4)</f>
        <v>0</v>
      </c>
      <c r="P171" s="64">
        <f>sumifs(Dados!$N:$N,Dados!$B:$B,B171,Dados!$J:$J,$D$1,Dados!$I:$I,$P$4)</f>
        <v>0</v>
      </c>
      <c r="Q171" s="64"/>
    </row>
    <row r="172" ht="15.75" customHeight="1">
      <c r="A172" s="58"/>
      <c r="B172" s="58" t="s">
        <v>584</v>
      </c>
      <c r="C172" s="60"/>
      <c r="D172" s="61">
        <f t="shared" si="40"/>
        <v>0</v>
      </c>
      <c r="E172" s="64">
        <f>sumifs(Dados!$N:$N,Dados!$B:$B,B172,Dados!$J:$J,$D$1,Dados!$I:$I,$E$4)</f>
        <v>0</v>
      </c>
      <c r="F172" s="64">
        <f>sumifs(Dados!$N:$N,Dados!$B:$B,B172,Dados!$J:$J,$D$1,Dados!$I:$I,$F$4)</f>
        <v>0</v>
      </c>
      <c r="G172" s="64">
        <f>sumifs(Dados!$N:$N,Dados!$B:$B,B172,Dados!$J:$J,$D$1,Dados!$I:$I,$G$4)</f>
        <v>0</v>
      </c>
      <c r="H172" s="64">
        <f>sumifs(Dados!$N:$N,Dados!$B:$B,B172,Dados!$J:$J,$D$1,Dados!$I:$I,$H$4)</f>
        <v>0</v>
      </c>
      <c r="I172" s="64">
        <f>sumifs(Dados!$N:$N,Dados!$B:$B,B172,Dados!$J:$J,$D$1,Dados!$I:$I,$I$4)</f>
        <v>0</v>
      </c>
      <c r="J172" s="64">
        <f>sumifs(Dados!$N:$N,Dados!$B:$B,B172,Dados!$J:$J,$D$1,Dados!$I:$I,$J$4)</f>
        <v>0</v>
      </c>
      <c r="K172" s="64">
        <f>sumifs(Dados!$N:$N,Dados!$B:$B,B172,Dados!$J:$J,$D$1,Dados!$I:$I,$K$4)</f>
        <v>0</v>
      </c>
      <c r="L172" s="64">
        <f>sumifs(Dados!$N:$N,Dados!$B:$B,B172,Dados!$J:$J,$D$1,Dados!$I:$I,$L$4)</f>
        <v>0</v>
      </c>
      <c r="M172" s="64">
        <f>sumifs(Dados!$N:$N,Dados!$B:$B,B172,Dados!$J:$J,$D$1,Dados!$I:$I,$M$4)</f>
        <v>0</v>
      </c>
      <c r="N172" s="64">
        <f>sumifs(Dados!$N:$N,Dados!$B:$B,B172,Dados!$J:$J,$D$1,Dados!$I:$I,$N$4)</f>
        <v>0</v>
      </c>
      <c r="O172" s="64">
        <f>sumifs(Dados!$N:$N,Dados!$B:$B,B172,Dados!$J:$J,$D$1,Dados!$I:$I,$O$4)</f>
        <v>0</v>
      </c>
      <c r="P172" s="64">
        <f>sumifs(Dados!$N:$N,Dados!$B:$B,B172,Dados!$J:$J,$D$1,Dados!$I:$I,$P$4)</f>
        <v>0</v>
      </c>
      <c r="Q172" s="64"/>
    </row>
    <row r="173" ht="15.75" customHeight="1">
      <c r="A173" s="58"/>
      <c r="B173" s="58" t="s">
        <v>597</v>
      </c>
      <c r="C173" s="60"/>
      <c r="D173" s="61">
        <f t="shared" si="40"/>
        <v>0</v>
      </c>
      <c r="E173" s="64">
        <f>sumifs(Dados!$N:$N,Dados!$B:$B,B173,Dados!$J:$J,$D$1,Dados!$I:$I,$E$4)</f>
        <v>0</v>
      </c>
      <c r="F173" s="64">
        <f>sumifs(Dados!$N:$N,Dados!$B:$B,B173,Dados!$J:$J,$D$1,Dados!$I:$I,$F$4)</f>
        <v>0</v>
      </c>
      <c r="G173" s="64">
        <f>sumifs(Dados!$N:$N,Dados!$B:$B,B173,Dados!$J:$J,$D$1,Dados!$I:$I,$G$4)</f>
        <v>0</v>
      </c>
      <c r="H173" s="64">
        <f>sumifs(Dados!$N:$N,Dados!$B:$B,B173,Dados!$J:$J,$D$1,Dados!$I:$I,$H$4)</f>
        <v>0</v>
      </c>
      <c r="I173" s="64">
        <f>sumifs(Dados!$N:$N,Dados!$B:$B,B173,Dados!$J:$J,$D$1,Dados!$I:$I,$I$4)</f>
        <v>0</v>
      </c>
      <c r="J173" s="64">
        <f>sumifs(Dados!$N:$N,Dados!$B:$B,B173,Dados!$J:$J,$D$1,Dados!$I:$I,$J$4)</f>
        <v>0</v>
      </c>
      <c r="K173" s="64">
        <f>sumifs(Dados!$N:$N,Dados!$B:$B,B173,Dados!$J:$J,$D$1,Dados!$I:$I,$K$4)</f>
        <v>0</v>
      </c>
      <c r="L173" s="64">
        <f>sumifs(Dados!$N:$N,Dados!$B:$B,B173,Dados!$J:$J,$D$1,Dados!$I:$I,$L$4)</f>
        <v>0</v>
      </c>
      <c r="M173" s="64">
        <f>sumifs(Dados!$N:$N,Dados!$B:$B,B173,Dados!$J:$J,$D$1,Dados!$I:$I,$M$4)</f>
        <v>0</v>
      </c>
      <c r="N173" s="64">
        <f>sumifs(Dados!$N:$N,Dados!$B:$B,B173,Dados!$J:$J,$D$1,Dados!$I:$I,$N$4)</f>
        <v>0</v>
      </c>
      <c r="O173" s="64">
        <f>sumifs(Dados!$N:$N,Dados!$B:$B,B173,Dados!$J:$J,$D$1,Dados!$I:$I,$O$4)</f>
        <v>0</v>
      </c>
      <c r="P173" s="64">
        <f>sumifs(Dados!$N:$N,Dados!$B:$B,B173,Dados!$J:$J,$D$1,Dados!$I:$I,$P$4)</f>
        <v>0</v>
      </c>
      <c r="Q173" s="64"/>
    </row>
    <row r="174" ht="15.75" customHeight="1">
      <c r="A174" s="88" t="s">
        <v>612</v>
      </c>
      <c r="B174" s="89">
        <f>sumifs(Dados!$N:$N,Dados!$A:$A,A174,Dados!$H:$H,$D$1)</f>
        <v>0</v>
      </c>
      <c r="C174" s="90">
        <f>B174-D174</f>
        <v>0</v>
      </c>
      <c r="D174" s="89">
        <f t="shared" ref="D174:P174" si="41">SUM(D168:D173)</f>
        <v>0</v>
      </c>
      <c r="E174" s="89">
        <f t="shared" si="41"/>
        <v>0</v>
      </c>
      <c r="F174" s="89">
        <f t="shared" si="41"/>
        <v>0</v>
      </c>
      <c r="G174" s="89">
        <f t="shared" si="41"/>
        <v>0</v>
      </c>
      <c r="H174" s="89">
        <f t="shared" si="41"/>
        <v>0</v>
      </c>
      <c r="I174" s="89">
        <f t="shared" si="41"/>
        <v>0</v>
      </c>
      <c r="J174" s="89">
        <f t="shared" si="41"/>
        <v>0</v>
      </c>
      <c r="K174" s="89">
        <f t="shared" si="41"/>
        <v>0</v>
      </c>
      <c r="L174" s="89">
        <f t="shared" si="41"/>
        <v>0</v>
      </c>
      <c r="M174" s="89">
        <f t="shared" si="41"/>
        <v>0</v>
      </c>
      <c r="N174" s="89">
        <f t="shared" si="41"/>
        <v>0</v>
      </c>
      <c r="O174" s="89">
        <f t="shared" si="41"/>
        <v>0</v>
      </c>
      <c r="P174" s="89">
        <f t="shared" si="41"/>
        <v>0</v>
      </c>
      <c r="Q174" s="89"/>
    </row>
    <row r="175" ht="15.75" customHeight="1">
      <c r="A175" s="58"/>
      <c r="B175" s="58" t="s">
        <v>163</v>
      </c>
      <c r="C175" s="60"/>
      <c r="D175" s="61">
        <f>SUM(E175:P175)</f>
        <v>0</v>
      </c>
      <c r="E175" s="64">
        <f>sumifs(Dados!$N:$N,Dados!$B:$B,B175,Dados!$J:$J,$D$1,Dados!$I:$I,$E$4)</f>
        <v>0</v>
      </c>
      <c r="F175" s="64">
        <f>sumifs(Dados!$N:$N,Dados!$B:$B,B175,Dados!$J:$J,$D$1,Dados!$I:$I,$F$4)</f>
        <v>0</v>
      </c>
      <c r="G175" s="64">
        <f>sumifs(Dados!$N:$N,Dados!$B:$B,B175,Dados!$J:$J,$D$1,Dados!$I:$I,$G$4)</f>
        <v>0</v>
      </c>
      <c r="H175" s="64">
        <f>sumifs(Dados!$N:$N,Dados!$B:$B,B175,Dados!$J:$J,$D$1,Dados!$I:$I,$H$4)</f>
        <v>0</v>
      </c>
      <c r="I175" s="64">
        <f>sumifs(Dados!$N:$N,Dados!$B:$B,B175,Dados!$J:$J,$D$1,Dados!$I:$I,$I$4)</f>
        <v>0</v>
      </c>
      <c r="J175" s="64">
        <f>sumifs(Dados!$N:$N,Dados!$B:$B,B175,Dados!$J:$J,$D$1,Dados!$I:$I,$J$4)</f>
        <v>0</v>
      </c>
      <c r="K175" s="64">
        <f>sumifs(Dados!$N:$N,Dados!$B:$B,B175,Dados!$J:$J,$D$1,Dados!$I:$I,$K$4)</f>
        <v>0</v>
      </c>
      <c r="L175" s="64">
        <f>sumifs(Dados!$N:$N,Dados!$B:$B,B175,Dados!$J:$J,$D$1,Dados!$I:$I,$L$4)</f>
        <v>0</v>
      </c>
      <c r="M175" s="64">
        <f>sumifs(Dados!$N:$N,Dados!$B:$B,B175,Dados!$J:$J,$D$1,Dados!$I:$I,$M$4)</f>
        <v>0</v>
      </c>
      <c r="N175" s="64">
        <f>sumifs(Dados!$N:$N,Dados!$B:$B,B175,Dados!$J:$J,$D$1,Dados!$I:$I,$N$4)</f>
        <v>0</v>
      </c>
      <c r="O175" s="64">
        <f>sumifs(Dados!$N:$N,Dados!$B:$B,B175,Dados!$J:$J,$D$1,Dados!$I:$I,$O$4)</f>
        <v>0</v>
      </c>
      <c r="P175" s="64">
        <f>sumifs(Dados!$N:$N,Dados!$B:$B,B175,Dados!$J:$J,$D$1,Dados!$I:$I,$P$4)</f>
        <v>0</v>
      </c>
      <c r="Q175" s="64"/>
    </row>
    <row r="176" ht="15.75" customHeight="1">
      <c r="A176" s="88" t="s">
        <v>163</v>
      </c>
      <c r="B176" s="89">
        <f>sumifs(Dados!$N:$N,Dados!$A:$A,A176,Dados!$H:$H,$D$1)</f>
        <v>0</v>
      </c>
      <c r="C176" s="90">
        <f>B176-D176</f>
        <v>0</v>
      </c>
      <c r="D176" s="89">
        <f t="shared" ref="D176:P176" si="42">SUM(D175)</f>
        <v>0</v>
      </c>
      <c r="E176" s="89">
        <f t="shared" si="42"/>
        <v>0</v>
      </c>
      <c r="F176" s="89">
        <f t="shared" si="42"/>
        <v>0</v>
      </c>
      <c r="G176" s="89">
        <f t="shared" si="42"/>
        <v>0</v>
      </c>
      <c r="H176" s="89">
        <f t="shared" si="42"/>
        <v>0</v>
      </c>
      <c r="I176" s="89">
        <f t="shared" si="42"/>
        <v>0</v>
      </c>
      <c r="J176" s="89">
        <f t="shared" si="42"/>
        <v>0</v>
      </c>
      <c r="K176" s="89">
        <f t="shared" si="42"/>
        <v>0</v>
      </c>
      <c r="L176" s="89">
        <f t="shared" si="42"/>
        <v>0</v>
      </c>
      <c r="M176" s="89">
        <f t="shared" si="42"/>
        <v>0</v>
      </c>
      <c r="N176" s="89">
        <f t="shared" si="42"/>
        <v>0</v>
      </c>
      <c r="O176" s="89">
        <f t="shared" si="42"/>
        <v>0</v>
      </c>
      <c r="P176" s="89">
        <f t="shared" si="42"/>
        <v>0</v>
      </c>
      <c r="Q176" s="89"/>
    </row>
    <row r="177" ht="15.75" customHeight="1">
      <c r="A177" s="58"/>
      <c r="B177" s="58" t="s">
        <v>630</v>
      </c>
      <c r="C177" s="60"/>
      <c r="D177" s="61">
        <f>SUM(E177:P177)</f>
        <v>3.72</v>
      </c>
      <c r="E177" s="64">
        <f>sumifs(Dados!$N:$N,Dados!$B:$B,B177,Dados!$J:$J,$D$1,Dados!$I:$I,$E$4)</f>
        <v>0</v>
      </c>
      <c r="F177" s="64">
        <f>sumifs(Dados!$N:$N,Dados!$B:$B,B177,Dados!$J:$J,$D$1,Dados!$I:$I,$F$4)</f>
        <v>0</v>
      </c>
      <c r="G177" s="64">
        <f>sumifs(Dados!$N:$N,Dados!$B:$B,B177,Dados!$J:$J,$D$1,Dados!$I:$I,$G$4)</f>
        <v>0</v>
      </c>
      <c r="H177" s="64">
        <f>sumifs(Dados!$N:$N,Dados!$B:$B,B177,Dados!$J:$J,$D$1,Dados!$I:$I,$H$4)</f>
        <v>0</v>
      </c>
      <c r="I177" s="64">
        <f>sumifs(Dados!$N:$N,Dados!$B:$B,B177,Dados!$J:$J,$D$1,Dados!$I:$I,$I$4)</f>
        <v>0</v>
      </c>
      <c r="J177" s="64">
        <f>sumifs(Dados!$N:$N,Dados!$B:$B,B177,Dados!$J:$J,$D$1,Dados!$I:$I,$J$4)</f>
        <v>0</v>
      </c>
      <c r="K177" s="64">
        <f>sumifs(Dados!$N:$N,Dados!$B:$B,B177,Dados!$J:$J,$D$1,Dados!$I:$I,$K$4)</f>
        <v>0</v>
      </c>
      <c r="L177" s="64">
        <f>sumifs(Dados!$N:$N,Dados!$B:$B,B177,Dados!$J:$J,$D$1,Dados!$I:$I,$L$4)</f>
        <v>0</v>
      </c>
      <c r="M177" s="64">
        <f>sumifs(Dados!$N:$N,Dados!$B:$B,B177,Dados!$J:$J,$D$1,Dados!$I:$I,$M$4)</f>
        <v>3.72</v>
      </c>
      <c r="N177" s="64">
        <f>sumifs(Dados!$N:$N,Dados!$B:$B,B177,Dados!$J:$J,$D$1,Dados!$I:$I,$N$4)</f>
        <v>0</v>
      </c>
      <c r="O177" s="64">
        <f>sumifs(Dados!$N:$N,Dados!$B:$B,B177,Dados!$J:$J,$D$1,Dados!$I:$I,$O$4)</f>
        <v>0</v>
      </c>
      <c r="P177" s="64">
        <f>sumifs(Dados!$N:$N,Dados!$B:$B,B177,Dados!$J:$J,$D$1,Dados!$I:$I,$P$4)</f>
        <v>0</v>
      </c>
      <c r="Q177" s="64"/>
    </row>
    <row r="178" ht="15.75" customHeight="1">
      <c r="A178" s="88" t="s">
        <v>637</v>
      </c>
      <c r="B178" s="89">
        <f>sumifs(Dados!$N:$N,Dados!$A:$A,A178,Dados!$H:$H,$D$1)</f>
        <v>0</v>
      </c>
      <c r="C178" s="90">
        <f>B178-D178</f>
        <v>-3.72</v>
      </c>
      <c r="D178" s="89">
        <f t="shared" ref="D178:P178" si="43">SUM(D177)</f>
        <v>3.72</v>
      </c>
      <c r="E178" s="89">
        <f t="shared" si="43"/>
        <v>0</v>
      </c>
      <c r="F178" s="89">
        <f t="shared" si="43"/>
        <v>0</v>
      </c>
      <c r="G178" s="89">
        <f t="shared" si="43"/>
        <v>0</v>
      </c>
      <c r="H178" s="89">
        <f t="shared" si="43"/>
        <v>0</v>
      </c>
      <c r="I178" s="89">
        <f t="shared" si="43"/>
        <v>0</v>
      </c>
      <c r="J178" s="89">
        <f t="shared" si="43"/>
        <v>0</v>
      </c>
      <c r="K178" s="89">
        <f t="shared" si="43"/>
        <v>0</v>
      </c>
      <c r="L178" s="89">
        <f t="shared" si="43"/>
        <v>0</v>
      </c>
      <c r="M178" s="89">
        <f t="shared" si="43"/>
        <v>3.72</v>
      </c>
      <c r="N178" s="89">
        <f t="shared" si="43"/>
        <v>0</v>
      </c>
      <c r="O178" s="89">
        <f t="shared" si="43"/>
        <v>0</v>
      </c>
      <c r="P178" s="89">
        <f t="shared" si="43"/>
        <v>0</v>
      </c>
      <c r="Q178" s="89"/>
    </row>
    <row r="179" ht="15.75" customHeight="1">
      <c r="A179" s="58"/>
      <c r="B179" s="58" t="s">
        <v>638</v>
      </c>
      <c r="C179" s="60"/>
      <c r="D179" s="61">
        <f t="shared" ref="D179:D186" si="44">SUM(E179:P179)</f>
        <v>0</v>
      </c>
      <c r="E179" s="64">
        <f>sumifs(Dados!$N:$N,Dados!$B:$B,B179,Dados!$J:$J,$D$1,Dados!$I:$I,$E$4)</f>
        <v>0</v>
      </c>
      <c r="F179" s="64">
        <f>sumifs(Dados!$N:$N,Dados!$B:$B,B179,Dados!$J:$J,$D$1,Dados!$I:$I,$F$4)</f>
        <v>0</v>
      </c>
      <c r="G179" s="64">
        <f>sumifs(Dados!$N:$N,Dados!$B:$B,B179,Dados!$J:$J,$D$1,Dados!$I:$I,$G$4)</f>
        <v>0</v>
      </c>
      <c r="H179" s="64">
        <f>sumifs(Dados!$N:$N,Dados!$B:$B,B179,Dados!$J:$J,$D$1,Dados!$I:$I,$H$4)</f>
        <v>0</v>
      </c>
      <c r="I179" s="64">
        <f>sumifs(Dados!$N:$N,Dados!$B:$B,B179,Dados!$J:$J,$D$1,Dados!$I:$I,$I$4)</f>
        <v>0</v>
      </c>
      <c r="J179" s="64">
        <f>sumifs(Dados!$N:$N,Dados!$B:$B,B179,Dados!$J:$J,$D$1,Dados!$I:$I,$J$4)</f>
        <v>0</v>
      </c>
      <c r="K179" s="64">
        <f>sumifs(Dados!$N:$N,Dados!$B:$B,B179,Dados!$J:$J,$D$1,Dados!$I:$I,$K$4)</f>
        <v>0</v>
      </c>
      <c r="L179" s="64">
        <f>sumifs(Dados!$N:$N,Dados!$B:$B,B179,Dados!$J:$J,$D$1,Dados!$I:$I,$L$4)</f>
        <v>0</v>
      </c>
      <c r="M179" s="64">
        <f>sumifs(Dados!$N:$N,Dados!$B:$B,B179,Dados!$J:$J,$D$1,Dados!$I:$I,$M$4)</f>
        <v>0</v>
      </c>
      <c r="N179" s="64">
        <f>sumifs(Dados!$N:$N,Dados!$B:$B,B179,Dados!$J:$J,$D$1,Dados!$I:$I,$N$4)</f>
        <v>0</v>
      </c>
      <c r="O179" s="64">
        <f>sumifs(Dados!$N:$N,Dados!$B:$B,B179,Dados!$J:$J,$D$1,Dados!$I:$I,$O$4)</f>
        <v>0</v>
      </c>
      <c r="P179" s="64">
        <f>sumifs(Dados!$N:$N,Dados!$B:$B,B179,Dados!$J:$J,$D$1,Dados!$I:$I,$P$4)</f>
        <v>0</v>
      </c>
      <c r="Q179" s="64"/>
    </row>
    <row r="180" ht="15.75" customHeight="1">
      <c r="A180" s="58"/>
      <c r="B180" s="58" t="s">
        <v>645</v>
      </c>
      <c r="C180" s="60"/>
      <c r="D180" s="61">
        <f t="shared" si="44"/>
        <v>0</v>
      </c>
      <c r="E180" s="64">
        <f>sumifs(Dados!$N:$N,Dados!$B:$B,B180,Dados!$J:$J,$D$1,Dados!$I:$I,$E$4)</f>
        <v>0</v>
      </c>
      <c r="F180" s="64">
        <f>sumifs(Dados!$N:$N,Dados!$B:$B,B180,Dados!$J:$J,$D$1,Dados!$I:$I,$F$4)</f>
        <v>0</v>
      </c>
      <c r="G180" s="64">
        <f>sumifs(Dados!$N:$N,Dados!$B:$B,B180,Dados!$J:$J,$D$1,Dados!$I:$I,$G$4)</f>
        <v>0</v>
      </c>
      <c r="H180" s="64">
        <f>sumifs(Dados!$N:$N,Dados!$B:$B,B180,Dados!$J:$J,$D$1,Dados!$I:$I,$H$4)</f>
        <v>0</v>
      </c>
      <c r="I180" s="64">
        <f>sumifs(Dados!$N:$N,Dados!$B:$B,B180,Dados!$J:$J,$D$1,Dados!$I:$I,$I$4)</f>
        <v>0</v>
      </c>
      <c r="J180" s="64">
        <f>sumifs(Dados!$N:$N,Dados!$B:$B,B180,Dados!$J:$J,$D$1,Dados!$I:$I,$J$4)</f>
        <v>0</v>
      </c>
      <c r="K180" s="64">
        <f>sumifs(Dados!$N:$N,Dados!$B:$B,B180,Dados!$J:$J,$D$1,Dados!$I:$I,$K$4)</f>
        <v>0</v>
      </c>
      <c r="L180" s="64">
        <f>sumifs(Dados!$N:$N,Dados!$B:$B,B180,Dados!$J:$J,$D$1,Dados!$I:$I,$L$4)</f>
        <v>0</v>
      </c>
      <c r="M180" s="64">
        <f>sumifs(Dados!$N:$N,Dados!$B:$B,B180,Dados!$J:$J,$D$1,Dados!$I:$I,$M$4)</f>
        <v>0</v>
      </c>
      <c r="N180" s="64">
        <f>sumifs(Dados!$N:$N,Dados!$B:$B,B180,Dados!$J:$J,$D$1,Dados!$I:$I,$N$4)</f>
        <v>0</v>
      </c>
      <c r="O180" s="64">
        <f>sumifs(Dados!$N:$N,Dados!$B:$B,B180,Dados!$J:$J,$D$1,Dados!$I:$I,$O$4)</f>
        <v>0</v>
      </c>
      <c r="P180" s="64">
        <f>sumifs(Dados!$N:$N,Dados!$B:$B,B180,Dados!$J:$J,$D$1,Dados!$I:$I,$P$4)</f>
        <v>0</v>
      </c>
      <c r="Q180" s="64"/>
    </row>
    <row r="181" ht="15.75" customHeight="1">
      <c r="A181" s="58"/>
      <c r="B181" s="58" t="s">
        <v>658</v>
      </c>
      <c r="C181" s="60"/>
      <c r="D181" s="61">
        <f t="shared" si="44"/>
        <v>108.6</v>
      </c>
      <c r="E181" s="64">
        <f>sumifs(Dados!$N:$N,Dados!$B:$B,B181,Dados!$J:$J,$D$1,Dados!$I:$I,$E$4)</f>
        <v>0</v>
      </c>
      <c r="F181" s="64">
        <f>sumifs(Dados!$N:$N,Dados!$B:$B,B181,Dados!$J:$J,$D$1,Dados!$I:$I,$F$4)</f>
        <v>0</v>
      </c>
      <c r="G181" s="64">
        <f>sumifs(Dados!$N:$N,Dados!$B:$B,B181,Dados!$J:$J,$D$1,Dados!$I:$I,$G$4)</f>
        <v>0</v>
      </c>
      <c r="H181" s="64">
        <f>sumifs(Dados!$N:$N,Dados!$B:$B,B181,Dados!$J:$J,$D$1,Dados!$I:$I,$H$4)</f>
        <v>0</v>
      </c>
      <c r="I181" s="64">
        <f>sumifs(Dados!$N:$N,Dados!$B:$B,B181,Dados!$J:$J,$D$1,Dados!$I:$I,$I$4)</f>
        <v>0</v>
      </c>
      <c r="J181" s="64">
        <f>sumifs(Dados!$N:$N,Dados!$B:$B,B181,Dados!$J:$J,$D$1,Dados!$I:$I,$J$4)</f>
        <v>0</v>
      </c>
      <c r="K181" s="64">
        <f>sumifs(Dados!$N:$N,Dados!$B:$B,B181,Dados!$J:$J,$D$1,Dados!$I:$I,$K$4)</f>
        <v>108.6</v>
      </c>
      <c r="L181" s="64">
        <f>sumifs(Dados!$N:$N,Dados!$B:$B,B181,Dados!$J:$J,$D$1,Dados!$I:$I,$L$4)</f>
        <v>0</v>
      </c>
      <c r="M181" s="64">
        <f>sumifs(Dados!$N:$N,Dados!$B:$B,B181,Dados!$J:$J,$D$1,Dados!$I:$I,$M$4)</f>
        <v>0</v>
      </c>
      <c r="N181" s="64">
        <f>sumifs(Dados!$N:$N,Dados!$B:$B,B181,Dados!$J:$J,$D$1,Dados!$I:$I,$N$4)</f>
        <v>0</v>
      </c>
      <c r="O181" s="64">
        <f>sumifs(Dados!$N:$N,Dados!$B:$B,B181,Dados!$J:$J,$D$1,Dados!$I:$I,$O$4)</f>
        <v>0</v>
      </c>
      <c r="P181" s="64">
        <f>sumifs(Dados!$N:$N,Dados!$B:$B,B181,Dados!$J:$J,$D$1,Dados!$I:$I,$P$4)</f>
        <v>0</v>
      </c>
      <c r="Q181" s="64"/>
    </row>
    <row r="182" ht="15.75" customHeight="1">
      <c r="A182" s="58"/>
      <c r="B182" s="58" t="s">
        <v>673</v>
      </c>
      <c r="C182" s="60"/>
      <c r="D182" s="61">
        <f t="shared" si="44"/>
        <v>0</v>
      </c>
      <c r="E182" s="64">
        <f>sumifs(Dados!$N:$N,Dados!$B:$B,B182,Dados!$J:$J,$D$1,Dados!$I:$I,$E$4)</f>
        <v>0</v>
      </c>
      <c r="F182" s="64">
        <f>sumifs(Dados!$N:$N,Dados!$B:$B,B182,Dados!$J:$J,$D$1,Dados!$I:$I,$F$4)</f>
        <v>0</v>
      </c>
      <c r="G182" s="64">
        <f>sumifs(Dados!$N:$N,Dados!$B:$B,B182,Dados!$J:$J,$D$1,Dados!$I:$I,$G$4)</f>
        <v>0</v>
      </c>
      <c r="H182" s="64">
        <f>sumifs(Dados!$N:$N,Dados!$B:$B,B182,Dados!$J:$J,$D$1,Dados!$I:$I,$H$4)</f>
        <v>0</v>
      </c>
      <c r="I182" s="64">
        <f>sumifs(Dados!$N:$N,Dados!$B:$B,B182,Dados!$J:$J,$D$1,Dados!$I:$I,$I$4)</f>
        <v>0</v>
      </c>
      <c r="J182" s="64">
        <f>sumifs(Dados!$N:$N,Dados!$B:$B,B182,Dados!$J:$J,$D$1,Dados!$I:$I,$J$4)</f>
        <v>0</v>
      </c>
      <c r="K182" s="64">
        <f>sumifs(Dados!$N:$N,Dados!$B:$B,B182,Dados!$J:$J,$D$1,Dados!$I:$I,$K$4)</f>
        <v>0</v>
      </c>
      <c r="L182" s="64">
        <f>sumifs(Dados!$N:$N,Dados!$B:$B,B182,Dados!$J:$J,$D$1,Dados!$I:$I,$L$4)</f>
        <v>0</v>
      </c>
      <c r="M182" s="64">
        <f>sumifs(Dados!$N:$N,Dados!$B:$B,B182,Dados!$J:$J,$D$1,Dados!$I:$I,$M$4)</f>
        <v>0</v>
      </c>
      <c r="N182" s="64">
        <f>sumifs(Dados!$N:$N,Dados!$B:$B,B182,Dados!$J:$J,$D$1,Dados!$I:$I,$N$4)</f>
        <v>0</v>
      </c>
      <c r="O182" s="64">
        <f>sumifs(Dados!$N:$N,Dados!$B:$B,B182,Dados!$J:$J,$D$1,Dados!$I:$I,$O$4)</f>
        <v>0</v>
      </c>
      <c r="P182" s="64">
        <f>sumifs(Dados!$N:$N,Dados!$B:$B,B182,Dados!$J:$J,$D$1,Dados!$I:$I,$P$4)</f>
        <v>0</v>
      </c>
      <c r="Q182" s="64"/>
    </row>
    <row r="183" ht="15.75" customHeight="1">
      <c r="A183" s="58"/>
      <c r="B183" s="58" t="s">
        <v>685</v>
      </c>
      <c r="C183" s="60"/>
      <c r="D183" s="61">
        <f t="shared" si="44"/>
        <v>0</v>
      </c>
      <c r="E183" s="64">
        <f>sumifs(Dados!$N:$N,Dados!$B:$B,B183,Dados!$J:$J,$D$1,Dados!$I:$I,$E$4)</f>
        <v>0</v>
      </c>
      <c r="F183" s="64">
        <f>sumifs(Dados!$N:$N,Dados!$B:$B,B183,Dados!$J:$J,$D$1,Dados!$I:$I,$F$4)</f>
        <v>0</v>
      </c>
      <c r="G183" s="64">
        <f>sumifs(Dados!$N:$N,Dados!$B:$B,B183,Dados!$J:$J,$D$1,Dados!$I:$I,$G$4)</f>
        <v>0</v>
      </c>
      <c r="H183" s="64">
        <f>sumifs(Dados!$N:$N,Dados!$B:$B,B183,Dados!$J:$J,$D$1,Dados!$I:$I,$H$4)</f>
        <v>0</v>
      </c>
      <c r="I183" s="64">
        <f>sumifs(Dados!$N:$N,Dados!$B:$B,B183,Dados!$J:$J,$D$1,Dados!$I:$I,$I$4)</f>
        <v>0</v>
      </c>
      <c r="J183" s="64">
        <f>sumifs(Dados!$N:$N,Dados!$B:$B,B183,Dados!$J:$J,$D$1,Dados!$I:$I,$J$4)</f>
        <v>0</v>
      </c>
      <c r="K183" s="64">
        <f>sumifs(Dados!$N:$N,Dados!$B:$B,B183,Dados!$J:$J,$D$1,Dados!$I:$I,$K$4)</f>
        <v>0</v>
      </c>
      <c r="L183" s="64">
        <f>sumifs(Dados!$N:$N,Dados!$B:$B,B183,Dados!$J:$J,$D$1,Dados!$I:$I,$L$4)</f>
        <v>0</v>
      </c>
      <c r="M183" s="64">
        <f>sumifs(Dados!$N:$N,Dados!$B:$B,B183,Dados!$J:$J,$D$1,Dados!$I:$I,$M$4)</f>
        <v>0</v>
      </c>
      <c r="N183" s="64">
        <f>sumifs(Dados!$N:$N,Dados!$B:$B,B183,Dados!$J:$J,$D$1,Dados!$I:$I,$N$4)</f>
        <v>0</v>
      </c>
      <c r="O183" s="64">
        <f>sumifs(Dados!$N:$N,Dados!$B:$B,B183,Dados!$J:$J,$D$1,Dados!$I:$I,$O$4)</f>
        <v>0</v>
      </c>
      <c r="P183" s="64">
        <f>sumifs(Dados!$N:$N,Dados!$B:$B,B183,Dados!$J:$J,$D$1,Dados!$I:$I,$P$4)</f>
        <v>0</v>
      </c>
      <c r="Q183" s="64"/>
    </row>
    <row r="184" ht="15.75" customHeight="1">
      <c r="A184" s="58"/>
      <c r="B184" s="58" t="s">
        <v>700</v>
      </c>
      <c r="C184" s="60"/>
      <c r="D184" s="61">
        <f t="shared" si="44"/>
        <v>0</v>
      </c>
      <c r="E184" s="64">
        <f>sumifs(Dados!$N:$N,Dados!$B:$B,B184,Dados!$J:$J,$D$1,Dados!$I:$I,$E$4)</f>
        <v>0</v>
      </c>
      <c r="F184" s="64">
        <f>sumifs(Dados!$N:$N,Dados!$B:$B,B184,Dados!$J:$J,$D$1,Dados!$I:$I,$F$4)</f>
        <v>0</v>
      </c>
      <c r="G184" s="64">
        <f>sumifs(Dados!$N:$N,Dados!$B:$B,B184,Dados!$J:$J,$D$1,Dados!$I:$I,$G$4)</f>
        <v>0</v>
      </c>
      <c r="H184" s="64">
        <f>sumifs(Dados!$N:$N,Dados!$B:$B,B184,Dados!$J:$J,$D$1,Dados!$I:$I,$H$4)</f>
        <v>0</v>
      </c>
      <c r="I184" s="64">
        <f>sumifs(Dados!$N:$N,Dados!$B:$B,B184,Dados!$J:$J,$D$1,Dados!$I:$I,$I$4)</f>
        <v>0</v>
      </c>
      <c r="J184" s="64">
        <f>sumifs(Dados!$N:$N,Dados!$B:$B,B184,Dados!$J:$J,$D$1,Dados!$I:$I,$J$4)</f>
        <v>0</v>
      </c>
      <c r="K184" s="64">
        <f>sumifs(Dados!$N:$N,Dados!$B:$B,B184,Dados!$J:$J,$D$1,Dados!$I:$I,$K$4)</f>
        <v>0</v>
      </c>
      <c r="L184" s="64">
        <f>sumifs(Dados!$N:$N,Dados!$B:$B,B184,Dados!$J:$J,$D$1,Dados!$I:$I,$L$4)</f>
        <v>0</v>
      </c>
      <c r="M184" s="64">
        <f>sumifs(Dados!$N:$N,Dados!$B:$B,B184,Dados!$J:$J,$D$1,Dados!$I:$I,$M$4)</f>
        <v>0</v>
      </c>
      <c r="N184" s="64">
        <f>sumifs(Dados!$N:$N,Dados!$B:$B,B184,Dados!$J:$J,$D$1,Dados!$I:$I,$N$4)</f>
        <v>0</v>
      </c>
      <c r="O184" s="64">
        <f>sumifs(Dados!$N:$N,Dados!$B:$B,B184,Dados!$J:$J,$D$1,Dados!$I:$I,$O$4)</f>
        <v>0</v>
      </c>
      <c r="P184" s="64">
        <f>sumifs(Dados!$N:$N,Dados!$B:$B,B184,Dados!$J:$J,$D$1,Dados!$I:$I,$P$4)</f>
        <v>0</v>
      </c>
      <c r="Q184" s="64"/>
    </row>
    <row r="185" ht="15.75" customHeight="1">
      <c r="A185" s="58"/>
      <c r="B185" s="58" t="s">
        <v>713</v>
      </c>
      <c r="C185" s="60"/>
      <c r="D185" s="61">
        <f t="shared" si="44"/>
        <v>0</v>
      </c>
      <c r="E185" s="64">
        <f>sumifs(Dados!$N:$N,Dados!$B:$B,$B$185,Dados!$J:$J,$D$1,Dados!$I:$I,E4)</f>
        <v>0</v>
      </c>
      <c r="F185" s="64">
        <f>sumifs(Dados!$N:$N,Dados!$B:$B,$B$185,Dados!$J:$J,$D$1,Dados!$I:$I,F4)</f>
        <v>0</v>
      </c>
      <c r="G185" s="64">
        <f>sumifs(Dados!$N:$N,Dados!$B:$B,$B$185,Dados!$J:$J,$D$1,Dados!$I:$I,G4)</f>
        <v>0</v>
      </c>
      <c r="H185" s="64">
        <f>sumifs(Dados!$N:$N,Dados!$B:$B,$B$185,Dados!$J:$J,$D$1,Dados!$I:$I,H4)</f>
        <v>0</v>
      </c>
      <c r="I185" s="64">
        <f>sumifs(Dados!$N:$N,Dados!$B:$B,$B$185,Dados!$J:$J,$D$1,Dados!$I:$I,I4)</f>
        <v>0</v>
      </c>
      <c r="J185" s="64">
        <f>sumifs(Dados!$N:$N,Dados!$B:$B,$B$185,Dados!$J:$J,$D$1,Dados!$I:$I,J4)</f>
        <v>0</v>
      </c>
      <c r="K185" s="64">
        <f>sumifs(Dados!$N:$N,Dados!$B:$B,$B$185,Dados!$J:$J,$D$1,Dados!$I:$I,K4)</f>
        <v>0</v>
      </c>
      <c r="L185" s="64">
        <f>sumifs(Dados!$N:$N,Dados!$B:$B,$B$185,Dados!$J:$J,$D$1,Dados!$I:$I,L4)</f>
        <v>0</v>
      </c>
      <c r="M185" s="64">
        <f>sumifs(Dados!$N:$N,Dados!$B:$B,$B$185,Dados!$J:$J,$D$1,Dados!$I:$I,M4)</f>
        <v>0</v>
      </c>
      <c r="N185" s="64">
        <f>sumifs(Dados!$N:$N,Dados!$B:$B,$B$185,Dados!$J:$J,$D$1,Dados!$I:$I,N4)</f>
        <v>0</v>
      </c>
      <c r="O185" s="64">
        <f>sumifs(Dados!$N:$N,Dados!$B:$B,$B$185,Dados!$J:$J,$D$1,Dados!$I:$I,O4)</f>
        <v>0</v>
      </c>
      <c r="P185" s="64">
        <f>sumifs(Dados!$N:$N,Dados!$B:$B,$B$185,Dados!$J:$J,$D$1,Dados!$I:$I,P4)</f>
        <v>0</v>
      </c>
      <c r="Q185" s="64"/>
    </row>
    <row r="186" ht="15.75" customHeight="1">
      <c r="A186" s="58"/>
      <c r="B186" s="58" t="s">
        <v>726</v>
      </c>
      <c r="C186" s="60"/>
      <c r="D186" s="61">
        <f t="shared" si="44"/>
        <v>0</v>
      </c>
      <c r="E186" s="64">
        <f>sumifs(Dados!$N:$N,Dados!$B:$B,B186,Dados!$J:$J,$D$1,Dados!$I:$I,$E$4)</f>
        <v>0</v>
      </c>
      <c r="F186" s="64">
        <f>sumifs(Dados!$N:$N,Dados!$B:$B,B186,Dados!$J:$J,$D$1,Dados!$I:$I,$F$4)</f>
        <v>0</v>
      </c>
      <c r="G186" s="64">
        <f>sumifs(Dados!$N:$N,Dados!$B:$B,B186,Dados!$J:$J,$D$1,Dados!$I:$I,$G$4)</f>
        <v>0</v>
      </c>
      <c r="H186" s="64">
        <f>sumifs(Dados!$N:$N,Dados!$B:$B,B186,Dados!$J:$J,$D$1,Dados!$I:$I,$H$4)</f>
        <v>0</v>
      </c>
      <c r="I186" s="64">
        <f>sumifs(Dados!$N:$N,Dados!$B:$B,B186,Dados!$J:$J,$D$1,Dados!$I:$I,$I$4)</f>
        <v>0</v>
      </c>
      <c r="J186" s="64">
        <f>sumifs(Dados!$N:$N,Dados!$B:$B,B186,Dados!$J:$J,$D$1,Dados!$I:$I,$J$4)</f>
        <v>0</v>
      </c>
      <c r="K186" s="64">
        <f>sumifs(Dados!$N:$N,Dados!$B:$B,B186,Dados!$J:$J,$D$1,Dados!$I:$I,$K$4)</f>
        <v>0</v>
      </c>
      <c r="L186" s="64">
        <f>sumifs(Dados!$N:$N,Dados!$B:$B,B186,Dados!$J:$J,$D$1,Dados!$I:$I,$L$4)</f>
        <v>0</v>
      </c>
      <c r="M186" s="64">
        <f>sumifs(Dados!$N:$N,Dados!$B:$B,B186,Dados!$J:$J,$D$1,Dados!$I:$I,$M$4)</f>
        <v>0</v>
      </c>
      <c r="N186" s="64">
        <f>sumifs(Dados!$N:$N,Dados!$B:$B,B186,Dados!$J:$J,$D$1,Dados!$I:$I,$N$4)</f>
        <v>0</v>
      </c>
      <c r="O186" s="64">
        <f>sumifs(Dados!$N:$N,Dados!$B:$B,B186,Dados!$J:$J,$D$1,Dados!$I:$I,$O$4)</f>
        <v>0</v>
      </c>
      <c r="P186" s="64">
        <f>sumifs(Dados!$N:$N,Dados!$B:$B,B186,Dados!$J:$J,$D$1,Dados!$I:$I,$P$4)</f>
        <v>0</v>
      </c>
      <c r="Q186" s="64"/>
    </row>
    <row r="187" ht="15.75" customHeight="1">
      <c r="A187" s="88" t="s">
        <v>742</v>
      </c>
      <c r="B187" s="89">
        <f>sumifs(Dados!$N:$N,Dados!$A:$A,A187,Dados!$H:$H,$D$1)</f>
        <v>108.6</v>
      </c>
      <c r="C187" s="90">
        <f>B187-D187</f>
        <v>0</v>
      </c>
      <c r="D187" s="89">
        <f t="shared" ref="D187:P187" si="45">SUM(D179:D186)</f>
        <v>108.6</v>
      </c>
      <c r="E187" s="89">
        <f t="shared" si="45"/>
        <v>0</v>
      </c>
      <c r="F187" s="89">
        <f t="shared" si="45"/>
        <v>0</v>
      </c>
      <c r="G187" s="89">
        <f t="shared" si="45"/>
        <v>0</v>
      </c>
      <c r="H187" s="89">
        <f t="shared" si="45"/>
        <v>0</v>
      </c>
      <c r="I187" s="89">
        <f t="shared" si="45"/>
        <v>0</v>
      </c>
      <c r="J187" s="89">
        <f t="shared" si="45"/>
        <v>0</v>
      </c>
      <c r="K187" s="89">
        <f t="shared" si="45"/>
        <v>108.6</v>
      </c>
      <c r="L187" s="89">
        <f t="shared" si="45"/>
        <v>0</v>
      </c>
      <c r="M187" s="89">
        <f t="shared" si="45"/>
        <v>0</v>
      </c>
      <c r="N187" s="89">
        <f t="shared" si="45"/>
        <v>0</v>
      </c>
      <c r="O187" s="89">
        <f t="shared" si="45"/>
        <v>0</v>
      </c>
      <c r="P187" s="89">
        <f t="shared" si="45"/>
        <v>0</v>
      </c>
      <c r="Q187" s="89"/>
    </row>
    <row r="188" ht="15.75" customHeight="1">
      <c r="A188" s="58"/>
      <c r="B188" s="58" t="s">
        <v>664</v>
      </c>
      <c r="C188" s="60"/>
      <c r="D188" s="61">
        <f t="shared" ref="D188:D197" si="46">SUM(E188:P188)</f>
        <v>279.97</v>
      </c>
      <c r="E188" s="64">
        <f>sumifs(Dados!$N:$N,Dados!$B:$B,B188,Dados!$J:$J,$D$1,Dados!$I:$I,$E$4)</f>
        <v>0</v>
      </c>
      <c r="F188" s="64">
        <f>sumifs(Dados!$N:$N,Dados!$B:$B,B188,Dados!$J:$J,$D$1,Dados!$I:$I,$F$4)</f>
        <v>0</v>
      </c>
      <c r="G188" s="64">
        <f>sumifs(Dados!$N:$N,Dados!$B:$B,B188,Dados!$J:$J,$D$1,Dados!$I:$I,$G$4)</f>
        <v>0</v>
      </c>
      <c r="H188" s="64">
        <f>sumifs(Dados!$N:$N,Dados!$B:$B,B188,Dados!$J:$J,$D$1,Dados!$I:$I,$H$4)</f>
        <v>0</v>
      </c>
      <c r="I188" s="64">
        <f>sumifs(Dados!$N:$N,Dados!$B:$B,B188,Dados!$J:$J,$D$1,Dados!$I:$I,$I$4)</f>
        <v>140.19</v>
      </c>
      <c r="J188" s="64">
        <f>sumifs(Dados!$N:$N,Dados!$B:$B,B188,Dados!$J:$J,$D$1,Dados!$I:$I,$J$4)</f>
        <v>79.03</v>
      </c>
      <c r="K188" s="64">
        <f>sumifs(Dados!$N:$N,Dados!$B:$B,B188,Dados!$J:$J,$D$1,Dados!$I:$I,$K$4)</f>
        <v>0</v>
      </c>
      <c r="L188" s="64">
        <f>sumifs(Dados!$N:$N,Dados!$B:$B,B188,Dados!$J:$J,$D$1,Dados!$I:$I,$L$4)</f>
        <v>60.75</v>
      </c>
      <c r="M188" s="64">
        <f>sumifs(Dados!$N:$N,Dados!$B:$B,B188,Dados!$J:$J,$D$1,Dados!$I:$I,$M$4)</f>
        <v>0</v>
      </c>
      <c r="N188" s="64">
        <f>sumifs(Dados!$N:$N,Dados!$B:$B,B188,Dados!$J:$J,$D$1,Dados!$I:$I,$N$4)</f>
        <v>0</v>
      </c>
      <c r="O188" s="64">
        <f>sumifs(Dados!$N:$N,Dados!$B:$B,B188,Dados!$J:$J,$D$1,Dados!$I:$I,$O$4)</f>
        <v>0</v>
      </c>
      <c r="P188" s="64">
        <f>sumifs(Dados!$N:$N,Dados!$B:$B,B188,Dados!$J:$J,$D$1,Dados!$I:$I,$P$4)</f>
        <v>0</v>
      </c>
      <c r="Q188" s="64"/>
    </row>
    <row r="189" ht="15.75" customHeight="1">
      <c r="A189" s="58"/>
      <c r="B189" s="58" t="s">
        <v>759</v>
      </c>
      <c r="C189" s="60"/>
      <c r="D189" s="61">
        <f t="shared" si="46"/>
        <v>0</v>
      </c>
      <c r="E189" s="64">
        <f>sumifs(Dados!$N:$N,Dados!$B:$B,B189,Dados!$J:$J,$D$1,Dados!$I:$I,$E$4)</f>
        <v>0</v>
      </c>
      <c r="F189" s="64">
        <f>sumifs(Dados!$N:$N,Dados!$B:$B,B189,Dados!$J:$J,$D$1,Dados!$I:$I,$F$4)</f>
        <v>0</v>
      </c>
      <c r="G189" s="64">
        <f>sumifs(Dados!$N:$N,Dados!$B:$B,B189,Dados!$J:$J,$D$1,Dados!$I:$I,$G$4)</f>
        <v>0</v>
      </c>
      <c r="H189" s="64">
        <f>sumifs(Dados!$N:$N,Dados!$B:$B,B189,Dados!$J:$J,$D$1,Dados!$I:$I,$H$4)</f>
        <v>0</v>
      </c>
      <c r="I189" s="64">
        <f>sumifs(Dados!$N:$N,Dados!$B:$B,B189,Dados!$J:$J,$D$1,Dados!$I:$I,$I$4)</f>
        <v>0</v>
      </c>
      <c r="J189" s="64">
        <f>sumifs(Dados!$N:$N,Dados!$B:$B,B189,Dados!$J:$J,$D$1,Dados!$I:$I,$J$4)</f>
        <v>0</v>
      </c>
      <c r="K189" s="64">
        <f>sumifs(Dados!$N:$N,Dados!$B:$B,B189,Dados!$J:$J,$D$1,Dados!$I:$I,$K$4)</f>
        <v>0</v>
      </c>
      <c r="L189" s="64">
        <f>sumifs(Dados!$N:$N,Dados!$B:$B,B189,Dados!$J:$J,$D$1,Dados!$I:$I,$L$4)</f>
        <v>0</v>
      </c>
      <c r="M189" s="64">
        <f>sumifs(Dados!$N:$N,Dados!$B:$B,B189,Dados!$J:$J,$D$1,Dados!$I:$I,$M$4)</f>
        <v>0</v>
      </c>
      <c r="N189" s="64">
        <f>sumifs(Dados!$N:$N,Dados!$B:$B,B189,Dados!$J:$J,$D$1,Dados!$I:$I,$N$4)</f>
        <v>0</v>
      </c>
      <c r="O189" s="64">
        <f>sumifs(Dados!$N:$N,Dados!$B:$B,B189,Dados!$J:$J,$D$1,Dados!$I:$I,$O$4)</f>
        <v>0</v>
      </c>
      <c r="P189" s="64">
        <f>sumifs(Dados!$N:$N,Dados!$B:$B,B189,Dados!$J:$J,$D$1,Dados!$I:$I,$P$4)</f>
        <v>0</v>
      </c>
      <c r="Q189" s="64"/>
    </row>
    <row r="190" ht="15.75" customHeight="1">
      <c r="A190" s="58"/>
      <c r="B190" s="58" t="s">
        <v>763</v>
      </c>
      <c r="C190" s="60"/>
      <c r="D190" s="61">
        <f t="shared" si="46"/>
        <v>0</v>
      </c>
      <c r="E190" s="64">
        <f>sumifs(Dados!$N:$N,Dados!$B:$B,B190,Dados!$J:$J,$D$1,Dados!$I:$I,$E$4)</f>
        <v>0</v>
      </c>
      <c r="F190" s="64">
        <f>sumifs(Dados!$N:$N,Dados!$B:$B,B190,Dados!$J:$J,$D$1,Dados!$I:$I,$F$4)</f>
        <v>0</v>
      </c>
      <c r="G190" s="64">
        <f>sumifs(Dados!$N:$N,Dados!$B:$B,B190,Dados!$J:$J,$D$1,Dados!$I:$I,$G$4)</f>
        <v>0</v>
      </c>
      <c r="H190" s="64">
        <f>sumifs(Dados!$N:$N,Dados!$B:$B,B190,Dados!$J:$J,$D$1,Dados!$I:$I,$H$4)</f>
        <v>0</v>
      </c>
      <c r="I190" s="64">
        <f>sumifs(Dados!$N:$N,Dados!$B:$B,B190,Dados!$J:$J,$D$1,Dados!$I:$I,$I$4)</f>
        <v>0</v>
      </c>
      <c r="J190" s="64">
        <f>sumifs(Dados!$N:$N,Dados!$B:$B,B190,Dados!$J:$J,$D$1,Dados!$I:$I,$J$4)</f>
        <v>0</v>
      </c>
      <c r="K190" s="64">
        <f>sumifs(Dados!$N:$N,Dados!$B:$B,B190,Dados!$J:$J,$D$1,Dados!$I:$I,$K$4)</f>
        <v>0</v>
      </c>
      <c r="L190" s="64">
        <f>sumifs(Dados!$N:$N,Dados!$B:$B,B190,Dados!$J:$J,$D$1,Dados!$I:$I,$L$4)</f>
        <v>0</v>
      </c>
      <c r="M190" s="64">
        <f>sumifs(Dados!$N:$N,Dados!$B:$B,B190,Dados!$J:$J,$D$1,Dados!$I:$I,$M$4)</f>
        <v>0</v>
      </c>
      <c r="N190" s="64">
        <f>sumifs(Dados!$N:$N,Dados!$B:$B,B190,Dados!$J:$J,$D$1,Dados!$I:$I,$N$4)</f>
        <v>0</v>
      </c>
      <c r="O190" s="64">
        <f>sumifs(Dados!$N:$N,Dados!$B:$B,B190,Dados!$J:$J,$D$1,Dados!$I:$I,$O$4)</f>
        <v>0</v>
      </c>
      <c r="P190" s="64">
        <f>sumifs(Dados!$N:$N,Dados!$B:$B,B190,Dados!$J:$J,$D$1,Dados!$I:$I,$P$4)</f>
        <v>0</v>
      </c>
      <c r="Q190" s="64"/>
    </row>
    <row r="191" ht="15.75" customHeight="1">
      <c r="A191" s="58"/>
      <c r="B191" s="58" t="s">
        <v>765</v>
      </c>
      <c r="C191" s="60"/>
      <c r="D191" s="61">
        <f t="shared" si="46"/>
        <v>0</v>
      </c>
      <c r="E191" s="64">
        <f>sumifs(Dados!$N:$N,Dados!$B:$B,B191,Dados!$J:$J,$D$1,Dados!$I:$I,$E$4)</f>
        <v>0</v>
      </c>
      <c r="F191" s="64">
        <f>sumifs(Dados!$N:$N,Dados!$B:$B,B191,Dados!$J:$J,$D$1,Dados!$I:$I,$F$4)</f>
        <v>0</v>
      </c>
      <c r="G191" s="64">
        <f>sumifs(Dados!$N:$N,Dados!$B:$B,B191,Dados!$J:$J,$D$1,Dados!$I:$I,$G$4)</f>
        <v>0</v>
      </c>
      <c r="H191" s="64">
        <f>sumifs(Dados!$N:$N,Dados!$B:$B,B191,Dados!$J:$J,$D$1,Dados!$I:$I,$H$4)</f>
        <v>0</v>
      </c>
      <c r="I191" s="64">
        <f>sumifs(Dados!$N:$N,Dados!$B:$B,B191,Dados!$J:$J,$D$1,Dados!$I:$I,$I$4)</f>
        <v>0</v>
      </c>
      <c r="J191" s="64">
        <f>sumifs(Dados!$N:$N,Dados!$B:$B,B191,Dados!$J:$J,$D$1,Dados!$I:$I,$J$4)</f>
        <v>0</v>
      </c>
      <c r="K191" s="64">
        <f>sumifs(Dados!$N:$N,Dados!$B:$B,B191,Dados!$J:$J,$D$1,Dados!$I:$I,$K$4)</f>
        <v>0</v>
      </c>
      <c r="L191" s="64">
        <f>sumifs(Dados!$N:$N,Dados!$B:$B,B191,Dados!$J:$J,$D$1,Dados!$I:$I,$L$4)</f>
        <v>0</v>
      </c>
      <c r="M191" s="64">
        <f>sumifs(Dados!$N:$N,Dados!$B:$B,B191,Dados!$J:$J,$D$1,Dados!$I:$I,$M$4)</f>
        <v>0</v>
      </c>
      <c r="N191" s="64">
        <f>sumifs(Dados!$N:$N,Dados!$B:$B,B191,Dados!$J:$J,$D$1,Dados!$I:$I,$N$4)</f>
        <v>0</v>
      </c>
      <c r="O191" s="64">
        <f>sumifs(Dados!$N:$N,Dados!$B:$B,B191,Dados!$J:$J,$D$1,Dados!$I:$I,$O$4)</f>
        <v>0</v>
      </c>
      <c r="P191" s="64">
        <f>sumifs(Dados!$N:$N,Dados!$B:$B,B191,Dados!$J:$J,$D$1,Dados!$I:$I,$P$4)</f>
        <v>0</v>
      </c>
      <c r="Q191" s="64"/>
    </row>
    <row r="192" ht="15.75" customHeight="1">
      <c r="A192" s="27"/>
      <c r="B192" s="27" t="s">
        <v>770</v>
      </c>
      <c r="C192" s="60"/>
      <c r="D192" s="61">
        <f t="shared" si="46"/>
        <v>22.75</v>
      </c>
      <c r="E192" s="64">
        <f>sumifs(Dados!$N:$N,Dados!$B:$B,B192,Dados!$J:$J,$D$1,Dados!$I:$I,$E$4)</f>
        <v>0</v>
      </c>
      <c r="F192" s="64">
        <f>sumifs(Dados!$N:$N,Dados!$B:$B,B192,Dados!$J:$J,$D$1,Dados!$I:$I,$F$4)</f>
        <v>0</v>
      </c>
      <c r="G192" s="64">
        <f>sumifs(Dados!$N:$N,Dados!$B:$B,B192,Dados!$J:$J,$D$1,Dados!$I:$I,$G$4)</f>
        <v>0</v>
      </c>
      <c r="H192" s="64">
        <f>sumifs(Dados!$N:$N,Dados!$B:$B,B192,Dados!$J:$J,$D$1,Dados!$I:$I,$H$4)</f>
        <v>0</v>
      </c>
      <c r="I192" s="64">
        <f>sumifs(Dados!$N:$N,Dados!$B:$B,B192,Dados!$J:$J,$D$1,Dados!$I:$I,$I$4)</f>
        <v>0</v>
      </c>
      <c r="J192" s="64">
        <f>sumifs(Dados!$N:$N,Dados!$B:$B,B192,Dados!$J:$J,$D$1,Dados!$I:$I,$J$4)</f>
        <v>0</v>
      </c>
      <c r="K192" s="64">
        <f>sumifs(Dados!$N:$N,Dados!$B:$B,B192,Dados!$J:$J,$D$1,Dados!$I:$I,$K$4)</f>
        <v>0</v>
      </c>
      <c r="L192" s="64">
        <f>sumifs(Dados!$N:$N,Dados!$B:$B,B192,Dados!$J:$J,$D$1,Dados!$I:$I,$L$4)</f>
        <v>11.85</v>
      </c>
      <c r="M192" s="64">
        <f>sumifs(Dados!$N:$N,Dados!$B:$B,B192,Dados!$J:$J,$D$1,Dados!$I:$I,$M$4)</f>
        <v>10.9</v>
      </c>
      <c r="N192" s="64">
        <f>sumifs(Dados!$N:$N,Dados!$B:$B,B192,Dados!$J:$J,$D$1,Dados!$I:$I,$N$4)</f>
        <v>0</v>
      </c>
      <c r="O192" s="64">
        <f>sumifs(Dados!$N:$N,Dados!$B:$B,B192,Dados!$J:$J,$D$1,Dados!$I:$I,$O$4)</f>
        <v>0</v>
      </c>
      <c r="P192" s="64">
        <f>sumifs(Dados!$N:$N,Dados!$B:$B,B192,Dados!$J:$J,$D$1,Dados!$I:$I,$P$4)</f>
        <v>0</v>
      </c>
      <c r="Q192" s="64"/>
    </row>
    <row r="193" ht="15.75" customHeight="1">
      <c r="A193" s="27"/>
      <c r="B193" s="27" t="s">
        <v>776</v>
      </c>
      <c r="C193" s="60"/>
      <c r="D193" s="61">
        <f t="shared" si="46"/>
        <v>16</v>
      </c>
      <c r="E193" s="64">
        <f>sumifs(Dados!$N:$N,Dados!$B:$B,B193,Dados!$J:$J,$D$1,Dados!$I:$I,$E$4)</f>
        <v>0</v>
      </c>
      <c r="F193" s="64">
        <f>sumifs(Dados!$N:$N,Dados!$B:$B,B193,Dados!$J:$J,$D$1,Dados!$I:$I,$F$4)</f>
        <v>0</v>
      </c>
      <c r="G193" s="64">
        <f>sumifs(Dados!$N:$N,Dados!$B:$B,B193,Dados!$J:$J,$D$1,Dados!$I:$I,$G$4)</f>
        <v>0</v>
      </c>
      <c r="H193" s="64">
        <f>sumifs(Dados!$N:$N,Dados!$B:$B,B193,Dados!$J:$J,$D$1,Dados!$I:$I,$H$4)</f>
        <v>0</v>
      </c>
      <c r="I193" s="64">
        <f>sumifs(Dados!$N:$N,Dados!$B:$B,B193,Dados!$J:$J,$D$1,Dados!$I:$I,$I$4)</f>
        <v>0</v>
      </c>
      <c r="J193" s="64">
        <f>sumifs(Dados!$N:$N,Dados!$B:$B,B193,Dados!$J:$J,$D$1,Dados!$I:$I,$J$4)</f>
        <v>0</v>
      </c>
      <c r="K193" s="64">
        <f>sumifs(Dados!$N:$N,Dados!$B:$B,B193,Dados!$J:$J,$D$1,Dados!$I:$I,$K$4)</f>
        <v>0</v>
      </c>
      <c r="L193" s="64">
        <f>sumifs(Dados!$N:$N,Dados!$B:$B,B193,Dados!$J:$J,$D$1,Dados!$I:$I,$L$4)</f>
        <v>0</v>
      </c>
      <c r="M193" s="64">
        <f>sumifs(Dados!$N:$N,Dados!$B:$B,B193,Dados!$J:$J,$D$1,Dados!$I:$I,$M$4)</f>
        <v>16</v>
      </c>
      <c r="N193" s="64">
        <f>sumifs(Dados!$N:$N,Dados!$B:$B,B193,Dados!$J:$J,$D$1,Dados!$I:$I,$N$4)</f>
        <v>0</v>
      </c>
      <c r="O193" s="64">
        <f>sumifs(Dados!$N:$N,Dados!$B:$B,B193,Dados!$J:$J,$D$1,Dados!$I:$I,$O$4)</f>
        <v>0</v>
      </c>
      <c r="P193" s="64">
        <f>sumifs(Dados!$N:$N,Dados!$B:$B,B193,Dados!$J:$J,$D$1,Dados!$I:$I,$P$4)</f>
        <v>0</v>
      </c>
      <c r="Q193" s="64"/>
    </row>
    <row r="194" ht="15.75" customHeight="1">
      <c r="A194" s="58"/>
      <c r="B194" s="58" t="s">
        <v>779</v>
      </c>
      <c r="C194" s="60"/>
      <c r="D194" s="61">
        <f t="shared" si="46"/>
        <v>42.98</v>
      </c>
      <c r="E194" s="64">
        <f>sumifs(Dados!$N:$N,Dados!$B:$B,B194,Dados!$J:$J,$D$1,Dados!$I:$I,$E$4)</f>
        <v>0</v>
      </c>
      <c r="F194" s="64">
        <f>sumifs(Dados!$N:$N,Dados!$B:$B,B194,Dados!$J:$J,$D$1,Dados!$I:$I,$F$4)</f>
        <v>0</v>
      </c>
      <c r="G194" s="64">
        <f>sumifs(Dados!$N:$N,Dados!$B:$B,B194,Dados!$J:$J,$D$1,Dados!$I:$I,$G$4)</f>
        <v>0</v>
      </c>
      <c r="H194" s="64">
        <f>sumifs(Dados!$N:$N,Dados!$B:$B,B194,Dados!$J:$J,$D$1,Dados!$I:$I,$H$4)</f>
        <v>21.49</v>
      </c>
      <c r="I194" s="64">
        <f>sumifs(Dados!$N:$N,Dados!$B:$B,B194,Dados!$J:$J,$D$1,Dados!$I:$I,$I$4)</f>
        <v>21.49</v>
      </c>
      <c r="J194" s="64">
        <f>sumifs(Dados!$N:$N,Dados!$B:$B,B194,Dados!$J:$J,$D$1,Dados!$I:$I,$J$4)</f>
        <v>0</v>
      </c>
      <c r="K194" s="64">
        <f>sumifs(Dados!$N:$N,Dados!$B:$B,B194,Dados!$J:$J,$D$1,Dados!$I:$I,$K$4)</f>
        <v>0</v>
      </c>
      <c r="L194" s="64">
        <f>sumifs(Dados!$N:$N,Dados!$B:$B,B194,Dados!$J:$J,$D$1,Dados!$I:$I,$L$4)</f>
        <v>0</v>
      </c>
      <c r="M194" s="64">
        <f>sumifs(Dados!$N:$N,Dados!$B:$B,B194,Dados!$J:$J,$D$1,Dados!$I:$I,$M$4)</f>
        <v>0</v>
      </c>
      <c r="N194" s="64">
        <f>sumifs(Dados!$N:$N,Dados!$B:$B,B194,Dados!$J:$J,$D$1,Dados!$I:$I,$N$4)</f>
        <v>0</v>
      </c>
      <c r="O194" s="64">
        <f>sumifs(Dados!$N:$N,Dados!$B:$B,B194,Dados!$J:$J,$D$1,Dados!$I:$I,$O$4)</f>
        <v>0</v>
      </c>
      <c r="P194" s="64">
        <f>sumifs(Dados!$N:$N,Dados!$B:$B,B194,Dados!$J:$J,$D$1,Dados!$I:$I,$P$4)</f>
        <v>0</v>
      </c>
      <c r="Q194" s="64"/>
    </row>
    <row r="195" ht="15.75" customHeight="1">
      <c r="A195" s="58"/>
      <c r="B195" s="58" t="s">
        <v>619</v>
      </c>
      <c r="C195" s="60"/>
      <c r="D195" s="61">
        <f t="shared" si="46"/>
        <v>280.98</v>
      </c>
      <c r="E195" s="64">
        <f>sumifs(Dados!$N:$N,Dados!$B:$B,B195,Dados!$J:$J,$D$1,Dados!$I:$I,$E$4)</f>
        <v>0</v>
      </c>
      <c r="F195" s="64">
        <f>sumifs(Dados!$N:$N,Dados!$B:$B,B195,Dados!$J:$J,$D$1,Dados!$I:$I,$F$4)</f>
        <v>0</v>
      </c>
      <c r="G195" s="64">
        <f>sumifs(Dados!$N:$N,Dados!$B:$B,B195,Dados!$J:$J,$D$1,Dados!$I:$I,$G$4)</f>
        <v>0</v>
      </c>
      <c r="H195" s="64">
        <f>sumifs(Dados!$N:$N,Dados!$B:$B,B195,Dados!$J:$J,$D$1,Dados!$I:$I,$H$4)</f>
        <v>96.12</v>
      </c>
      <c r="I195" s="64">
        <f>sumifs(Dados!$N:$N,Dados!$B:$B,B195,Dados!$J:$J,$D$1,Dados!$I:$I,$I$4)</f>
        <v>184.86</v>
      </c>
      <c r="J195" s="64">
        <f>sumifs(Dados!$N:$N,Dados!$B:$B,B195,Dados!$J:$J,$D$1,Dados!$I:$I,$J$4)</f>
        <v>0</v>
      </c>
      <c r="K195" s="64">
        <f>sumifs(Dados!$N:$N,Dados!$B:$B,B195,Dados!$J:$J,$D$1,Dados!$I:$I,$K$4)</f>
        <v>0</v>
      </c>
      <c r="L195" s="64">
        <f>sumifs(Dados!$N:$N,Dados!$B:$B,B195,Dados!$J:$J,$D$1,Dados!$I:$I,$L$4)</f>
        <v>0</v>
      </c>
      <c r="M195" s="64">
        <f>sumifs(Dados!$N:$N,Dados!$B:$B,B195,Dados!$J:$J,$D$1,Dados!$I:$I,$M$4)</f>
        <v>0</v>
      </c>
      <c r="N195" s="64">
        <f>sumifs(Dados!$N:$N,Dados!$B:$B,B195,Dados!$J:$J,$D$1,Dados!$I:$I,$N$4)</f>
        <v>0</v>
      </c>
      <c r="O195" s="64">
        <f>sumifs(Dados!$N:$N,Dados!$B:$B,B195,Dados!$J:$J,$D$1,Dados!$I:$I,$O$4)</f>
        <v>0</v>
      </c>
      <c r="P195" s="64">
        <f>sumifs(Dados!$N:$N,Dados!$B:$B,B195,Dados!$J:$J,$D$1,Dados!$I:$I,$P$4)</f>
        <v>0</v>
      </c>
      <c r="Q195" s="64"/>
    </row>
    <row r="196" ht="15.75" customHeight="1">
      <c r="A196" s="58"/>
      <c r="B196" s="58" t="s">
        <v>786</v>
      </c>
      <c r="C196" s="60"/>
      <c r="D196" s="61">
        <f t="shared" si="46"/>
        <v>0</v>
      </c>
      <c r="E196" s="64">
        <f>sumifs(Dados!$N:$N,Dados!$B:$B,B196,Dados!$J:$J,$D$1,Dados!$I:$I,$E$4)</f>
        <v>0</v>
      </c>
      <c r="F196" s="64">
        <f>sumifs(Dados!$N:$N,Dados!$B:$B,B196,Dados!$J:$J,$D$1,Dados!$I:$I,$F$4)</f>
        <v>0</v>
      </c>
      <c r="G196" s="64">
        <f>sumifs(Dados!$N:$N,Dados!$B:$B,B196,Dados!$J:$J,$D$1,Dados!$I:$I,$G$4)</f>
        <v>0</v>
      </c>
      <c r="H196" s="64">
        <f>sumifs(Dados!$N:$N,Dados!$B:$B,B196,Dados!$J:$J,$D$1,Dados!$I:$I,$H$4)</f>
        <v>0</v>
      </c>
      <c r="I196" s="64">
        <f>sumifs(Dados!$N:$N,Dados!$B:$B,B196,Dados!$J:$J,$D$1,Dados!$I:$I,$I$4)</f>
        <v>0</v>
      </c>
      <c r="J196" s="64">
        <f>sumifs(Dados!$N:$N,Dados!$B:$B,B196,Dados!$J:$J,$D$1,Dados!$I:$I,$J$4)</f>
        <v>0</v>
      </c>
      <c r="K196" s="64">
        <f>sumifs(Dados!$N:$N,Dados!$B:$B,B196,Dados!$J:$J,$D$1,Dados!$I:$I,$K$4)</f>
        <v>0</v>
      </c>
      <c r="L196" s="64">
        <f>sumifs(Dados!$N:$N,Dados!$B:$B,B196,Dados!$J:$J,$D$1,Dados!$I:$I,$L$4)</f>
        <v>0</v>
      </c>
      <c r="M196" s="64">
        <f>sumifs(Dados!$N:$N,Dados!$B:$B,B196,Dados!$J:$J,$D$1,Dados!$I:$I,$M$4)</f>
        <v>0</v>
      </c>
      <c r="N196" s="64">
        <f>sumifs(Dados!$N:$N,Dados!$B:$B,B196,Dados!$J:$J,$D$1,Dados!$I:$I,$N$4)</f>
        <v>0</v>
      </c>
      <c r="O196" s="64">
        <f>sumifs(Dados!$N:$N,Dados!$B:$B,B196,Dados!$J:$J,$D$1,Dados!$I:$I,$O$4)</f>
        <v>0</v>
      </c>
      <c r="P196" s="64">
        <f>sumifs(Dados!$N:$N,Dados!$B:$B,B196,Dados!$J:$J,$D$1,Dados!$I:$I,$P$4)</f>
        <v>0</v>
      </c>
      <c r="Q196" s="64"/>
    </row>
    <row r="197" ht="15.75" customHeight="1">
      <c r="A197" s="58"/>
      <c r="B197" s="58" t="s">
        <v>800</v>
      </c>
      <c r="C197" s="60"/>
      <c r="D197" s="61">
        <f t="shared" si="46"/>
        <v>0</v>
      </c>
      <c r="E197" s="64">
        <f>sumifs(Dados!$N:$N,Dados!$B:$B,B197,Dados!$J:$J,$D$1,Dados!$I:$I,$E$4)</f>
        <v>0</v>
      </c>
      <c r="F197" s="64">
        <f>sumifs(Dados!$N:$N,Dados!$B:$B,B197,Dados!$J:$J,$D$1,Dados!$I:$I,$F$4)</f>
        <v>0</v>
      </c>
      <c r="G197" s="64">
        <f>sumifs(Dados!$N:$N,Dados!$B:$B,B197,Dados!$J:$J,$D$1,Dados!$I:$I,$G$4)</f>
        <v>0</v>
      </c>
      <c r="H197" s="64">
        <f>sumifs(Dados!$N:$N,Dados!$B:$B,B197,Dados!$J:$J,$D$1,Dados!$I:$I,$H$4)</f>
        <v>0</v>
      </c>
      <c r="I197" s="64">
        <f>sumifs(Dados!$N:$N,Dados!$B:$B,B197,Dados!$J:$J,$D$1,Dados!$I:$I,$I$4)</f>
        <v>0</v>
      </c>
      <c r="J197" s="64">
        <f>sumifs(Dados!$N:$N,Dados!$B:$B,B197,Dados!$J:$J,$D$1,Dados!$I:$I,$J$4)</f>
        <v>0</v>
      </c>
      <c r="K197" s="64">
        <f>sumifs(Dados!$N:$N,Dados!$B:$B,B197,Dados!$J:$J,$D$1,Dados!$I:$I,$K$4)</f>
        <v>0</v>
      </c>
      <c r="L197" s="64">
        <f>sumifs(Dados!$N:$N,Dados!$B:$B,B197,Dados!$J:$J,$D$1,Dados!$I:$I,$L$4)</f>
        <v>0</v>
      </c>
      <c r="M197" s="64">
        <f>sumifs(Dados!$N:$N,Dados!$B:$B,B197,Dados!$J:$J,$D$1,Dados!$I:$I,$M$4)</f>
        <v>0</v>
      </c>
      <c r="N197" s="64">
        <f>sumifs(Dados!$N:$N,Dados!$B:$B,B197,Dados!$J:$J,$D$1,Dados!$I:$I,$N$4)</f>
        <v>0</v>
      </c>
      <c r="O197" s="64">
        <f>sumifs(Dados!$N:$N,Dados!$B:$B,B197,Dados!$J:$J,$D$1,Dados!$I:$I,$O$4)</f>
        <v>0</v>
      </c>
      <c r="P197" s="64">
        <f>sumifs(Dados!$N:$N,Dados!$B:$B,B197,Dados!$J:$J,$D$1,Dados!$I:$I,$P$4)</f>
        <v>0</v>
      </c>
      <c r="Q197" s="64"/>
    </row>
    <row r="198" ht="15.75" customHeight="1">
      <c r="A198" s="88" t="s">
        <v>617</v>
      </c>
      <c r="B198" s="89">
        <f>sumifs(Dados!$N:$N,Dados!$A:$A,A198,Dados!$H:$H,$D$1)</f>
        <v>642.68</v>
      </c>
      <c r="C198" s="90">
        <f>B198-D198</f>
        <v>0</v>
      </c>
      <c r="D198" s="89">
        <f t="shared" ref="D198:P198" si="47">SUM(D188:D197)</f>
        <v>642.68</v>
      </c>
      <c r="E198" s="89">
        <f t="shared" si="47"/>
        <v>0</v>
      </c>
      <c r="F198" s="89">
        <f t="shared" si="47"/>
        <v>0</v>
      </c>
      <c r="G198" s="89">
        <f t="shared" si="47"/>
        <v>0</v>
      </c>
      <c r="H198" s="89">
        <f t="shared" si="47"/>
        <v>117.61</v>
      </c>
      <c r="I198" s="89">
        <f t="shared" si="47"/>
        <v>346.54</v>
      </c>
      <c r="J198" s="89">
        <f t="shared" si="47"/>
        <v>79.03</v>
      </c>
      <c r="K198" s="89">
        <f t="shared" si="47"/>
        <v>0</v>
      </c>
      <c r="L198" s="89">
        <f t="shared" si="47"/>
        <v>72.6</v>
      </c>
      <c r="M198" s="89">
        <f t="shared" si="47"/>
        <v>26.9</v>
      </c>
      <c r="N198" s="89">
        <f t="shared" si="47"/>
        <v>0</v>
      </c>
      <c r="O198" s="89">
        <f t="shared" si="47"/>
        <v>0</v>
      </c>
      <c r="P198" s="89">
        <f t="shared" si="47"/>
        <v>0</v>
      </c>
      <c r="Q198" s="89"/>
    </row>
    <row r="199" ht="15.75" customHeight="1">
      <c r="A199" s="58"/>
      <c r="B199" s="59" t="s">
        <v>25</v>
      </c>
      <c r="C199" s="60"/>
      <c r="D199" s="61">
        <f t="shared" ref="D199:D208" si="48">SUM(E199:P199)</f>
        <v>21535.08</v>
      </c>
      <c r="E199" s="64">
        <f>sumifs(Dados!$N:$N,Dados!$B:$B,B199,Dados!$J:$J,$D$1,Dados!$I:$I,$E$4)</f>
        <v>729.35</v>
      </c>
      <c r="F199" s="64">
        <f>sumifs(Dados!$N:$N,Dados!$B:$B,B199,Dados!$J:$J,$D$1,Dados!$I:$I,$F$4)</f>
        <v>7440.54</v>
      </c>
      <c r="G199" s="64">
        <f>sumifs(Dados!$N:$N,Dados!$B:$B,B199,Dados!$J:$J,$D$1,Dados!$I:$I,$G$4)</f>
        <v>2963.67</v>
      </c>
      <c r="H199" s="64">
        <f>sumifs(Dados!$N:$N,Dados!$B:$B,$B$199,Dados!$J:$J,$D$1,Dados!$I:$I,H4)</f>
        <v>3925.72</v>
      </c>
      <c r="I199" s="64">
        <f>sumifs(Dados!$N:$N,Dados!$B:$B,B199,Dados!$J:$J,$D$1,Dados!$I:$I,$I$4)</f>
        <v>1262.95</v>
      </c>
      <c r="J199" s="64">
        <f>sumifs(Dados!$N:$N,Dados!$B:$B,B199,Dados!$J:$J,$D$1,Dados!$I:$I,$J$4)</f>
        <v>1852.58</v>
      </c>
      <c r="K199" s="64">
        <f>sumifs(Dados!$N:$N,Dados!$B:$B,B199,Dados!$J:$J,$D$1,Dados!$I:$I,$K$4)</f>
        <v>0</v>
      </c>
      <c r="L199" s="64">
        <f>sumifs(Dados!$N:$N,Dados!$B:$B,B199,Dados!$J:$J,$D$1,Dados!$I:$I,$L$4)</f>
        <v>3180</v>
      </c>
      <c r="M199" s="64">
        <f>sumifs(Dados!$N:$N,Dados!$B:$B,B199,Dados!$J:$J,$D$1,Dados!$I:$I,$M$4)</f>
        <v>180.27</v>
      </c>
      <c r="N199" s="64">
        <f>sumifs(Dados!$N:$N,Dados!$B:$B,B199,Dados!$J:$J,$D$1,Dados!$I:$I,$N$4)</f>
        <v>0</v>
      </c>
      <c r="O199" s="64">
        <f>sumifs(Dados!$N:$N,Dados!$B:$B,B199,Dados!$J:$J,$D$1,Dados!$I:$I,$O$4)</f>
        <v>0</v>
      </c>
      <c r="P199" s="64">
        <f>sumifs(Dados!$N:$N,Dados!$B:$B,$B199,Dados!$J:$J,$D$1,Dados!$I:$I,$P$4)</f>
        <v>0</v>
      </c>
      <c r="Q199" s="61"/>
    </row>
    <row r="200" ht="15.75" customHeight="1">
      <c r="A200" s="58"/>
      <c r="B200" s="59" t="s">
        <v>342</v>
      </c>
      <c r="C200" s="60"/>
      <c r="D200" s="61">
        <f t="shared" si="48"/>
        <v>26890.51</v>
      </c>
      <c r="E200" s="64">
        <f>sumifs(Dados!$N:$N,Dados!$B:$B,B200,Dados!$J:$J,$D$1,Dados!$I:$I,$E$4)</f>
        <v>2695.4</v>
      </c>
      <c r="F200" s="64">
        <f>sumifs(Dados!$N:$N,Dados!$B:$B,B200,Dados!$J:$J,$D$1,Dados!$I:$I,$F$4)</f>
        <v>8070</v>
      </c>
      <c r="G200" s="64">
        <f>sumifs(Dados!$N:$N,Dados!$B:$B,B200,Dados!$J:$J,$D$1,Dados!$I:$I,$G$4)</f>
        <v>4270.13</v>
      </c>
      <c r="H200" s="64">
        <f>sumifs(Dados!$N:$N,Dados!$B:$B,B200,Dados!$J:$J,$D$1,Dados!$I:$I,$H$4)</f>
        <v>3175</v>
      </c>
      <c r="I200" s="64">
        <f>sumifs(Dados!$N:$N,Dados!$B:$B,B200,Dados!$J:$J,$D$1,Dados!$I:$I,$I$4)</f>
        <v>4246.1</v>
      </c>
      <c r="J200" s="64">
        <f>sumifs(Dados!$N:$N,Dados!$B:$B,B200,Dados!$J:$J,$D$1,Dados!$I:$I,$J$4)</f>
        <v>913.88</v>
      </c>
      <c r="K200" s="64">
        <f>sumifs(Dados!$N:$N,Dados!$B:$B,B200,Dados!$J:$J,$D$1,Dados!$I:$I,$K$4)</f>
        <v>700</v>
      </c>
      <c r="L200" s="64">
        <f>sumifs(Dados!$N:$N,Dados!$B:$B,B200,Dados!$J:$J,$D$1,Dados!$I:$I,$L$4)</f>
        <v>980</v>
      </c>
      <c r="M200" s="64">
        <f>sumifs(Dados!$N:$N,Dados!$B:$B,B200,Dados!$J:$J,$D$1,Dados!$I:$I,$M$4)</f>
        <v>1840</v>
      </c>
      <c r="N200" s="64">
        <f>sumifs(Dados!$N:$N,Dados!$B:$B,B200,Dados!$J:$J,$D$1,Dados!$I:$I,$N$4)</f>
        <v>0</v>
      </c>
      <c r="O200" s="64">
        <f>sumifs(Dados!$N:$N,Dados!$B:$B,B200,Dados!$J:$J,$D$1,Dados!$I:$I,$O$4)</f>
        <v>0</v>
      </c>
      <c r="P200" s="64">
        <f>sumifs(Dados!$N:$N,Dados!$B:$B,$B200,Dados!$J:$J,$D$1,Dados!$I:$I,$P$4)</f>
        <v>0</v>
      </c>
      <c r="Q200" s="61"/>
    </row>
    <row r="201" ht="15.75" customHeight="1">
      <c r="A201" s="58"/>
      <c r="B201" s="59" t="s">
        <v>27</v>
      </c>
      <c r="C201" s="60"/>
      <c r="D201" s="61">
        <f t="shared" si="48"/>
        <v>24495.22</v>
      </c>
      <c r="E201" s="64">
        <f>sumifs(Dados!$N:$N,Dados!$B:$B,B201,Dados!$J:$J,$D$1,Dados!$I:$I,$E$4)</f>
        <v>7978.63</v>
      </c>
      <c r="F201" s="64">
        <f>sumifs(Dados!$N:$N,Dados!$B:$B,B201,Dados!$J:$J,$D$1,Dados!$I:$I,$F$4)</f>
        <v>7360.43</v>
      </c>
      <c r="G201" s="64">
        <f>sumifs(Dados!$N:$N,Dados!$B:$B,B201,Dados!$J:$J,$D$1,Dados!$I:$I,$G$4)</f>
        <v>2444.42</v>
      </c>
      <c r="H201" s="64">
        <f>sumifs(Dados!$N:$N,Dados!$B:$B,B201,Dados!$J:$J,$D$1,Dados!$I:$I,$H$4)</f>
        <v>1786.11</v>
      </c>
      <c r="I201" s="64">
        <f>sumifs(Dados!$N:$N,Dados!$B:$B,B201,Dados!$J:$J,$D$1,Dados!$I:$I,$I$4)</f>
        <v>1949.27</v>
      </c>
      <c r="J201" s="64">
        <f>sumifs(Dados!$N:$N,Dados!$B:$B,B201,Dados!$J:$J,$D$1,Dados!$I:$I,$J$4)</f>
        <v>594.44</v>
      </c>
      <c r="K201" s="64">
        <f>sumifs(Dados!$N:$N,Dados!$B:$B,B201,Dados!$J:$J,$D$1,Dados!$I:$I,$K$4)</f>
        <v>1202.3</v>
      </c>
      <c r="L201" s="64">
        <f>sumifs(Dados!$N:$N,Dados!$B:$B,B201,Dados!$J:$J,$D$1,Dados!$I:$I,$L$4)</f>
        <v>257.33</v>
      </c>
      <c r="M201" s="64">
        <f>sumifs(Dados!$N:$N,Dados!$B:$B,B201,Dados!$J:$J,$D$1,Dados!$I:$I,$M$4)</f>
        <v>922.29</v>
      </c>
      <c r="N201" s="64">
        <f>sumifs(Dados!$N:$N,Dados!$B:$B,B201,Dados!$J:$J,$D$1,Dados!$I:$I,$N$4)</f>
        <v>0</v>
      </c>
      <c r="O201" s="64">
        <f>sumifs(Dados!$N:$N,Dados!$B:$B,B201,Dados!$J:$J,$D$1,Dados!$I:$I,$O$4)</f>
        <v>0</v>
      </c>
      <c r="P201" s="64">
        <f>sumifs(Dados!$N:$N,Dados!$B:$B,$B201,Dados!$J:$J,$D$1,Dados!$I:$I,$P$4)</f>
        <v>0</v>
      </c>
      <c r="Q201" s="61"/>
    </row>
    <row r="202" ht="15.75" customHeight="1">
      <c r="A202" s="58"/>
      <c r="B202" s="232" t="s">
        <v>24</v>
      </c>
      <c r="C202" s="60"/>
      <c r="D202" s="61">
        <f t="shared" si="48"/>
        <v>837.82</v>
      </c>
      <c r="E202" s="64">
        <f>sumifs(Dados!$N:$N,Dados!$B:$B,B202,Dados!$J:$J,$D$1,Dados!$I:$I,$E$4)</f>
        <v>160</v>
      </c>
      <c r="F202" s="64">
        <f>sumifs(Dados!$N:$N,Dados!$B:$B,B202,Dados!$J:$J,$D$1,Dados!$I:$I,$F$4)</f>
        <v>255.5</v>
      </c>
      <c r="G202" s="64">
        <f>sumifs(Dados!$N:$N,Dados!$B:$B,B202,Dados!$J:$J,$D$1,Dados!$I:$I,$G$4)</f>
        <v>253.9</v>
      </c>
      <c r="H202" s="64">
        <f>sumifs(Dados!$N:$N,Dados!$B:$B,B202,Dados!$J:$J,$D$1,Dados!$I:$I,$H$4)</f>
        <v>168.42</v>
      </c>
      <c r="I202" s="64">
        <f>sumifs(Dados!$N:$N,Dados!$B:$B,B202,Dados!$J:$J,$D$1,Dados!$I:$I,$I$4)</f>
        <v>0</v>
      </c>
      <c r="J202" s="64">
        <f>sumifs(Dados!$N:$N,Dados!$B:$B,B202,Dados!$J:$J,$D$1,Dados!$I:$I,$J$4)</f>
        <v>0</v>
      </c>
      <c r="K202" s="64">
        <f>sumifs(Dados!$N:$N,Dados!$B:$B,B202,Dados!$J:$J,$D$1,Dados!$I:$I,$K$4)</f>
        <v>0</v>
      </c>
      <c r="L202" s="64">
        <f>sumifs(Dados!$N:$N,Dados!$B:$B,B202,Dados!$J:$J,$D$1,Dados!$I:$I,$L$4)</f>
        <v>0</v>
      </c>
      <c r="M202" s="64">
        <f>sumifs(Dados!$N:$N,Dados!$B:$B,B202,Dados!$J:$J,$D$1,Dados!$I:$I,$M$4)</f>
        <v>0</v>
      </c>
      <c r="N202" s="64">
        <f>sumifs(Dados!$N:$N,Dados!$B:$B,B202,Dados!$J:$J,$D$1,Dados!$I:$I,$N$4)</f>
        <v>0</v>
      </c>
      <c r="O202" s="64">
        <f>sumifs(Dados!$N:$N,Dados!$B:$B,B202,Dados!$J:$J,$D$1,Dados!$I:$I,$O$4)</f>
        <v>0</v>
      </c>
      <c r="P202" s="64">
        <f>sumifs(Dados!$N:$N,Dados!$B:$B,$B202,Dados!$J:$J,$D$1,Dados!$I:$I,$P$4)</f>
        <v>0</v>
      </c>
      <c r="Q202" s="61"/>
    </row>
    <row r="203" ht="15.75" customHeight="1">
      <c r="A203" s="58"/>
      <c r="B203" s="232" t="s">
        <v>28</v>
      </c>
      <c r="C203" s="60"/>
      <c r="D203" s="61">
        <f t="shared" si="48"/>
        <v>6705.51</v>
      </c>
      <c r="E203" s="64">
        <f>sumifs(Dados!$N:$N,Dados!$B:$B,B203,Dados!$J:$J,$D$1,Dados!$I:$I,$E$4)</f>
        <v>0</v>
      </c>
      <c r="F203" s="64">
        <f>sumifs(Dados!$N:$N,Dados!$B:$B,B203,Dados!$J:$J,$D$1,Dados!$I:$I,$F$4)</f>
        <v>1702.56</v>
      </c>
      <c r="G203" s="64">
        <f>sumifs(Dados!$N:$N,Dados!$B:$B,B203,Dados!$J:$J,$D$1,Dados!$I:$I,$G$4)</f>
        <v>350</v>
      </c>
      <c r="H203" s="64">
        <f>sumifs(Dados!$N:$N,Dados!$B:$B,B203,Dados!$J:$J,$D$1,Dados!$I:$I,$H$4)</f>
        <v>2121.61</v>
      </c>
      <c r="I203" s="64">
        <f>sumifs(Dados!$N:$N,Dados!$B:$B,B203,Dados!$J:$J,$D$1,Dados!$I:$I,$I$4)</f>
        <v>0</v>
      </c>
      <c r="J203" s="64">
        <f>sumifs(Dados!$N:$N,Dados!$B:$B,B203,Dados!$J:$J,$D$1,Dados!$I:$I,$J$4)</f>
        <v>2531.34</v>
      </c>
      <c r="K203" s="64">
        <f>sumifs(Dados!$N:$N,Dados!$B:$B,B203,Dados!$J:$J,$D$1,Dados!$I:$I,$K$4)</f>
        <v>0</v>
      </c>
      <c r="L203" s="64">
        <f>sumifs(Dados!$N:$N,Dados!$B:$B,B203,Dados!$J:$J,$D$1,Dados!$I:$I,$L$4)</f>
        <v>0</v>
      </c>
      <c r="M203" s="64">
        <f>sumifs(Dados!$N:$N,Dados!$B:$B,B203,Dados!$J:$J,$D$1,Dados!$I:$I,$M$4)</f>
        <v>0</v>
      </c>
      <c r="N203" s="64">
        <f>sumifs(Dados!$N:$N,Dados!$B:$B,B203,Dados!$J:$J,$D$1,Dados!$I:$I,$N$4)</f>
        <v>0</v>
      </c>
      <c r="O203" s="64">
        <f>sumifs(Dados!$N:$N,Dados!$B:$B,B203,Dados!$J:$J,$D$1,Dados!$I:$I,$O$4)</f>
        <v>0</v>
      </c>
      <c r="P203" s="64">
        <f>sumifs(Dados!$N:$N,Dados!$B:$B,$B203,Dados!$J:$J,$D$1,Dados!$I:$I,$P$4)</f>
        <v>0</v>
      </c>
      <c r="Q203" s="61"/>
    </row>
    <row r="204" ht="15.75" customHeight="1">
      <c r="A204" s="58"/>
      <c r="B204" s="74" t="s">
        <v>29</v>
      </c>
      <c r="C204" s="60"/>
      <c r="D204" s="61">
        <f t="shared" si="48"/>
        <v>396.37</v>
      </c>
      <c r="E204" s="64">
        <f>sumifs(Dados!$N:$N,Dados!$B:$B,B204,Dados!$J:$J,$D$1,Dados!$I:$I,$E$4)</f>
        <v>7.52</v>
      </c>
      <c r="F204" s="64">
        <f>sumifs(Dados!$N:$N,Dados!$B:$B,B204,Dados!$J:$J,$D$1,Dados!$I:$I,$F$4)</f>
        <v>383.91</v>
      </c>
      <c r="G204" s="64">
        <f>sumifs(Dados!$N:$N,Dados!$B:$B,B204,Dados!$J:$J,$D$1,Dados!$I:$I,$G$4)</f>
        <v>4.94</v>
      </c>
      <c r="H204" s="64">
        <f>sumifs(Dados!$N:$N,Dados!$B:$B,B204,Dados!$J:$J,$D$1,Dados!$I:$I,$H$4)</f>
        <v>0</v>
      </c>
      <c r="I204" s="64">
        <f>sumifs(Dados!$N:$N,Dados!$B:$B,B204,Dados!$J:$J,$D$1,Dados!$I:$I,$I$4)</f>
        <v>0</v>
      </c>
      <c r="J204" s="64">
        <f>sumifs(Dados!$N:$N,Dados!$B:$B,B204,Dados!$J:$J,$D$1,Dados!$I:$I,$J$4)</f>
        <v>0</v>
      </c>
      <c r="K204" s="64">
        <f>sumifs(Dados!$N:$N,Dados!$B:$B,B204,Dados!$J:$J,$D$1,Dados!$I:$I,$K$4)</f>
        <v>0</v>
      </c>
      <c r="L204" s="64">
        <f>sumifs(Dados!$N:$N,Dados!$B:$B,B204,Dados!$J:$J,$D$1,Dados!$I:$I,$L$4)</f>
        <v>0</v>
      </c>
      <c r="M204" s="64">
        <f>sumifs(Dados!$N:$N,Dados!$B:$B,B204,Dados!$J:$J,$D$1,Dados!$I:$I,$M$4)</f>
        <v>0</v>
      </c>
      <c r="N204" s="64">
        <f>sumifs(Dados!$N:$N,Dados!$B:$B,B204,Dados!$J:$J,$D$1,Dados!$I:$I,$N$4)</f>
        <v>0</v>
      </c>
      <c r="O204" s="64">
        <f>sumifs(Dados!$N:$N,Dados!$B:$B,B204,Dados!$J:$J,$D$1,Dados!$I:$I,$O$4)</f>
        <v>0</v>
      </c>
      <c r="P204" s="64">
        <f>sumifs(Dados!$N:$N,Dados!$B:$B,$B204,Dados!$J:$J,$D$1,Dados!$I:$I,$P$4)</f>
        <v>0</v>
      </c>
      <c r="Q204" s="61"/>
    </row>
    <row r="205" ht="15.75" customHeight="1">
      <c r="A205" s="58"/>
      <c r="B205" s="74"/>
      <c r="C205" s="60"/>
      <c r="D205" s="61">
        <f t="shared" si="48"/>
        <v>0</v>
      </c>
      <c r="E205" s="64">
        <f>sumifs(Dados!$N:$N,Dados!$B:$B,B205,Dados!$J:$J,$D$1,Dados!$I:$I,$E$4)</f>
        <v>0</v>
      </c>
      <c r="F205" s="64">
        <f>sumifs(Dados!$N:$N,Dados!$B:$B,B205,Dados!$J:$J,$D$1,Dados!$I:$I,$F$4)</f>
        <v>0</v>
      </c>
      <c r="G205" s="64">
        <f>sumifs(Dados!$N:$N,Dados!$B:$B,B205,Dados!$J:$J,$D$1,Dados!$I:$I,$G$4)</f>
        <v>0</v>
      </c>
      <c r="H205" s="64">
        <f>sumifs(Dados!$N:$N,Dados!$B:$B,B205,Dados!$J:$J,$D$1,Dados!$I:$I,$H$4)</f>
        <v>0</v>
      </c>
      <c r="I205" s="64">
        <f>sumifs(Dados!$N:$N,Dados!$B:$B,B205,Dados!$J:$J,$D$1,Dados!$I:$I,$I$4)</f>
        <v>0</v>
      </c>
      <c r="J205" s="64">
        <f>sumifs(Dados!$N:$N,Dados!$B:$B,B205,Dados!$J:$J,$D$1,Dados!$I:$I,$J$4)</f>
        <v>0</v>
      </c>
      <c r="K205" s="64">
        <f>sumifs(Dados!$N:$N,Dados!$B:$B,B205,Dados!$J:$J,$D$1,Dados!$I:$I,$K$4)</f>
        <v>0</v>
      </c>
      <c r="L205" s="64">
        <f>sumifs(Dados!$N:$N,Dados!$B:$B,B205,Dados!$J:$J,$D$1,Dados!$I:$I,$L$4)</f>
        <v>0</v>
      </c>
      <c r="M205" s="64">
        <f>sumifs(Dados!$N:$N,Dados!$B:$B,B205,Dados!$J:$J,$D$1,Dados!$I:$I,$M$4)</f>
        <v>0</v>
      </c>
      <c r="N205" s="64">
        <f>sumifs(Dados!$N:$N,Dados!$B:$B,B205,Dados!$J:$J,$D$1,Dados!$I:$I,$N$4)</f>
        <v>0</v>
      </c>
      <c r="O205" s="64">
        <f>sumifs(Dados!$N:$N,Dados!$B:$B,B205,Dados!$J:$J,$D$1,Dados!$I:$I,$O$4)</f>
        <v>0</v>
      </c>
      <c r="P205" s="64">
        <f>sumifs(Dados!$N:$N,Dados!$B:$B,$B205,Dados!$J:$J,$D$1,Dados!$I:$I,$P$4)</f>
        <v>0</v>
      </c>
      <c r="Q205" s="61"/>
    </row>
    <row r="206" ht="15.75" customHeight="1">
      <c r="A206" s="58"/>
      <c r="B206" s="232"/>
      <c r="C206" s="60"/>
      <c r="D206" s="61">
        <f t="shared" si="48"/>
        <v>0</v>
      </c>
      <c r="E206" s="64">
        <f>sumifs(Dados!$N:$N,Dados!$B:$B,B206,Dados!$J:$J,$D$1,Dados!$I:$I,$E$4)</f>
        <v>0</v>
      </c>
      <c r="F206" s="64">
        <f>sumifs(Dados!$N:$N,Dados!$B:$B,B206,Dados!$J:$J,$D$1,Dados!$I:$I,$F$4)</f>
        <v>0</v>
      </c>
      <c r="G206" s="64">
        <f>sumifs(Dados!$N:$N,Dados!$B:$B,B206,Dados!$J:$J,$D$1,Dados!$I:$I,$G$4)</f>
        <v>0</v>
      </c>
      <c r="H206" s="64">
        <f>sumifs(Dados!$N:$N,Dados!$B:$B,B206,Dados!$J:$J,$D$1,Dados!$I:$I,$H$4)</f>
        <v>0</v>
      </c>
      <c r="I206" s="64">
        <f>sumifs(Dados!$N:$N,Dados!$B:$B,B206,Dados!$J:$J,$D$1,Dados!$I:$I,$I$4)</f>
        <v>0</v>
      </c>
      <c r="J206" s="64">
        <f>sumifs(Dados!$N:$N,Dados!$B:$B,B206,Dados!$J:$J,$D$1,Dados!$I:$I,$J$4)</f>
        <v>0</v>
      </c>
      <c r="K206" s="64">
        <f>sumifs(Dados!$N:$N,Dados!$B:$B,B206,Dados!$J:$J,$D$1,Dados!$I:$I,$K$4)</f>
        <v>0</v>
      </c>
      <c r="L206" s="64">
        <f>sumifs(Dados!$N:$N,Dados!$B:$B,B206,Dados!$J:$J,$D$1,Dados!$I:$I,$L$4)</f>
        <v>0</v>
      </c>
      <c r="M206" s="64">
        <f>sumifs(Dados!$N:$N,Dados!$B:$B,B206,Dados!$J:$J,$D$1,Dados!$I:$I,$M$4)</f>
        <v>0</v>
      </c>
      <c r="N206" s="64">
        <f>sumifs(Dados!$N:$N,Dados!$B:$B,B206,Dados!$J:$J,$D$1,Dados!$I:$I,$N$4)</f>
        <v>0</v>
      </c>
      <c r="O206" s="64">
        <f>sumifs(Dados!$N:$N,Dados!$B:$B,B206,Dados!$J:$J,$D$1,Dados!$I:$I,$O$4)</f>
        <v>0</v>
      </c>
      <c r="P206" s="64">
        <f>sumifs(Dados!$N:$N,Dados!$B:$B,$B206,Dados!$J:$J,$D$1,Dados!$I:$I,$P$4)</f>
        <v>0</v>
      </c>
      <c r="Q206" s="61"/>
    </row>
    <row r="207" ht="15.75" customHeight="1">
      <c r="A207" s="58"/>
      <c r="B207" s="74"/>
      <c r="C207" s="60"/>
      <c r="D207" s="61">
        <f t="shared" si="48"/>
        <v>0</v>
      </c>
      <c r="E207" s="64">
        <f>sumifs(Dados!$N:$N,Dados!$B:$B,B207,Dados!$J:$J,$D$1,Dados!$I:$I,$E$4)</f>
        <v>0</v>
      </c>
      <c r="F207" s="64">
        <f>sumifs(Dados!$N:$N,Dados!$B:$B,B207,Dados!$J:$J,$D$1,Dados!$I:$I,$F$4)</f>
        <v>0</v>
      </c>
      <c r="G207" s="64">
        <f>sumifs(Dados!$N:$N,Dados!$B:$B,B207,Dados!$J:$J,$D$1,Dados!$I:$I,$G$4)</f>
        <v>0</v>
      </c>
      <c r="H207" s="64">
        <f>sumifs(Dados!$N:$N,Dados!$B:$B,B207,Dados!$J:$J,$D$1,Dados!$I:$I,$H$4)</f>
        <v>0</v>
      </c>
      <c r="I207" s="64">
        <f>sumifs(Dados!$N:$N,Dados!$B:$B,B207,Dados!$J:$J,$D$1,Dados!$I:$I,$I$4)</f>
        <v>0</v>
      </c>
      <c r="J207" s="64">
        <f>sumifs(Dados!$N:$N,Dados!$B:$B,B207,Dados!$J:$J,$D$1,Dados!$I:$I,$J$4)</f>
        <v>0</v>
      </c>
      <c r="K207" s="64">
        <f>sumifs(Dados!$N:$N,Dados!$B:$B,B207,Dados!$J:$J,$D$1,Dados!$I:$I,$K$4)</f>
        <v>0</v>
      </c>
      <c r="L207" s="64">
        <f>sumifs(Dados!$N:$N,Dados!$B:$B,B207,Dados!$J:$J,$D$1,Dados!$I:$I,$L$4)</f>
        <v>0</v>
      </c>
      <c r="M207" s="64">
        <f>sumifs(Dados!$N:$N,Dados!$B:$B,B207,Dados!$J:$J,$D$1,Dados!$I:$I,$M$4)</f>
        <v>0</v>
      </c>
      <c r="N207" s="64">
        <f>sumifs(Dados!$N:$N,Dados!$B:$B,B207,Dados!$J:$J,$D$1,Dados!$I:$I,$N$4)</f>
        <v>0</v>
      </c>
      <c r="O207" s="64">
        <f>sumifs(Dados!$N:$N,Dados!$B:$B,B207,Dados!$J:$J,$D$1,Dados!$I:$I,$O$4)</f>
        <v>0</v>
      </c>
      <c r="P207" s="64">
        <f>sumifs(Dados!$N:$N,Dados!$B:$B,$B207,Dados!$J:$J,$D$1,Dados!$I:$I,$P$4)</f>
        <v>0</v>
      </c>
      <c r="Q207" s="61"/>
    </row>
    <row r="208" ht="15.75" customHeight="1">
      <c r="A208" s="58"/>
      <c r="B208" s="74"/>
      <c r="C208" s="60"/>
      <c r="D208" s="61">
        <f t="shared" si="48"/>
        <v>0</v>
      </c>
      <c r="E208" s="64">
        <f>sumifs(Dados!$N:$N,Dados!$B:$B,B208,Dados!$J:$J,$D$1,Dados!$I:$I,$E$4)</f>
        <v>0</v>
      </c>
      <c r="F208" s="64">
        <f>sumifs(Dados!$N:$N,Dados!$B:$B,B208,Dados!$J:$J,$D$1,Dados!$I:$I,$F$4)</f>
        <v>0</v>
      </c>
      <c r="G208" s="64">
        <f>sumifs(Dados!$N:$N,Dados!$B:$B,B208,Dados!$J:$J,$D$1,Dados!$I:$I,$G$4)</f>
        <v>0</v>
      </c>
      <c r="H208" s="64">
        <f>sumifs(Dados!$N:$N,Dados!$B:$B,B208,Dados!$J:$J,$D$1,Dados!$I:$I,$H$4)</f>
        <v>0</v>
      </c>
      <c r="I208" s="64">
        <f>sumifs(Dados!$N:$N,Dados!$B:$B,B208,Dados!$J:$J,$D$1,Dados!$I:$I,$I$4)</f>
        <v>0</v>
      </c>
      <c r="J208" s="64">
        <f>sumifs(Dados!$N:$N,Dados!$B:$B,B208,Dados!$J:$J,$D$1,Dados!$I:$I,$J$4)</f>
        <v>0</v>
      </c>
      <c r="K208" s="64">
        <f>sumifs(Dados!$N:$N,Dados!$B:$B,B208,Dados!$J:$J,$D$1,Dados!$I:$I,$K$4)</f>
        <v>0</v>
      </c>
      <c r="L208" s="64">
        <f>sumifs(Dados!$N:$N,Dados!$B:$B,B208,Dados!$J:$J,$D$1,Dados!$I:$I,$L$4)</f>
        <v>0</v>
      </c>
      <c r="M208" s="64">
        <f>sumifs(Dados!$N:$N,Dados!$B:$B,B208,Dados!$J:$J,$D$1,Dados!$I:$I,$M$4)</f>
        <v>0</v>
      </c>
      <c r="N208" s="64">
        <f>sumifs(Dados!$N:$N,Dados!$B:$B,B208,Dados!$J:$J,$D$1,Dados!$I:$I,$N$4)</f>
        <v>0</v>
      </c>
      <c r="O208" s="64">
        <f>sumifs(Dados!$N:$N,Dados!$B:$B,B208,Dados!$J:$J,$D$1,Dados!$I:$I,$O$4)</f>
        <v>0</v>
      </c>
      <c r="P208" s="64">
        <f>sumifs(Dados!$N:$N,Dados!$B:$B,$B208,Dados!$J:$J,$D$1,Dados!$I:$I,$P$4)</f>
        <v>0</v>
      </c>
      <c r="Q208" s="61"/>
    </row>
    <row r="209" ht="15.75" customHeight="1">
      <c r="A209" s="88" t="s">
        <v>22</v>
      </c>
      <c r="B209" s="89">
        <f>sumifs(Dados!$N:$N,Dados!$A:$A,A209,Dados!$H:$H,$D$1)</f>
        <v>80860.51</v>
      </c>
      <c r="C209" s="90">
        <f>B209-D209</f>
        <v>0</v>
      </c>
      <c r="D209" s="89">
        <f t="shared" ref="D209:P209" si="49">SUM(D199:D208)</f>
        <v>80860.51</v>
      </c>
      <c r="E209" s="89">
        <f t="shared" si="49"/>
        <v>11570.9</v>
      </c>
      <c r="F209" s="89">
        <f t="shared" si="49"/>
        <v>25212.94</v>
      </c>
      <c r="G209" s="89">
        <f t="shared" si="49"/>
        <v>10287.06</v>
      </c>
      <c r="H209" s="89">
        <f t="shared" si="49"/>
        <v>11176.86</v>
      </c>
      <c r="I209" s="89">
        <f t="shared" si="49"/>
        <v>7458.32</v>
      </c>
      <c r="J209" s="89">
        <f t="shared" si="49"/>
        <v>5892.24</v>
      </c>
      <c r="K209" s="89">
        <f t="shared" si="49"/>
        <v>1902.3</v>
      </c>
      <c r="L209" s="89">
        <f t="shared" si="49"/>
        <v>4417.33</v>
      </c>
      <c r="M209" s="89">
        <f t="shared" si="49"/>
        <v>2942.56</v>
      </c>
      <c r="N209" s="89">
        <f t="shared" si="49"/>
        <v>0</v>
      </c>
      <c r="O209" s="89">
        <f t="shared" si="49"/>
        <v>0</v>
      </c>
      <c r="P209" s="89">
        <f t="shared" si="49"/>
        <v>0</v>
      </c>
      <c r="Q209" s="89"/>
    </row>
    <row r="210" ht="15.75" customHeight="1">
      <c r="A210" s="58"/>
      <c r="B210" s="74" t="s">
        <v>822</v>
      </c>
      <c r="C210" s="60"/>
      <c r="D210" s="61">
        <f t="shared" ref="D210:D212" si="50">SUM(E210:P210)</f>
        <v>0</v>
      </c>
      <c r="E210" s="64">
        <f>sumifs(Dados!$N:$N,Dados!$B:$B,B210,Dados!$J:$J,$D$1,Dados!$I:$I,$E$4)</f>
        <v>0</v>
      </c>
      <c r="F210" s="64">
        <f>sumifs(Dados!$N:$N,Dados!$B:$B,B210,Dados!$J:$J,$D$1,Dados!$I:$I,$F$4)</f>
        <v>0</v>
      </c>
      <c r="G210" s="64">
        <f>sumifs(Dados!$N:$N,Dados!$B:$B,B210,Dados!$J:$J,$D$1,Dados!$I:$I,$G$4)</f>
        <v>0</v>
      </c>
      <c r="H210" s="64">
        <f>sumifs(Dados!$N:$N,Dados!$B:$B,B210,Dados!$J:$J,$D$1,Dados!$I:$I,$H$4)</f>
        <v>0</v>
      </c>
      <c r="I210" s="64">
        <f>sumifs(Dados!$N:$N,Dados!$B:$B,B210,Dados!$J:$J,$D$1,Dados!$I:$I,$I$4)</f>
        <v>0</v>
      </c>
      <c r="J210" s="64">
        <f>sumifs(Dados!$N:$N,Dados!$B:$B,B210,Dados!$J:$J,$D$1,Dados!$I:$I,$J$4)</f>
        <v>0</v>
      </c>
      <c r="K210" s="64">
        <f>sumifs(Dados!$N:$N,Dados!$B:$B,B210,Dados!$J:$J,$D$1,Dados!$I:$I,$K$4)</f>
        <v>0</v>
      </c>
      <c r="L210" s="64">
        <f>sumifs(Dados!$N:$N,Dados!$B:$B,B210,Dados!$J:$J,$D$1,Dados!$I:$I,$L$4)</f>
        <v>0</v>
      </c>
      <c r="M210" s="64">
        <f>sumifs(Dados!$N:$N,Dados!$B:$B,B210,Dados!$J:$J,$D$1,Dados!$I:$I,$M$4)</f>
        <v>0</v>
      </c>
      <c r="N210" s="64">
        <f>sumifs(Dados!$N:$N,Dados!$B:$B,B210,Dados!$J:$J,$D$1,Dados!$I:$I,$N$4)</f>
        <v>0</v>
      </c>
      <c r="O210" s="64">
        <f>sumifs(Dados!$N:$N,Dados!$B:$B,B210,Dados!$J:$J,$D$1,Dados!$I:$I,$O$4)</f>
        <v>0</v>
      </c>
      <c r="P210" s="64">
        <f>sumifs(Dados!$N:$N,Dados!$B:$B,$B210,Dados!$J:$J,$D$1,Dados!$I:$I,$P$4)</f>
        <v>0</v>
      </c>
      <c r="Q210" s="61"/>
    </row>
    <row r="211" ht="15.75" customHeight="1">
      <c r="A211" s="58"/>
      <c r="B211" s="232" t="s">
        <v>825</v>
      </c>
      <c r="C211" s="60"/>
      <c r="D211" s="61">
        <f t="shared" si="50"/>
        <v>0</v>
      </c>
      <c r="E211" s="64">
        <f>sumifs(Dados!$N:$N,Dados!$B:$B,B211,Dados!$J:$J,$D$1,Dados!$I:$I,$E$4)</f>
        <v>0</v>
      </c>
      <c r="F211" s="64">
        <f>sumifs(Dados!$N:$N,Dados!$B:$B,B211,Dados!$J:$J,$D$1,Dados!$I:$I,$F$4)</f>
        <v>0</v>
      </c>
      <c r="G211" s="64">
        <f>sumifs(Dados!$N:$N,Dados!$B:$B,B211,Dados!$J:$J,$D$1,Dados!$I:$I,$G$4)</f>
        <v>0</v>
      </c>
      <c r="H211" s="64">
        <f>sumifs(Dados!$N:$N,Dados!$B:$B,B211,Dados!$J:$J,$D$1,Dados!$I:$I,$H$4)</f>
        <v>0</v>
      </c>
      <c r="I211" s="64">
        <f>sumifs(Dados!$N:$N,Dados!$B:$B,B211,Dados!$J:$J,$D$1,Dados!$I:$I,$I$4)</f>
        <v>0</v>
      </c>
      <c r="J211" s="64">
        <f>sumifs(Dados!$N:$N,Dados!$B:$B,B211,Dados!$J:$J,$D$1,Dados!$I:$I,$J$4)</f>
        <v>0</v>
      </c>
      <c r="K211" s="64">
        <f>sumifs(Dados!$N:$N,Dados!$B:$B,B211,Dados!$J:$J,$D$1,Dados!$I:$I,$K$4)</f>
        <v>0</v>
      </c>
      <c r="L211" s="64">
        <f>sumifs(Dados!$N:$N,Dados!$B:$B,B211,Dados!$J:$J,$D$1,Dados!$I:$I,$L$4)</f>
        <v>0</v>
      </c>
      <c r="M211" s="64">
        <f>sumifs(Dados!$N:$N,Dados!$B:$B,B211,Dados!$J:$J,$D$1,Dados!$I:$I,$M$4)</f>
        <v>0</v>
      </c>
      <c r="N211" s="64">
        <f>sumifs(Dados!$N:$N,Dados!$B:$B,B211,Dados!$J:$J,$D$1,Dados!$I:$I,$N$4)</f>
        <v>0</v>
      </c>
      <c r="O211" s="64">
        <f>sumifs(Dados!$N:$N,Dados!$B:$B,B211,Dados!$J:$J,$D$1,Dados!$I:$I,$O$4)</f>
        <v>0</v>
      </c>
      <c r="P211" s="64">
        <f>sumifs(Dados!$N:$N,Dados!$B:$B,$B211,Dados!$J:$J,$D$1,Dados!$I:$I,$P$4)</f>
        <v>0</v>
      </c>
      <c r="Q211" s="61"/>
    </row>
    <row r="212" ht="15.75" customHeight="1">
      <c r="A212" s="58"/>
      <c r="B212" s="232" t="s">
        <v>827</v>
      </c>
      <c r="C212" s="60"/>
      <c r="D212" s="61">
        <f t="shared" si="50"/>
        <v>0</v>
      </c>
      <c r="E212" s="64">
        <f>sumifs(Dados!$N:$N,Dados!$B:$B,B212,Dados!$J:$J,$D$1,Dados!$I:$I,$E$4)</f>
        <v>0</v>
      </c>
      <c r="F212" s="64">
        <f>sumifs(Dados!$N:$N,Dados!$B:$B,B212,Dados!$J:$J,$D$1,Dados!$I:$I,$F$4)</f>
        <v>0</v>
      </c>
      <c r="G212" s="64">
        <f>sumifs(Dados!$N:$N,Dados!$B:$B,B212,Dados!$J:$J,$D$1,Dados!$I:$I,$G$4)</f>
        <v>0</v>
      </c>
      <c r="H212" s="64">
        <f>sumifs(Dados!$N:$N,Dados!$B:$B,B212,Dados!$J:$J,$D$1,Dados!$I:$I,$H$4)</f>
        <v>0</v>
      </c>
      <c r="I212" s="64">
        <f>sumifs(Dados!$N:$N,Dados!$B:$B,B212,Dados!$J:$J,$D$1,Dados!$I:$I,$I$4)</f>
        <v>0</v>
      </c>
      <c r="J212" s="64">
        <f>sumifs(Dados!$N:$N,Dados!$B:$B,B212,Dados!$J:$J,$D$1,Dados!$I:$I,$J$4)</f>
        <v>0</v>
      </c>
      <c r="K212" s="64">
        <f>sumifs(Dados!$N:$N,Dados!$B:$B,B212,Dados!$J:$J,$D$1,Dados!$I:$I,$K$4)</f>
        <v>0</v>
      </c>
      <c r="L212" s="64">
        <f>sumifs(Dados!$N:$N,Dados!$B:$B,B212,Dados!$J:$J,$D$1,Dados!$I:$I,$L$4)</f>
        <v>0</v>
      </c>
      <c r="M212" s="64">
        <f>sumifs(Dados!$N:$N,Dados!$B:$B,B212,Dados!$J:$J,$D$1,Dados!$I:$I,$M$4)</f>
        <v>0</v>
      </c>
      <c r="N212" s="64">
        <f>sumifs(Dados!$N:$N,Dados!$B:$B,B212,Dados!$J:$J,$D$1,Dados!$I:$I,$N$4)</f>
        <v>0</v>
      </c>
      <c r="O212" s="64">
        <f>sumifs(Dados!$N:$N,Dados!$B:$B,B212,Dados!$J:$J,$D$1,Dados!$I:$I,$O$4)</f>
        <v>0</v>
      </c>
      <c r="P212" s="64">
        <f>sumifs(Dados!$N:$N,Dados!$B:$B,$B212,Dados!$J:$J,$D$1,Dados!$I:$I,$P$4)</f>
        <v>0</v>
      </c>
      <c r="Q212" s="61"/>
    </row>
    <row r="213" ht="15.75" customHeight="1">
      <c r="A213" s="88" t="s">
        <v>829</v>
      </c>
      <c r="B213" s="89">
        <f>sumifs(Dados!$N:$N,Dados!$A:$A,A213,Dados!$H:$H,$D$1)</f>
        <v>0</v>
      </c>
      <c r="C213" s="90">
        <f>B213-D213</f>
        <v>0</v>
      </c>
      <c r="D213" s="89">
        <f t="shared" ref="D213:P213" si="51">SUM(D210:D212)</f>
        <v>0</v>
      </c>
      <c r="E213" s="89">
        <f t="shared" si="51"/>
        <v>0</v>
      </c>
      <c r="F213" s="89">
        <f t="shared" si="51"/>
        <v>0</v>
      </c>
      <c r="G213" s="89">
        <f t="shared" si="51"/>
        <v>0</v>
      </c>
      <c r="H213" s="89">
        <f t="shared" si="51"/>
        <v>0</v>
      </c>
      <c r="I213" s="89">
        <f t="shared" si="51"/>
        <v>0</v>
      </c>
      <c r="J213" s="89">
        <f t="shared" si="51"/>
        <v>0</v>
      </c>
      <c r="K213" s="89">
        <f t="shared" si="51"/>
        <v>0</v>
      </c>
      <c r="L213" s="89">
        <f t="shared" si="51"/>
        <v>0</v>
      </c>
      <c r="M213" s="89">
        <f t="shared" si="51"/>
        <v>0</v>
      </c>
      <c r="N213" s="89">
        <f t="shared" si="51"/>
        <v>0</v>
      </c>
      <c r="O213" s="89">
        <f t="shared" si="51"/>
        <v>0</v>
      </c>
      <c r="P213" s="89">
        <f t="shared" si="51"/>
        <v>0</v>
      </c>
      <c r="Q213" s="89"/>
    </row>
    <row r="214" ht="15.75" customHeight="1">
      <c r="A214" s="58"/>
      <c r="B214" s="58"/>
      <c r="C214" s="60"/>
      <c r="D214" s="61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</row>
    <row r="215" ht="15.75" customHeight="1">
      <c r="A215" s="58"/>
      <c r="B215" s="58" t="s">
        <v>830</v>
      </c>
      <c r="C215" s="60"/>
      <c r="D215" s="61">
        <f>SUM(E215:P215)</f>
        <v>0</v>
      </c>
      <c r="E215" s="64">
        <f>sumifs(Dados!$N:$N,Dados!$B:$B,B215,Dados!$J:$J,$D$1,Dados!$I:$I,$E$4)</f>
        <v>0</v>
      </c>
      <c r="F215" s="64">
        <f>sumifs(Dados!$N:$N,Dados!$B:$B,B215,Dados!$J:$J,$D$1,Dados!$I:$I,$F$4)</f>
        <v>0</v>
      </c>
      <c r="G215" s="64">
        <f>sumifs(Dados!$N:$N,Dados!$B:$B,B215,Dados!$J:$J,$D$1,Dados!$I:$I,$G$4)</f>
        <v>0</v>
      </c>
      <c r="H215" s="64">
        <f>sumifs(Dados!$N:$N,Dados!$B:$B,B215,Dados!$J:$J,$D$1,Dados!$I:$I,$H$4)</f>
        <v>0</v>
      </c>
      <c r="I215" s="64">
        <f>sumifs(Dados!$N:$N,Dados!$B:$B,B215,Dados!$J:$J,$D$1,Dados!$I:$I,$I$4)</f>
        <v>0</v>
      </c>
      <c r="J215" s="64">
        <f>sumifs(Dados!$N:$N,Dados!$B:$B,B215,Dados!$J:$J,$D$1,Dados!$I:$I,$J$4)</f>
        <v>0</v>
      </c>
      <c r="K215" s="64">
        <f>sumifs(Dados!$N:$N,Dados!$B:$B,B215,Dados!$J:$J,$D$1,Dados!$I:$I,$K$4)</f>
        <v>0</v>
      </c>
      <c r="L215" s="64">
        <f>sumifs(Dados!$N:$N,Dados!$B:$B,B215,Dados!$J:$J,$D$1,Dados!$I:$I,$L$4)</f>
        <v>0</v>
      </c>
      <c r="M215" s="64">
        <f>sumifs(Dados!$N:$N,Dados!$B:$B,B215,Dados!$J:$J,$D$1,Dados!$I:$I,$M$4)</f>
        <v>0</v>
      </c>
      <c r="N215" s="64">
        <f>sumifs(Dados!$N:$N,Dados!$B:$B,B215,Dados!$J:$J,$D$1,Dados!$I:$I,$N$4)</f>
        <v>0</v>
      </c>
      <c r="O215" s="64">
        <f>sumifs(Dados!$N:$N,Dados!$B:$B,B215,Dados!$J:$J,$D$1,Dados!$I:$I,$O$4)</f>
        <v>0</v>
      </c>
      <c r="P215" s="64">
        <f>sumifs(Dados!$N:$N,Dados!$B:$B,B215,Dados!$J:$J,$D$1,Dados!$I:$I,$P$4)</f>
        <v>0</v>
      </c>
      <c r="Q215" s="64"/>
    </row>
    <row r="216" ht="15.75" customHeight="1">
      <c r="A216" s="88" t="s">
        <v>831</v>
      </c>
      <c r="B216" s="89">
        <f>sumifs(Dados!$N:$N,Dados!$A:$A,A216,Dados!$H:$H,$D$1)</f>
        <v>0</v>
      </c>
      <c r="C216" s="90">
        <f>B216-D216</f>
        <v>0</v>
      </c>
      <c r="D216" s="89">
        <f t="shared" ref="D216:P216" si="52">SUM(D215)</f>
        <v>0</v>
      </c>
      <c r="E216" s="89">
        <f t="shared" si="52"/>
        <v>0</v>
      </c>
      <c r="F216" s="89">
        <f t="shared" si="52"/>
        <v>0</v>
      </c>
      <c r="G216" s="89">
        <f t="shared" si="52"/>
        <v>0</v>
      </c>
      <c r="H216" s="89">
        <f t="shared" si="52"/>
        <v>0</v>
      </c>
      <c r="I216" s="89">
        <f t="shared" si="52"/>
        <v>0</v>
      </c>
      <c r="J216" s="89">
        <f t="shared" si="52"/>
        <v>0</v>
      </c>
      <c r="K216" s="89">
        <f t="shared" si="52"/>
        <v>0</v>
      </c>
      <c r="L216" s="89">
        <f t="shared" si="52"/>
        <v>0</v>
      </c>
      <c r="M216" s="89">
        <f t="shared" si="52"/>
        <v>0</v>
      </c>
      <c r="N216" s="89">
        <f t="shared" si="52"/>
        <v>0</v>
      </c>
      <c r="O216" s="89">
        <f t="shared" si="52"/>
        <v>0</v>
      </c>
      <c r="P216" s="89">
        <f t="shared" si="52"/>
        <v>0</v>
      </c>
      <c r="Q216" s="89"/>
    </row>
    <row r="217" ht="15.75" customHeight="1">
      <c r="A217" s="109"/>
      <c r="B217" s="109" t="s">
        <v>832</v>
      </c>
      <c r="C217" s="60"/>
      <c r="D217" s="61">
        <f t="shared" ref="D217:D219" si="53">SUM(E217:P217)</f>
        <v>0</v>
      </c>
      <c r="E217" s="64">
        <f>sumifs(Dados!$N:$N,Dados!$B:$B,B217,Dados!$J:$J,$D$1,Dados!$I:$I,$E$4)</f>
        <v>0</v>
      </c>
      <c r="F217" s="64">
        <f>sumifs(Dados!$N:$N,Dados!$B:$B,B217,Dados!$J:$J,$D$1,Dados!$I:$I,$F$4)</f>
        <v>0</v>
      </c>
      <c r="G217" s="64">
        <f>sumifs(Dados!$N:$N,Dados!$B:$B,B217,Dados!$J:$J,$D$1,Dados!$I:$I,$G$4)</f>
        <v>0</v>
      </c>
      <c r="H217" s="64">
        <f>sumifs(Dados!$N:$N,Dados!$B:$B,B217,Dados!$J:$J,$D$1,Dados!$I:$I,$H$4)</f>
        <v>0</v>
      </c>
      <c r="I217" s="64">
        <f>sumifs(Dados!$N:$N,Dados!$B:$B,B217,Dados!$J:$J,$D$1,Dados!$I:$I,$I$4)</f>
        <v>0</v>
      </c>
      <c r="J217" s="64">
        <f>sumifs(Dados!$N:$N,Dados!$B:$B,B217,Dados!$J:$J,$D$1,Dados!$I:$I,$J$4)</f>
        <v>0</v>
      </c>
      <c r="K217" s="64">
        <f>sumifs(Dados!$N:$N,Dados!$B:$B,B217,Dados!$J:$J,$D$1,Dados!$I:$I,$K$4)</f>
        <v>0</v>
      </c>
      <c r="L217" s="64">
        <f>sumifs(Dados!$N:$N,Dados!$B:$B,B217,Dados!$J:$J,$D$1,Dados!$I:$I,$L$4)</f>
        <v>0</v>
      </c>
      <c r="M217" s="64">
        <f>sumifs(Dados!$N:$N,Dados!$B:$B,B217,Dados!$J:$J,$D$1,Dados!$I:$I,$M$4)</f>
        <v>0</v>
      </c>
      <c r="N217" s="64">
        <f>sumifs(Dados!$N:$N,Dados!$B:$B,B217,Dados!$J:$J,$D$1,Dados!$I:$I,$N$4)</f>
        <v>0</v>
      </c>
      <c r="O217" s="64">
        <f>sumifs(Dados!$N:$N,Dados!$B:$B,B217,Dados!$J:$J,$D$1,Dados!$I:$I,$O$4)</f>
        <v>0</v>
      </c>
      <c r="P217" s="64">
        <f>sumifs(Dados!$N:$N,Dados!$B:$B,B217,Dados!$J:$J,$D$1,Dados!$I:$I,$P$4)</f>
        <v>0</v>
      </c>
      <c r="Q217" s="64"/>
    </row>
    <row r="218" ht="15.75" customHeight="1">
      <c r="A218" s="109"/>
      <c r="B218" s="109" t="s">
        <v>833</v>
      </c>
      <c r="C218" s="60"/>
      <c r="D218" s="61">
        <f t="shared" si="53"/>
        <v>0</v>
      </c>
      <c r="E218" s="64">
        <f>sumifs(Dados!$N:$N,Dados!$B:$B,B218,Dados!$J:$J,$D$1,Dados!$I:$I,$E$4)</f>
        <v>0</v>
      </c>
      <c r="F218" s="64">
        <f>sumifs(Dados!$N:$N,Dados!$B:$B,B218,Dados!$J:$J,$D$1,Dados!$I:$I,$F$4)</f>
        <v>0</v>
      </c>
      <c r="G218" s="64">
        <f>sumifs(Dados!$N:$N,Dados!$B:$B,B218,Dados!$J:$J,$D$1,Dados!$I:$I,$G$4)</f>
        <v>0</v>
      </c>
      <c r="H218" s="64">
        <f>sumifs(Dados!$N:$N,Dados!$B:$B,B218,Dados!$J:$J,$D$1,Dados!$I:$I,$H$4)</f>
        <v>0</v>
      </c>
      <c r="I218" s="64">
        <f>sumifs(Dados!$N:$N,Dados!$B:$B,B218,Dados!$J:$J,$D$1,Dados!$I:$I,$I$4)</f>
        <v>0</v>
      </c>
      <c r="J218" s="64">
        <f>sumifs(Dados!$N:$N,Dados!$B:$B,B218,Dados!$J:$J,$D$1,Dados!$I:$I,$J$4)</f>
        <v>0</v>
      </c>
      <c r="K218" s="64">
        <f>sumifs(Dados!$N:$N,Dados!$B:$B,B218,Dados!$J:$J,$D$1,Dados!$I:$I,$K$4)</f>
        <v>0</v>
      </c>
      <c r="L218" s="64">
        <f>sumifs(Dados!$N:$N,Dados!$B:$B,B218,Dados!$J:$J,$D$1,Dados!$I:$I,$L$4)</f>
        <v>0</v>
      </c>
      <c r="M218" s="64">
        <f>sumifs(Dados!$N:$N,Dados!$B:$B,B218,Dados!$J:$J,$D$1,Dados!$I:$I,$M$4)</f>
        <v>0</v>
      </c>
      <c r="N218" s="64">
        <f>sumifs(Dados!$N:$N,Dados!$B:$B,B218,Dados!$J:$J,$D$1,Dados!$I:$I,$N$4)</f>
        <v>0</v>
      </c>
      <c r="O218" s="64">
        <f>sumifs(Dados!$N:$N,Dados!$B:$B,B218,Dados!$J:$J,$D$1,Dados!$I:$I,$O$4)</f>
        <v>0</v>
      </c>
      <c r="P218" s="64">
        <f>sumifs(Dados!$N:$N,Dados!$B:$B,B218,Dados!$J:$J,$D$1,Dados!$I:$I,$P$4)</f>
        <v>0</v>
      </c>
      <c r="Q218" s="64"/>
    </row>
    <row r="219" ht="15.75" customHeight="1">
      <c r="A219" s="109"/>
      <c r="B219" s="109" t="s">
        <v>836</v>
      </c>
      <c r="C219" s="60"/>
      <c r="D219" s="61">
        <f t="shared" si="53"/>
        <v>0</v>
      </c>
      <c r="E219" s="64">
        <f>sumifs(Dados!$N:$N,Dados!$B:$B,B219,Dados!$J:$J,$D$1,Dados!$I:$I,$E$4)</f>
        <v>0</v>
      </c>
      <c r="F219" s="64">
        <f>sumifs(Dados!$N:$N,Dados!$B:$B,B219,Dados!$J:$J,$D$1,Dados!$I:$I,$F$4)</f>
        <v>0</v>
      </c>
      <c r="G219" s="64">
        <f>sumifs(Dados!$N:$N,Dados!$B:$B,B219,Dados!$J:$J,$D$1,Dados!$I:$I,$G$4)</f>
        <v>0</v>
      </c>
      <c r="H219" s="64">
        <f>sumifs(Dados!$N:$N,Dados!$B:$B,B219,Dados!$J:$J,$D$1,Dados!$I:$I,$H$4)</f>
        <v>0</v>
      </c>
      <c r="I219" s="64">
        <f>sumifs(Dados!$N:$N,Dados!$B:$B,B219,Dados!$J:$J,$D$1,Dados!$I:$I,$I$4)</f>
        <v>0</v>
      </c>
      <c r="J219" s="64">
        <f>sumifs(Dados!$N:$N,Dados!$B:$B,B219,Dados!$J:$J,$D$1,Dados!$I:$I,$J$4)</f>
        <v>0</v>
      </c>
      <c r="K219" s="64">
        <f>sumifs(Dados!$N:$N,Dados!$B:$B,B219,Dados!$J:$J,$D$1,Dados!$I:$I,$K$4)</f>
        <v>0</v>
      </c>
      <c r="L219" s="64">
        <f>sumifs(Dados!$N:$N,Dados!$B:$B,B219,Dados!$J:$J,$D$1,Dados!$I:$I,$L$4)</f>
        <v>0</v>
      </c>
      <c r="M219" s="64">
        <f>sumifs(Dados!$N:$N,Dados!$B:$B,B219,Dados!$J:$J,$D$1,Dados!$I:$I,$M$4)</f>
        <v>0</v>
      </c>
      <c r="N219" s="64">
        <f>sumifs(Dados!$N:$N,Dados!$B:$B,B219,Dados!$J:$J,$D$1,Dados!$I:$I,$N$4)</f>
        <v>0</v>
      </c>
      <c r="O219" s="64">
        <f>sumifs(Dados!$N:$N,Dados!$B:$B,B219,Dados!$J:$J,$D$1,Dados!$I:$I,$O$4)</f>
        <v>0</v>
      </c>
      <c r="P219" s="64">
        <f>sumifs(Dados!$N:$N,Dados!$B:$B,B219,Dados!$J:$J,$D$1,Dados!$I:$I,$P$4)</f>
        <v>0</v>
      </c>
      <c r="Q219" s="64"/>
    </row>
    <row r="220" ht="15.75" customHeight="1">
      <c r="A220" s="88" t="s">
        <v>838</v>
      </c>
      <c r="B220" s="89">
        <f>sumifs(Dados!$N:$N,Dados!$A:$A,A220,Dados!$H:$H,$D$1)</f>
        <v>0</v>
      </c>
      <c r="C220" s="90">
        <f>B220-D220</f>
        <v>0</v>
      </c>
      <c r="D220" s="89">
        <f t="shared" ref="D220:P220" si="54">SUM(D217:D219)</f>
        <v>0</v>
      </c>
      <c r="E220" s="89">
        <f t="shared" si="54"/>
        <v>0</v>
      </c>
      <c r="F220" s="89">
        <f t="shared" si="54"/>
        <v>0</v>
      </c>
      <c r="G220" s="89">
        <f t="shared" si="54"/>
        <v>0</v>
      </c>
      <c r="H220" s="89">
        <f t="shared" si="54"/>
        <v>0</v>
      </c>
      <c r="I220" s="89">
        <f t="shared" si="54"/>
        <v>0</v>
      </c>
      <c r="J220" s="89">
        <f t="shared" si="54"/>
        <v>0</v>
      </c>
      <c r="K220" s="89">
        <f t="shared" si="54"/>
        <v>0</v>
      </c>
      <c r="L220" s="89">
        <f t="shared" si="54"/>
        <v>0</v>
      </c>
      <c r="M220" s="89">
        <f t="shared" si="54"/>
        <v>0</v>
      </c>
      <c r="N220" s="89">
        <f t="shared" si="54"/>
        <v>0</v>
      </c>
      <c r="O220" s="89">
        <f t="shared" si="54"/>
        <v>0</v>
      </c>
      <c r="P220" s="89">
        <f t="shared" si="54"/>
        <v>0</v>
      </c>
      <c r="Q220" s="89"/>
    </row>
    <row r="221" ht="15.75" customHeight="1">
      <c r="A221" s="58"/>
      <c r="B221" s="58" t="s">
        <v>839</v>
      </c>
      <c r="C221" s="60"/>
      <c r="D221" s="61">
        <f>SUM(E221:P221)</f>
        <v>0</v>
      </c>
      <c r="E221" s="64">
        <f>sumifs(Dados!$N:$N,Dados!$B:$B,B221,Dados!$J:$J,$D$1,Dados!$I:$I,$E$4)</f>
        <v>0</v>
      </c>
      <c r="F221" s="64">
        <f>sumifs(Dados!$N:$N,Dados!$B:$B,B221,Dados!$J:$J,$D$1,Dados!$I:$I,$F$4)</f>
        <v>0</v>
      </c>
      <c r="G221" s="64">
        <f>sumifs(Dados!$N:$N,Dados!$B:$B,B221,Dados!$J:$J,$D$1,Dados!$I:$I,$G$4)</f>
        <v>0</v>
      </c>
      <c r="H221" s="64">
        <f>sumifs(Dados!$N:$N,Dados!$B:$B,B221,Dados!$J:$J,$D$1,Dados!$I:$I,$H$4)</f>
        <v>0</v>
      </c>
      <c r="I221" s="64">
        <f>sumifs(Dados!$N:$N,Dados!$B:$B,B221,Dados!$J:$J,$D$1,Dados!$I:$I,$I$4)</f>
        <v>0</v>
      </c>
      <c r="J221" s="64">
        <f>sumifs(Dados!$N:$N,Dados!$B:$B,B221,Dados!$J:$J,$D$1,Dados!$I:$I,$J$4)</f>
        <v>0</v>
      </c>
      <c r="K221" s="64">
        <f>sumifs(Dados!$N:$N,Dados!$B:$B,B221,Dados!$J:$J,$D$1,Dados!$I:$I,$K$4)</f>
        <v>0</v>
      </c>
      <c r="L221" s="64">
        <f>sumifs(Dados!$N:$N,Dados!$B:$B,B221,Dados!$J:$J,$D$1,Dados!$I:$I,$L$4)</f>
        <v>0</v>
      </c>
      <c r="M221" s="64">
        <f>sumifs(Dados!$N:$N,Dados!$B:$B,B221,Dados!$J:$J,$D$1,Dados!$I:$I,$M$4)</f>
        <v>0</v>
      </c>
      <c r="N221" s="64">
        <f>sumifs(Dados!$N:$N,Dados!$B:$B,B221,Dados!$J:$J,$D$1,Dados!$I:$I,$N$4)</f>
        <v>0</v>
      </c>
      <c r="O221" s="64">
        <f>sumifs(Dados!$N:$N,Dados!$B:$B,B221,Dados!$J:$J,$D$1,Dados!$I:$I,$O$4)</f>
        <v>0</v>
      </c>
      <c r="P221" s="64">
        <f>sumifs(Dados!$N:$N,Dados!$B:$B,B221,Dados!$J:$J,$D$1,Dados!$I:$I,$P$4)</f>
        <v>0</v>
      </c>
      <c r="Q221" s="64"/>
    </row>
    <row r="222" ht="15.75" customHeight="1">
      <c r="A222" s="88" t="s">
        <v>851</v>
      </c>
      <c r="B222" s="89">
        <f>sumifs(Dados!$N:$N,Dados!$A:$A,A222,Dados!$H:$H,$D$1)</f>
        <v>0</v>
      </c>
      <c r="C222" s="90">
        <f>B222-D222</f>
        <v>0</v>
      </c>
      <c r="D222" s="89">
        <f t="shared" ref="D222:P222" si="55">SUM(D221)</f>
        <v>0</v>
      </c>
      <c r="E222" s="89">
        <f t="shared" si="55"/>
        <v>0</v>
      </c>
      <c r="F222" s="89">
        <f t="shared" si="55"/>
        <v>0</v>
      </c>
      <c r="G222" s="89">
        <f t="shared" si="55"/>
        <v>0</v>
      </c>
      <c r="H222" s="89">
        <f t="shared" si="55"/>
        <v>0</v>
      </c>
      <c r="I222" s="89">
        <f t="shared" si="55"/>
        <v>0</v>
      </c>
      <c r="J222" s="89">
        <f t="shared" si="55"/>
        <v>0</v>
      </c>
      <c r="K222" s="89">
        <f t="shared" si="55"/>
        <v>0</v>
      </c>
      <c r="L222" s="89">
        <f t="shared" si="55"/>
        <v>0</v>
      </c>
      <c r="M222" s="89">
        <f t="shared" si="55"/>
        <v>0</v>
      </c>
      <c r="N222" s="89">
        <f t="shared" si="55"/>
        <v>0</v>
      </c>
      <c r="O222" s="89">
        <f t="shared" si="55"/>
        <v>0</v>
      </c>
      <c r="P222" s="89">
        <f t="shared" si="55"/>
        <v>0</v>
      </c>
      <c r="Q222" s="89"/>
    </row>
    <row r="223" ht="15.75" customHeight="1">
      <c r="A223" s="168" t="s">
        <v>856</v>
      </c>
      <c r="B223" s="251">
        <f>D144+D157+D162+D167+D174+D178+D187+D198+D209+D213+D216+D220+D222+D176</f>
        <v>82448.42</v>
      </c>
      <c r="C223" s="253"/>
      <c r="D223" s="256">
        <f>B223</f>
        <v>82448.42</v>
      </c>
      <c r="E223" s="256">
        <f t="shared" ref="E223:Q223" si="56">E144+E157+E162+E167+E174+E178+E187+E198+E209+E216+E220+E222+E176</f>
        <v>11570.9</v>
      </c>
      <c r="F223" s="256">
        <f t="shared" si="56"/>
        <v>25212.94</v>
      </c>
      <c r="G223" s="256">
        <f t="shared" si="56"/>
        <v>10287.06</v>
      </c>
      <c r="H223" s="256">
        <f t="shared" si="56"/>
        <v>11383.75</v>
      </c>
      <c r="I223" s="256">
        <f t="shared" si="56"/>
        <v>7972.26</v>
      </c>
      <c r="J223" s="256">
        <f t="shared" si="56"/>
        <v>6071.71</v>
      </c>
      <c r="K223" s="256">
        <f t="shared" si="56"/>
        <v>2163.27</v>
      </c>
      <c r="L223" s="256">
        <f t="shared" si="56"/>
        <v>4674.07</v>
      </c>
      <c r="M223" s="256">
        <f t="shared" si="56"/>
        <v>3112.46</v>
      </c>
      <c r="N223" s="256">
        <f t="shared" si="56"/>
        <v>0</v>
      </c>
      <c r="O223" s="256">
        <f t="shared" si="56"/>
        <v>0</v>
      </c>
      <c r="P223" s="256">
        <f t="shared" si="56"/>
        <v>0</v>
      </c>
      <c r="Q223" s="256">
        <f t="shared" si="56"/>
        <v>0</v>
      </c>
    </row>
    <row r="224" ht="15.75" customHeight="1"/>
    <row r="225" ht="15.75" customHeight="1">
      <c r="A225" s="58"/>
      <c r="B225" s="58" t="s">
        <v>864</v>
      </c>
      <c r="C225" s="60"/>
      <c r="D225" s="61">
        <f t="shared" ref="D225:D229" si="57">SUM(E225:P225)</f>
        <v>0</v>
      </c>
      <c r="E225" s="64">
        <f>sumifs(Dados!$N:$N,Dados!$B:$B,B225,Dados!$J:$J,$D$1,Dados!$I:$I,$E$4)</f>
        <v>0</v>
      </c>
      <c r="F225" s="64">
        <f>sumifs(Dados!$N:$N,Dados!$B:$B,B225,Dados!$J:$J,$D$1,Dados!$I:$I,$F$4)</f>
        <v>0</v>
      </c>
      <c r="G225" s="64">
        <f>sumifs(Dados!$N:$N,Dados!$B:$B,B225,Dados!$J:$J,$D$1,Dados!$I:$I,$G$4)</f>
        <v>0</v>
      </c>
      <c r="H225" s="64">
        <f>sumifs(Dados!$N:$N,Dados!$B:$B,B225,Dados!$J:$J,$D$1,Dados!$I:$I,$H$4)</f>
        <v>0</v>
      </c>
      <c r="I225" s="64">
        <f>sumifs(Dados!$N:$N,Dados!$B:$B,B225,Dados!$J:$J,$D$1,Dados!$I:$I,$I$4)</f>
        <v>0</v>
      </c>
      <c r="J225" s="64">
        <f>sumifs(Dados!$N:$N,Dados!$B:$B,B225,Dados!$J:$J,$D$1,Dados!$I:$I,$J$4)</f>
        <v>0</v>
      </c>
      <c r="K225" s="64">
        <f>sumifs(Dados!$N:$N,Dados!$B:$B,B225,Dados!$J:$J,$D$1,Dados!$I:$I,$K$4)</f>
        <v>0</v>
      </c>
      <c r="L225" s="64">
        <f>sumifs(Dados!$N:$N,Dados!$B:$B,B225,Dados!$J:$J,$D$1,Dados!$I:$I,$L$4)</f>
        <v>0</v>
      </c>
      <c r="M225" s="64">
        <f>sumifs(Dados!$N:$N,Dados!$B:$B,B225,Dados!$J:$J,$D$1,Dados!$I:$I,$M$4)</f>
        <v>0</v>
      </c>
      <c r="N225" s="64">
        <f>sumifs(Dados!$N:$N,Dados!$B:$B,B225,Dados!$J:$J,$D$1,Dados!$I:$I,$N$4)</f>
        <v>0</v>
      </c>
      <c r="O225" s="64">
        <f>sumifs(Dados!$N:$N,Dados!$B:$B,B225,Dados!$J:$J,$D$1,Dados!$I:$I,$O$4)</f>
        <v>0</v>
      </c>
      <c r="P225" s="64">
        <f>sumifs(Dados!$N:$N,Dados!$B:$B,B225,Dados!$J:$J,$D$1,Dados!$I:$I,$P$4)</f>
        <v>0</v>
      </c>
      <c r="Q225" s="64"/>
    </row>
    <row r="226" ht="15.75" customHeight="1">
      <c r="A226" s="58"/>
      <c r="B226" s="58" t="s">
        <v>164</v>
      </c>
      <c r="C226" s="60"/>
      <c r="D226" s="61">
        <f t="shared" si="57"/>
        <v>0</v>
      </c>
      <c r="E226" s="64">
        <f>sumifs(Dados!$N:$N,Dados!$B:$B,B226,Dados!$J:$J,$D$1,Dados!$I:$I,$E$4)</f>
        <v>0</v>
      </c>
      <c r="F226" s="64">
        <f>sumifs(Dados!$N:$N,Dados!$B:$B,B226,Dados!$J:$J,$D$1,Dados!$I:$I,$F$4)</f>
        <v>0</v>
      </c>
      <c r="G226" s="64">
        <f>sumifs(Dados!$N:$N,Dados!$B:$B,B226,Dados!$J:$J,$D$1,Dados!$I:$I,$G$4)</f>
        <v>0</v>
      </c>
      <c r="H226" s="64">
        <f>sumifs(Dados!$N:$N,Dados!$B:$B,B226,Dados!$J:$J,$D$1,Dados!$I:$I,$H$4)</f>
        <v>0</v>
      </c>
      <c r="I226" s="64">
        <f>sumifs(Dados!$N:$N,Dados!$B:$B,B226,Dados!$J:$J,$D$1,Dados!$I:$I,$I$4)</f>
        <v>0</v>
      </c>
      <c r="J226" s="64">
        <f>sumifs(Dados!$N:$N,Dados!$B:$B,B226,Dados!$J:$J,$D$1,Dados!$I:$I,$J$4)</f>
        <v>0</v>
      </c>
      <c r="K226" s="64">
        <f>sumifs(Dados!$N:$N,Dados!$B:$B,B226,Dados!$J:$J,$D$1,Dados!$I:$I,$K$4)</f>
        <v>0</v>
      </c>
      <c r="L226" s="64">
        <f>sumifs(Dados!$N:$N,Dados!$B:$B,B226,Dados!$J:$J,$D$1,Dados!$I:$I,$L$4)</f>
        <v>0</v>
      </c>
      <c r="M226" s="64">
        <f>sumifs(Dados!$N:$N,Dados!$B:$B,B226,Dados!$J:$J,$D$1,Dados!$I:$I,$M$4)</f>
        <v>0</v>
      </c>
      <c r="N226" s="64">
        <f>sumifs(Dados!$N:$N,Dados!$B:$B,B226,Dados!$J:$J,$D$1,Dados!$I:$I,$N$4)</f>
        <v>0</v>
      </c>
      <c r="O226" s="64">
        <f>sumifs(Dados!$N:$N,Dados!$B:$B,B226,Dados!$J:$J,$D$1,Dados!$I:$I,$O$4)</f>
        <v>0</v>
      </c>
      <c r="P226" s="64">
        <f>sumifs(Dados!$N:$N,Dados!$B:$B,B226,Dados!$J:$J,$D$1,Dados!$I:$I,$P$4)</f>
        <v>0</v>
      </c>
      <c r="Q226" s="64"/>
    </row>
    <row r="227" ht="15.75" customHeight="1">
      <c r="A227" s="58"/>
      <c r="B227" s="274" t="s">
        <v>501</v>
      </c>
      <c r="C227" s="60"/>
      <c r="D227" s="61">
        <f t="shared" si="57"/>
        <v>6900</v>
      </c>
      <c r="E227" s="64">
        <f>sumifs(Dados!$N:$N,Dados!$B:$B,B227,Dados!$J:$J,$D$1,Dados!$I:$I,$E$4)</f>
        <v>0</v>
      </c>
      <c r="F227" s="64">
        <f>sumifs(Dados!$N:$N,Dados!$B:$B,B227,Dados!$J:$J,$D$1,Dados!$I:$I,$F$4)</f>
        <v>0</v>
      </c>
      <c r="G227" s="64">
        <f>sumifs(Dados!$N:$N,Dados!$B:$B,B227,Dados!$J:$J,$D$1,Dados!$I:$I,$G$4)</f>
        <v>1150</v>
      </c>
      <c r="H227" s="64">
        <f>sumifs(Dados!$N:$N,Dados!$B:$B,B227,Dados!$J:$J,$D$1,Dados!$I:$I,$H$4)</f>
        <v>1150</v>
      </c>
      <c r="I227" s="64">
        <f>sumifs(Dados!$N:$N,Dados!$B:$B,B227,Dados!$J:$J,$D$1,Dados!$I:$I,$I$4)</f>
        <v>1150</v>
      </c>
      <c r="J227" s="64">
        <f>sumifs(Dados!$N:$N,Dados!$B:$B,B227,Dados!$J:$J,$D$1,Dados!$I:$I,$J$4)</f>
        <v>1150</v>
      </c>
      <c r="K227" s="64">
        <f>sumifs(Dados!$N:$N,Dados!$B:$B,B227,Dados!$J:$J,$D$1,Dados!$I:$I,$K$4)</f>
        <v>0</v>
      </c>
      <c r="L227" s="64">
        <f>sumifs(Dados!$N:$N,Dados!$B:$B,B227,Dados!$J:$J,$D$1,Dados!$I:$I,$L$4)</f>
        <v>1150</v>
      </c>
      <c r="M227" s="64">
        <f>sumifs(Dados!$N:$N,Dados!$B:$B,B227,Dados!$J:$J,$D$1,Dados!$I:$I,$M$4)</f>
        <v>1150</v>
      </c>
      <c r="N227" s="64">
        <f>sumifs(Dados!$N:$N,Dados!$B:$B,B227,Dados!$J:$J,$D$1,Dados!$I:$I,$N$4)</f>
        <v>0</v>
      </c>
      <c r="O227" s="64">
        <f>sumifs(Dados!$N:$N,Dados!$B:$B,B227,Dados!$J:$J,$D$1,Dados!$I:$I,$O$4)</f>
        <v>0</v>
      </c>
      <c r="P227" s="64">
        <f>sumifs(Dados!$N:$N,Dados!$B:$B,B227,Dados!$J:$J,$D$1,Dados!$I:$I,$P$4)</f>
        <v>0</v>
      </c>
      <c r="Q227" s="64"/>
    </row>
    <row r="228" ht="15.75" customHeight="1">
      <c r="A228" s="58"/>
      <c r="B228" s="58" t="s">
        <v>34</v>
      </c>
      <c r="C228" s="60"/>
      <c r="D228" s="61">
        <f t="shared" si="57"/>
        <v>13222.66</v>
      </c>
      <c r="E228" s="64">
        <f>sumifs(Dados!$N:$N,Dados!$B:$B,B228,Dados!$J:$J,$D$1,Dados!$I:$I,$E$4)</f>
        <v>1771.23</v>
      </c>
      <c r="F228" s="64">
        <f>sumifs(Dados!$N:$N,Dados!$B:$B,B228,Dados!$J:$J,$D$1,Dados!$I:$I,$F$4)</f>
        <v>1391.4</v>
      </c>
      <c r="G228" s="64">
        <f>sumifs(Dados!$N:$N,Dados!$B:$B,B228,Dados!$J:$J,$D$1,Dados!$I:$I,$G$4)</f>
        <v>2705.94</v>
      </c>
      <c r="H228" s="64">
        <f>sumifs(Dados!$N:$N,Dados!$B:$B,B228,Dados!$J:$J,$D$1,Dados!$I:$I,$H$4)</f>
        <v>939.7</v>
      </c>
      <c r="I228" s="64">
        <f>sumifs(Dados!$N:$N,Dados!$B:$B,B228,Dados!$J:$J,$D$1,Dados!$I:$I,$I$4)</f>
        <v>1093.34</v>
      </c>
      <c r="J228" s="64">
        <f>sumifs(Dados!$N:$N,Dados!$B:$B,B228,Dados!$J:$J,$D$1,Dados!$I:$I,$J$4)</f>
        <v>1308.1</v>
      </c>
      <c r="K228" s="64">
        <f>sumifs(Dados!$N:$N,Dados!$B:$B,B228,Dados!$J:$J,$D$1,Dados!$I:$I,$K$4)</f>
        <v>1300.45</v>
      </c>
      <c r="L228" s="64">
        <f>sumifs(Dados!$N:$N,Dados!$B:$B,B228,Dados!$J:$J,$D$1,Dados!$I:$I,$L$4)</f>
        <v>943.5</v>
      </c>
      <c r="M228" s="64">
        <f>sumifs(Dados!$N:$N,Dados!$B:$B,B228,Dados!$J:$J,$D$1,Dados!$I:$I,$M$4)</f>
        <v>1769</v>
      </c>
      <c r="N228" s="64">
        <f>sumifs(Dados!$N:$N,Dados!$B:$B,B228,Dados!$J:$J,$D$1,Dados!$I:$I,$N$4)</f>
        <v>0</v>
      </c>
      <c r="O228" s="64">
        <f>sumifs(Dados!$N:$N,Dados!$B:$B,B228,Dados!$J:$J,$D$1,Dados!$I:$I,$O$4)</f>
        <v>0</v>
      </c>
      <c r="P228" s="64">
        <f>sumifs(Dados!$N:$N,Dados!$B:$B,B228,Dados!$J:$J,$D$1,Dados!$I:$I,$P$4)</f>
        <v>0</v>
      </c>
      <c r="Q228" s="64"/>
    </row>
    <row r="229" ht="15.75" customHeight="1">
      <c r="A229" s="58"/>
      <c r="B229" s="58" t="s">
        <v>43</v>
      </c>
      <c r="C229" s="60"/>
      <c r="D229" s="61">
        <f t="shared" si="57"/>
        <v>18500</v>
      </c>
      <c r="E229" s="64">
        <f>sumifs(Dados!$N:$N,Dados!$B:$B,B229,Dados!$J:$J,$D$1,Dados!$I:$I,$E$4)</f>
        <v>0</v>
      </c>
      <c r="F229" s="64">
        <f>sumifs(Dados!$N:$N,Dados!$B:$B,B229,Dados!$J:$J,$D$1,Dados!$I:$I,$F$4)</f>
        <v>15000</v>
      </c>
      <c r="G229" s="64">
        <f>sumifs(Dados!$N:$N,Dados!$B:$B,B229,Dados!$J:$J,$D$1,Dados!$I:$I,$G$4)</f>
        <v>0</v>
      </c>
      <c r="H229" s="64">
        <f>sumifs(Dados!$N:$N,Dados!$B:$B,B229,Dados!$J:$J,$D$1,Dados!$I:$I,$H$4)</f>
        <v>0</v>
      </c>
      <c r="I229" s="64">
        <f>sumifs(Dados!$N:$N,Dados!$B:$B,B229,Dados!$J:$J,$D$1,Dados!$I:$I,$I$4)</f>
        <v>0</v>
      </c>
      <c r="J229" s="64">
        <f>sumifs(Dados!$N:$N,Dados!$B:$B,B229,Dados!$J:$J,$D$1,Dados!$I:$I,$J$4)</f>
        <v>2000</v>
      </c>
      <c r="K229" s="64">
        <f>sumifs(Dados!$N:$N,Dados!$B:$B,B229,Dados!$J:$J,$D$1,Dados!$I:$I,$K$4)</f>
        <v>1500</v>
      </c>
      <c r="L229" s="64">
        <f>sumifs(Dados!$N:$N,Dados!$B:$B,B229,Dados!$J:$J,$D$1,Dados!$I:$I,$L$4)</f>
        <v>0</v>
      </c>
      <c r="M229" s="64">
        <f>sumifs(Dados!$N:$N,Dados!$B:$B,B229,Dados!$J:$J,$D$1,Dados!$I:$I,$M$4)</f>
        <v>0</v>
      </c>
      <c r="N229" s="64">
        <f>sumifs(Dados!$N:$N,Dados!$B:$B,B229,Dados!$J:$J,$D$1,Dados!$I:$I,$N$4)</f>
        <v>0</v>
      </c>
      <c r="O229" s="64">
        <f>sumifs(Dados!$N:$N,Dados!$B:$B,B229,Dados!$J:$J,$D$1,Dados!$I:$I,$O$4)</f>
        <v>0</v>
      </c>
      <c r="P229" s="64">
        <f>sumifs(Dados!$N:$N,Dados!$B:$B,B229,Dados!$J:$J,$D$1,Dados!$I:$I,$P$4)</f>
        <v>0</v>
      </c>
      <c r="Q229" s="64"/>
    </row>
    <row r="230" ht="15.75" customHeight="1">
      <c r="A230" s="264" t="s">
        <v>334</v>
      </c>
      <c r="B230" s="89">
        <f>sumifs(Dados!$N:$N,Dados!$A:$A,A230,Dados!$J:$J,$D$1)</f>
        <v>38622.66</v>
      </c>
      <c r="C230" s="90">
        <f>B230-D230</f>
        <v>0</v>
      </c>
      <c r="D230" s="89">
        <f t="shared" ref="D230:P230" si="58">SUM(D225:D229)</f>
        <v>38622.66</v>
      </c>
      <c r="E230" s="89">
        <f t="shared" si="58"/>
        <v>1771.23</v>
      </c>
      <c r="F230" s="89">
        <f t="shared" si="58"/>
        <v>16391.4</v>
      </c>
      <c r="G230" s="89">
        <f t="shared" si="58"/>
        <v>3855.94</v>
      </c>
      <c r="H230" s="89">
        <f t="shared" si="58"/>
        <v>2089.7</v>
      </c>
      <c r="I230" s="89">
        <f t="shared" si="58"/>
        <v>2243.34</v>
      </c>
      <c r="J230" s="89">
        <f t="shared" si="58"/>
        <v>4458.1</v>
      </c>
      <c r="K230" s="89">
        <f t="shared" si="58"/>
        <v>2800.45</v>
      </c>
      <c r="L230" s="89">
        <f t="shared" si="58"/>
        <v>2093.5</v>
      </c>
      <c r="M230" s="89">
        <f t="shared" si="58"/>
        <v>2919</v>
      </c>
      <c r="N230" s="89">
        <f t="shared" si="58"/>
        <v>0</v>
      </c>
      <c r="O230" s="89">
        <f t="shared" si="58"/>
        <v>0</v>
      </c>
      <c r="P230" s="89">
        <f t="shared" si="58"/>
        <v>0</v>
      </c>
      <c r="Q230" s="89"/>
    </row>
    <row r="231" ht="15.75" customHeight="1">
      <c r="A231" s="74"/>
      <c r="B231" s="59" t="s">
        <v>266</v>
      </c>
      <c r="C231" s="60"/>
      <c r="D231" s="61">
        <f t="shared" ref="D231:D237" si="59">SUM(E231:P231)</f>
        <v>31110.09</v>
      </c>
      <c r="E231" s="64">
        <f>sumifs(Dados!$N:$N,Dados!$B:$B,$B$231,Dados!$J:$J,$D$1,Dados!$I:$I,E4)</f>
        <v>0</v>
      </c>
      <c r="F231" s="64">
        <f>sumifs(Dados!$N:$N,Dados!$B:$B,$B$231,Dados!$J:$J,$D$1,Dados!$I:$I,F4)</f>
        <v>0</v>
      </c>
      <c r="G231" s="64">
        <f>sumifs(Dados!$N:$N,Dados!$B:$B,$B$231,Dados!$J:$J,$D$1,Dados!$I:$I,G4)</f>
        <v>0</v>
      </c>
      <c r="H231" s="64">
        <f>sumifs(Dados!$N:$N,Dados!$B:$B,$B$231,Dados!$J:$J,$D$1,Dados!$I:$I,H4)</f>
        <v>0</v>
      </c>
      <c r="I231" s="64">
        <f>sumifs(Dados!$N:$N,Dados!$B:$B,$B$231,Dados!$J:$J,$D$1,Dados!$I:$I,I4)</f>
        <v>1000</v>
      </c>
      <c r="J231" s="64">
        <f>sumifs(Dados!$N:$N,Dados!$B:$B,$B$231,Dados!$J:$J,$D$1,Dados!$I:$I,J4)</f>
        <v>3000</v>
      </c>
      <c r="K231" s="64">
        <f>sumifs(Dados!$N:$N,Dados!$B:$B,$B$231,Dados!$J:$J,$D$1,Dados!$I:$I,K4)</f>
        <v>8510</v>
      </c>
      <c r="L231" s="64">
        <f>sumifs(Dados!$N:$N,Dados!$B:$B,$B$231,Dados!$J:$J,$D$1,Dados!$I:$I,L4)</f>
        <v>11600.09</v>
      </c>
      <c r="M231" s="64">
        <f>sumifs(Dados!$N:$N,Dados!$B:$B,$B$231,Dados!$J:$J,$D$1,Dados!$I:$I,M4)</f>
        <v>7000</v>
      </c>
      <c r="N231" s="64">
        <f>sumifs(Dados!$N:$N,Dados!$B:$B,$B$231,Dados!$J:$J,$D$1,Dados!$I:$I,N4)</f>
        <v>0</v>
      </c>
      <c r="O231" s="64">
        <f>sumifs(Dados!$N:$N,Dados!$B:$B,$B$231,Dados!$J:$J,$D$1,Dados!$I:$I,O4)</f>
        <v>0</v>
      </c>
      <c r="P231" s="64">
        <f>sumifs(Dados!$N:$N,Dados!$B:$B,$B$231,Dados!$J:$J,$D$1,Dados!$I:$I,P4)</f>
        <v>0</v>
      </c>
      <c r="Q231" s="64"/>
    </row>
    <row r="232" ht="15.75" customHeight="1">
      <c r="A232" s="74"/>
      <c r="B232" s="74" t="s">
        <v>222</v>
      </c>
      <c r="C232" s="60"/>
      <c r="D232" s="61">
        <f t="shared" si="59"/>
        <v>1100.09</v>
      </c>
      <c r="E232" s="64">
        <f>sumifs(Dados!$N:$N,Dados!$B:$B,$B$232,Dados!$J:$J,$D$1,Dados!$I:$I,E4)</f>
        <v>0</v>
      </c>
      <c r="F232" s="64">
        <f>sumifs(Dados!$N:$N,Dados!$B:$B,$B$232,Dados!$J:$J,$D$1,Dados!$I:$I,F4)</f>
        <v>0</v>
      </c>
      <c r="G232" s="64">
        <f>sumifs(Dados!$N:$N,Dados!$B:$B,$B$232,Dados!$J:$J,$D$1,Dados!$I:$I,G4)</f>
        <v>0</v>
      </c>
      <c r="H232" s="64">
        <f>sumifs(Dados!$N:$N,Dados!$B:$B,$B$232,Dados!$J:$J,$D$1,Dados!$I:$I,H4)</f>
        <v>0</v>
      </c>
      <c r="I232" s="64">
        <f>sumifs(Dados!$N:$N,Dados!$B:$B,$B$232,Dados!$J:$J,$D$1,Dados!$I:$I,I4)</f>
        <v>0</v>
      </c>
      <c r="J232" s="64">
        <f>sumifs(Dados!$N:$N,Dados!$B:$B,$B$232,Dados!$J:$J,$D$1,Dados!$I:$I,J4)</f>
        <v>0</v>
      </c>
      <c r="K232" s="64">
        <f>sumifs(Dados!$N:$N,Dados!$B:$B,$B$232,Dados!$J:$J,$D$1,Dados!$I:$I,K4)</f>
        <v>0</v>
      </c>
      <c r="L232" s="64">
        <f>sumifs(Dados!$N:$N,Dados!$B:$B,$B$232,Dados!$J:$J,$D$1,Dados!$I:$I,L4)</f>
        <v>1100.09</v>
      </c>
      <c r="M232" s="64">
        <f>sumifs(Dados!$N:$N,Dados!$B:$B,$B$232,Dados!$J:$J,$D$1,Dados!$I:$I,M4)</f>
        <v>0</v>
      </c>
      <c r="N232" s="64">
        <f>sumifs(Dados!$N:$N,Dados!$B:$B,$B$232,Dados!$J:$J,$D$1,Dados!$I:$I,N4)</f>
        <v>0</v>
      </c>
      <c r="O232" s="64">
        <f>sumifs(Dados!$N:$N,Dados!$B:$B,$B$232,Dados!$J:$J,$D$1,Dados!$I:$I,O4)</f>
        <v>0</v>
      </c>
      <c r="P232" s="64">
        <f>sumifs(Dados!$N:$N,Dados!$B:$B,$B$232,Dados!$J:$J,$D$1,Dados!$I:$I,P4)</f>
        <v>0</v>
      </c>
      <c r="Q232" s="64"/>
    </row>
    <row r="233" ht="15.75" customHeight="1">
      <c r="A233" s="74"/>
      <c r="B233" s="59" t="s">
        <v>993</v>
      </c>
      <c r="C233" s="60"/>
      <c r="D233" s="61">
        <f t="shared" si="59"/>
        <v>0</v>
      </c>
      <c r="E233" s="64">
        <f>sumifs(Dados!$N:$N,Dados!$B:$B,$B$233,Dados!$J:$J,$D$1,Dados!$I:$I,E4)</f>
        <v>0</v>
      </c>
      <c r="F233" s="64">
        <f>sumifs(Dados!$N:$N,Dados!$B:$B,$B$233,Dados!$J:$J,$D$1,Dados!$I:$I,F4)</f>
        <v>0</v>
      </c>
      <c r="G233" s="64">
        <f>sumifs(Dados!$N:$N,Dados!$B:$B,$B$233,Dados!$J:$J,$D$1,Dados!$I:$I,G4)</f>
        <v>0</v>
      </c>
      <c r="H233" s="64">
        <f>sumifs(Dados!$N:$N,Dados!$B:$B,$B$233,Dados!$J:$J,$D$1,Dados!$I:$I,H4)</f>
        <v>0</v>
      </c>
      <c r="I233" s="64">
        <f>sumifs(Dados!$N:$N,Dados!$B:$B,$B$233,Dados!$J:$J,$D$1,Dados!$I:$I,I4)</f>
        <v>0</v>
      </c>
      <c r="J233" s="64">
        <f>sumifs(Dados!$N:$N,Dados!$B:$B,$B$233,Dados!$J:$J,$D$1,Dados!$I:$I,J4)</f>
        <v>0</v>
      </c>
      <c r="K233" s="64">
        <f>sumifs(Dados!$N:$N,Dados!$B:$B,$B$233,Dados!$J:$J,$D$1,Dados!$I:$I,K4)</f>
        <v>0</v>
      </c>
      <c r="L233" s="64">
        <f>sumifs(Dados!$N:$N,Dados!$B:$B,$B$233,Dados!$J:$J,$D$1,Dados!$I:$I,L4)</f>
        <v>0</v>
      </c>
      <c r="M233" s="64">
        <f>sumifs(Dados!$N:$N,Dados!$B:$B,$B$233,Dados!$J:$J,$D$1,Dados!$I:$I,M4)</f>
        <v>0</v>
      </c>
      <c r="N233" s="64">
        <f>sumifs(Dados!$N:$N,Dados!$B:$B,$B$233,Dados!$J:$J,$D$1,Dados!$I:$I,N4)</f>
        <v>0</v>
      </c>
      <c r="O233" s="64">
        <f>sumifs(Dados!$N:$N,Dados!$B:$B,$B$233,Dados!$J:$J,$D$1,Dados!$I:$I,O4)</f>
        <v>0</v>
      </c>
      <c r="P233" s="64">
        <f>sumifs(Dados!$N:$N,Dados!$B:$B,$B$233,Dados!$J:$J,$D$1,Dados!$I:$I,P4)</f>
        <v>0</v>
      </c>
      <c r="Q233" s="64"/>
    </row>
    <row r="234" ht="15.75" customHeight="1">
      <c r="A234" s="74"/>
      <c r="B234" s="59" t="s">
        <v>1023</v>
      </c>
      <c r="C234" s="60"/>
      <c r="D234" s="61">
        <f t="shared" si="59"/>
        <v>0</v>
      </c>
      <c r="E234" s="64">
        <f>sumifs(Dados!$N:$N,Dados!$B:$B,$B$234,Dados!$J:$J,$D$1,Dados!$I:$I,E4)</f>
        <v>0</v>
      </c>
      <c r="F234" s="64">
        <f>sumifs(Dados!$N:$N,Dados!$B:$B,$B$234,Dados!$J:$J,$D$1,Dados!$I:$I,F4)</f>
        <v>0</v>
      </c>
      <c r="G234" s="64">
        <f>sumifs(Dados!$N:$N,Dados!$B:$B,$B$234,Dados!$J:$J,$D$1,Dados!$I:$I,G4)</f>
        <v>0</v>
      </c>
      <c r="H234" s="64">
        <f>sumifs(Dados!$N:$N,Dados!$B:$B,$B$234,Dados!$J:$J,$D$1,Dados!$I:$I,H4)</f>
        <v>0</v>
      </c>
      <c r="I234" s="64">
        <f>sumifs(Dados!$N:$N,Dados!$B:$B,$B$234,Dados!$J:$J,$D$1,Dados!$I:$I,I4)</f>
        <v>0</v>
      </c>
      <c r="J234" s="64">
        <f>sumifs(Dados!$N:$N,Dados!$B:$B,$B$234,Dados!$J:$J,$D$1,Dados!$I:$I,J4)</f>
        <v>0</v>
      </c>
      <c r="K234" s="64">
        <f>sumifs(Dados!$N:$N,Dados!$B:$B,$B$234,Dados!$J:$J,$D$1,Dados!$I:$I,K4)</f>
        <v>0</v>
      </c>
      <c r="L234" s="64">
        <f>sumifs(Dados!$N:$N,Dados!$B:$B,$B$234,Dados!$J:$J,$D$1,Dados!$I:$I,L4)</f>
        <v>0</v>
      </c>
      <c r="M234" s="64">
        <f>sumifs(Dados!$N:$N,Dados!$B:$B,$B$234,Dados!$J:$J,$D$1,Dados!$I:$I,M4)</f>
        <v>0</v>
      </c>
      <c r="N234" s="64">
        <f>sumifs(Dados!$N:$N,Dados!$B:$B,$B$234,Dados!$J:$J,$D$1,Dados!$I:$I,N4)</f>
        <v>0</v>
      </c>
      <c r="O234" s="64">
        <f>sumifs(Dados!$N:$N,Dados!$B:$B,$B$234,Dados!$J:$J,$D$1,Dados!$I:$I,O4)</f>
        <v>0</v>
      </c>
      <c r="P234" s="64">
        <f>sumifs(Dados!$N:$N,Dados!$B:$B,$B$234,Dados!$J:$J,$D$1,Dados!$I:$I,P4)</f>
        <v>0</v>
      </c>
      <c r="Q234" s="64"/>
    </row>
    <row r="235" ht="15.75" customHeight="1">
      <c r="A235" s="74"/>
      <c r="B235" s="59" t="s">
        <v>272</v>
      </c>
      <c r="C235" s="60"/>
      <c r="D235" s="61">
        <f t="shared" si="59"/>
        <v>45000</v>
      </c>
      <c r="E235" s="64">
        <f>sumifs(Dados!$N:$N,Dados!$B:$B,$B$235,Dados!$J:$J,$D$1,Dados!$I:$I,E4)</f>
        <v>10000</v>
      </c>
      <c r="F235" s="64">
        <f>sumifs(Dados!$N:$N,Dados!$B:$B,$B$235,Dados!$J:$J,$D$1,Dados!$I:$I,F4)</f>
        <v>20000</v>
      </c>
      <c r="G235" s="64">
        <f>sumifs(Dados!$N:$N,Dados!$B:$B,$B$235,Dados!$J:$J,$D$1,Dados!$I:$I,G4)</f>
        <v>0</v>
      </c>
      <c r="H235" s="64">
        <f>sumifs(Dados!$N:$N,Dados!$B:$B,$B$235,Dados!$J:$J,$D$1,Dados!$I:$I,H4)</f>
        <v>0</v>
      </c>
      <c r="I235" s="64">
        <f>sumifs(Dados!$N:$N,Dados!$B:$B,$B$235,Dados!$J:$J,$D$1,Dados!$I:$I,I4)</f>
        <v>5000</v>
      </c>
      <c r="J235" s="64">
        <f>sumifs(Dados!$N:$N,Dados!$B:$B,$B$235,Dados!$J:$J,$D$1,Dados!$I:$I,J4)</f>
        <v>5000</v>
      </c>
      <c r="K235" s="64">
        <f>sumifs(Dados!$N:$N,Dados!$B:$B,$B$235,Dados!$J:$J,$D$1,Dados!$I:$I,K4)</f>
        <v>0</v>
      </c>
      <c r="L235" s="64">
        <f>sumifs(Dados!$N:$N,Dados!$B:$B,$B$235,Dados!$J:$J,$D$1,Dados!$I:$I,L4)</f>
        <v>0</v>
      </c>
      <c r="M235" s="64">
        <f>sumifs(Dados!$N:$N,Dados!$B:$B,$B$235,Dados!$J:$J,$D$1,Dados!$I:$I,M4)</f>
        <v>5000</v>
      </c>
      <c r="N235" s="64">
        <f>sumifs(Dados!$N:$N,Dados!$B:$B,$B$235,Dados!$J:$J,$D$1,Dados!$I:$I,N4)</f>
        <v>0</v>
      </c>
      <c r="O235" s="64">
        <f>sumifs(Dados!$N:$N,Dados!$B:$B,$B$235,Dados!$J:$J,$D$1,Dados!$I:$I,O4)</f>
        <v>0</v>
      </c>
      <c r="P235" s="64">
        <f>sumifs(Dados!$N:$N,Dados!$B:$B,$B$235,Dados!$J:$J,$D$1,Dados!$I:$I,P4)</f>
        <v>0</v>
      </c>
      <c r="Q235" s="64"/>
    </row>
    <row r="236" ht="15.75" customHeight="1">
      <c r="A236" s="74"/>
      <c r="B236" s="59" t="s">
        <v>493</v>
      </c>
      <c r="C236" s="60"/>
      <c r="D236" s="61">
        <f t="shared" si="59"/>
        <v>2000</v>
      </c>
      <c r="E236" s="64">
        <f>sumifs(Dados!$N:$N,Dados!$B:$B,$B$236,Dados!$J:$J,$D$1,Dados!$I:$I,E4)</f>
        <v>0</v>
      </c>
      <c r="F236" s="64">
        <f>sumifs(Dados!$N:$N,Dados!$B:$B,$B$236,Dados!$J:$J,$D$1,Dados!$I:$I,F4)</f>
        <v>0</v>
      </c>
      <c r="G236" s="64">
        <f>sumifs(Dados!$N:$N,Dados!$B:$B,$B$236,Dados!$J:$J,$D$1,Dados!$I:$I,G4)</f>
        <v>2000</v>
      </c>
      <c r="H236" s="64">
        <f>sumifs(Dados!$N:$N,Dados!$B:$B,$B$236,Dados!$J:$J,$D$1,Dados!$I:$I,H4)</f>
        <v>0</v>
      </c>
      <c r="I236" s="64">
        <f>sumifs(Dados!$N:$N,Dados!$B:$B,$B$236,Dados!$J:$J,$D$1,Dados!$I:$I,I4)</f>
        <v>0</v>
      </c>
      <c r="J236" s="64">
        <f>sumifs(Dados!$N:$N,Dados!$B:$B,$B$236,Dados!$J:$J,$D$1,Dados!$I:$I,J4)</f>
        <v>0</v>
      </c>
      <c r="K236" s="64">
        <f>sumifs(Dados!$N:$N,Dados!$B:$B,$B$236,Dados!$J:$J,$D$1,Dados!$I:$I,K4)</f>
        <v>0</v>
      </c>
      <c r="L236" s="64">
        <f>sumifs(Dados!$N:$N,Dados!$B:$B,$B$236,Dados!$J:$J,$D$1,Dados!$I:$I,L4)</f>
        <v>0</v>
      </c>
      <c r="M236" s="64">
        <f>sumifs(Dados!$N:$N,Dados!$B:$B,$B$236,Dados!$J:$J,$D$1,Dados!$I:$I,M4)</f>
        <v>0</v>
      </c>
      <c r="N236" s="64">
        <f>sumifs(Dados!$N:$N,Dados!$B:$B,$B$236,Dados!$J:$J,$D$1,Dados!$I:$I,N4)</f>
        <v>0</v>
      </c>
      <c r="O236" s="64">
        <f>sumifs(Dados!$N:$N,Dados!$B:$B,$B$236,Dados!$J:$J,$D$1,Dados!$I:$I,O4)</f>
        <v>0</v>
      </c>
      <c r="P236" s="64">
        <f>sumifs(Dados!$N:$N,Dados!$B:$B,$B$236,Dados!$J:$J,$D$1,Dados!$I:$I,P4)</f>
        <v>0</v>
      </c>
      <c r="Q236" s="64"/>
    </row>
    <row r="237" ht="15.75" customHeight="1">
      <c r="A237" s="74"/>
      <c r="B237" s="59" t="s">
        <v>1113</v>
      </c>
      <c r="C237" s="60"/>
      <c r="D237" s="61">
        <f t="shared" si="59"/>
        <v>0</v>
      </c>
      <c r="E237" s="64">
        <f>sumifs(Dados!$N:$N,Dados!$B:$B,$B$237,Dados!$J:$J,$D$1,Dados!$I:$I,E4)</f>
        <v>0</v>
      </c>
      <c r="F237" s="64">
        <f>sumifs(Dados!$N:$N,Dados!$B:$B,$B$237,Dados!$J:$J,$D$1,Dados!$I:$I,F4)</f>
        <v>0</v>
      </c>
      <c r="G237" s="64">
        <f>sumifs(Dados!$N:$N,Dados!$B:$B,$B$237,Dados!$J:$J,$D$1,Dados!$I:$I,G4)</f>
        <v>0</v>
      </c>
      <c r="H237" s="64">
        <f>sumifs(Dados!$N:$N,Dados!$B:$B,$B$237,Dados!$J:$J,$D$1,Dados!$I:$I,H4)</f>
        <v>0</v>
      </c>
      <c r="I237" s="64">
        <f>sumifs(Dados!$N:$N,Dados!$B:$B,$B$237,Dados!$J:$J,$D$1,Dados!$I:$I,I4)</f>
        <v>0</v>
      </c>
      <c r="J237" s="64">
        <f>sumifs(Dados!$N:$N,Dados!$B:$B,$B$237,Dados!$J:$J,$D$1,Dados!$I:$I,J4)</f>
        <v>0</v>
      </c>
      <c r="K237" s="64">
        <f>sumifs(Dados!$N:$N,Dados!$B:$B,$B$237,Dados!$J:$J,$D$1,Dados!$I:$I,K4)</f>
        <v>0</v>
      </c>
      <c r="L237" s="64">
        <f>sumifs(Dados!$N:$N,Dados!$B:$B,$B$237,Dados!$J:$J,$D$1,Dados!$I:$I,L4)</f>
        <v>0</v>
      </c>
      <c r="M237" s="64">
        <f>sumifs(Dados!$N:$N,Dados!$B:$B,$B$237,Dados!$J:$J,$D$1,Dados!$I:$I,M4)</f>
        <v>0</v>
      </c>
      <c r="N237" s="64">
        <f>sumifs(Dados!$N:$N,Dados!$B:$B,$B$237,Dados!$J:$J,$D$1,Dados!$I:$I,N4)</f>
        <v>0</v>
      </c>
      <c r="O237" s="64">
        <f>sumifs(Dados!$N:$N,Dados!$B:$B,$B$237,Dados!$J:$J,$D$1,Dados!$I:$I,O4)</f>
        <v>0</v>
      </c>
      <c r="P237" s="64">
        <f>sumifs(Dados!$N:$N,Dados!$B:$B,$B$237,Dados!$J:$J,$D$1,Dados!$I:$I,P4)</f>
        <v>0</v>
      </c>
      <c r="Q237" s="64"/>
    </row>
    <row r="238" ht="15.75" customHeight="1">
      <c r="A238" s="88" t="s">
        <v>253</v>
      </c>
      <c r="B238" s="89">
        <f>sumifs(Dados!$N:$N,Dados!$A:$A,A238,Dados!$J:$J,$D$1)</f>
        <v>79210.18</v>
      </c>
      <c r="C238" s="90">
        <f>B238-D238</f>
        <v>0</v>
      </c>
      <c r="D238" s="89">
        <f t="shared" ref="D238:P238" si="60">SUM(D231:D237)</f>
        <v>79210.18</v>
      </c>
      <c r="E238" s="89">
        <f t="shared" si="60"/>
        <v>10000</v>
      </c>
      <c r="F238" s="89">
        <f t="shared" si="60"/>
        <v>20000</v>
      </c>
      <c r="G238" s="89">
        <f t="shared" si="60"/>
        <v>2000</v>
      </c>
      <c r="H238" s="89">
        <f t="shared" si="60"/>
        <v>0</v>
      </c>
      <c r="I238" s="89">
        <f t="shared" si="60"/>
        <v>6000</v>
      </c>
      <c r="J238" s="89">
        <f t="shared" si="60"/>
        <v>8000</v>
      </c>
      <c r="K238" s="89">
        <f t="shared" si="60"/>
        <v>8510</v>
      </c>
      <c r="L238" s="89">
        <f t="shared" si="60"/>
        <v>12700.18</v>
      </c>
      <c r="M238" s="89">
        <f t="shared" si="60"/>
        <v>12000</v>
      </c>
      <c r="N238" s="89">
        <f t="shared" si="60"/>
        <v>0</v>
      </c>
      <c r="O238" s="89">
        <f t="shared" si="60"/>
        <v>0</v>
      </c>
      <c r="P238" s="89">
        <f t="shared" si="60"/>
        <v>0</v>
      </c>
      <c r="Q238" s="89"/>
    </row>
    <row r="239" ht="15.75" customHeight="1">
      <c r="A239" s="58"/>
      <c r="B239" s="58" t="s">
        <v>51</v>
      </c>
      <c r="C239" s="60"/>
      <c r="D239" s="61">
        <f t="shared" ref="D239:D240" si="61">SUM(E239:P239)</f>
        <v>0</v>
      </c>
      <c r="E239" s="64">
        <f>sumifs(Dados!$N:$N,Dados!$B:$B,$B$239,Dados!$J:$J,$D$1,Dados!$I:$I,E4)</f>
        <v>0</v>
      </c>
      <c r="F239" s="64">
        <f>sumifs(Dados!$N:$N,Dados!$B:$B,$B$239,Dados!$J:$J,$D$1,Dados!$I:$I,F4)</f>
        <v>0</v>
      </c>
      <c r="G239" s="64">
        <f>sumifs(Dados!$N:$N,Dados!$B:$B,$B$239,Dados!$J:$J,$D$1,Dados!$I:$I,G4)</f>
        <v>0</v>
      </c>
      <c r="H239" s="64">
        <f>sumifs(Dados!$N:$N,Dados!$B:$B,$B$239,Dados!$J:$J,$D$1,Dados!$I:$I,H4)</f>
        <v>0</v>
      </c>
      <c r="I239" s="64">
        <f>sumifs(Dados!$N:$N,Dados!$B:$B,$B$239,Dados!$J:$J,$D$1,Dados!$I:$I,I4)</f>
        <v>0</v>
      </c>
      <c r="J239" s="64">
        <f>sumifs(Dados!$N:$N,Dados!$B:$B,$B$239,Dados!$J:$J,$D$1,Dados!$I:$I,J4)</f>
        <v>0</v>
      </c>
      <c r="K239" s="64">
        <f>sumifs(Dados!$N:$N,Dados!$B:$B,$B$239,Dados!$J:$J,$D$1,Dados!$I:$I,K4)</f>
        <v>0</v>
      </c>
      <c r="L239" s="64">
        <f>sumifs(Dados!$N:$N,Dados!$B:$B,$B$239,Dados!$J:$J,$D$1,Dados!$I:$I,L4)</f>
        <v>0</v>
      </c>
      <c r="M239" s="64">
        <f>sumifs(Dados!$N:$N,Dados!$B:$B,$B$239,Dados!$J:$J,$D$1,Dados!$I:$I,M4)</f>
        <v>0</v>
      </c>
      <c r="N239" s="64">
        <f>sumifs(Dados!$N:$N,Dados!$B:$B,$B$239,Dados!$J:$J,$D$1,Dados!$I:$I,N4)</f>
        <v>0</v>
      </c>
      <c r="O239" s="64">
        <f>sumifs(Dados!$N:$N,Dados!$B:$B,$B$239,Dados!$J:$J,$D$1,Dados!$I:$I,O4)</f>
        <v>0</v>
      </c>
      <c r="P239" s="64">
        <f>sumifs(Dados!$N:$N,Dados!$B:$B,$B$239,Dados!$J:$J,$D$1,Dados!$I:$I,P4)</f>
        <v>0</v>
      </c>
      <c r="Q239" s="64"/>
    </row>
    <row r="240" ht="15.75" customHeight="1">
      <c r="A240" s="58"/>
      <c r="B240" s="58" t="s">
        <v>108</v>
      </c>
      <c r="C240" s="60"/>
      <c r="D240" s="61">
        <f t="shared" si="61"/>
        <v>191.66</v>
      </c>
      <c r="E240" s="64">
        <f>sumifs(Dados!$N:$N,Dados!$B:$B,B240,Dados!$J:$J,$D$1,Dados!$I:$I,$E$4)</f>
        <v>0</v>
      </c>
      <c r="F240" s="64">
        <f>sumifs(Dados!$N:$N,Dados!$B:$B,B240,Dados!$J:$J,$D$1,Dados!$I:$I,$F$4)</f>
        <v>0</v>
      </c>
      <c r="G240" s="64">
        <f>sumifs(Dados!$N:$N,Dados!$B:$B,B240,Dados!$J:$J,$D$1,Dados!$I:$I,$G$4)</f>
        <v>0</v>
      </c>
      <c r="H240" s="64">
        <f>sumifs(Dados!$N:$N,Dados!$B:$B,B240,Dados!$J:$J,$D$1,Dados!$I:$I,$H$4)</f>
        <v>0</v>
      </c>
      <c r="I240" s="64">
        <f>sumifs(Dados!$N:$N,Dados!$B:$B,B240,Dados!$J:$J,$D$1,Dados!$I:$I,$I$4)</f>
        <v>146.66</v>
      </c>
      <c r="J240" s="64">
        <f>sumifs(Dados!$N:$N,Dados!$B:$B,B240,Dados!$J:$J,$D$1,Dados!$I:$I,$J$4)</f>
        <v>37</v>
      </c>
      <c r="K240" s="64">
        <f>sumifs(Dados!$N:$N,Dados!$B:$B,B240,Dados!$J:$J,$D$1,Dados!$I:$I,$K$4)</f>
        <v>0</v>
      </c>
      <c r="L240" s="64">
        <f>sumifs(Dados!$N:$N,Dados!$B:$B,B240,Dados!$J:$J,$D$1,Dados!$I:$I,$L$4)</f>
        <v>0</v>
      </c>
      <c r="M240" s="64">
        <f>sumifs(Dados!$N:$N,Dados!$B:$B,B240,Dados!$J:$J,$D$1,Dados!$I:$I,$M$4)</f>
        <v>8</v>
      </c>
      <c r="N240" s="64">
        <f>sumifs(Dados!$N:$N,Dados!$B:$B,B240,Dados!$J:$J,$D$1,Dados!$I:$I,$N$4)</f>
        <v>0</v>
      </c>
      <c r="O240" s="64">
        <f>sumifs(Dados!$N:$N,Dados!$B:$B,B240,Dados!$J:$J,$D$1,Dados!$I:$I,$O$4)</f>
        <v>0</v>
      </c>
      <c r="P240" s="64">
        <f>sumifs(Dados!$N:$N,Dados!$B:$B,B240,Dados!$J:$J,$D$1,Dados!$I:$I,$P$4)</f>
        <v>0</v>
      </c>
      <c r="Q240" s="64"/>
    </row>
    <row r="241" ht="15.75" customHeight="1">
      <c r="A241" s="88" t="s">
        <v>108</v>
      </c>
      <c r="B241" s="89">
        <f>sumifs(Dados!$N:$N,Dados!$A:$A,A241,Dados!$J:$J,$D$1)</f>
        <v>191.66</v>
      </c>
      <c r="C241" s="90">
        <f t="shared" ref="C241:C242" si="63">B241-D241</f>
        <v>0</v>
      </c>
      <c r="D241" s="89">
        <f t="shared" ref="D241:P241" si="62">SUM(D239:D240)</f>
        <v>191.66</v>
      </c>
      <c r="E241" s="89">
        <f t="shared" si="62"/>
        <v>0</v>
      </c>
      <c r="F241" s="89">
        <f t="shared" si="62"/>
        <v>0</v>
      </c>
      <c r="G241" s="89">
        <f t="shared" si="62"/>
        <v>0</v>
      </c>
      <c r="H241" s="89">
        <f t="shared" si="62"/>
        <v>0</v>
      </c>
      <c r="I241" s="89">
        <f t="shared" si="62"/>
        <v>146.66</v>
      </c>
      <c r="J241" s="89">
        <f t="shared" si="62"/>
        <v>37</v>
      </c>
      <c r="K241" s="89">
        <f t="shared" si="62"/>
        <v>0</v>
      </c>
      <c r="L241" s="89">
        <f t="shared" si="62"/>
        <v>0</v>
      </c>
      <c r="M241" s="89">
        <f t="shared" si="62"/>
        <v>8</v>
      </c>
      <c r="N241" s="89">
        <f t="shared" si="62"/>
        <v>0</v>
      </c>
      <c r="O241" s="89">
        <f t="shared" si="62"/>
        <v>0</v>
      </c>
      <c r="P241" s="89">
        <f t="shared" si="62"/>
        <v>0</v>
      </c>
      <c r="Q241" s="89"/>
    </row>
    <row r="242" ht="15.75" customHeight="1">
      <c r="A242" s="88" t="s">
        <v>1033</v>
      </c>
      <c r="B242" s="89">
        <f>sumifs(Dados!$N:$N,Dados!$A:$A,A242,Dados!$J:$J,$D$1)</f>
        <v>3.97</v>
      </c>
      <c r="C242" s="90">
        <f t="shared" si="63"/>
        <v>0</v>
      </c>
      <c r="D242" s="89">
        <f>SUM(E242:P242)</f>
        <v>3.97</v>
      </c>
      <c r="E242" s="89">
        <f>sumifs(Dados!$N:$N,Dados!$B:$B,A242,Dados!$J:$J,$D$1,Dados!$I:$I,$E$4)</f>
        <v>0</v>
      </c>
      <c r="F242" s="89">
        <f>sumifs(Dados!$N:$N,Dados!$B:$B,A242,Dados!$J:$J,$D$1,Dados!$I:$I,$F$4)</f>
        <v>0</v>
      </c>
      <c r="G242" s="89">
        <f>sumifs(Dados!$N:$N,Dados!$B:$B,A242,Dados!$J:$J,$D$1,Dados!$I:$I,$G$4)</f>
        <v>0</v>
      </c>
      <c r="H242" s="89">
        <f>sumifs(Dados!$N:$N,Dados!$B:$B,A242,Dados!$J:$J,$D$1,Dados!$I:$I,$H$4)</f>
        <v>0</v>
      </c>
      <c r="I242" s="89">
        <f>sumifs(Dados!$N:$N,Dados!$B:$B,A242,Dados!$J:$J,$D$1,Dados!$I:$I,$I$4)</f>
        <v>0</v>
      </c>
      <c r="J242" s="89">
        <f>sumifs(Dados!$N:$N,Dados!$B:$B,A242,Dados!$J:$J,$D$1,Dados!$I:$I,$J$4)</f>
        <v>0</v>
      </c>
      <c r="K242" s="89">
        <f>sumifs(Dados!$N:$N,Dados!$B:$B,A242,Dados!$J:$J,$D$1,Dados!$I:$I,$K$4)</f>
        <v>0</v>
      </c>
      <c r="L242" s="89">
        <f>sumifs(Dados!$N:$N,Dados!$B:$B,A242,Dados!$J:$J,$D$1,Dados!$I:$I,$L$4)</f>
        <v>0</v>
      </c>
      <c r="M242" s="89">
        <f>sumifs(Dados!$N:$N,Dados!$B:$B,A242,Dados!$J:$J,$D$1,Dados!$I:$I,$M$4)</f>
        <v>3.97</v>
      </c>
      <c r="N242" s="89">
        <f>sumifs(Dados!$N:$N,Dados!$B:$B,A242,Dados!$J:$J,$D$1,Dados!$I:$I,$N$4)</f>
        <v>0</v>
      </c>
      <c r="O242" s="89">
        <f>sumifs(Dados!$N:$N,Dados!$B:$B,A242,Dados!$J:$J,$D$1,Dados!$I:$I,$O$4)</f>
        <v>0</v>
      </c>
      <c r="P242" s="89">
        <f>sumifs(Dados!$N:$N,Dados!$B:$B,A242,Dados!$J:$J,$D$1,Dados!$I:$I,$P$4)</f>
        <v>0</v>
      </c>
      <c r="Q242" s="89"/>
    </row>
    <row r="243" ht="15.75" customHeight="1">
      <c r="A243" s="168" t="s">
        <v>1149</v>
      </c>
      <c r="B243" s="251">
        <f>D230+D238+D241+D242</f>
        <v>118028.47</v>
      </c>
      <c r="C243" s="251"/>
      <c r="D243" s="251"/>
      <c r="E243" s="251">
        <f t="shared" ref="E243:P243" si="64">E230+E238+E241</f>
        <v>11771.23</v>
      </c>
      <c r="F243" s="251">
        <f t="shared" si="64"/>
        <v>36391.4</v>
      </c>
      <c r="G243" s="251">
        <f t="shared" si="64"/>
        <v>5855.94</v>
      </c>
      <c r="H243" s="251">
        <f t="shared" si="64"/>
        <v>2089.7</v>
      </c>
      <c r="I243" s="251">
        <f t="shared" si="64"/>
        <v>8390</v>
      </c>
      <c r="J243" s="251">
        <f t="shared" si="64"/>
        <v>12495.1</v>
      </c>
      <c r="K243" s="251">
        <f t="shared" si="64"/>
        <v>11310.45</v>
      </c>
      <c r="L243" s="251">
        <f t="shared" si="64"/>
        <v>14793.68</v>
      </c>
      <c r="M243" s="251">
        <f t="shared" si="64"/>
        <v>14927</v>
      </c>
      <c r="N243" s="251">
        <f t="shared" si="64"/>
        <v>0</v>
      </c>
      <c r="O243" s="251">
        <f t="shared" si="64"/>
        <v>0</v>
      </c>
      <c r="P243" s="251">
        <f t="shared" si="64"/>
        <v>0</v>
      </c>
      <c r="Q243" s="256"/>
    </row>
    <row r="244" ht="15.75" hidden="1" customHeight="1">
      <c r="A244" s="312" t="s">
        <v>35</v>
      </c>
      <c r="B244" s="313">
        <f>B243+B223+B137</f>
        <v>271440.37</v>
      </c>
      <c r="C244" s="251"/>
      <c r="D244" s="313">
        <f t="shared" ref="D244:P244" si="65">D243+D223+D137</f>
        <v>82448.42</v>
      </c>
      <c r="E244" s="313">
        <f t="shared" si="65"/>
        <v>25345.98</v>
      </c>
      <c r="F244" s="313">
        <f t="shared" si="65"/>
        <v>62384.52</v>
      </c>
      <c r="G244" s="313">
        <f t="shared" si="65"/>
        <v>17202.03</v>
      </c>
      <c r="H244" s="313">
        <f t="shared" si="65"/>
        <v>15334.79</v>
      </c>
      <c r="I244" s="313">
        <f t="shared" si="65"/>
        <v>26375.73</v>
      </c>
      <c r="J244" s="313">
        <f t="shared" si="65"/>
        <v>32925.4</v>
      </c>
      <c r="K244" s="313">
        <f t="shared" si="65"/>
        <v>26363.83</v>
      </c>
      <c r="L244" s="313">
        <f t="shared" si="65"/>
        <v>35722.76</v>
      </c>
      <c r="M244" s="313">
        <f t="shared" si="65"/>
        <v>29781.36</v>
      </c>
      <c r="N244" s="313">
        <f t="shared" si="65"/>
        <v>0</v>
      </c>
      <c r="O244" s="313">
        <f t="shared" si="65"/>
        <v>0</v>
      </c>
      <c r="P244" s="313">
        <f t="shared" si="65"/>
        <v>0</v>
      </c>
      <c r="Q244" s="313"/>
      <c r="R244" s="314"/>
      <c r="S244" s="314"/>
      <c r="T244" s="314"/>
      <c r="U244" s="314"/>
      <c r="V244" s="314"/>
      <c r="W244" s="314"/>
      <c r="X244" s="314"/>
      <c r="Y244" s="314"/>
      <c r="Z244" s="314"/>
      <c r="AA244" s="314"/>
    </row>
    <row r="245" ht="15.75" customHeight="1">
      <c r="A245" s="312" t="s">
        <v>1150</v>
      </c>
      <c r="B245" s="313">
        <f>B244-B238</f>
        <v>192230.19</v>
      </c>
      <c r="C245" s="313"/>
      <c r="D245" s="313">
        <f t="shared" ref="D245:P245" si="66">D244-D238</f>
        <v>3238.24</v>
      </c>
      <c r="E245" s="313">
        <f t="shared" si="66"/>
        <v>15345.98</v>
      </c>
      <c r="F245" s="313">
        <f t="shared" si="66"/>
        <v>42384.52</v>
      </c>
      <c r="G245" s="313">
        <f t="shared" si="66"/>
        <v>15202.03</v>
      </c>
      <c r="H245" s="313">
        <f t="shared" si="66"/>
        <v>15334.79</v>
      </c>
      <c r="I245" s="313">
        <f t="shared" si="66"/>
        <v>20375.73</v>
      </c>
      <c r="J245" s="313">
        <f t="shared" si="66"/>
        <v>24925.4</v>
      </c>
      <c r="K245" s="313">
        <f t="shared" si="66"/>
        <v>17853.83</v>
      </c>
      <c r="L245" s="313">
        <f t="shared" si="66"/>
        <v>23022.58</v>
      </c>
      <c r="M245" s="313">
        <f t="shared" si="66"/>
        <v>17781.36</v>
      </c>
      <c r="N245" s="313">
        <f t="shared" si="66"/>
        <v>0</v>
      </c>
      <c r="O245" s="313">
        <f t="shared" si="66"/>
        <v>0</v>
      </c>
      <c r="P245" s="313">
        <f t="shared" si="66"/>
        <v>0</v>
      </c>
      <c r="Q245" s="313"/>
      <c r="R245" s="314"/>
      <c r="S245" s="314"/>
      <c r="T245" s="314"/>
      <c r="U245" s="314"/>
      <c r="V245" s="314"/>
      <c r="W245" s="314"/>
      <c r="X245" s="314"/>
      <c r="Y245" s="314"/>
      <c r="Z245" s="314"/>
      <c r="AA245" s="314"/>
    </row>
    <row r="246" ht="15.75" customHeight="1">
      <c r="A246" s="320" t="s">
        <v>1151</v>
      </c>
      <c r="B246" s="89">
        <f>sumifs(Dados!$N:$N,Dados!$J:$J,$D$1)</f>
        <v>271440.37</v>
      </c>
      <c r="C246" s="322"/>
      <c r="D246" s="323"/>
      <c r="E246" s="89">
        <f>sumifs(Dados!$N:$N,Dados!$J:$J,$D$1,Dados!$I:$I,E4)</f>
        <v>25345.98</v>
      </c>
      <c r="F246" s="89">
        <f>sumifs(Dados!$N:$N,Dados!$J:$J,$D$1,Dados!$I:$I,F4)</f>
        <v>62384.52</v>
      </c>
      <c r="G246" s="89">
        <f>sumifs(Dados!$N:$N,Dados!$J:$J,$D$1,Dados!$I:$I,G4)</f>
        <v>17202.03</v>
      </c>
      <c r="H246" s="89">
        <f>sumifs(Dados!$N:$N,Dados!$J:$J,$D$1,Dados!$I:$I,H4)</f>
        <v>15334.79</v>
      </c>
      <c r="I246" s="89">
        <f>sumifs(Dados!$N:$N,Dados!$J:$J,$D$1,Dados!$I:$I,I4)</f>
        <v>26375.73</v>
      </c>
      <c r="J246" s="89">
        <f>sumifs(Dados!$N:$N,Dados!$J:$J,$D$1,Dados!$I:$I,J4)</f>
        <v>32925.4</v>
      </c>
      <c r="K246" s="89">
        <f>sumifs(Dados!$N:$N,Dados!$J:$J,$D$1,Dados!$I:$I,K4)</f>
        <v>26363.83</v>
      </c>
      <c r="L246" s="89">
        <f>sumifs(Dados!$N:$N,Dados!$J:$J,$D$1,Dados!$I:$I,L4)</f>
        <v>35722.76</v>
      </c>
      <c r="M246" s="89">
        <f>sumifs(Dados!$N:$N,Dados!$J:$J,$D$1,Dados!$I:$I,M4)</f>
        <v>29785.33</v>
      </c>
      <c r="N246" s="89">
        <f>sumifs(Dados!$N:$N,Dados!$J:$J,$D$1,Dados!$I:$I,N4)</f>
        <v>0</v>
      </c>
      <c r="O246" s="89">
        <f>sumifs(Dados!$N:$N,Dados!$J:$J,$D$1,Dados!$I:$I,O4)</f>
        <v>0</v>
      </c>
      <c r="P246" s="89">
        <f>sumifs(Dados!$N:$N,Dados!$J:$J,$D$1,Dados!$I:$I,P4)</f>
        <v>0</v>
      </c>
      <c r="Q246" s="323"/>
    </row>
    <row r="247" ht="15.75" customHeight="1">
      <c r="A247" s="320" t="s">
        <v>284</v>
      </c>
      <c r="B247" s="89">
        <f>B244-B246</f>
        <v>0</v>
      </c>
      <c r="C247" s="90"/>
      <c r="D247" s="89"/>
      <c r="E247" s="89">
        <f t="shared" ref="E247:P247" si="67">E244-E246</f>
        <v>0</v>
      </c>
      <c r="F247" s="89">
        <f t="shared" si="67"/>
        <v>0</v>
      </c>
      <c r="G247" s="89">
        <f t="shared" si="67"/>
        <v>0</v>
      </c>
      <c r="H247" s="89">
        <f t="shared" si="67"/>
        <v>0</v>
      </c>
      <c r="I247" s="89">
        <f t="shared" si="67"/>
        <v>0</v>
      </c>
      <c r="J247" s="89">
        <f t="shared" si="67"/>
        <v>0</v>
      </c>
      <c r="K247" s="89">
        <f t="shared" si="67"/>
        <v>0</v>
      </c>
      <c r="L247" s="89">
        <f t="shared" si="67"/>
        <v>0</v>
      </c>
      <c r="M247" s="89">
        <f t="shared" si="67"/>
        <v>-3.97</v>
      </c>
      <c r="N247" s="89">
        <f t="shared" si="67"/>
        <v>0</v>
      </c>
      <c r="O247" s="89">
        <f t="shared" si="67"/>
        <v>0</v>
      </c>
      <c r="P247" s="89">
        <f t="shared" si="67"/>
        <v>0</v>
      </c>
      <c r="Q247" s="323"/>
    </row>
    <row r="248" ht="15.75" customHeight="1">
      <c r="C248" s="328"/>
    </row>
    <row r="249" ht="15.75" customHeight="1">
      <c r="C249" s="328"/>
    </row>
    <row r="250" ht="15.75" customHeight="1">
      <c r="C250" s="328"/>
    </row>
    <row r="251" ht="15.75" customHeight="1">
      <c r="C251" s="328"/>
    </row>
    <row r="252" ht="15.75" customHeight="1">
      <c r="C252" s="328"/>
    </row>
    <row r="253" ht="15.75" customHeight="1">
      <c r="C253" s="328"/>
    </row>
    <row r="254" ht="15.75" customHeight="1">
      <c r="C254" s="328"/>
    </row>
    <row r="255" ht="15.75" customHeight="1">
      <c r="C255" s="328"/>
    </row>
    <row r="256" ht="15.75" customHeight="1">
      <c r="C256" s="328"/>
    </row>
    <row r="257" ht="15.75" customHeight="1">
      <c r="C257" s="328"/>
    </row>
    <row r="258" ht="15.75" customHeight="1">
      <c r="C258" s="328"/>
    </row>
    <row r="259" ht="15.75" customHeight="1">
      <c r="C259" s="328"/>
    </row>
    <row r="260" ht="15.75" customHeight="1">
      <c r="C260" s="328"/>
    </row>
    <row r="261" ht="15.75" customHeight="1">
      <c r="C261" s="328"/>
    </row>
    <row r="262" ht="15.75" customHeight="1">
      <c r="C262" s="328"/>
    </row>
    <row r="263" ht="15.75" customHeight="1">
      <c r="C263" s="328"/>
    </row>
    <row r="264" ht="15.75" customHeight="1">
      <c r="C264" s="328"/>
    </row>
    <row r="265" ht="15.75" customHeight="1">
      <c r="C265" s="328"/>
    </row>
    <row r="266" ht="15.75" customHeight="1">
      <c r="C266" s="328"/>
    </row>
    <row r="267" ht="15.75" customHeight="1">
      <c r="C267" s="328"/>
    </row>
    <row r="268" ht="15.75" customHeight="1">
      <c r="C268" s="328"/>
    </row>
    <row r="269" ht="15.75" customHeight="1">
      <c r="C269" s="328"/>
    </row>
    <row r="270" ht="15.75" customHeight="1">
      <c r="C270" s="328"/>
    </row>
    <row r="271" ht="15.75" customHeight="1">
      <c r="C271" s="328"/>
    </row>
    <row r="272" ht="15.75" customHeight="1">
      <c r="C272" s="328"/>
    </row>
    <row r="273" ht="15.75" customHeight="1">
      <c r="C273" s="328"/>
    </row>
    <row r="274" ht="15.75" customHeight="1">
      <c r="C274" s="328"/>
    </row>
    <row r="275" ht="15.75" customHeight="1">
      <c r="C275" s="60"/>
      <c r="D275" s="61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</row>
    <row r="276" ht="15.75" customHeight="1">
      <c r="C276" s="60"/>
      <c r="D276" s="61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</row>
    <row r="277" ht="15.75" customHeight="1">
      <c r="C277" s="60"/>
      <c r="D277" s="61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</row>
    <row r="278" ht="15.75" customHeight="1">
      <c r="C278" s="60"/>
      <c r="D278" s="61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</row>
    <row r="279" ht="15.75" customHeight="1">
      <c r="C279" s="60"/>
      <c r="D279" s="61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</row>
    <row r="280" ht="15.75" customHeight="1">
      <c r="A280" s="28"/>
      <c r="B280" s="28"/>
      <c r="C280" s="329"/>
      <c r="D280" s="299"/>
      <c r="E280" s="28"/>
      <c r="F280" s="28"/>
      <c r="G280" s="28"/>
      <c r="H280" s="28"/>
      <c r="I280" s="28"/>
      <c r="J280" s="28"/>
    </row>
    <row r="281" ht="15.75" customHeight="1">
      <c r="A281" s="28"/>
      <c r="B281" s="28"/>
      <c r="C281" s="329"/>
      <c r="D281" s="299"/>
      <c r="E281" s="28"/>
      <c r="F281" s="28"/>
      <c r="G281" s="28"/>
      <c r="H281" s="28"/>
      <c r="I281" s="28"/>
      <c r="J281" s="28"/>
    </row>
    <row r="282" ht="15.75" customHeight="1">
      <c r="A282" s="28"/>
      <c r="B282" s="28"/>
      <c r="C282" s="329"/>
      <c r="D282" s="299"/>
      <c r="E282" s="28"/>
      <c r="F282" s="28"/>
      <c r="G282" s="28"/>
      <c r="H282" s="28"/>
      <c r="I282" s="28"/>
      <c r="J282" s="28"/>
    </row>
    <row r="283" ht="15.75" customHeight="1">
      <c r="A283" s="28"/>
      <c r="B283" s="28"/>
      <c r="C283" s="329"/>
      <c r="D283" s="299"/>
      <c r="E283" s="28"/>
      <c r="F283" s="28"/>
      <c r="G283" s="28"/>
      <c r="H283" s="28"/>
      <c r="I283" s="28"/>
      <c r="J283" s="28"/>
    </row>
    <row r="284" ht="15.75" customHeight="1">
      <c r="A284" s="28"/>
      <c r="B284" s="28"/>
      <c r="C284" s="329"/>
      <c r="D284" s="299"/>
      <c r="E284" s="28"/>
      <c r="F284" s="28"/>
      <c r="G284" s="28"/>
      <c r="H284" s="28"/>
      <c r="I284" s="28"/>
      <c r="J284" s="28"/>
    </row>
    <row r="285" ht="15.75" customHeight="1">
      <c r="A285" s="28"/>
      <c r="B285" s="28"/>
      <c r="C285" s="329"/>
      <c r="D285" s="299"/>
      <c r="E285" s="28"/>
      <c r="F285" s="28"/>
      <c r="G285" s="28"/>
      <c r="H285" s="28"/>
      <c r="I285" s="28"/>
      <c r="J285" s="28"/>
    </row>
    <row r="286" ht="15.75" customHeight="1">
      <c r="A286" s="28"/>
      <c r="B286" s="28"/>
      <c r="C286" s="329"/>
      <c r="D286" s="299"/>
      <c r="E286" s="28"/>
      <c r="F286" s="28"/>
      <c r="G286" s="28"/>
      <c r="H286" s="28"/>
      <c r="I286" s="28"/>
      <c r="J286" s="28"/>
    </row>
    <row r="287" ht="15.75" customHeight="1">
      <c r="A287" s="28"/>
      <c r="B287" s="28"/>
      <c r="C287" s="329"/>
      <c r="D287" s="299"/>
      <c r="E287" s="28"/>
      <c r="F287" s="28"/>
      <c r="G287" s="28"/>
      <c r="H287" s="28"/>
      <c r="I287" s="28"/>
      <c r="J287" s="28"/>
    </row>
    <row r="288" ht="15.75" customHeight="1">
      <c r="A288" s="28"/>
      <c r="B288" s="28"/>
      <c r="C288" s="329"/>
      <c r="D288" s="299"/>
      <c r="E288" s="28"/>
      <c r="F288" s="28"/>
      <c r="G288" s="28"/>
      <c r="H288" s="28"/>
      <c r="I288" s="28"/>
      <c r="J288" s="28"/>
    </row>
    <row r="289" ht="15.75" customHeight="1">
      <c r="A289" s="28"/>
      <c r="B289" s="28"/>
      <c r="C289" s="329"/>
      <c r="D289" s="299"/>
      <c r="E289" s="28"/>
      <c r="F289" s="28"/>
      <c r="G289" s="28"/>
      <c r="H289" s="28"/>
      <c r="I289" s="28"/>
      <c r="J289" s="28"/>
    </row>
    <row r="290" ht="15.75" customHeight="1">
      <c r="A290" s="28"/>
      <c r="B290" s="28"/>
      <c r="C290" s="329"/>
      <c r="D290" s="299"/>
      <c r="E290" s="28"/>
      <c r="F290" s="28"/>
      <c r="G290" s="28"/>
      <c r="H290" s="28"/>
      <c r="I290" s="28"/>
      <c r="J290" s="28"/>
    </row>
    <row r="291" ht="15.75" customHeight="1">
      <c r="A291" s="28"/>
      <c r="B291" s="28"/>
      <c r="C291" s="329"/>
      <c r="D291" s="299"/>
      <c r="E291" s="28"/>
      <c r="F291" s="28"/>
      <c r="G291" s="28"/>
      <c r="H291" s="28"/>
      <c r="I291" s="28"/>
      <c r="J291" s="28"/>
    </row>
    <row r="292" ht="15.75" customHeight="1">
      <c r="A292" s="28"/>
      <c r="B292" s="28"/>
      <c r="C292" s="329"/>
      <c r="D292" s="299"/>
      <c r="E292" s="28"/>
      <c r="F292" s="28"/>
      <c r="G292" s="28"/>
      <c r="H292" s="28"/>
      <c r="I292" s="28"/>
      <c r="J292" s="28"/>
    </row>
    <row r="293" ht="15.75" customHeight="1">
      <c r="A293" s="28"/>
      <c r="B293" s="28"/>
      <c r="C293" s="329"/>
      <c r="D293" s="299"/>
      <c r="E293" s="28"/>
      <c r="F293" s="28"/>
      <c r="G293" s="28"/>
      <c r="H293" s="28"/>
      <c r="I293" s="28"/>
      <c r="J293" s="28"/>
    </row>
    <row r="294" ht="15.75" customHeight="1">
      <c r="A294" s="28"/>
      <c r="B294" s="28"/>
      <c r="C294" s="329"/>
      <c r="D294" s="299"/>
      <c r="E294" s="28"/>
      <c r="F294" s="28"/>
      <c r="G294" s="28"/>
      <c r="H294" s="28"/>
      <c r="I294" s="28"/>
      <c r="J294" s="28"/>
    </row>
    <row r="295" ht="15.75" customHeight="1">
      <c r="A295" s="28"/>
      <c r="B295" s="28"/>
      <c r="C295" s="329"/>
      <c r="D295" s="299"/>
      <c r="E295" s="28"/>
      <c r="F295" s="28"/>
      <c r="G295" s="28"/>
      <c r="H295" s="28"/>
      <c r="I295" s="28"/>
      <c r="J295" s="28"/>
    </row>
    <row r="296" ht="15.75" customHeight="1">
      <c r="A296" s="28"/>
      <c r="B296" s="28"/>
      <c r="C296" s="329"/>
      <c r="D296" s="299"/>
      <c r="E296" s="28"/>
      <c r="F296" s="28"/>
      <c r="G296" s="28"/>
      <c r="H296" s="28"/>
      <c r="I296" s="28"/>
      <c r="J296" s="28"/>
    </row>
    <row r="297" ht="15.75" customHeight="1">
      <c r="A297" s="28"/>
      <c r="B297" s="28"/>
      <c r="C297" s="329"/>
      <c r="D297" s="299"/>
      <c r="E297" s="28"/>
      <c r="F297" s="28"/>
      <c r="G297" s="28"/>
      <c r="H297" s="28"/>
      <c r="I297" s="28"/>
      <c r="J297" s="28"/>
    </row>
    <row r="298" ht="15.75" customHeight="1">
      <c r="A298" s="28"/>
      <c r="B298" s="28"/>
      <c r="C298" s="329"/>
      <c r="D298" s="299"/>
      <c r="E298" s="28"/>
      <c r="F298" s="28"/>
      <c r="G298" s="28"/>
      <c r="H298" s="28"/>
      <c r="I298" s="28"/>
      <c r="J298" s="28"/>
    </row>
    <row r="299" ht="15.75" customHeight="1">
      <c r="A299" s="28"/>
      <c r="B299" s="28"/>
      <c r="C299" s="329"/>
      <c r="D299" s="299"/>
      <c r="E299" s="28"/>
      <c r="F299" s="28"/>
      <c r="G299" s="28"/>
      <c r="H299" s="28"/>
      <c r="I299" s="28"/>
      <c r="J299" s="28"/>
    </row>
    <row r="300" ht="15.75" customHeight="1">
      <c r="A300" s="28"/>
      <c r="B300" s="28"/>
      <c r="C300" s="329"/>
      <c r="D300" s="299"/>
      <c r="E300" s="28"/>
      <c r="F300" s="28"/>
      <c r="G300" s="28"/>
      <c r="H300" s="28"/>
      <c r="I300" s="28"/>
      <c r="J300" s="28"/>
    </row>
    <row r="301" ht="15.75" customHeight="1">
      <c r="A301" s="28"/>
      <c r="B301" s="28"/>
      <c r="C301" s="329"/>
      <c r="D301" s="299"/>
      <c r="E301" s="28"/>
      <c r="F301" s="28"/>
      <c r="G301" s="28"/>
      <c r="H301" s="28"/>
      <c r="I301" s="28"/>
      <c r="J301" s="28"/>
    </row>
    <row r="302" ht="15.75" customHeight="1">
      <c r="A302" s="28"/>
      <c r="B302" s="28"/>
      <c r="C302" s="329"/>
      <c r="D302" s="299"/>
      <c r="E302" s="28"/>
      <c r="F302" s="28"/>
      <c r="G302" s="28"/>
      <c r="H302" s="28"/>
      <c r="I302" s="28"/>
      <c r="J302" s="28"/>
    </row>
    <row r="303" ht="15.75" customHeight="1">
      <c r="A303" s="28"/>
      <c r="B303" s="28"/>
      <c r="C303" s="329"/>
      <c r="D303" s="299"/>
      <c r="E303" s="28"/>
      <c r="F303" s="28"/>
      <c r="G303" s="28"/>
      <c r="H303" s="28"/>
      <c r="I303" s="28"/>
      <c r="J303" s="28"/>
    </row>
    <row r="304" ht="15.75" customHeight="1">
      <c r="A304" s="28"/>
      <c r="B304" s="28"/>
      <c r="C304" s="329"/>
      <c r="D304" s="299"/>
      <c r="E304" s="28"/>
      <c r="F304" s="28"/>
      <c r="G304" s="28"/>
      <c r="H304" s="28"/>
      <c r="I304" s="28"/>
      <c r="J304" s="28"/>
    </row>
    <row r="305" ht="15.75" customHeight="1">
      <c r="A305" s="28"/>
      <c r="B305" s="28"/>
      <c r="C305" s="329"/>
      <c r="D305" s="299"/>
      <c r="E305" s="28"/>
      <c r="F305" s="28"/>
      <c r="G305" s="28"/>
      <c r="H305" s="28"/>
      <c r="I305" s="28"/>
      <c r="J305" s="28"/>
    </row>
    <row r="306" ht="15.75" customHeight="1">
      <c r="A306" s="28"/>
      <c r="B306" s="28"/>
      <c r="C306" s="329"/>
      <c r="D306" s="299"/>
      <c r="E306" s="28"/>
      <c r="F306" s="28"/>
      <c r="G306" s="28"/>
      <c r="H306" s="28"/>
      <c r="I306" s="28"/>
      <c r="J306" s="28"/>
    </row>
    <row r="307" ht="15.75" customHeight="1">
      <c r="A307" s="28"/>
      <c r="B307" s="28"/>
      <c r="C307" s="329"/>
      <c r="D307" s="299"/>
      <c r="E307" s="28"/>
      <c r="F307" s="28"/>
      <c r="G307" s="28"/>
      <c r="H307" s="28"/>
      <c r="I307" s="28"/>
      <c r="J307" s="28"/>
    </row>
    <row r="308" ht="15.75" customHeight="1">
      <c r="A308" s="28"/>
      <c r="B308" s="28"/>
      <c r="C308" s="329"/>
      <c r="D308" s="299"/>
      <c r="E308" s="28"/>
      <c r="F308" s="28"/>
      <c r="G308" s="28"/>
      <c r="H308" s="28"/>
      <c r="I308" s="28"/>
      <c r="J308" s="28"/>
    </row>
    <row r="309" ht="15.75" customHeight="1">
      <c r="A309" s="28"/>
      <c r="B309" s="28"/>
      <c r="C309" s="329"/>
      <c r="D309" s="299"/>
      <c r="E309" s="28"/>
      <c r="F309" s="28"/>
      <c r="G309" s="28"/>
      <c r="H309" s="28"/>
      <c r="I309" s="28"/>
      <c r="J309" s="28"/>
    </row>
    <row r="310" ht="15.75" customHeight="1">
      <c r="A310" s="28"/>
      <c r="B310" s="28"/>
      <c r="C310" s="329"/>
      <c r="D310" s="299"/>
      <c r="E310" s="28"/>
      <c r="F310" s="28"/>
      <c r="G310" s="28"/>
      <c r="H310" s="28"/>
      <c r="I310" s="28"/>
      <c r="J310" s="28"/>
    </row>
    <row r="311" ht="15.75" customHeight="1">
      <c r="A311" s="28"/>
      <c r="B311" s="28"/>
      <c r="C311" s="329"/>
      <c r="D311" s="299"/>
      <c r="E311" s="28"/>
      <c r="F311" s="28"/>
      <c r="G311" s="28"/>
      <c r="H311" s="28"/>
      <c r="I311" s="28"/>
      <c r="J311" s="28"/>
    </row>
    <row r="312" ht="15.75" customHeight="1">
      <c r="A312" s="28"/>
      <c r="B312" s="28"/>
      <c r="C312" s="329"/>
      <c r="D312" s="299"/>
      <c r="E312" s="28"/>
      <c r="F312" s="28"/>
      <c r="G312" s="28"/>
      <c r="H312" s="28"/>
      <c r="I312" s="28"/>
      <c r="J312" s="28"/>
    </row>
    <row r="313" ht="15.75" customHeight="1">
      <c r="A313" s="28"/>
      <c r="B313" s="28"/>
      <c r="C313" s="329"/>
      <c r="D313" s="299"/>
      <c r="E313" s="28"/>
      <c r="F313" s="28"/>
      <c r="G313" s="28"/>
      <c r="H313" s="28"/>
      <c r="I313" s="28"/>
      <c r="J313" s="28"/>
    </row>
    <row r="314" ht="15.75" customHeight="1">
      <c r="A314" s="28"/>
      <c r="B314" s="28"/>
      <c r="C314" s="329"/>
      <c r="D314" s="299"/>
      <c r="E314" s="28"/>
      <c r="F314" s="28"/>
      <c r="G314" s="28"/>
      <c r="H314" s="28"/>
      <c r="I314" s="28"/>
      <c r="J314" s="28"/>
    </row>
    <row r="315" ht="15.75" customHeight="1">
      <c r="A315" s="28"/>
      <c r="B315" s="28"/>
      <c r="C315" s="329"/>
      <c r="D315" s="299"/>
      <c r="E315" s="28"/>
      <c r="F315" s="28"/>
      <c r="G315" s="28"/>
      <c r="H315" s="28"/>
      <c r="I315" s="28"/>
      <c r="J315" s="28"/>
    </row>
    <row r="316" ht="15.75" customHeight="1">
      <c r="A316" s="28"/>
      <c r="B316" s="28"/>
      <c r="C316" s="329"/>
      <c r="D316" s="299"/>
      <c r="E316" s="28"/>
      <c r="F316" s="28"/>
      <c r="G316" s="28"/>
      <c r="H316" s="28"/>
      <c r="I316" s="28"/>
      <c r="J316" s="28"/>
    </row>
    <row r="317" ht="15.75" customHeight="1">
      <c r="A317" s="28"/>
      <c r="B317" s="28"/>
      <c r="C317" s="329"/>
      <c r="D317" s="299"/>
      <c r="E317" s="28"/>
      <c r="F317" s="28"/>
      <c r="G317" s="28"/>
      <c r="H317" s="28"/>
      <c r="I317" s="28"/>
      <c r="J317" s="28"/>
    </row>
    <row r="318" ht="15.75" customHeight="1">
      <c r="A318" s="28"/>
      <c r="B318" s="28"/>
      <c r="C318" s="329"/>
      <c r="D318" s="299"/>
      <c r="E318" s="28"/>
      <c r="F318" s="28"/>
      <c r="G318" s="28"/>
      <c r="H318" s="28"/>
      <c r="I318" s="28"/>
      <c r="J318" s="28"/>
    </row>
    <row r="319" ht="15.75" customHeight="1">
      <c r="A319" s="28"/>
      <c r="B319" s="28"/>
      <c r="C319" s="329"/>
      <c r="D319" s="299"/>
      <c r="E319" s="28"/>
      <c r="F319" s="28"/>
      <c r="G319" s="28"/>
      <c r="H319" s="28"/>
      <c r="I319" s="28"/>
      <c r="J319" s="28"/>
    </row>
    <row r="320" ht="15.75" customHeight="1">
      <c r="A320" s="28"/>
      <c r="B320" s="28"/>
      <c r="C320" s="329"/>
      <c r="D320" s="299"/>
      <c r="E320" s="28"/>
      <c r="F320" s="28"/>
      <c r="G320" s="28"/>
      <c r="H320" s="28"/>
      <c r="I320" s="28"/>
      <c r="J320" s="28"/>
    </row>
    <row r="321" ht="15.75" customHeight="1">
      <c r="A321" s="28"/>
      <c r="B321" s="28"/>
      <c r="C321" s="329"/>
      <c r="D321" s="299"/>
      <c r="E321" s="28"/>
      <c r="F321" s="28"/>
      <c r="G321" s="28"/>
      <c r="H321" s="28"/>
      <c r="I321" s="28"/>
      <c r="J321" s="28"/>
    </row>
    <row r="322" ht="15.75" customHeight="1">
      <c r="A322" s="28"/>
      <c r="B322" s="28"/>
      <c r="C322" s="329"/>
      <c r="D322" s="299"/>
      <c r="E322" s="28"/>
      <c r="F322" s="28"/>
      <c r="G322" s="28"/>
      <c r="H322" s="28"/>
      <c r="I322" s="28"/>
      <c r="J322" s="28"/>
    </row>
    <row r="323" ht="15.75" customHeight="1">
      <c r="A323" s="28"/>
      <c r="B323" s="28"/>
      <c r="C323" s="329"/>
      <c r="D323" s="299"/>
      <c r="E323" s="28"/>
      <c r="F323" s="28"/>
      <c r="G323" s="28"/>
      <c r="H323" s="28"/>
      <c r="I323" s="28"/>
      <c r="J323" s="28"/>
    </row>
    <row r="324" ht="15.75" customHeight="1">
      <c r="A324" s="28"/>
      <c r="B324" s="28"/>
      <c r="C324" s="329"/>
      <c r="D324" s="299"/>
      <c r="E324" s="28"/>
      <c r="F324" s="28"/>
      <c r="G324" s="28"/>
      <c r="H324" s="28"/>
      <c r="I324" s="28"/>
      <c r="J324" s="28"/>
    </row>
    <row r="325" ht="15.75" customHeight="1">
      <c r="A325" s="28"/>
      <c r="B325" s="28"/>
      <c r="C325" s="329"/>
      <c r="D325" s="299"/>
      <c r="E325" s="28"/>
      <c r="F325" s="28"/>
      <c r="G325" s="28"/>
      <c r="H325" s="28"/>
      <c r="I325" s="28"/>
      <c r="J325" s="28"/>
    </row>
    <row r="326" ht="15.75" customHeight="1">
      <c r="A326" s="28"/>
      <c r="B326" s="28"/>
      <c r="C326" s="329"/>
      <c r="D326" s="299"/>
      <c r="E326" s="28"/>
      <c r="F326" s="28"/>
      <c r="G326" s="28"/>
      <c r="H326" s="28"/>
      <c r="I326" s="28"/>
      <c r="J326" s="28"/>
    </row>
    <row r="327" ht="15.75" customHeight="1">
      <c r="A327" s="28"/>
      <c r="B327" s="28"/>
      <c r="C327" s="329"/>
      <c r="D327" s="299"/>
      <c r="E327" s="28"/>
      <c r="F327" s="28"/>
      <c r="G327" s="28"/>
      <c r="H327" s="28"/>
      <c r="I327" s="28"/>
      <c r="J327" s="28"/>
    </row>
    <row r="328" ht="15.75" customHeight="1">
      <c r="A328" s="28"/>
      <c r="B328" s="28"/>
      <c r="C328" s="329"/>
      <c r="D328" s="299"/>
      <c r="E328" s="28"/>
      <c r="F328" s="28"/>
      <c r="G328" s="28"/>
      <c r="H328" s="28"/>
      <c r="I328" s="28"/>
      <c r="J328" s="28"/>
    </row>
    <row r="329" ht="15.75" customHeight="1">
      <c r="A329" s="28"/>
      <c r="B329" s="28"/>
      <c r="C329" s="329"/>
      <c r="D329" s="299"/>
      <c r="E329" s="28"/>
      <c r="F329" s="28"/>
      <c r="G329" s="28"/>
      <c r="H329" s="28"/>
      <c r="I329" s="28"/>
      <c r="J329" s="28"/>
    </row>
    <row r="330" ht="15.75" customHeight="1">
      <c r="A330" s="28"/>
      <c r="B330" s="28"/>
      <c r="C330" s="329"/>
      <c r="D330" s="299"/>
      <c r="E330" s="28"/>
      <c r="F330" s="28"/>
      <c r="G330" s="28"/>
      <c r="H330" s="28"/>
      <c r="I330" s="28"/>
      <c r="J330" s="28"/>
    </row>
    <row r="331" ht="15.75" customHeight="1">
      <c r="A331" s="28"/>
      <c r="B331" s="28"/>
      <c r="C331" s="329"/>
      <c r="D331" s="299"/>
      <c r="E331" s="28"/>
      <c r="F331" s="28"/>
      <c r="G331" s="28"/>
      <c r="H331" s="28"/>
      <c r="I331" s="28"/>
      <c r="J331" s="28"/>
    </row>
    <row r="332" ht="15.75" customHeight="1">
      <c r="C332" s="331"/>
      <c r="D332" s="300"/>
    </row>
    <row r="333" ht="15.75" customHeight="1">
      <c r="C333" s="331"/>
      <c r="D333" s="300"/>
    </row>
    <row r="334" ht="15.75" customHeight="1">
      <c r="C334" s="331"/>
      <c r="D334" s="300"/>
    </row>
    <row r="335" ht="15.75" customHeight="1">
      <c r="C335" s="331"/>
      <c r="D335" s="300"/>
    </row>
    <row r="336" ht="15.75" customHeight="1">
      <c r="C336" s="331"/>
      <c r="D336" s="300"/>
    </row>
    <row r="337" ht="15.75" customHeight="1">
      <c r="C337" s="331"/>
      <c r="D337" s="300"/>
    </row>
    <row r="338" ht="15.75" customHeight="1">
      <c r="C338" s="331"/>
      <c r="D338" s="300"/>
    </row>
    <row r="339" ht="15.75" customHeight="1">
      <c r="C339" s="331"/>
      <c r="D339" s="300"/>
    </row>
    <row r="340" ht="15.75" customHeight="1">
      <c r="C340" s="331"/>
      <c r="D340" s="300"/>
    </row>
    <row r="341" ht="15.75" customHeight="1">
      <c r="C341" s="331"/>
      <c r="D341" s="300"/>
    </row>
    <row r="342" ht="15.75" customHeight="1">
      <c r="C342" s="331"/>
      <c r="D342" s="300"/>
    </row>
    <row r="343" ht="15.75" customHeight="1">
      <c r="C343" s="331"/>
      <c r="D343" s="300"/>
    </row>
    <row r="344" ht="15.75" customHeight="1">
      <c r="C344" s="331"/>
      <c r="D344" s="300"/>
    </row>
    <row r="345" ht="15.75" customHeight="1">
      <c r="C345" s="331"/>
      <c r="D345" s="300"/>
    </row>
    <row r="346" ht="15.75" customHeight="1">
      <c r="C346" s="331"/>
      <c r="D346" s="300"/>
    </row>
    <row r="347" ht="15.75" customHeight="1">
      <c r="C347" s="331"/>
      <c r="D347" s="300"/>
    </row>
    <row r="348" ht="15.75" customHeight="1">
      <c r="C348" s="331"/>
      <c r="D348" s="300"/>
    </row>
    <row r="349" ht="15.75" customHeight="1">
      <c r="C349" s="331"/>
      <c r="D349" s="300"/>
    </row>
    <row r="350" ht="15.75" customHeight="1">
      <c r="C350" s="331"/>
      <c r="D350" s="300"/>
    </row>
    <row r="351" ht="15.75" customHeight="1">
      <c r="C351" s="331"/>
      <c r="D351" s="300"/>
    </row>
    <row r="352" ht="15.75" customHeight="1">
      <c r="C352" s="331"/>
      <c r="D352" s="300"/>
    </row>
    <row r="353" ht="15.75" customHeight="1">
      <c r="C353" s="331"/>
      <c r="D353" s="300"/>
    </row>
    <row r="354" ht="15.75" customHeight="1">
      <c r="C354" s="331"/>
      <c r="D354" s="300"/>
    </row>
    <row r="355" ht="15.75" customHeight="1">
      <c r="C355" s="331"/>
      <c r="D355" s="300"/>
    </row>
    <row r="356" ht="15.75" customHeight="1">
      <c r="C356" s="331"/>
      <c r="D356" s="300"/>
    </row>
    <row r="357" ht="15.75" customHeight="1">
      <c r="C357" s="331"/>
      <c r="D357" s="300"/>
    </row>
    <row r="358" ht="15.75" customHeight="1">
      <c r="C358" s="331"/>
      <c r="D358" s="300"/>
    </row>
    <row r="359" ht="15.75" customHeight="1">
      <c r="C359" s="331"/>
      <c r="D359" s="300"/>
    </row>
    <row r="360" ht="15.75" customHeight="1">
      <c r="C360" s="331"/>
      <c r="D360" s="300"/>
    </row>
    <row r="361" ht="15.75" customHeight="1">
      <c r="C361" s="331"/>
      <c r="D361" s="300"/>
    </row>
    <row r="362" ht="15.75" customHeight="1">
      <c r="C362" s="331"/>
      <c r="D362" s="300"/>
    </row>
    <row r="363" ht="15.75" customHeight="1">
      <c r="C363" s="331"/>
      <c r="D363" s="300"/>
    </row>
    <row r="364" ht="15.75" customHeight="1">
      <c r="C364" s="331"/>
      <c r="D364" s="300"/>
    </row>
    <row r="365" ht="15.75" customHeight="1">
      <c r="C365" s="331"/>
      <c r="D365" s="300"/>
    </row>
    <row r="366" ht="15.75" customHeight="1">
      <c r="C366" s="331"/>
      <c r="D366" s="300"/>
    </row>
    <row r="367" ht="15.75" customHeight="1">
      <c r="C367" s="331"/>
      <c r="D367" s="300"/>
    </row>
    <row r="368" ht="15.75" customHeight="1">
      <c r="C368" s="331"/>
      <c r="D368" s="300"/>
    </row>
    <row r="369" ht="15.75" customHeight="1">
      <c r="C369" s="331"/>
      <c r="D369" s="300"/>
    </row>
    <row r="370" ht="15.75" customHeight="1">
      <c r="C370" s="331"/>
      <c r="D370" s="300"/>
    </row>
    <row r="371" ht="15.75" customHeight="1">
      <c r="C371" s="331"/>
      <c r="D371" s="300"/>
    </row>
    <row r="372" ht="15.75" customHeight="1">
      <c r="C372" s="331"/>
      <c r="D372" s="300"/>
    </row>
    <row r="373" ht="15.75" customHeight="1">
      <c r="C373" s="331"/>
      <c r="D373" s="300"/>
    </row>
    <row r="374" ht="15.75" customHeight="1">
      <c r="C374" s="331"/>
      <c r="D374" s="300"/>
    </row>
    <row r="375" ht="15.75" customHeight="1">
      <c r="C375" s="331"/>
      <c r="D375" s="300"/>
    </row>
    <row r="376" ht="15.75" customHeight="1">
      <c r="C376" s="331"/>
      <c r="D376" s="300"/>
    </row>
    <row r="377" ht="15.75" customHeight="1">
      <c r="C377" s="331"/>
      <c r="D377" s="300"/>
    </row>
    <row r="378" ht="15.75" customHeight="1">
      <c r="C378" s="331"/>
      <c r="D378" s="300"/>
    </row>
    <row r="379" ht="15.75" customHeight="1">
      <c r="C379" s="331"/>
      <c r="D379" s="300"/>
    </row>
    <row r="380" ht="15.75" customHeight="1">
      <c r="C380" s="331"/>
      <c r="D380" s="300"/>
    </row>
    <row r="381" ht="15.75" customHeight="1">
      <c r="C381" s="331"/>
      <c r="D381" s="300"/>
    </row>
    <row r="382" ht="15.75" customHeight="1">
      <c r="C382" s="331"/>
      <c r="D382" s="300"/>
    </row>
    <row r="383" ht="15.75" customHeight="1">
      <c r="C383" s="331"/>
      <c r="D383" s="300"/>
    </row>
    <row r="384" ht="15.75" customHeight="1">
      <c r="C384" s="331"/>
      <c r="D384" s="300"/>
    </row>
    <row r="385" ht="15.75" customHeight="1">
      <c r="C385" s="331"/>
      <c r="D385" s="300"/>
    </row>
    <row r="386" ht="15.75" customHeight="1">
      <c r="C386" s="331"/>
      <c r="D386" s="300"/>
    </row>
    <row r="387" ht="15.75" customHeight="1">
      <c r="C387" s="331"/>
      <c r="D387" s="300"/>
    </row>
    <row r="388" ht="15.75" customHeight="1">
      <c r="C388" s="331"/>
      <c r="D388" s="300"/>
    </row>
    <row r="389" ht="15.75" customHeight="1">
      <c r="C389" s="331"/>
      <c r="D389" s="300"/>
    </row>
    <row r="390" ht="15.75" customHeight="1">
      <c r="C390" s="331"/>
      <c r="D390" s="300"/>
    </row>
    <row r="391" ht="15.75" customHeight="1">
      <c r="C391" s="331"/>
      <c r="D391" s="300"/>
    </row>
    <row r="392" ht="15.75" customHeight="1">
      <c r="C392" s="331"/>
      <c r="D392" s="300"/>
    </row>
    <row r="393" ht="15.75" customHeight="1">
      <c r="C393" s="331"/>
      <c r="D393" s="300"/>
    </row>
    <row r="394" ht="15.75" customHeight="1">
      <c r="C394" s="331"/>
      <c r="D394" s="300"/>
    </row>
    <row r="395" ht="15.75" customHeight="1">
      <c r="C395" s="331"/>
      <c r="D395" s="300"/>
    </row>
    <row r="396" ht="15.75" customHeight="1">
      <c r="C396" s="331"/>
      <c r="D396" s="300"/>
    </row>
    <row r="397" ht="15.75" customHeight="1">
      <c r="C397" s="331"/>
      <c r="D397" s="300"/>
    </row>
    <row r="398" ht="15.75" customHeight="1">
      <c r="C398" s="331"/>
      <c r="D398" s="300"/>
    </row>
    <row r="399" ht="15.75" customHeight="1">
      <c r="C399" s="331"/>
      <c r="D399" s="300"/>
    </row>
    <row r="400" ht="15.75" customHeight="1">
      <c r="C400" s="331"/>
      <c r="D400" s="300"/>
    </row>
    <row r="401" ht="15.75" customHeight="1">
      <c r="C401" s="331"/>
      <c r="D401" s="300"/>
    </row>
    <row r="402" ht="15.75" customHeight="1">
      <c r="C402" s="331"/>
      <c r="D402" s="300"/>
    </row>
    <row r="403" ht="15.75" customHeight="1">
      <c r="C403" s="331"/>
      <c r="D403" s="300"/>
    </row>
    <row r="404" ht="15.75" customHeight="1">
      <c r="C404" s="331"/>
      <c r="D404" s="300"/>
    </row>
    <row r="405" ht="15.75" customHeight="1">
      <c r="C405" s="331"/>
      <c r="D405" s="300"/>
    </row>
    <row r="406" ht="15.75" customHeight="1">
      <c r="C406" s="331"/>
      <c r="D406" s="300"/>
    </row>
    <row r="407" ht="15.75" customHeight="1">
      <c r="C407" s="331"/>
      <c r="D407" s="300"/>
    </row>
    <row r="408" ht="15.75" customHeight="1">
      <c r="C408" s="331"/>
      <c r="D408" s="300"/>
    </row>
    <row r="409" ht="15.75" customHeight="1">
      <c r="C409" s="331"/>
      <c r="D409" s="300"/>
    </row>
    <row r="410" ht="15.75" customHeight="1">
      <c r="C410" s="331"/>
      <c r="D410" s="300"/>
    </row>
    <row r="411" ht="15.75" customHeight="1">
      <c r="C411" s="331"/>
      <c r="D411" s="300"/>
    </row>
    <row r="412" ht="15.75" customHeight="1">
      <c r="C412" s="331"/>
      <c r="D412" s="300"/>
    </row>
    <row r="413" ht="15.75" customHeight="1">
      <c r="C413" s="331"/>
      <c r="D413" s="300"/>
    </row>
    <row r="414" ht="15.75" customHeight="1">
      <c r="C414" s="331"/>
      <c r="D414" s="300"/>
    </row>
    <row r="415" ht="15.75" customHeight="1">
      <c r="C415" s="331"/>
      <c r="D415" s="300"/>
    </row>
    <row r="416" ht="15.75" customHeight="1">
      <c r="C416" s="331"/>
      <c r="D416" s="300"/>
    </row>
    <row r="417" ht="15.75" customHeight="1">
      <c r="C417" s="331"/>
      <c r="D417" s="300"/>
    </row>
    <row r="418" ht="15.75" customHeight="1">
      <c r="C418" s="331"/>
      <c r="D418" s="300"/>
    </row>
    <row r="419" ht="15.75" customHeight="1">
      <c r="C419" s="331"/>
      <c r="D419" s="300"/>
    </row>
    <row r="420" ht="15.75" customHeight="1">
      <c r="C420" s="331"/>
      <c r="D420" s="300"/>
    </row>
    <row r="421" ht="15.75" customHeight="1">
      <c r="C421" s="331"/>
      <c r="D421" s="300"/>
    </row>
    <row r="422" ht="15.75" customHeight="1">
      <c r="C422" s="331"/>
      <c r="D422" s="300"/>
    </row>
    <row r="423" ht="15.75" customHeight="1">
      <c r="C423" s="331"/>
      <c r="D423" s="300"/>
    </row>
    <row r="424" ht="15.75" customHeight="1">
      <c r="C424" s="331"/>
      <c r="D424" s="300"/>
    </row>
    <row r="425" ht="15.75" customHeight="1">
      <c r="C425" s="331"/>
      <c r="D425" s="300"/>
    </row>
    <row r="426" ht="15.75" customHeight="1">
      <c r="C426" s="331"/>
      <c r="D426" s="300"/>
    </row>
    <row r="427" ht="15.75" customHeight="1">
      <c r="C427" s="331"/>
      <c r="D427" s="300"/>
    </row>
    <row r="428" ht="15.75" customHeight="1">
      <c r="C428" s="331"/>
      <c r="D428" s="300"/>
    </row>
    <row r="429" ht="15.75" customHeight="1">
      <c r="C429" s="331"/>
      <c r="D429" s="300"/>
    </row>
    <row r="430" ht="15.75" customHeight="1">
      <c r="C430" s="331"/>
      <c r="D430" s="300"/>
    </row>
    <row r="431" ht="15.75" customHeight="1">
      <c r="C431" s="331"/>
      <c r="D431" s="300"/>
    </row>
    <row r="432" ht="15.75" customHeight="1">
      <c r="C432" s="331"/>
      <c r="D432" s="300"/>
    </row>
    <row r="433" ht="15.75" customHeight="1">
      <c r="C433" s="331"/>
      <c r="D433" s="300"/>
    </row>
    <row r="434" ht="15.75" customHeight="1">
      <c r="C434" s="331"/>
      <c r="D434" s="300"/>
    </row>
    <row r="435" ht="15.75" customHeight="1">
      <c r="C435" s="331"/>
      <c r="D435" s="300"/>
    </row>
    <row r="436" ht="15.75" customHeight="1">
      <c r="C436" s="331"/>
      <c r="D436" s="300"/>
    </row>
    <row r="437" ht="15.75" customHeight="1">
      <c r="C437" s="331"/>
      <c r="D437" s="300"/>
    </row>
    <row r="438" ht="15.75" customHeight="1">
      <c r="C438" s="331"/>
      <c r="D438" s="300"/>
    </row>
    <row r="439" ht="15.75" customHeight="1">
      <c r="C439" s="331"/>
      <c r="D439" s="300"/>
    </row>
    <row r="440" ht="15.75" customHeight="1">
      <c r="C440" s="331"/>
      <c r="D440" s="300"/>
    </row>
    <row r="441" ht="15.75" customHeight="1">
      <c r="C441" s="331"/>
      <c r="D441" s="300"/>
    </row>
    <row r="442" ht="15.75" customHeight="1">
      <c r="C442" s="331"/>
      <c r="D442" s="300"/>
    </row>
    <row r="443" ht="15.75" customHeight="1">
      <c r="C443" s="331"/>
      <c r="D443" s="300"/>
    </row>
    <row r="444" ht="15.75" customHeight="1">
      <c r="C444" s="331"/>
      <c r="D444" s="300"/>
    </row>
    <row r="445" ht="15.75" customHeight="1">
      <c r="C445" s="331"/>
      <c r="D445" s="300"/>
    </row>
    <row r="446" ht="15.75" customHeight="1">
      <c r="C446" s="331"/>
      <c r="D446" s="300"/>
    </row>
    <row r="447" ht="15.75" customHeight="1">
      <c r="C447" s="331"/>
      <c r="D447" s="300"/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14" width="9.75"/>
    <col customWidth="1" min="15" max="29" width="19.75"/>
  </cols>
  <sheetData>
    <row r="1" ht="15.75" hidden="1" customHeight="1">
      <c r="A1" s="75" t="s">
        <v>102</v>
      </c>
      <c r="B1" s="76">
        <v>2025.0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</row>
    <row r="2" ht="15.75" customHeight="1">
      <c r="A2" s="75"/>
      <c r="B2" s="76" t="s">
        <v>71</v>
      </c>
      <c r="C2" s="76" t="s">
        <v>72</v>
      </c>
      <c r="D2" s="76" t="s">
        <v>73</v>
      </c>
      <c r="E2" s="76" t="s">
        <v>74</v>
      </c>
      <c r="F2" s="76" t="s">
        <v>75</v>
      </c>
      <c r="G2" s="76" t="s">
        <v>76</v>
      </c>
      <c r="H2" s="76" t="s">
        <v>77</v>
      </c>
      <c r="I2" s="76" t="s">
        <v>78</v>
      </c>
      <c r="J2" s="76" t="s">
        <v>79</v>
      </c>
      <c r="K2" s="76" t="s">
        <v>80</v>
      </c>
      <c r="L2" s="76" t="s">
        <v>81</v>
      </c>
      <c r="M2" s="76" t="s">
        <v>82</v>
      </c>
      <c r="N2" s="76" t="s">
        <v>35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</row>
    <row r="3" ht="15.75" customHeight="1">
      <c r="A3" s="78" t="s">
        <v>103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</row>
    <row r="4" ht="15.75" customHeight="1">
      <c r="A4" s="82"/>
      <c r="B4" s="83">
        <v>1.0</v>
      </c>
      <c r="C4" s="83">
        <v>2.0</v>
      </c>
      <c r="D4" s="83">
        <v>3.0</v>
      </c>
      <c r="E4" s="83">
        <v>4.0</v>
      </c>
      <c r="F4" s="83">
        <v>5.0</v>
      </c>
      <c r="G4" s="83">
        <v>6.0</v>
      </c>
      <c r="H4" s="83">
        <v>7.0</v>
      </c>
      <c r="I4" s="83">
        <v>8.0</v>
      </c>
      <c r="J4" s="83">
        <v>9.0</v>
      </c>
      <c r="K4" s="83">
        <v>10.0</v>
      </c>
      <c r="L4" s="83">
        <v>11.0</v>
      </c>
      <c r="M4" s="83">
        <v>12.0</v>
      </c>
      <c r="N4" s="84" t="s">
        <v>35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</row>
    <row r="5" ht="15.75" customHeight="1">
      <c r="A5" s="85" t="s">
        <v>36</v>
      </c>
      <c r="B5" s="86" t="str">
        <f>'Monthly cash flow'!B8</f>
        <v/>
      </c>
      <c r="C5" s="86" t="str">
        <f>'Monthly cash flow'!C8</f>
        <v/>
      </c>
      <c r="D5" s="86" t="str">
        <f>'Monthly cash flow'!D8</f>
        <v/>
      </c>
      <c r="E5" s="86" t="str">
        <f>'Monthly cash flow'!E8</f>
        <v/>
      </c>
      <c r="F5" s="86">
        <f>'Receptor by pay'!F5</f>
        <v>0</v>
      </c>
      <c r="G5" s="86">
        <f>'Receptor by pay'!G5</f>
        <v>6419.64</v>
      </c>
      <c r="H5" s="86">
        <f>'Receptor by pay'!H5</f>
        <v>8072.45</v>
      </c>
      <c r="I5" s="86">
        <f>'Receptor by pay'!I5</f>
        <v>8751.41</v>
      </c>
      <c r="J5" s="86">
        <f>'Receptor by pay'!J5</f>
        <v>11805.35</v>
      </c>
      <c r="K5" s="86">
        <f>'Receptor by pay'!K5</f>
        <v>10922.64</v>
      </c>
      <c r="L5" s="86">
        <f>'Receptor by pay'!L5</f>
        <v>0</v>
      </c>
      <c r="M5" s="86">
        <f>'Receptor by pay'!M5</f>
        <v>0</v>
      </c>
      <c r="N5" s="86">
        <f t="shared" ref="N5:N6" si="1">SUM(B5:M5)</f>
        <v>45971.49</v>
      </c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</row>
    <row r="6" ht="15.75" customHeight="1">
      <c r="A6" s="85" t="s">
        <v>46</v>
      </c>
      <c r="B6" s="86" t="str">
        <f>'Monthly cash flow'!B9</f>
        <v/>
      </c>
      <c r="C6" s="86" t="str">
        <f>'Monthly cash flow'!C9</f>
        <v/>
      </c>
      <c r="D6" s="86" t="str">
        <f>'Monthly cash flow'!D9</f>
        <v/>
      </c>
      <c r="E6" s="86" t="str">
        <f>'Monthly cash flow'!E9</f>
        <v/>
      </c>
      <c r="F6" s="86">
        <f>'Receptor by pay'!F6</f>
        <v>2470.5</v>
      </c>
      <c r="G6" s="86">
        <f>'Receptor by pay'!G6</f>
        <v>5610</v>
      </c>
      <c r="H6" s="86">
        <f>'Receptor by pay'!H6</f>
        <v>7634.7</v>
      </c>
      <c r="I6" s="86">
        <f>'Receptor by pay'!I6</f>
        <v>8780.5</v>
      </c>
      <c r="J6" s="86">
        <f>'Receptor by pay'!J6</f>
        <v>5962.2</v>
      </c>
      <c r="K6" s="86">
        <f>'Receptor by pay'!K6</f>
        <v>0</v>
      </c>
      <c r="L6" s="86">
        <f>'Receptor by pay'!L6</f>
        <v>0</v>
      </c>
      <c r="M6" s="86">
        <f>'Receptor by pay'!M6</f>
        <v>0</v>
      </c>
      <c r="N6" s="86">
        <f t="shared" si="1"/>
        <v>30457.9</v>
      </c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</row>
    <row r="7" ht="15.75" customHeight="1">
      <c r="A7" s="85" t="s">
        <v>51</v>
      </c>
      <c r="B7" s="86"/>
      <c r="C7" s="86"/>
      <c r="D7" s="86"/>
      <c r="E7" s="86"/>
      <c r="F7" s="86">
        <f>'Receptor by pay'!F7</f>
        <v>4244.358881</v>
      </c>
      <c r="G7" s="86">
        <f>'Receptor by pay'!G7</f>
        <v>7211.42</v>
      </c>
      <c r="H7" s="86">
        <f>'Receptor by pay'!H7</f>
        <v>5127.72</v>
      </c>
      <c r="I7" s="86">
        <f>'Receptor by pay'!I7</f>
        <v>7285.24</v>
      </c>
      <c r="J7" s="86">
        <f>'Receptor by pay'!J7</f>
        <v>4363.53</v>
      </c>
      <c r="K7" s="86">
        <f>'Receptor by pay'!K7</f>
        <v>0</v>
      </c>
      <c r="L7" s="86">
        <f>'Receptor by pay'!L7</f>
        <v>0</v>
      </c>
      <c r="M7" s="86">
        <f>'Receptor by pay'!M7</f>
        <v>0</v>
      </c>
      <c r="N7" s="86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ht="15.75" customHeight="1">
      <c r="A8" s="85" t="s">
        <v>55</v>
      </c>
      <c r="B8" s="86" t="str">
        <f>'Monthly cash flow'!B10</f>
        <v/>
      </c>
      <c r="C8" s="86" t="str">
        <f>'Monthly cash flow'!C10</f>
        <v/>
      </c>
      <c r="D8" s="86" t="str">
        <f>'Monthly cash flow'!D10</f>
        <v/>
      </c>
      <c r="E8" s="86" t="str">
        <f>'Monthly cash flow'!E10</f>
        <v/>
      </c>
      <c r="F8" s="86">
        <f>'Receptor by pay'!F8</f>
        <v>0</v>
      </c>
      <c r="G8" s="86">
        <f>'Receptor by pay'!G8</f>
        <v>450</v>
      </c>
      <c r="H8" s="86">
        <f>'Receptor by pay'!H8</f>
        <v>257.76</v>
      </c>
      <c r="I8" s="86">
        <f>'Receptor by pay'!I8</f>
        <v>42.53</v>
      </c>
      <c r="J8" s="86">
        <f>'Receptor by pay'!J8</f>
        <v>57.94</v>
      </c>
      <c r="K8" s="86" t="str">
        <f>'Receptor by pay'!K8</f>
        <v/>
      </c>
      <c r="L8" s="86" t="str">
        <f>'Receptor by pay'!L8</f>
        <v/>
      </c>
      <c r="M8" s="86" t="str">
        <f>'Receptor by pay'!M8</f>
        <v/>
      </c>
      <c r="N8" s="86">
        <f t="shared" ref="N8:N14" si="2">SUM(B8:M8)</f>
        <v>808.23</v>
      </c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ht="15.75" hidden="1" customHeight="1">
      <c r="A9" s="85" t="s">
        <v>56</v>
      </c>
      <c r="B9" s="86" t="str">
        <f>'Monthly cash flow'!B11</f>
        <v/>
      </c>
      <c r="C9" s="86" t="str">
        <f>'Monthly cash flow'!C11</f>
        <v/>
      </c>
      <c r="D9" s="86" t="str">
        <f>'Monthly cash flow'!D11</f>
        <v/>
      </c>
      <c r="E9" s="86" t="str">
        <f>'Monthly cash flow'!E11</f>
        <v/>
      </c>
      <c r="F9" s="86">
        <f>'Receptor by pay'!F9</f>
        <v>6714.858881</v>
      </c>
      <c r="G9" s="86">
        <f>'Receptor by pay'!G9</f>
        <v>19691.06</v>
      </c>
      <c r="H9" s="86">
        <f>'Receptor by pay'!H9</f>
        <v>21092.63</v>
      </c>
      <c r="I9" s="86">
        <f>'Receptor by pay'!I9</f>
        <v>24859.68</v>
      </c>
      <c r="J9" s="86">
        <f>'Receptor by pay'!J9</f>
        <v>22189.02</v>
      </c>
      <c r="K9" s="86">
        <f>'Receptor by pay'!K9</f>
        <v>10922.64</v>
      </c>
      <c r="L9" s="86">
        <f>'Receptor by pay'!L9</f>
        <v>0</v>
      </c>
      <c r="M9" s="86">
        <f>'Receptor by pay'!M9</f>
        <v>0</v>
      </c>
      <c r="N9" s="86">
        <f t="shared" si="2"/>
        <v>105469.8889</v>
      </c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</row>
    <row r="10" ht="15.75" customHeight="1">
      <c r="A10" s="85" t="s">
        <v>57</v>
      </c>
      <c r="B10" s="86" t="str">
        <f>'Monthly cash flow'!B12</f>
        <v/>
      </c>
      <c r="C10" s="86" t="str">
        <f>'Monthly cash flow'!C12</f>
        <v/>
      </c>
      <c r="D10" s="86" t="str">
        <f>'Monthly cash flow'!D12</f>
        <v/>
      </c>
      <c r="E10" s="86" t="str">
        <f>'Monthly cash flow'!E12</f>
        <v/>
      </c>
      <c r="F10" s="86">
        <f>'Receptor by pay'!F10</f>
        <v>0</v>
      </c>
      <c r="G10" s="86">
        <f>'Receptor by pay'!G10</f>
        <v>32</v>
      </c>
      <c r="H10" s="86">
        <f>'Receptor by pay'!H10</f>
        <v>0</v>
      </c>
      <c r="I10" s="86">
        <f>'Receptor by pay'!I10</f>
        <v>0</v>
      </c>
      <c r="J10" s="86" t="str">
        <f>'Receptor by pay'!J10</f>
        <v/>
      </c>
      <c r="K10" s="86" t="str">
        <f>'Receptor by pay'!K10</f>
        <v/>
      </c>
      <c r="L10" s="86" t="str">
        <f>'Receptor by pay'!L10</f>
        <v/>
      </c>
      <c r="M10" s="86" t="str">
        <f>'Receptor by pay'!M10</f>
        <v/>
      </c>
      <c r="N10" s="86">
        <f t="shared" si="2"/>
        <v>32</v>
      </c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 ht="15.75" customHeight="1">
      <c r="A11" s="85" t="s">
        <v>58</v>
      </c>
      <c r="B11" s="86" t="str">
        <f>'Monthly cash flow'!B13</f>
        <v/>
      </c>
      <c r="C11" s="86" t="str">
        <f>'Monthly cash flow'!C13</f>
        <v/>
      </c>
      <c r="D11" s="86" t="str">
        <f>'Monthly cash flow'!D13</f>
        <v/>
      </c>
      <c r="E11" s="86" t="str">
        <f>'Monthly cash flow'!E13</f>
        <v/>
      </c>
      <c r="F11" s="86">
        <f>'Receptor by pay'!F11</f>
        <v>0</v>
      </c>
      <c r="G11" s="86">
        <f>'Receptor by pay'!G11</f>
        <v>214.5</v>
      </c>
      <c r="H11" s="86">
        <f>'Receptor by pay'!H11</f>
        <v>220</v>
      </c>
      <c r="I11" s="86">
        <f>'Receptor by pay'!I11</f>
        <v>0</v>
      </c>
      <c r="J11" s="86">
        <f>'Receptor by pay'!J11</f>
        <v>0</v>
      </c>
      <c r="K11" s="86">
        <f>'Receptor by pay'!K11</f>
        <v>0</v>
      </c>
      <c r="L11" s="86">
        <f>'Receptor by pay'!L11</f>
        <v>0</v>
      </c>
      <c r="M11" s="86">
        <f>'Receptor by pay'!M11</f>
        <v>0</v>
      </c>
      <c r="N11" s="86">
        <f t="shared" si="2"/>
        <v>434.5</v>
      </c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</row>
    <row r="12" ht="15.75" customHeight="1">
      <c r="A12" s="85" t="s">
        <v>58</v>
      </c>
      <c r="B12" s="86"/>
      <c r="C12" s="86"/>
      <c r="D12" s="86"/>
      <c r="E12" s="86"/>
      <c r="F12" s="86">
        <f>'Receptor by pay'!F12</f>
        <v>1331</v>
      </c>
      <c r="G12" s="86">
        <f>'Receptor by pay'!G12</f>
        <v>2027</v>
      </c>
      <c r="H12" s="86">
        <f>'Receptor by pay'!H12</f>
        <v>2825</v>
      </c>
      <c r="I12" s="86">
        <f>'Receptor by pay'!I12</f>
        <v>5989.66</v>
      </c>
      <c r="J12" s="86">
        <f>'Receptor by pay'!J12</f>
        <v>2117.99</v>
      </c>
      <c r="K12" s="86">
        <f>'Receptor by pay'!K12</f>
        <v>0</v>
      </c>
      <c r="L12" s="86">
        <f>'Receptor by pay'!L12</f>
        <v>0</v>
      </c>
      <c r="M12" s="86">
        <f>'Receptor by pay'!M12</f>
        <v>0</v>
      </c>
      <c r="N12" s="86">
        <f t="shared" si="2"/>
        <v>14290.65</v>
      </c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</row>
    <row r="13" ht="15.75" hidden="1" customHeight="1">
      <c r="A13" s="85" t="s">
        <v>59</v>
      </c>
      <c r="B13" s="86"/>
      <c r="C13" s="86"/>
      <c r="D13" s="86"/>
      <c r="E13" s="86"/>
      <c r="F13" s="86">
        <f>'Receptor by pay'!F14</f>
        <v>1331</v>
      </c>
      <c r="G13" s="86">
        <f>'Receptor by pay'!G14</f>
        <v>2273.5</v>
      </c>
      <c r="H13" s="86">
        <f>'Receptor by pay'!H14</f>
        <v>3045</v>
      </c>
      <c r="I13" s="86">
        <f>'Receptor by pay'!I14</f>
        <v>5989.66</v>
      </c>
      <c r="J13" s="86">
        <f>'Receptor by pay'!J14</f>
        <v>2117.99</v>
      </c>
      <c r="K13" s="86">
        <f>'Receptor by pay'!K14</f>
        <v>0</v>
      </c>
      <c r="L13" s="86">
        <f>'Receptor by pay'!L14</f>
        <v>0</v>
      </c>
      <c r="M13" s="86">
        <f>'Receptor by pay'!M14</f>
        <v>0</v>
      </c>
      <c r="N13" s="86">
        <f t="shared" si="2"/>
        <v>14757.15</v>
      </c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</row>
    <row r="14" ht="15.75" customHeight="1">
      <c r="A14" s="85" t="s">
        <v>61</v>
      </c>
      <c r="B14" s="86"/>
      <c r="C14" s="86"/>
      <c r="D14" s="86"/>
      <c r="E14" s="86"/>
      <c r="F14" s="86">
        <f>'Receptor by pay'!F16</f>
        <v>260</v>
      </c>
      <c r="G14" s="86">
        <f>'Receptor by pay'!G16</f>
        <v>1094</v>
      </c>
      <c r="H14" s="86">
        <f>'Receptor by pay'!H16</f>
        <v>1156</v>
      </c>
      <c r="I14" s="86">
        <f>'Receptor by pay'!I16</f>
        <v>1176</v>
      </c>
      <c r="J14" s="86">
        <f>'Receptor by pay'!J16</f>
        <v>1142</v>
      </c>
      <c r="K14" s="86">
        <f>'Receptor by pay'!K16</f>
        <v>626</v>
      </c>
      <c r="L14" s="86">
        <f>'Receptor by pay'!L16</f>
        <v>0</v>
      </c>
      <c r="M14" s="86">
        <f>'Receptor by pay'!M16</f>
        <v>0</v>
      </c>
      <c r="N14" s="86">
        <f t="shared" si="2"/>
        <v>5454</v>
      </c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</row>
    <row r="15" ht="15.75" customHeight="1">
      <c r="A15" s="85" t="s">
        <v>62</v>
      </c>
      <c r="B15" s="91">
        <f t="shared" ref="B15:N15" si="3">B9+B13+B14</f>
        <v>0</v>
      </c>
      <c r="C15" s="91">
        <f t="shared" si="3"/>
        <v>0</v>
      </c>
      <c r="D15" s="91">
        <f t="shared" si="3"/>
        <v>0</v>
      </c>
      <c r="E15" s="91">
        <f t="shared" si="3"/>
        <v>0</v>
      </c>
      <c r="F15" s="91">
        <f t="shared" si="3"/>
        <v>8305.858881</v>
      </c>
      <c r="G15" s="91">
        <f t="shared" si="3"/>
        <v>23058.56</v>
      </c>
      <c r="H15" s="91">
        <f t="shared" si="3"/>
        <v>25293.63</v>
      </c>
      <c r="I15" s="91">
        <f t="shared" si="3"/>
        <v>32025.34</v>
      </c>
      <c r="J15" s="91">
        <f t="shared" si="3"/>
        <v>25449.01</v>
      </c>
      <c r="K15" s="91">
        <f t="shared" si="3"/>
        <v>11548.64</v>
      </c>
      <c r="L15" s="91">
        <f t="shared" si="3"/>
        <v>0</v>
      </c>
      <c r="M15" s="91">
        <f t="shared" si="3"/>
        <v>0</v>
      </c>
      <c r="N15" s="91">
        <f t="shared" si="3"/>
        <v>125681.0389</v>
      </c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</row>
    <row r="16" ht="15.75" customHeight="1">
      <c r="A16" s="92" t="s">
        <v>108</v>
      </c>
      <c r="B16" s="93">
        <f>'Analysis OUT by pay'!E239</f>
        <v>0</v>
      </c>
      <c r="C16" s="93">
        <f>'Analysis OUT by pay'!F239</f>
        <v>0</v>
      </c>
      <c r="D16" s="93">
        <f>'Analysis OUT by pay'!G239</f>
        <v>0</v>
      </c>
      <c r="E16" s="93">
        <f>'Analysis OUT by pay'!H239</f>
        <v>0</v>
      </c>
      <c r="F16" s="93">
        <f>'Analysis OUT by pay'!I239</f>
        <v>0</v>
      </c>
      <c r="G16" s="93">
        <f>'Analysis OUT by pay'!J239</f>
        <v>183.66</v>
      </c>
      <c r="H16" s="93">
        <f>'Analysis OUT by pay'!K239</f>
        <v>0</v>
      </c>
      <c r="I16" s="93">
        <f>'Analysis OUT by pay'!L239</f>
        <v>0</v>
      </c>
      <c r="J16" s="93">
        <f>'Analysis OUT by pay'!M239</f>
        <v>8</v>
      </c>
      <c r="K16" s="93">
        <f>'Analysis OUT by pay'!N239</f>
        <v>0</v>
      </c>
      <c r="L16" s="93">
        <f>'Analysis OUT by pay'!O239</f>
        <v>0</v>
      </c>
      <c r="M16" s="93">
        <f>'Analysis OUT by pay'!P239</f>
        <v>0</v>
      </c>
      <c r="N16" s="86">
        <f t="shared" ref="N16:N17" si="4">SUM(B16:M16)</f>
        <v>191.66</v>
      </c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</row>
    <row r="17" ht="15.75" customHeight="1">
      <c r="A17" s="85" t="s">
        <v>110</v>
      </c>
      <c r="B17" s="86">
        <f>'Monthly cash flow'!B29+'Monthly cash flow'!B46+'Monthly cash flow'!B60+'Monthly cash flow'!B7</f>
        <v>0</v>
      </c>
      <c r="C17" s="86">
        <f>'Monthly cash flow'!C29+'Monthly cash flow'!C46+'Monthly cash flow'!C60+'Monthly cash flow'!C7</f>
        <v>0</v>
      </c>
      <c r="D17" s="86">
        <f>'Monthly cash flow'!D29+'Monthly cash flow'!D46+'Monthly cash flow'!D60+'Monthly cash flow'!D7</f>
        <v>0</v>
      </c>
      <c r="E17" s="86">
        <f>'Monthly cash flow'!E29+'Monthly cash flow'!E46+'Monthly cash flow'!E60+'Monthly cash flow'!E7</f>
        <v>0</v>
      </c>
      <c r="F17" s="86">
        <f>'Monthly cash flow'!F29+'Monthly cash flow'!F46+'Monthly cash flow'!F60+'Monthly cash flow'!F7</f>
        <v>1037</v>
      </c>
      <c r="G17" s="86">
        <f>'Monthly cash flow'!G29+'Monthly cash flow'!G46+'Monthly cash flow'!G60+'Monthly cash flow'!G7</f>
        <v>1226.15</v>
      </c>
      <c r="H17" s="86">
        <f>'Monthly cash flow'!H29+'Monthly cash flow'!H46+'Monthly cash flow'!H60+'Monthly cash flow'!H7</f>
        <v>789.8</v>
      </c>
      <c r="I17" s="86">
        <f>'Monthly cash flow'!I29+'Monthly cash flow'!I46+'Monthly cash flow'!I60+'Monthly cash flow'!I7</f>
        <v>2025.4</v>
      </c>
      <c r="J17" s="86">
        <f>'Monthly cash flow'!J29+'Monthly cash flow'!J46+'Monthly cash flow'!J60+'Monthly cash flow'!J7</f>
        <v>1446.7</v>
      </c>
      <c r="K17" s="86">
        <f>'Monthly cash flow'!K29+'Monthly cash flow'!K46+'Monthly cash flow'!K60+'Monthly cash flow'!K7</f>
        <v>0</v>
      </c>
      <c r="L17" s="86">
        <f>'Monthly cash flow'!L29+'Monthly cash flow'!L46+'Monthly cash flow'!L60+'Monthly cash flow'!L7</f>
        <v>0</v>
      </c>
      <c r="M17" s="86">
        <f>'Monthly cash flow'!M29+'Monthly cash flow'!M46+'Monthly cash flow'!M60+'Monthly cash flow'!M7</f>
        <v>0</v>
      </c>
      <c r="N17" s="86">
        <f t="shared" si="4"/>
        <v>6525.05</v>
      </c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</row>
    <row r="18" ht="15.75" customHeight="1">
      <c r="A18" s="95" t="s">
        <v>112</v>
      </c>
      <c r="B18" s="96">
        <f t="shared" ref="B18:N18" si="5">B15-B16+B17</f>
        <v>0</v>
      </c>
      <c r="C18" s="96">
        <f t="shared" si="5"/>
        <v>0</v>
      </c>
      <c r="D18" s="96">
        <f t="shared" si="5"/>
        <v>0</v>
      </c>
      <c r="E18" s="96">
        <f t="shared" si="5"/>
        <v>0</v>
      </c>
      <c r="F18" s="96">
        <f t="shared" si="5"/>
        <v>9342.858881</v>
      </c>
      <c r="G18" s="96">
        <f t="shared" si="5"/>
        <v>24101.05</v>
      </c>
      <c r="H18" s="96">
        <f t="shared" si="5"/>
        <v>26083.43</v>
      </c>
      <c r="I18" s="96">
        <f t="shared" si="5"/>
        <v>34050.74</v>
      </c>
      <c r="J18" s="96">
        <f t="shared" si="5"/>
        <v>26887.71</v>
      </c>
      <c r="K18" s="96">
        <f t="shared" si="5"/>
        <v>11548.64</v>
      </c>
      <c r="L18" s="96">
        <f t="shared" si="5"/>
        <v>0</v>
      </c>
      <c r="M18" s="96">
        <f t="shared" si="5"/>
        <v>0</v>
      </c>
      <c r="N18" s="96">
        <f t="shared" si="5"/>
        <v>132014.4289</v>
      </c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</row>
    <row r="19" ht="15.75" customHeight="1">
      <c r="A19" s="98" t="s">
        <v>113</v>
      </c>
      <c r="B19" s="99">
        <f>'Final Result'!B18</f>
        <v>0</v>
      </c>
      <c r="C19" s="99">
        <f>'Final Result'!C18</f>
        <v>0</v>
      </c>
      <c r="D19" s="99">
        <f>'Final Result'!D18</f>
        <v>0</v>
      </c>
      <c r="E19" s="99">
        <f>'Final Result'!E18</f>
        <v>0</v>
      </c>
      <c r="F19" s="99">
        <f>'Final Result'!F18</f>
        <v>17515.70888</v>
      </c>
      <c r="G19" s="99">
        <f>'Final Result'!G18</f>
        <v>25723.1</v>
      </c>
      <c r="H19" s="99">
        <f>'Final Result'!H18</f>
        <v>27733.64</v>
      </c>
      <c r="I19" s="99">
        <f>'Final Result'!I18</f>
        <v>35941.15</v>
      </c>
      <c r="J19" s="99">
        <f>'Final Result'!J18</f>
        <v>25100.83</v>
      </c>
      <c r="K19" s="99">
        <f>'Final Result'!K18</f>
        <v>0</v>
      </c>
      <c r="L19" s="99">
        <f>'Final Result'!L18</f>
        <v>0</v>
      </c>
      <c r="M19" s="99">
        <f>'Final Result'!M18</f>
        <v>0</v>
      </c>
      <c r="N19" s="99">
        <f>'Final Result'!N18</f>
        <v>132014.4289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</row>
    <row r="20" ht="15.75" customHeight="1">
      <c r="A20" s="100" t="s">
        <v>88</v>
      </c>
      <c r="B20" s="101">
        <f t="shared" ref="B20:N20" si="6">B18-B19</f>
        <v>0</v>
      </c>
      <c r="C20" s="101">
        <f t="shared" si="6"/>
        <v>0</v>
      </c>
      <c r="D20" s="101">
        <f t="shared" si="6"/>
        <v>0</v>
      </c>
      <c r="E20" s="101">
        <f t="shared" si="6"/>
        <v>0</v>
      </c>
      <c r="F20" s="101">
        <f t="shared" si="6"/>
        <v>-8172.85</v>
      </c>
      <c r="G20" s="101">
        <f t="shared" si="6"/>
        <v>-1622.05</v>
      </c>
      <c r="H20" s="101">
        <f t="shared" si="6"/>
        <v>-1650.21</v>
      </c>
      <c r="I20" s="101">
        <f t="shared" si="6"/>
        <v>-1890.41</v>
      </c>
      <c r="J20" s="101">
        <f t="shared" si="6"/>
        <v>1786.88</v>
      </c>
      <c r="K20" s="101">
        <f t="shared" si="6"/>
        <v>11548.64</v>
      </c>
      <c r="L20" s="101">
        <f t="shared" si="6"/>
        <v>0</v>
      </c>
      <c r="M20" s="101">
        <f t="shared" si="6"/>
        <v>0</v>
      </c>
      <c r="N20" s="101">
        <f t="shared" si="6"/>
        <v>0</v>
      </c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</row>
    <row r="21" ht="15.75" customHeight="1">
      <c r="A21" s="102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4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</row>
    <row r="22" ht="15.75" customHeight="1">
      <c r="A22" s="105" t="s">
        <v>115</v>
      </c>
      <c r="B22" s="106">
        <f>'Analysis OUT by pay'!E137</f>
        <v>1550.8</v>
      </c>
      <c r="C22" s="106">
        <f>'Analysis OUT by pay'!F137</f>
        <v>942.43</v>
      </c>
      <c r="D22" s="106">
        <f>'Analysis OUT by pay'!G137</f>
        <v>825.3</v>
      </c>
      <c r="E22" s="106">
        <f>'Analysis OUT by pay'!H137</f>
        <v>2259.88</v>
      </c>
      <c r="F22" s="106">
        <f>'Analysis OUT by pay'!I137</f>
        <v>5285.08</v>
      </c>
      <c r="G22" s="106">
        <f>'Analysis OUT by pay'!J137</f>
        <v>13305.5</v>
      </c>
      <c r="H22" s="106">
        <f>'Analysis OUT by pay'!K137</f>
        <v>14217</v>
      </c>
      <c r="I22" s="106">
        <f>'Analysis OUT by pay'!L137</f>
        <v>17912.12</v>
      </c>
      <c r="J22" s="106">
        <f>'Analysis OUT by pay'!M137</f>
        <v>7271.47</v>
      </c>
      <c r="K22" s="106">
        <f>'Analysis OUT by pay'!N137</f>
        <v>7693.05</v>
      </c>
      <c r="L22" s="106">
        <f>'Analysis OUT by pay'!O137</f>
        <v>0</v>
      </c>
      <c r="M22" s="106">
        <f>'Analysis OUT by pay'!P137</f>
        <v>0</v>
      </c>
      <c r="N22" s="106">
        <f t="shared" ref="N22:N23" si="7">SUM(B22:M22)</f>
        <v>71262.63</v>
      </c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</row>
    <row r="23" ht="24.0" customHeight="1">
      <c r="A23" s="108" t="s">
        <v>116</v>
      </c>
      <c r="B23" s="106">
        <f>'Analysis OUT by pay'!E221+'Analysis OUT by pay'!E219+'Analysis OUT by pay'!E215+'Analysis OUT by pay'!E198+'Analysis OUT by pay'!E187+'Analysis OUT by pay'!E178+'Analysis OUT by pay'!E176+'Analysis OUT by pay'!E174+'Analysis OUT by pay'!E167+'Analysis OUT by pay'!E162+'Analysis OUT by pay'!E157+'Analysis OUT by pay'!E144</f>
        <v>0</v>
      </c>
      <c r="C23" s="106">
        <f>'Analysis OUT by pay'!F221+'Analysis OUT by pay'!F219+'Analysis OUT by pay'!F215+'Analysis OUT by pay'!F198+'Analysis OUT by pay'!F187+'Analysis OUT by pay'!F178+'Analysis OUT by pay'!F176+'Analysis OUT by pay'!F174+'Analysis OUT by pay'!F167+'Analysis OUT by pay'!F162+'Analysis OUT by pay'!F157+'Analysis OUT by pay'!F144</f>
        <v>0</v>
      </c>
      <c r="D23" s="106">
        <f>'Analysis OUT by pay'!G221+'Analysis OUT by pay'!G219+'Analysis OUT by pay'!G215+'Analysis OUT by pay'!G198+'Analysis OUT by pay'!G187+'Analysis OUT by pay'!G178+'Analysis OUT by pay'!G176+'Analysis OUT by pay'!G174+'Analysis OUT by pay'!G167+'Analysis OUT by pay'!G162+'Analysis OUT by pay'!G157+'Analysis OUT by pay'!G144</f>
        <v>0</v>
      </c>
      <c r="E23" s="106">
        <f>'Analysis OUT by pay'!H221+'Analysis OUT by pay'!H219+'Analysis OUT by pay'!H215+'Analysis OUT by pay'!H198+'Analysis OUT by pay'!H187+'Analysis OUT by pay'!H178+'Analysis OUT by pay'!H176+'Analysis OUT by pay'!H174+'Analysis OUT by pay'!H167+'Analysis OUT by pay'!H162+'Analysis OUT by pay'!H157+'Analysis OUT by pay'!H144</f>
        <v>206.89</v>
      </c>
      <c r="F23" s="106">
        <f>'Analysis OUT by pay'!I221+'Analysis OUT by pay'!I219+'Analysis OUT by pay'!I215+'Analysis OUT by pay'!I198+'Analysis OUT by pay'!I187+'Analysis OUT by pay'!I178+'Analysis OUT by pay'!I176+'Analysis OUT by pay'!I174+'Analysis OUT by pay'!I167+'Analysis OUT by pay'!I162+'Analysis OUT by pay'!I157+'Analysis OUT by pay'!I144</f>
        <v>513.94</v>
      </c>
      <c r="G23" s="106">
        <f>'Analysis OUT by pay'!J221+'Analysis OUT by pay'!J219+'Analysis OUT by pay'!J215+'Analysis OUT by pay'!J198+'Analysis OUT by pay'!J187+'Analysis OUT by pay'!J178+'Analysis OUT by pay'!J176+'Analysis OUT by pay'!J174+'Analysis OUT by pay'!J167+'Analysis OUT by pay'!J162+'Analysis OUT by pay'!J157+'Analysis OUT by pay'!J144</f>
        <v>179.47</v>
      </c>
      <c r="H23" s="106">
        <f>'Analysis OUT by pay'!K221+'Analysis OUT by pay'!K219+'Analysis OUT by pay'!K215+'Analysis OUT by pay'!K198+'Analysis OUT by pay'!K187+'Analysis OUT by pay'!K178+'Analysis OUT by pay'!K176+'Analysis OUT by pay'!K174+'Analysis OUT by pay'!K167+'Analysis OUT by pay'!K162+'Analysis OUT by pay'!K157+'Analysis OUT by pay'!K144</f>
        <v>260.97</v>
      </c>
      <c r="I23" s="106">
        <f>'Analysis OUT by pay'!L221+'Analysis OUT by pay'!L219+'Analysis OUT by pay'!L215+'Analysis OUT by pay'!L198+'Analysis OUT by pay'!L187+'Analysis OUT by pay'!L178+'Analysis OUT by pay'!L176+'Analysis OUT by pay'!L174+'Analysis OUT by pay'!L167+'Analysis OUT by pay'!L162+'Analysis OUT by pay'!L157+'Analysis OUT by pay'!L144</f>
        <v>256.74</v>
      </c>
      <c r="J23" s="106">
        <f>'Analysis OUT by pay'!M221+'Analysis OUT by pay'!M219+'Analysis OUT by pay'!M215+'Analysis OUT by pay'!M198+'Analysis OUT by pay'!M187+'Analysis OUT by pay'!M178+'Analysis OUT by pay'!M176+'Analysis OUT by pay'!M174+'Analysis OUT by pay'!M167+'Analysis OUT by pay'!M162+'Analysis OUT by pay'!M157+'Analysis OUT by pay'!M144</f>
        <v>169.9</v>
      </c>
      <c r="K23" s="106">
        <f>'Analysis OUT by pay'!N221+'Analysis OUT by pay'!N219+'Analysis OUT by pay'!N215+'Analysis OUT by pay'!N198+'Analysis OUT by pay'!N187+'Analysis OUT by pay'!N178+'Analysis OUT by pay'!N176+'Analysis OUT by pay'!N174+'Analysis OUT by pay'!N167+'Analysis OUT by pay'!N162+'Analysis OUT by pay'!N157+'Analysis OUT by pay'!N144</f>
        <v>0</v>
      </c>
      <c r="L23" s="106">
        <f>'Analysis OUT by pay'!O221+'Analysis OUT by pay'!O219+'Analysis OUT by pay'!O215+'Analysis OUT by pay'!O198+'Analysis OUT by pay'!O187+'Analysis OUT by pay'!O178+'Analysis OUT by pay'!O176+'Analysis OUT by pay'!O174+'Analysis OUT by pay'!O167+'Analysis OUT by pay'!O162+'Analysis OUT by pay'!O157+'Analysis OUT by pay'!O144</f>
        <v>0</v>
      </c>
      <c r="M23" s="106">
        <f>'Analysis OUT by pay'!P221+'Analysis OUT by pay'!P219+'Analysis OUT by pay'!P215+'Analysis OUT by pay'!P198+'Analysis OUT by pay'!P187+'Analysis OUT by pay'!P178+'Analysis OUT by pay'!P176+'Analysis OUT by pay'!P174+'Analysis OUT by pay'!P167+'Analysis OUT by pay'!P162+'Analysis OUT by pay'!P157+'Analysis OUT by pay'!P144</f>
        <v>0</v>
      </c>
      <c r="N23" s="106">
        <f t="shared" si="7"/>
        <v>1587.91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</row>
    <row r="24" ht="15.75" customHeight="1">
      <c r="A24" s="110"/>
      <c r="B24" s="111"/>
      <c r="C24" s="111"/>
      <c r="D24" s="111"/>
      <c r="E24" s="111"/>
      <c r="F24" s="112"/>
      <c r="G24" s="112"/>
      <c r="H24" s="111"/>
      <c r="I24" s="111"/>
      <c r="J24" s="111"/>
      <c r="K24" s="111"/>
      <c r="L24" s="111"/>
      <c r="M24" s="111"/>
      <c r="N24" s="113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</row>
    <row r="25" ht="15.75" customHeight="1">
      <c r="A25" s="114" t="s">
        <v>119</v>
      </c>
      <c r="B25" s="115">
        <f t="shared" ref="B25:M25" si="8">B18-B22-B23</f>
        <v>-1550.8</v>
      </c>
      <c r="C25" s="115">
        <f t="shared" si="8"/>
        <v>-942.43</v>
      </c>
      <c r="D25" s="115">
        <f t="shared" si="8"/>
        <v>-825.3</v>
      </c>
      <c r="E25" s="115">
        <f t="shared" si="8"/>
        <v>-2466.77</v>
      </c>
      <c r="F25" s="115">
        <f t="shared" si="8"/>
        <v>3543.838881</v>
      </c>
      <c r="G25" s="115">
        <f t="shared" si="8"/>
        <v>10616.08</v>
      </c>
      <c r="H25" s="115">
        <f t="shared" si="8"/>
        <v>11605.46</v>
      </c>
      <c r="I25" s="115">
        <f t="shared" si="8"/>
        <v>15881.88</v>
      </c>
      <c r="J25" s="115">
        <f t="shared" si="8"/>
        <v>19446.34</v>
      </c>
      <c r="K25" s="115">
        <f t="shared" si="8"/>
        <v>3855.59</v>
      </c>
      <c r="L25" s="115">
        <f t="shared" si="8"/>
        <v>0</v>
      </c>
      <c r="M25" s="115">
        <f t="shared" si="8"/>
        <v>0</v>
      </c>
      <c r="N25" s="91">
        <f>SUM(B25:M25)</f>
        <v>59163.88888</v>
      </c>
      <c r="O25" s="11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</row>
    <row r="26" ht="15.75" customHeight="1">
      <c r="A26" s="110" t="s">
        <v>120</v>
      </c>
      <c r="B26" s="99">
        <f>'Final Result'!B23</f>
        <v>-2003.85</v>
      </c>
      <c r="C26" s="99">
        <f>'Final Result'!C23</f>
        <v>-780.18</v>
      </c>
      <c r="D26" s="99">
        <f>'Final Result'!D23</f>
        <v>-1059.03</v>
      </c>
      <c r="E26" s="99">
        <f>'Final Result'!E23</f>
        <v>-2068.23</v>
      </c>
      <c r="F26" s="99">
        <f>'Final Result'!F23</f>
        <v>6988.298881</v>
      </c>
      <c r="G26" s="99">
        <f>'Final Result'!G23</f>
        <v>11185.04</v>
      </c>
      <c r="H26" s="99">
        <f>'Final Result'!H23</f>
        <v>14582.56</v>
      </c>
      <c r="I26" s="99">
        <f>'Final Result'!I23</f>
        <v>19429.4</v>
      </c>
      <c r="J26" s="99">
        <f>'Final Result'!J23</f>
        <v>13189.03</v>
      </c>
      <c r="K26" s="99">
        <f>'Final Result'!K23</f>
        <v>0</v>
      </c>
      <c r="L26" s="99">
        <f>'Final Result'!L23</f>
        <v>0</v>
      </c>
      <c r="M26" s="99">
        <f>'Final Result'!M23</f>
        <v>0</v>
      </c>
      <c r="N26" s="99">
        <f>'Final Result'!N23</f>
        <v>59463.03888</v>
      </c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ht="15.75" customHeight="1">
      <c r="A27" s="117" t="s">
        <v>88</v>
      </c>
      <c r="B27" s="101">
        <f t="shared" ref="B27:N27" si="9">B25-B26</f>
        <v>453.05</v>
      </c>
      <c r="C27" s="101">
        <f t="shared" si="9"/>
        <v>-162.25</v>
      </c>
      <c r="D27" s="101">
        <f t="shared" si="9"/>
        <v>233.73</v>
      </c>
      <c r="E27" s="101">
        <f t="shared" si="9"/>
        <v>-398.54</v>
      </c>
      <c r="F27" s="101">
        <f t="shared" si="9"/>
        <v>-3444.46</v>
      </c>
      <c r="G27" s="101">
        <f t="shared" si="9"/>
        <v>-568.96</v>
      </c>
      <c r="H27" s="101">
        <f t="shared" si="9"/>
        <v>-2977.1</v>
      </c>
      <c r="I27" s="101">
        <f t="shared" si="9"/>
        <v>-3547.52</v>
      </c>
      <c r="J27" s="101">
        <f t="shared" si="9"/>
        <v>6257.31</v>
      </c>
      <c r="K27" s="101">
        <f t="shared" si="9"/>
        <v>3855.59</v>
      </c>
      <c r="L27" s="101">
        <f t="shared" si="9"/>
        <v>0</v>
      </c>
      <c r="M27" s="101">
        <f t="shared" si="9"/>
        <v>0</v>
      </c>
      <c r="N27" s="101">
        <f t="shared" si="9"/>
        <v>-299.15</v>
      </c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</row>
    <row r="28" ht="15.75" customHeight="1">
      <c r="A28" s="110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3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</row>
    <row r="29" ht="15.75" customHeight="1">
      <c r="A29" s="85" t="s">
        <v>122</v>
      </c>
      <c r="B29" s="118">
        <f>'Analysis OUT by pay'!E229</f>
        <v>1771.23</v>
      </c>
      <c r="C29" s="118">
        <f>'Analysis OUT by pay'!F229</f>
        <v>16391.4</v>
      </c>
      <c r="D29" s="118">
        <f>'Analysis OUT by pay'!G229</f>
        <v>3855.94</v>
      </c>
      <c r="E29" s="118">
        <f>'Analysis OUT by pay'!H229</f>
        <v>939.7</v>
      </c>
      <c r="F29" s="118">
        <f>'Analysis OUT by pay'!I229</f>
        <v>2243.34</v>
      </c>
      <c r="G29" s="118">
        <f>'Analysis OUT by pay'!J229</f>
        <v>5608.1</v>
      </c>
      <c r="H29" s="118">
        <f>'Analysis OUT by pay'!K229</f>
        <v>3950.45</v>
      </c>
      <c r="I29" s="118">
        <f>'Analysis OUT by pay'!L229</f>
        <v>943.5</v>
      </c>
      <c r="J29" s="118">
        <f>'Analysis OUT by pay'!M229</f>
        <v>2919</v>
      </c>
      <c r="K29" s="118">
        <f>'Analysis OUT by pay'!N229</f>
        <v>0</v>
      </c>
      <c r="L29" s="118">
        <f>'Analysis OUT by pay'!O229</f>
        <v>0</v>
      </c>
      <c r="M29" s="118">
        <f>'Analysis OUT by pay'!P229</f>
        <v>0</v>
      </c>
      <c r="N29" s="118">
        <f>SUM(B29:M29)</f>
        <v>38622.66</v>
      </c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</row>
    <row r="30" ht="13.5" customHeight="1">
      <c r="A30" s="119" t="s">
        <v>123</v>
      </c>
      <c r="B30" s="120">
        <f t="shared" ref="B30:N30" si="10">B25-B29</f>
        <v>-3322.03</v>
      </c>
      <c r="C30" s="120">
        <f t="shared" si="10"/>
        <v>-17333.83</v>
      </c>
      <c r="D30" s="120">
        <f t="shared" si="10"/>
        <v>-4681.24</v>
      </c>
      <c r="E30" s="120">
        <f t="shared" si="10"/>
        <v>-3406.47</v>
      </c>
      <c r="F30" s="120">
        <f t="shared" si="10"/>
        <v>1300.498881</v>
      </c>
      <c r="G30" s="120">
        <f t="shared" si="10"/>
        <v>5007.98</v>
      </c>
      <c r="H30" s="120">
        <f t="shared" si="10"/>
        <v>7655.01</v>
      </c>
      <c r="I30" s="120">
        <f t="shared" si="10"/>
        <v>14938.38</v>
      </c>
      <c r="J30" s="120">
        <f t="shared" si="10"/>
        <v>16527.34</v>
      </c>
      <c r="K30" s="120">
        <f t="shared" si="10"/>
        <v>3855.59</v>
      </c>
      <c r="L30" s="120">
        <f t="shared" si="10"/>
        <v>0</v>
      </c>
      <c r="M30" s="120">
        <f t="shared" si="10"/>
        <v>0</v>
      </c>
      <c r="N30" s="120">
        <f t="shared" si="10"/>
        <v>20541.22888</v>
      </c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</row>
    <row r="31" ht="15.75" customHeight="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121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</row>
    <row r="32" ht="15.75" customHeight="1">
      <c r="A32" s="85" t="s">
        <v>124</v>
      </c>
      <c r="B32" s="118">
        <f>'Analysis OUT by pay'!E208</f>
        <v>7290.9</v>
      </c>
      <c r="C32" s="118">
        <f>'Analysis OUT by pay'!F208</f>
        <v>29492.94</v>
      </c>
      <c r="D32" s="118">
        <f>'Analysis OUT by pay'!G208</f>
        <v>10287.06</v>
      </c>
      <c r="E32" s="118">
        <f>'Analysis OUT by pay'!H208</f>
        <v>11176.86</v>
      </c>
      <c r="F32" s="118">
        <f>'Analysis OUT by pay'!I208</f>
        <v>7458.32</v>
      </c>
      <c r="G32" s="118">
        <f>'Analysis OUT by pay'!J208</f>
        <v>5892.24</v>
      </c>
      <c r="H32" s="118">
        <f>'Analysis OUT by pay'!K208</f>
        <v>1902.3</v>
      </c>
      <c r="I32" s="118">
        <f>'Analysis OUT by pay'!L208</f>
        <v>4417.33</v>
      </c>
      <c r="J32" s="118">
        <f>'Analysis OUT by pay'!M208</f>
        <v>2942.56</v>
      </c>
      <c r="K32" s="118">
        <f>'Analysis OUT by pay'!N208</f>
        <v>0</v>
      </c>
      <c r="L32" s="118">
        <f>'Analysis OUT by pay'!O208</f>
        <v>0</v>
      </c>
      <c r="M32" s="118">
        <f>'Analysis OUT by pay'!P208</f>
        <v>0</v>
      </c>
      <c r="N32" s="118">
        <f>SUM(B32:M32)</f>
        <v>80860.51</v>
      </c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</row>
    <row r="33" ht="15.75" customHeight="1">
      <c r="A33" s="85" t="s">
        <v>126</v>
      </c>
      <c r="B33" s="118">
        <f>'Analysis OUT by pay'!E212</f>
        <v>0</v>
      </c>
      <c r="C33" s="118">
        <f>'Analysis OUT by pay'!F212</f>
        <v>0</v>
      </c>
      <c r="D33" s="118">
        <f>'Analysis OUT by pay'!G212</f>
        <v>0</v>
      </c>
      <c r="E33" s="118">
        <f>'Analysis OUT by pay'!H212</f>
        <v>0</v>
      </c>
      <c r="F33" s="118">
        <f>'Analysis OUT by pay'!I212</f>
        <v>0</v>
      </c>
      <c r="G33" s="118">
        <f>'Analysis OUT by pay'!J212</f>
        <v>0</v>
      </c>
      <c r="H33" s="118">
        <f>'Analysis OUT by pay'!K212</f>
        <v>0</v>
      </c>
      <c r="I33" s="118">
        <f>'Analysis OUT by pay'!L212</f>
        <v>0</v>
      </c>
      <c r="J33" s="118">
        <f>'Analysis OUT by pay'!M212</f>
        <v>0</v>
      </c>
      <c r="K33" s="118">
        <f>'Analysis OUT by pay'!N212</f>
        <v>0</v>
      </c>
      <c r="L33" s="118">
        <f>'Analysis OUT by pay'!O212</f>
        <v>0</v>
      </c>
      <c r="M33" s="118">
        <f>'Analysis OUT by pay'!P212</f>
        <v>0</v>
      </c>
      <c r="N33" s="118" t="str">
        <f>'Analysis OUT by pay'!Q212</f>
        <v/>
      </c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</row>
    <row r="34" ht="15.0" customHeight="1">
      <c r="A34" s="119" t="s">
        <v>127</v>
      </c>
      <c r="B34" s="120">
        <f t="shared" ref="B34:N34" si="11">B30-B32-B33</f>
        <v>-10612.93</v>
      </c>
      <c r="C34" s="120">
        <f t="shared" si="11"/>
        <v>-46826.77</v>
      </c>
      <c r="D34" s="120">
        <f t="shared" si="11"/>
        <v>-14968.3</v>
      </c>
      <c r="E34" s="120">
        <f t="shared" si="11"/>
        <v>-14583.33</v>
      </c>
      <c r="F34" s="120">
        <f t="shared" si="11"/>
        <v>-6157.821119</v>
      </c>
      <c r="G34" s="120">
        <f t="shared" si="11"/>
        <v>-884.26</v>
      </c>
      <c r="H34" s="120">
        <f t="shared" si="11"/>
        <v>5752.71</v>
      </c>
      <c r="I34" s="120">
        <f t="shared" si="11"/>
        <v>10521.05</v>
      </c>
      <c r="J34" s="120">
        <f t="shared" si="11"/>
        <v>13584.78</v>
      </c>
      <c r="K34" s="120">
        <f t="shared" si="11"/>
        <v>3855.59</v>
      </c>
      <c r="L34" s="120">
        <f t="shared" si="11"/>
        <v>0</v>
      </c>
      <c r="M34" s="120">
        <f t="shared" si="11"/>
        <v>0</v>
      </c>
      <c r="N34" s="120">
        <f t="shared" si="11"/>
        <v>-60319.28112</v>
      </c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</row>
    <row r="35" ht="15.7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</row>
    <row r="36" ht="15.75" customHeight="1">
      <c r="A36" s="111" t="s">
        <v>120</v>
      </c>
      <c r="B36" s="99">
        <f>'Final Result'!B30</f>
        <v>-15345.98</v>
      </c>
      <c r="C36" s="99">
        <f>'Final Result'!C30</f>
        <v>-42384.52</v>
      </c>
      <c r="D36" s="99">
        <f>'Final Result'!D30</f>
        <v>-15202.03</v>
      </c>
      <c r="E36" s="99">
        <f>'Final Result'!E30</f>
        <v>-15334.79</v>
      </c>
      <c r="F36" s="99">
        <f>'Final Result'!F30</f>
        <v>-2713.361119</v>
      </c>
      <c r="G36" s="99">
        <f>'Final Result'!G30</f>
        <v>834.7</v>
      </c>
      <c r="H36" s="99">
        <f>'Final Result'!H30</f>
        <v>9879.81</v>
      </c>
      <c r="I36" s="99">
        <f>'Final Result'!I30</f>
        <v>12918.57</v>
      </c>
      <c r="J36" s="99">
        <f>'Final Result'!J30</f>
        <v>7327.47</v>
      </c>
      <c r="K36" s="99">
        <f>'Final Result'!K30</f>
        <v>0</v>
      </c>
      <c r="L36" s="99">
        <f>'Final Result'!L30</f>
        <v>0</v>
      </c>
      <c r="M36" s="99">
        <f>'Final Result'!M30</f>
        <v>0</v>
      </c>
      <c r="N36" s="99">
        <f>'Final Result'!N30</f>
        <v>-60020.13112</v>
      </c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</row>
    <row r="37" ht="15.75" customHeight="1">
      <c r="A37" s="122" t="s">
        <v>88</v>
      </c>
      <c r="B37" s="101">
        <f t="shared" ref="B37:N37" si="12">B34-B36</f>
        <v>4733.05</v>
      </c>
      <c r="C37" s="101">
        <f t="shared" si="12"/>
        <v>-4442.25</v>
      </c>
      <c r="D37" s="101">
        <f t="shared" si="12"/>
        <v>233.73</v>
      </c>
      <c r="E37" s="101">
        <f t="shared" si="12"/>
        <v>751.46</v>
      </c>
      <c r="F37" s="101">
        <f t="shared" si="12"/>
        <v>-3444.46</v>
      </c>
      <c r="G37" s="101">
        <f t="shared" si="12"/>
        <v>-1718.96</v>
      </c>
      <c r="H37" s="101">
        <f t="shared" si="12"/>
        <v>-4127.1</v>
      </c>
      <c r="I37" s="101">
        <f t="shared" si="12"/>
        <v>-2397.52</v>
      </c>
      <c r="J37" s="101">
        <f t="shared" si="12"/>
        <v>6257.31</v>
      </c>
      <c r="K37" s="101">
        <f t="shared" si="12"/>
        <v>3855.59</v>
      </c>
      <c r="L37" s="101">
        <f t="shared" si="12"/>
        <v>0</v>
      </c>
      <c r="M37" s="101">
        <f t="shared" si="12"/>
        <v>0</v>
      </c>
      <c r="N37" s="101">
        <f t="shared" si="12"/>
        <v>-299.15</v>
      </c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</row>
    <row r="38" ht="15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6">
        <v>299.15</v>
      </c>
      <c r="O38" s="116" t="s">
        <v>129</v>
      </c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</row>
    <row r="39" ht="15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</row>
    <row r="40" ht="15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3:N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14" width="9.75"/>
    <col customWidth="1" min="15" max="29" width="19.75"/>
  </cols>
  <sheetData>
    <row r="1" ht="15.75" customHeight="1">
      <c r="A1" s="75" t="s">
        <v>102</v>
      </c>
      <c r="B1" s="107">
        <v>2026.0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</row>
    <row r="2" ht="15.75" customHeight="1">
      <c r="A2" s="75"/>
      <c r="B2" s="76" t="s">
        <v>71</v>
      </c>
      <c r="C2" s="76" t="s">
        <v>72</v>
      </c>
      <c r="D2" s="76" t="s">
        <v>73</v>
      </c>
      <c r="E2" s="76" t="s">
        <v>74</v>
      </c>
      <c r="F2" s="76" t="s">
        <v>75</v>
      </c>
      <c r="G2" s="76" t="s">
        <v>76</v>
      </c>
      <c r="H2" s="76" t="s">
        <v>77</v>
      </c>
      <c r="I2" s="76" t="s">
        <v>78</v>
      </c>
      <c r="J2" s="76" t="s">
        <v>79</v>
      </c>
      <c r="K2" s="76" t="s">
        <v>80</v>
      </c>
      <c r="L2" s="76" t="s">
        <v>81</v>
      </c>
      <c r="M2" s="76" t="s">
        <v>82</v>
      </c>
      <c r="N2" s="76" t="s">
        <v>35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</row>
    <row r="3" ht="15.75" customHeight="1">
      <c r="A3" s="78" t="s">
        <v>117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</row>
    <row r="4" ht="15.75" customHeight="1">
      <c r="A4" s="82"/>
      <c r="B4" s="83">
        <v>1.0</v>
      </c>
      <c r="C4" s="83">
        <v>2.0</v>
      </c>
      <c r="D4" s="83">
        <v>3.0</v>
      </c>
      <c r="E4" s="83">
        <v>4.0</v>
      </c>
      <c r="F4" s="83">
        <v>5.0</v>
      </c>
      <c r="G4" s="83">
        <v>6.0</v>
      </c>
      <c r="H4" s="83">
        <v>7.0</v>
      </c>
      <c r="I4" s="83">
        <v>8.0</v>
      </c>
      <c r="J4" s="83">
        <v>9.0</v>
      </c>
      <c r="K4" s="83">
        <v>10.0</v>
      </c>
      <c r="L4" s="83">
        <v>11.0</v>
      </c>
      <c r="M4" s="83">
        <v>12.0</v>
      </c>
      <c r="N4" s="84" t="s">
        <v>35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</row>
    <row r="5" ht="15.75" customHeight="1">
      <c r="A5" s="85" t="s">
        <v>36</v>
      </c>
      <c r="B5" s="86" t="str">
        <f>'Monthly cash flow'!B8</f>
        <v/>
      </c>
      <c r="C5" s="86" t="str">
        <f>'Monthly cash flow'!C8</f>
        <v/>
      </c>
      <c r="D5" s="86" t="str">
        <f>'Monthly cash flow'!D8</f>
        <v/>
      </c>
      <c r="E5" s="86" t="str">
        <f>'Monthly cash flow'!E8</f>
        <v/>
      </c>
      <c r="F5" s="86">
        <f>Receptor!F5</f>
        <v>6758</v>
      </c>
      <c r="G5" s="86">
        <f>Receptor!G5</f>
        <v>8459.71</v>
      </c>
      <c r="H5" s="86">
        <f>Receptor!H5</f>
        <v>9070.84</v>
      </c>
      <c r="I5" s="86">
        <f>Receptor!I5</f>
        <v>11429.85</v>
      </c>
      <c r="J5" s="86">
        <f>Receptor!J5</f>
        <v>10253.09</v>
      </c>
      <c r="K5" s="86">
        <f>Receptor!K5</f>
        <v>0</v>
      </c>
      <c r="L5" s="86">
        <f>Receptor!L5</f>
        <v>0</v>
      </c>
      <c r="M5" s="86">
        <f>Receptor!M5</f>
        <v>0</v>
      </c>
      <c r="N5" s="86">
        <f>Receptor!N5</f>
        <v>45971.49</v>
      </c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</row>
    <row r="6" ht="15.75" customHeight="1">
      <c r="A6" s="85" t="s">
        <v>46</v>
      </c>
      <c r="B6" s="86" t="str">
        <f>'Monthly cash flow'!B9</f>
        <v/>
      </c>
      <c r="C6" s="86" t="str">
        <f>'Monthly cash flow'!C9</f>
        <v/>
      </c>
      <c r="D6" s="86" t="str">
        <f>'Monthly cash flow'!D9</f>
        <v/>
      </c>
      <c r="E6" s="86" t="str">
        <f>'Monthly cash flow'!E9</f>
        <v/>
      </c>
      <c r="F6" s="86">
        <f>Receptor!F6</f>
        <v>2470.5</v>
      </c>
      <c r="G6" s="86">
        <f>Receptor!G6</f>
        <v>5678</v>
      </c>
      <c r="H6" s="86">
        <f>Receptor!H6</f>
        <v>8233.95</v>
      </c>
      <c r="I6" s="86">
        <f>Receptor!I6</f>
        <v>8113.25</v>
      </c>
      <c r="J6" s="86">
        <f>Receptor!J6</f>
        <v>5962.2</v>
      </c>
      <c r="K6" s="86">
        <f>Receptor!K6</f>
        <v>0</v>
      </c>
      <c r="L6" s="86">
        <f>Receptor!L6</f>
        <v>0</v>
      </c>
      <c r="M6" s="86">
        <f>Receptor!M6</f>
        <v>0</v>
      </c>
      <c r="N6" s="86">
        <f>Receptor!N6</f>
        <v>30457.9</v>
      </c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</row>
    <row r="7" ht="15.75" customHeight="1">
      <c r="A7" s="85" t="s">
        <v>51</v>
      </c>
      <c r="B7" s="86"/>
      <c r="C7" s="86"/>
      <c r="D7" s="86"/>
      <c r="E7" s="86"/>
      <c r="F7" s="86">
        <f>Receptor!F7</f>
        <v>5253.208881</v>
      </c>
      <c r="G7" s="86">
        <f>Receptor!G7</f>
        <v>6570.14</v>
      </c>
      <c r="H7" s="86">
        <f>Receptor!H7</f>
        <v>5139.55</v>
      </c>
      <c r="I7" s="86">
        <f>Receptor!I7</f>
        <v>7180.46</v>
      </c>
      <c r="J7" s="86">
        <f>Receptor!J7</f>
        <v>4088.91</v>
      </c>
      <c r="K7" s="86">
        <f>Receptor!K7</f>
        <v>0</v>
      </c>
      <c r="L7" s="86">
        <f>Receptor!L7</f>
        <v>0</v>
      </c>
      <c r="M7" s="86">
        <f>Receptor!M7</f>
        <v>0</v>
      </c>
      <c r="N7" s="86">
        <f>Receptor!N7</f>
        <v>28232.26888</v>
      </c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ht="15.75" customHeight="1">
      <c r="A8" s="85" t="s">
        <v>55</v>
      </c>
      <c r="B8" s="86" t="str">
        <f>'Monthly cash flow'!B10</f>
        <v/>
      </c>
      <c r="C8" s="86" t="str">
        <f>'Monthly cash flow'!C10</f>
        <v/>
      </c>
      <c r="D8" s="86" t="str">
        <f>'Monthly cash flow'!D10</f>
        <v/>
      </c>
      <c r="E8" s="86" t="str">
        <f>'Monthly cash flow'!E10</f>
        <v/>
      </c>
      <c r="F8" s="86">
        <f>Receptor!F8</f>
        <v>0</v>
      </c>
      <c r="G8" s="86">
        <f>Receptor!G8</f>
        <v>483.26</v>
      </c>
      <c r="H8" s="86">
        <f>Receptor!H8</f>
        <v>224.5</v>
      </c>
      <c r="I8" s="86">
        <f>Receptor!I8</f>
        <v>42.53</v>
      </c>
      <c r="J8" s="86">
        <f>Receptor!J8</f>
        <v>57.94</v>
      </c>
      <c r="K8" s="86">
        <f>Receptor!K8</f>
        <v>0</v>
      </c>
      <c r="L8" s="86">
        <f>Receptor!L8</f>
        <v>0</v>
      </c>
      <c r="M8" s="86">
        <f>Receptor!M8</f>
        <v>0</v>
      </c>
      <c r="N8" s="86">
        <f>Receptor!N8</f>
        <v>808.23</v>
      </c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ht="15.75" customHeight="1">
      <c r="A9" s="85" t="s">
        <v>56</v>
      </c>
      <c r="B9" s="86" t="str">
        <f>'Monthly cash flow'!B11</f>
        <v/>
      </c>
      <c r="C9" s="86" t="str">
        <f>'Monthly cash flow'!C11</f>
        <v/>
      </c>
      <c r="D9" s="86" t="str">
        <f>'Monthly cash flow'!D11</f>
        <v/>
      </c>
      <c r="E9" s="86" t="str">
        <f>'Monthly cash flow'!E11</f>
        <v/>
      </c>
      <c r="F9" s="86">
        <f>Receptor!F9</f>
        <v>14481.70888</v>
      </c>
      <c r="G9" s="86">
        <f>Receptor!G9</f>
        <v>21191.11</v>
      </c>
      <c r="H9" s="86">
        <f>Receptor!H9</f>
        <v>22668.84</v>
      </c>
      <c r="I9" s="86">
        <f>Receptor!I9</f>
        <v>26766.09</v>
      </c>
      <c r="J9" s="86">
        <f>Receptor!J9</f>
        <v>20362.14</v>
      </c>
      <c r="K9" s="86">
        <f>Receptor!K9</f>
        <v>0</v>
      </c>
      <c r="L9" s="86">
        <f>Receptor!L9</f>
        <v>0</v>
      </c>
      <c r="M9" s="86">
        <f>Receptor!M9</f>
        <v>0</v>
      </c>
      <c r="N9" s="86">
        <f>Receptor!N9</f>
        <v>105469.8889</v>
      </c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</row>
    <row r="10" ht="15.75" customHeight="1">
      <c r="A10" s="85" t="s">
        <v>57</v>
      </c>
      <c r="B10" s="86" t="str">
        <f>'Monthly cash flow'!B12</f>
        <v/>
      </c>
      <c r="C10" s="86" t="str">
        <f>'Monthly cash flow'!C12</f>
        <v/>
      </c>
      <c r="D10" s="86" t="str">
        <f>'Monthly cash flow'!D12</f>
        <v/>
      </c>
      <c r="E10" s="86" t="str">
        <f>'Monthly cash flow'!E12</f>
        <v/>
      </c>
      <c r="F10" s="86">
        <f>Receptor!F10</f>
        <v>0</v>
      </c>
      <c r="G10" s="86">
        <f>Receptor!G10</f>
        <v>32</v>
      </c>
      <c r="H10" s="86">
        <f>Receptor!H10</f>
        <v>0</v>
      </c>
      <c r="I10" s="86">
        <f>Receptor!I10</f>
        <v>0</v>
      </c>
      <c r="J10" s="86" t="str">
        <f>Receptor!J10</f>
        <v/>
      </c>
      <c r="K10" s="86" t="str">
        <f>Receptor!K10</f>
        <v/>
      </c>
      <c r="L10" s="86" t="str">
        <f>Receptor!L10</f>
        <v/>
      </c>
      <c r="M10" s="86" t="str">
        <f>Receptor!M10</f>
        <v/>
      </c>
      <c r="N10" s="86">
        <f>Receptor!N10</f>
        <v>32</v>
      </c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 ht="15.75" customHeight="1">
      <c r="A11" s="85" t="s">
        <v>58</v>
      </c>
      <c r="B11" s="86" t="str">
        <f>'Monthly cash flow'!B13</f>
        <v/>
      </c>
      <c r="C11" s="86" t="str">
        <f>'Monthly cash flow'!C13</f>
        <v/>
      </c>
      <c r="D11" s="86" t="str">
        <f>'Monthly cash flow'!D13</f>
        <v/>
      </c>
      <c r="E11" s="86" t="str">
        <f>'Monthly cash flow'!E13</f>
        <v/>
      </c>
      <c r="F11" s="86">
        <f>Receptor!F11</f>
        <v>0</v>
      </c>
      <c r="G11" s="86">
        <f>Receptor!G11</f>
        <v>214.5</v>
      </c>
      <c r="H11" s="86">
        <f>Receptor!H11</f>
        <v>220</v>
      </c>
      <c r="I11" s="86">
        <f>Receptor!I11</f>
        <v>0</v>
      </c>
      <c r="J11" s="86">
        <f>Receptor!J11</f>
        <v>0</v>
      </c>
      <c r="K11" s="86">
        <f>Receptor!K11</f>
        <v>0</v>
      </c>
      <c r="L11" s="86">
        <f>Receptor!L11</f>
        <v>0</v>
      </c>
      <c r="M11" s="86">
        <f>Receptor!M11</f>
        <v>0</v>
      </c>
      <c r="N11" s="86">
        <f>Receptor!N11</f>
        <v>434.5</v>
      </c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</row>
    <row r="12" ht="15.75" customHeight="1">
      <c r="A12" s="85" t="s">
        <v>58</v>
      </c>
      <c r="B12" s="86"/>
      <c r="C12" s="86"/>
      <c r="D12" s="86"/>
      <c r="E12" s="86"/>
      <c r="F12" s="86">
        <f>Receptor!F12</f>
        <v>1331</v>
      </c>
      <c r="G12" s="86">
        <f>Receptor!G12</f>
        <v>2027</v>
      </c>
      <c r="H12" s="86">
        <f>Receptor!H12</f>
        <v>2825</v>
      </c>
      <c r="I12" s="86">
        <f>Receptor!I12</f>
        <v>5989.66</v>
      </c>
      <c r="J12" s="86">
        <f>Receptor!J12</f>
        <v>2117.99</v>
      </c>
      <c r="K12" s="86" t="str">
        <f>Receptor!K12</f>
        <v/>
      </c>
      <c r="L12" s="86" t="str">
        <f>Receptor!L12</f>
        <v/>
      </c>
      <c r="M12" s="86" t="str">
        <f>Receptor!M12</f>
        <v/>
      </c>
      <c r="N12" s="86" t="str">
        <f>Receptor!N12</f>
        <v/>
      </c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</row>
    <row r="13" ht="15.75" customHeight="1">
      <c r="A13" s="85" t="s">
        <v>59</v>
      </c>
      <c r="B13" s="86"/>
      <c r="C13" s="86"/>
      <c r="D13" s="86"/>
      <c r="E13" s="86"/>
      <c r="F13" s="86">
        <f>Receptor!F14</f>
        <v>1331</v>
      </c>
      <c r="G13" s="86">
        <f>Receptor!G14</f>
        <v>2273.5</v>
      </c>
      <c r="H13" s="86">
        <f>Receptor!H14</f>
        <v>3045</v>
      </c>
      <c r="I13" s="86">
        <f>Receptor!I14</f>
        <v>5989.66</v>
      </c>
      <c r="J13" s="86">
        <f>Receptor!J14</f>
        <v>2117.99</v>
      </c>
      <c r="K13" s="86">
        <f>Receptor!K14</f>
        <v>0</v>
      </c>
      <c r="L13" s="86">
        <f>Receptor!L14</f>
        <v>0</v>
      </c>
      <c r="M13" s="86">
        <f>Receptor!M14</f>
        <v>0</v>
      </c>
      <c r="N13" s="86">
        <f>Receptor!N14</f>
        <v>14757.15</v>
      </c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</row>
    <row r="14" ht="15.75" customHeight="1">
      <c r="A14" s="85" t="s">
        <v>61</v>
      </c>
      <c r="B14" s="86"/>
      <c r="C14" s="86"/>
      <c r="D14" s="86"/>
      <c r="E14" s="86"/>
      <c r="F14" s="86">
        <f>Receptor!F16</f>
        <v>666</v>
      </c>
      <c r="G14" s="86">
        <f>Receptor!G16</f>
        <v>1216</v>
      </c>
      <c r="H14" s="86">
        <f>Receptor!H16</f>
        <v>1230</v>
      </c>
      <c r="I14" s="86">
        <f>Receptor!I16</f>
        <v>1160</v>
      </c>
      <c r="J14" s="86">
        <f>Receptor!J16</f>
        <v>1182</v>
      </c>
      <c r="K14" s="86">
        <f>Receptor!K16</f>
        <v>0</v>
      </c>
      <c r="L14" s="86">
        <f>Receptor!L16</f>
        <v>0</v>
      </c>
      <c r="M14" s="86">
        <f>Receptor!M16</f>
        <v>0</v>
      </c>
      <c r="N14" s="86">
        <f>Receptor!N16</f>
        <v>5454</v>
      </c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</row>
    <row r="15" ht="15.75" customHeight="1">
      <c r="A15" s="85" t="s">
        <v>62</v>
      </c>
      <c r="B15" s="91">
        <f t="shared" ref="B15:N15" si="1">B9+B13+B14</f>
        <v>0</v>
      </c>
      <c r="C15" s="91">
        <f t="shared" si="1"/>
        <v>0</v>
      </c>
      <c r="D15" s="91">
        <f t="shared" si="1"/>
        <v>0</v>
      </c>
      <c r="E15" s="91">
        <f t="shared" si="1"/>
        <v>0</v>
      </c>
      <c r="F15" s="91">
        <f t="shared" si="1"/>
        <v>16478.70888</v>
      </c>
      <c r="G15" s="91">
        <f t="shared" si="1"/>
        <v>24680.61</v>
      </c>
      <c r="H15" s="91">
        <f t="shared" si="1"/>
        <v>26943.84</v>
      </c>
      <c r="I15" s="91">
        <f t="shared" si="1"/>
        <v>33915.75</v>
      </c>
      <c r="J15" s="91">
        <f t="shared" si="1"/>
        <v>23662.13</v>
      </c>
      <c r="K15" s="91">
        <f t="shared" si="1"/>
        <v>0</v>
      </c>
      <c r="L15" s="91">
        <f t="shared" si="1"/>
        <v>0</v>
      </c>
      <c r="M15" s="91">
        <f t="shared" si="1"/>
        <v>0</v>
      </c>
      <c r="N15" s="91">
        <f t="shared" si="1"/>
        <v>125681.0389</v>
      </c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</row>
    <row r="16" ht="15.75" customHeight="1">
      <c r="A16" s="92" t="s">
        <v>108</v>
      </c>
      <c r="B16" s="93">
        <f>'Analysis OUT by pay'!E239</f>
        <v>0</v>
      </c>
      <c r="C16" s="93">
        <f>'Analysis OUT by pay'!F239</f>
        <v>0</v>
      </c>
      <c r="D16" s="93">
        <f>'Analysis OUT by pay'!G239</f>
        <v>0</v>
      </c>
      <c r="E16" s="93">
        <f>'Analysis OUT by pay'!H239</f>
        <v>0</v>
      </c>
      <c r="F16" s="93">
        <f>'Analysis OUT by pay'!I239</f>
        <v>0</v>
      </c>
      <c r="G16" s="93">
        <f>'Analysis OUT by pay'!J239</f>
        <v>183.66</v>
      </c>
      <c r="H16" s="93">
        <f>'Analysis OUT by pay'!K239</f>
        <v>0</v>
      </c>
      <c r="I16" s="93">
        <f>'Analysis OUT by pay'!L239</f>
        <v>0</v>
      </c>
      <c r="J16" s="93">
        <f>'Analysis OUT by pay'!M239</f>
        <v>8</v>
      </c>
      <c r="K16" s="93">
        <f>'Analysis OUT by pay'!N239</f>
        <v>0</v>
      </c>
      <c r="L16" s="93">
        <f>'Analysis OUT by pay'!O239</f>
        <v>0</v>
      </c>
      <c r="M16" s="93">
        <f>'Analysis OUT by pay'!P239</f>
        <v>0</v>
      </c>
      <c r="N16" s="86">
        <f t="shared" ref="N16:N17" si="2">SUM(B16:M16)</f>
        <v>191.66</v>
      </c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</row>
    <row r="17" ht="15.75" customHeight="1">
      <c r="A17" s="85" t="s">
        <v>110</v>
      </c>
      <c r="B17" s="86">
        <f>SUMIFS(Extra!$H:$H,Extra!$M:$M,$B$1,Extra!$K:$K,B4)</f>
        <v>0</v>
      </c>
      <c r="C17" s="86">
        <f>SUMIFS(Extra!$H:$H,Extra!$M:$M,$B$1,Extra!$K:$K,C4)</f>
        <v>0</v>
      </c>
      <c r="D17" s="86">
        <f>SUMIFS(Extra!$H:$H,Extra!$M:$M,$B$1,Extra!$K:$K,D4)</f>
        <v>0</v>
      </c>
      <c r="E17" s="86">
        <f>SUMIFS(Extra!$H:$H,Extra!$M:$M,$B$1,Extra!$K:$K,E4)</f>
        <v>0</v>
      </c>
      <c r="F17" s="86">
        <f>SUMIFS(Extra!$H:$H,Extra!$M:$M,$B$1,Extra!$K:$K,F4)</f>
        <v>1037</v>
      </c>
      <c r="G17" s="86">
        <f>SUMIFS(Extra!$H:$H,Extra!$M:$M,$B$1,Extra!$K:$K,G4)</f>
        <v>1226.15</v>
      </c>
      <c r="H17" s="86">
        <f>SUMIFS(Extra!$H:$H,Extra!$M:$M,$B$1,Extra!$K:$K,H4)</f>
        <v>789.8</v>
      </c>
      <c r="I17" s="86">
        <f>SUMIFS(Extra!$H:$H,Extra!$M:$M,$B$1,Extra!$K:$K,I4)</f>
        <v>2025.4</v>
      </c>
      <c r="J17" s="86">
        <f>SUMIFS(Extra!$H:$H,Extra!$M:$M,$B$1,Extra!$K:$K,J4)</f>
        <v>1446.7</v>
      </c>
      <c r="K17" s="86">
        <f>SUMIFS(Extra!$H:$H,Extra!$M:$M,$B$1,Extra!$K:$K,K4)</f>
        <v>0</v>
      </c>
      <c r="L17" s="86">
        <f>SUMIFS(Extra!$H:$H,Extra!$M:$M,$B$1,Extra!$K:$K,L4)</f>
        <v>0</v>
      </c>
      <c r="M17" s="86">
        <f>SUMIFS(Extra!$H:$H,Extra!$M:$M,$B$1,Extra!$K:$K,M4)</f>
        <v>0</v>
      </c>
      <c r="N17" s="86">
        <f t="shared" si="2"/>
        <v>6525.05</v>
      </c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</row>
    <row r="18" ht="15.75" customHeight="1">
      <c r="A18" s="95" t="s">
        <v>112</v>
      </c>
      <c r="B18" s="96">
        <f t="shared" ref="B18:N18" si="3">B15-B16+B17</f>
        <v>0</v>
      </c>
      <c r="C18" s="96">
        <f t="shared" si="3"/>
        <v>0</v>
      </c>
      <c r="D18" s="96">
        <f t="shared" si="3"/>
        <v>0</v>
      </c>
      <c r="E18" s="96">
        <f t="shared" si="3"/>
        <v>0</v>
      </c>
      <c r="F18" s="96">
        <f t="shared" si="3"/>
        <v>17515.70888</v>
      </c>
      <c r="G18" s="96">
        <f t="shared" si="3"/>
        <v>25723.1</v>
      </c>
      <c r="H18" s="96">
        <f t="shared" si="3"/>
        <v>27733.64</v>
      </c>
      <c r="I18" s="96">
        <f t="shared" si="3"/>
        <v>35941.15</v>
      </c>
      <c r="J18" s="96">
        <f t="shared" si="3"/>
        <v>25100.83</v>
      </c>
      <c r="K18" s="96">
        <f t="shared" si="3"/>
        <v>0</v>
      </c>
      <c r="L18" s="96">
        <f t="shared" si="3"/>
        <v>0</v>
      </c>
      <c r="M18" s="96">
        <f t="shared" si="3"/>
        <v>0</v>
      </c>
      <c r="N18" s="96">
        <f t="shared" si="3"/>
        <v>132014.4289</v>
      </c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</row>
    <row r="19" ht="15.75" customHeight="1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4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</row>
    <row r="20" ht="15.75" customHeight="1">
      <c r="A20" s="105" t="s">
        <v>115</v>
      </c>
      <c r="B20" s="106">
        <f>'Analysis OUT'!E137</f>
        <v>2003.85</v>
      </c>
      <c r="C20" s="106">
        <f>'Analysis OUT'!F137</f>
        <v>780.18</v>
      </c>
      <c r="D20" s="106">
        <f>'Analysis OUT'!G137</f>
        <v>1059.03</v>
      </c>
      <c r="E20" s="106">
        <f>'Analysis OUT'!H137</f>
        <v>1861.34</v>
      </c>
      <c r="F20" s="106">
        <f>'Analysis OUT'!I137</f>
        <v>10013.47</v>
      </c>
      <c r="G20" s="106">
        <f>'Analysis OUT'!J137</f>
        <v>14358.59</v>
      </c>
      <c r="H20" s="106">
        <f>'Analysis OUT'!K137</f>
        <v>12890.11</v>
      </c>
      <c r="I20" s="106">
        <f>'Analysis OUT'!L137</f>
        <v>16255.01</v>
      </c>
      <c r="J20" s="106">
        <f>'Analysis OUT'!M137</f>
        <v>11741.9</v>
      </c>
      <c r="K20" s="106">
        <f>'Analysis OUT'!N137</f>
        <v>0</v>
      </c>
      <c r="L20" s="106">
        <f>'Analysis OUT'!O137</f>
        <v>0</v>
      </c>
      <c r="M20" s="106">
        <f>'Analysis OUT'!P137</f>
        <v>0</v>
      </c>
      <c r="N20" s="106">
        <f t="shared" ref="N20:N21" si="4">SUM(B20:M20)</f>
        <v>70963.48</v>
      </c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</row>
    <row r="21" ht="24.0" customHeight="1">
      <c r="A21" s="108" t="s">
        <v>116</v>
      </c>
      <c r="B21" s="106">
        <f>'Analysis OUT'!E144+'Analysis OUT'!E157+'Analysis OUT'!E162+'Analysis OUT'!E167+'Analysis OUT'!E174+'Analysis OUT'!E176+'Analysis OUT'!E178+'Analysis OUT'!E187+'Analysis OUT'!E198+'Analysis OUT'!E216+'Analysis OUT'!E220+'Analysis OUT'!E222</f>
        <v>0</v>
      </c>
      <c r="C21" s="106">
        <f>'Analysis OUT'!F144+'Analysis OUT'!F157+'Analysis OUT'!F162+'Analysis OUT'!F167+'Analysis OUT'!F174+'Analysis OUT'!F176+'Analysis OUT'!F178+'Analysis OUT'!F187+'Analysis OUT'!F198+'Analysis OUT'!F216+'Analysis OUT'!F220+'Analysis OUT'!F222</f>
        <v>0</v>
      </c>
      <c r="D21" s="106">
        <f>'Analysis OUT'!G144+'Analysis OUT'!G157+'Analysis OUT'!G162+'Analysis OUT'!G167+'Analysis OUT'!G174+'Analysis OUT'!G176+'Analysis OUT'!G178+'Analysis OUT'!G187+'Analysis OUT'!G198+'Analysis OUT'!G216+'Analysis OUT'!G220+'Analysis OUT'!G222</f>
        <v>0</v>
      </c>
      <c r="E21" s="106">
        <f>'Analysis OUT'!H144+'Analysis OUT'!H157+'Analysis OUT'!H162+'Analysis OUT'!H167+'Analysis OUT'!H174+'Analysis OUT'!H176+'Analysis OUT'!H178+'Analysis OUT'!H187+'Analysis OUT'!H198+'Analysis OUT'!H216+'Analysis OUT'!H220+'Analysis OUT'!H222</f>
        <v>206.89</v>
      </c>
      <c r="F21" s="106">
        <f>'Analysis OUT'!I144+'Analysis OUT'!I157+'Analysis OUT'!I162+'Analysis OUT'!I167+'Analysis OUT'!I174+'Analysis OUT'!I176+'Analysis OUT'!I178+'Analysis OUT'!I187+'Analysis OUT'!I198+'Analysis OUT'!I216+'Analysis OUT'!I220+'Analysis OUT'!I222</f>
        <v>513.94</v>
      </c>
      <c r="G21" s="106">
        <f>'Analysis OUT'!J144+'Analysis OUT'!J157+'Analysis OUT'!J162+'Analysis OUT'!J167+'Analysis OUT'!J174+'Analysis OUT'!J176+'Analysis OUT'!J178+'Analysis OUT'!J187+'Analysis OUT'!J198+'Analysis OUT'!J216+'Analysis OUT'!J220+'Analysis OUT'!J222</f>
        <v>179.47</v>
      </c>
      <c r="H21" s="106">
        <f>'Analysis OUT'!K144+'Analysis OUT'!K157+'Analysis OUT'!K162+'Analysis OUT'!K167+'Analysis OUT'!K174+'Analysis OUT'!K176+'Analysis OUT'!K178+'Analysis OUT'!K187+'Analysis OUT'!K198+'Analysis OUT'!K216+'Analysis OUT'!K220+'Analysis OUT'!K222</f>
        <v>260.97</v>
      </c>
      <c r="I21" s="106">
        <f>'Analysis OUT'!L144+'Analysis OUT'!L157+'Analysis OUT'!L162+'Analysis OUT'!L167+'Analysis OUT'!L174+'Analysis OUT'!L176+'Analysis OUT'!L178+'Analysis OUT'!L187+'Analysis OUT'!L198+'Analysis OUT'!L216+'Analysis OUT'!L220+'Analysis OUT'!L222</f>
        <v>256.74</v>
      </c>
      <c r="J21" s="106">
        <f>'Analysis OUT'!M144+'Analysis OUT'!M157+'Analysis OUT'!M162+'Analysis OUT'!M167+'Analysis OUT'!M174+'Analysis OUT'!M176+'Analysis OUT'!M178+'Analysis OUT'!M187+'Analysis OUT'!M198+'Analysis OUT'!M216+'Analysis OUT'!M220+'Analysis OUT'!M222</f>
        <v>169.9</v>
      </c>
      <c r="K21" s="106">
        <f>'Analysis OUT'!N144+'Analysis OUT'!N157+'Analysis OUT'!N162+'Analysis OUT'!N167+'Analysis OUT'!N174+'Analysis OUT'!N176+'Analysis OUT'!N178+'Analysis OUT'!N187+'Analysis OUT'!N198+'Analysis OUT'!N216+'Analysis OUT'!N220+'Analysis OUT'!N222</f>
        <v>0</v>
      </c>
      <c r="L21" s="106">
        <f>'Analysis OUT'!O144+'Analysis OUT'!O157+'Analysis OUT'!O162+'Analysis OUT'!O167+'Analysis OUT'!O174+'Analysis OUT'!O176+'Analysis OUT'!O178+'Analysis OUT'!O187+'Analysis OUT'!O198+'Analysis OUT'!O216+'Analysis OUT'!O220+'Analysis OUT'!O222</f>
        <v>0</v>
      </c>
      <c r="M21" s="106">
        <f>'Analysis OUT'!P144+'Analysis OUT'!P157+'Analysis OUT'!P162+'Analysis OUT'!P167+'Analysis OUT'!P174+'Analysis OUT'!P176+'Analysis OUT'!P178+'Analysis OUT'!P187+'Analysis OUT'!P198+'Analysis OUT'!P216+'Analysis OUT'!P220+'Analysis OUT'!P222</f>
        <v>0</v>
      </c>
      <c r="N21" s="106">
        <f t="shared" si="4"/>
        <v>1587.91</v>
      </c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</row>
    <row r="22" ht="15.75" customHeight="1">
      <c r="A22" s="110"/>
      <c r="B22" s="111"/>
      <c r="C22" s="111"/>
      <c r="D22" s="111"/>
      <c r="E22" s="111"/>
      <c r="F22" s="112"/>
      <c r="G22" s="112"/>
      <c r="H22" s="111"/>
      <c r="I22" s="111"/>
      <c r="J22" s="111"/>
      <c r="K22" s="111"/>
      <c r="L22" s="111"/>
      <c r="M22" s="111"/>
      <c r="N22" s="113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</row>
    <row r="23" ht="15.75" customHeight="1">
      <c r="A23" s="114" t="s">
        <v>119</v>
      </c>
      <c r="B23" s="115">
        <f t="shared" ref="B23:M23" si="5">B18-B20-B21</f>
        <v>-2003.85</v>
      </c>
      <c r="C23" s="115">
        <f t="shared" si="5"/>
        <v>-780.18</v>
      </c>
      <c r="D23" s="115">
        <f t="shared" si="5"/>
        <v>-1059.03</v>
      </c>
      <c r="E23" s="115">
        <f t="shared" si="5"/>
        <v>-2068.23</v>
      </c>
      <c r="F23" s="115">
        <f t="shared" si="5"/>
        <v>6988.298881</v>
      </c>
      <c r="G23" s="115">
        <f t="shared" si="5"/>
        <v>11185.04</v>
      </c>
      <c r="H23" s="115">
        <f t="shared" si="5"/>
        <v>14582.56</v>
      </c>
      <c r="I23" s="115">
        <f t="shared" si="5"/>
        <v>19429.4</v>
      </c>
      <c r="J23" s="115">
        <f t="shared" si="5"/>
        <v>13189.03</v>
      </c>
      <c r="K23" s="115">
        <f t="shared" si="5"/>
        <v>0</v>
      </c>
      <c r="L23" s="115">
        <f t="shared" si="5"/>
        <v>0</v>
      </c>
      <c r="M23" s="115">
        <f t="shared" si="5"/>
        <v>0</v>
      </c>
      <c r="N23" s="91">
        <f>SUM(B23:M23)</f>
        <v>59463.03888</v>
      </c>
      <c r="O23" s="11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</row>
    <row r="24" ht="15.75" customHeight="1">
      <c r="A24" s="110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3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</row>
    <row r="25" ht="15.75" customHeight="1">
      <c r="A25" s="85" t="s">
        <v>122</v>
      </c>
      <c r="B25" s="118">
        <f>'Analysis OUT'!E230</f>
        <v>1771.23</v>
      </c>
      <c r="C25" s="118">
        <f>'Analysis OUT'!F230</f>
        <v>16391.4</v>
      </c>
      <c r="D25" s="118">
        <f>'Analysis OUT'!G230</f>
        <v>3855.94</v>
      </c>
      <c r="E25" s="118">
        <f>'Analysis OUT'!H230</f>
        <v>2089.7</v>
      </c>
      <c r="F25" s="118">
        <f>'Analysis OUT'!I230</f>
        <v>2243.34</v>
      </c>
      <c r="G25" s="118">
        <f>'Analysis OUT'!J230</f>
        <v>4458.1</v>
      </c>
      <c r="H25" s="118">
        <f>'Analysis OUT'!K230</f>
        <v>2800.45</v>
      </c>
      <c r="I25" s="118">
        <f>'Analysis OUT'!L230</f>
        <v>2093.5</v>
      </c>
      <c r="J25" s="118">
        <f>'Analysis OUT'!M230</f>
        <v>2919</v>
      </c>
      <c r="K25" s="118">
        <f>'Analysis OUT'!N230</f>
        <v>0</v>
      </c>
      <c r="L25" s="118">
        <f>'Analysis OUT'!O230</f>
        <v>0</v>
      </c>
      <c r="M25" s="118">
        <f>'Analysis OUT'!P230</f>
        <v>0</v>
      </c>
      <c r="N25" s="118">
        <f>SUM(B25:M25)</f>
        <v>38622.66</v>
      </c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</row>
    <row r="26" ht="13.5" customHeight="1">
      <c r="A26" s="119" t="s">
        <v>123</v>
      </c>
      <c r="B26" s="120">
        <f t="shared" ref="B26:N26" si="6">B23-B25</f>
        <v>-3775.08</v>
      </c>
      <c r="C26" s="120">
        <f t="shared" si="6"/>
        <v>-17171.58</v>
      </c>
      <c r="D26" s="120">
        <f t="shared" si="6"/>
        <v>-4914.97</v>
      </c>
      <c r="E26" s="120">
        <f t="shared" si="6"/>
        <v>-4157.93</v>
      </c>
      <c r="F26" s="120">
        <f t="shared" si="6"/>
        <v>4744.958881</v>
      </c>
      <c r="G26" s="120">
        <f t="shared" si="6"/>
        <v>6726.94</v>
      </c>
      <c r="H26" s="120">
        <f t="shared" si="6"/>
        <v>11782.11</v>
      </c>
      <c r="I26" s="120">
        <f t="shared" si="6"/>
        <v>17335.9</v>
      </c>
      <c r="J26" s="120">
        <f t="shared" si="6"/>
        <v>10270.03</v>
      </c>
      <c r="K26" s="120">
        <f t="shared" si="6"/>
        <v>0</v>
      </c>
      <c r="L26" s="120">
        <f t="shared" si="6"/>
        <v>0</v>
      </c>
      <c r="M26" s="120">
        <f t="shared" si="6"/>
        <v>0</v>
      </c>
      <c r="N26" s="120">
        <f t="shared" si="6"/>
        <v>20840.37888</v>
      </c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ht="15.75" customHeight="1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121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</row>
    <row r="28" ht="15.75" customHeight="1">
      <c r="A28" s="85" t="s">
        <v>124</v>
      </c>
      <c r="B28" s="118">
        <f>'Analysis OUT'!E209</f>
        <v>11570.9</v>
      </c>
      <c r="C28" s="118">
        <f>'Analysis OUT'!F209</f>
        <v>25212.94</v>
      </c>
      <c r="D28" s="118">
        <f>'Analysis OUT'!G209</f>
        <v>10287.06</v>
      </c>
      <c r="E28" s="118">
        <f>'Analysis OUT'!H209</f>
        <v>11176.86</v>
      </c>
      <c r="F28" s="118">
        <f>'Analysis OUT'!I209</f>
        <v>7458.32</v>
      </c>
      <c r="G28" s="118">
        <f>'Analysis OUT'!J209</f>
        <v>5892.24</v>
      </c>
      <c r="H28" s="118">
        <f>'Analysis OUT'!K209</f>
        <v>1902.3</v>
      </c>
      <c r="I28" s="118">
        <f>'Analysis OUT'!L209</f>
        <v>4417.33</v>
      </c>
      <c r="J28" s="118">
        <f>'Analysis OUT'!M209</f>
        <v>2942.56</v>
      </c>
      <c r="K28" s="118">
        <f>'Analysis OUT'!N209</f>
        <v>0</v>
      </c>
      <c r="L28" s="118">
        <f>'Analysis OUT'!O209</f>
        <v>0</v>
      </c>
      <c r="M28" s="118">
        <f>'Analysis OUT'!P209</f>
        <v>0</v>
      </c>
      <c r="N28" s="118">
        <f t="shared" ref="N28:N29" si="7">SUM(B28:M28)</f>
        <v>80860.51</v>
      </c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</row>
    <row r="29" ht="15.0" customHeight="1">
      <c r="A29" s="85" t="s">
        <v>135</v>
      </c>
      <c r="B29" s="118">
        <f>'Analysis OUT'!E213</f>
        <v>0</v>
      </c>
      <c r="C29" s="118">
        <f>'Analysis OUT'!F213</f>
        <v>0</v>
      </c>
      <c r="D29" s="118">
        <f>'Analysis OUT'!G213</f>
        <v>0</v>
      </c>
      <c r="E29" s="118">
        <f>'Analysis OUT'!H213</f>
        <v>0</v>
      </c>
      <c r="F29" s="118">
        <f>'Analysis OUT'!I213</f>
        <v>0</v>
      </c>
      <c r="G29" s="118">
        <f>'Analysis OUT'!J213</f>
        <v>0</v>
      </c>
      <c r="H29" s="118">
        <f>'Analysis OUT'!K213</f>
        <v>0</v>
      </c>
      <c r="I29" s="118">
        <f>'Analysis OUT'!L213</f>
        <v>0</v>
      </c>
      <c r="J29" s="118">
        <f>'Analysis OUT'!M213</f>
        <v>0</v>
      </c>
      <c r="K29" s="118">
        <f>'Analysis OUT'!N213</f>
        <v>0</v>
      </c>
      <c r="L29" s="118">
        <f>'Analysis OUT'!O213</f>
        <v>0</v>
      </c>
      <c r="M29" s="118">
        <f>'Analysis OUT'!P213</f>
        <v>0</v>
      </c>
      <c r="N29" s="118">
        <f t="shared" si="7"/>
        <v>0</v>
      </c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</row>
    <row r="30" ht="15.0" customHeight="1">
      <c r="A30" s="119" t="s">
        <v>127</v>
      </c>
      <c r="B30" s="120">
        <f t="shared" ref="B30:M30" si="8">B26-B28-B29</f>
        <v>-15345.98</v>
      </c>
      <c r="C30" s="120">
        <f t="shared" si="8"/>
        <v>-42384.52</v>
      </c>
      <c r="D30" s="120">
        <f t="shared" si="8"/>
        <v>-15202.03</v>
      </c>
      <c r="E30" s="120">
        <f t="shared" si="8"/>
        <v>-15334.79</v>
      </c>
      <c r="F30" s="120">
        <f t="shared" si="8"/>
        <v>-2713.361119</v>
      </c>
      <c r="G30" s="120">
        <f t="shared" si="8"/>
        <v>834.7</v>
      </c>
      <c r="H30" s="120">
        <f t="shared" si="8"/>
        <v>9879.81</v>
      </c>
      <c r="I30" s="120">
        <f t="shared" si="8"/>
        <v>12918.57</v>
      </c>
      <c r="J30" s="120">
        <f t="shared" si="8"/>
        <v>7327.47</v>
      </c>
      <c r="K30" s="120">
        <f t="shared" si="8"/>
        <v>0</v>
      </c>
      <c r="L30" s="120">
        <f t="shared" si="8"/>
        <v>0</v>
      </c>
      <c r="M30" s="120">
        <f t="shared" si="8"/>
        <v>0</v>
      </c>
      <c r="N30" s="120">
        <f>N26-N28</f>
        <v>-60020.13112</v>
      </c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</row>
    <row r="31" ht="15.75" customHeight="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</row>
    <row r="32" ht="15.75" customHeight="1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</row>
    <row r="33" ht="15.75" customHeight="1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</row>
    <row r="34" ht="15.75" customHeight="1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</row>
    <row r="35" ht="15.7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</row>
    <row r="36" ht="15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</row>
    <row r="37" ht="15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</row>
    <row r="38" ht="15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</row>
    <row r="39" ht="15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</row>
    <row r="40" ht="15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</row>
    <row r="41" ht="15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</row>
    <row r="42" ht="15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</row>
    <row r="43" ht="15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</row>
    <row r="44" ht="15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</row>
    <row r="46" ht="15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</row>
    <row r="53" ht="15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</row>
    <row r="54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</row>
    <row r="55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</row>
    <row r="56" ht="15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</row>
    <row r="57" ht="15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</row>
    <row r="59" ht="15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</row>
    <row r="60" ht="15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</row>
    <row r="61" ht="15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</row>
    <row r="62" ht="15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</row>
    <row r="63" ht="15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</row>
    <row r="64" ht="15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</row>
    <row r="65" ht="15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3:N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23" t="s">
        <v>119</v>
      </c>
      <c r="B1" s="124">
        <v>46143.0</v>
      </c>
      <c r="C1" s="125" t="s">
        <v>141</v>
      </c>
      <c r="D1" s="123" t="s">
        <v>110</v>
      </c>
      <c r="E1" s="124">
        <v>46143.0</v>
      </c>
      <c r="F1" s="27" t="s">
        <v>141</v>
      </c>
      <c r="G1" s="123" t="s">
        <v>142</v>
      </c>
      <c r="H1" s="124">
        <v>46143.0</v>
      </c>
      <c r="I1" s="27" t="s">
        <v>141</v>
      </c>
      <c r="J1" s="123" t="s">
        <v>143</v>
      </c>
      <c r="K1" s="124">
        <v>46143.0</v>
      </c>
    </row>
    <row r="2">
      <c r="A2" s="27" t="s">
        <v>144</v>
      </c>
      <c r="B2" s="28">
        <f>'Final Result'!F18</f>
        <v>17515.70888</v>
      </c>
      <c r="D2" s="27" t="s">
        <v>145</v>
      </c>
      <c r="E2" s="27">
        <f>SUMIFS(Extra!$H:$H,Extra!$E:$E,D2,Extra!$K:$K,5)</f>
        <v>254</v>
      </c>
      <c r="G2" s="27" t="s">
        <v>106</v>
      </c>
      <c r="H2" s="27">
        <f>sumifs(Dados!N:N,Dados!A:A,G2,Dados!I:I,5)</f>
        <v>0</v>
      </c>
      <c r="J2" s="59" t="s">
        <v>41</v>
      </c>
      <c r="K2" s="28">
        <f>'Analysis OUT'!I89</f>
        <v>90.38</v>
      </c>
    </row>
    <row r="3">
      <c r="A3" s="27" t="s">
        <v>147</v>
      </c>
      <c r="B3" s="28">
        <f>'Final Result'!F20</f>
        <v>10013.47</v>
      </c>
      <c r="D3" s="27" t="s">
        <v>148</v>
      </c>
      <c r="E3" s="27">
        <f>SUMIFS(Extra!$H:$H,Extra!$E:$E,D3,Extra!$K:$K,5)</f>
        <v>190</v>
      </c>
      <c r="G3" s="27" t="s">
        <v>136</v>
      </c>
      <c r="H3" s="27">
        <f>sumifs(Dados!N:N,Dados!A:A,G3,Dados!I:I,5)</f>
        <v>5.19</v>
      </c>
      <c r="J3" s="59" t="s">
        <v>61</v>
      </c>
      <c r="K3" s="28">
        <f>'Analysis OUT'!I90</f>
        <v>578</v>
      </c>
    </row>
    <row r="4">
      <c r="A4" s="27" t="s">
        <v>149</v>
      </c>
      <c r="B4" s="28">
        <f>'Final Result'!F21</f>
        <v>513.94</v>
      </c>
      <c r="D4" s="27" t="s">
        <v>150</v>
      </c>
      <c r="E4" s="27">
        <f>SUMIFS(Extra!$H:$H,Extra!$E:$E,D4,Extra!$K:$K,5)</f>
        <v>532.5</v>
      </c>
      <c r="G4" s="27" t="s">
        <v>151</v>
      </c>
      <c r="H4" s="27">
        <f>sumifs(Dados!N:N,Dados!A:A,G4,Dados!I:I,5)</f>
        <v>280.58</v>
      </c>
      <c r="J4" s="59" t="s">
        <v>49</v>
      </c>
      <c r="K4" s="28">
        <f>'Analysis OUT'!I91</f>
        <v>87.3</v>
      </c>
    </row>
    <row r="5">
      <c r="A5" s="126" t="s">
        <v>152</v>
      </c>
      <c r="B5" s="127">
        <f>B2-B3-B4</f>
        <v>6988.298881</v>
      </c>
      <c r="D5" s="27" t="s">
        <v>153</v>
      </c>
      <c r="E5" s="27">
        <f>SUMIFS(Extra!$H:$H,Extra!$E:$E,D5,Extra!$K:$K,5)</f>
        <v>1.5</v>
      </c>
      <c r="G5" s="27" t="s">
        <v>154</v>
      </c>
      <c r="H5" s="27">
        <f>sumifs(Dados!N:N,Dados!A:A,G5,Dados!I:I,5)</f>
        <v>16.77</v>
      </c>
      <c r="J5" s="59" t="s">
        <v>32</v>
      </c>
      <c r="K5" s="28">
        <f>'Analysis OUT'!I92</f>
        <v>365</v>
      </c>
    </row>
    <row r="6">
      <c r="D6" s="27" t="s">
        <v>155</v>
      </c>
      <c r="E6" s="27">
        <f>SUMIFS(Extra!$H:$H,Extra!$E:$E,D6,Extra!$K:$K,5)</f>
        <v>45</v>
      </c>
      <c r="G6" s="27" t="s">
        <v>156</v>
      </c>
      <c r="H6" s="27">
        <f>sumifs(Dados!N:N,Dados!A:A,G6,Dados!I:I,5)</f>
        <v>466.45</v>
      </c>
      <c r="J6" s="59" t="s">
        <v>40</v>
      </c>
      <c r="K6" s="28">
        <f>'Analysis OUT'!I93</f>
        <v>257.51</v>
      </c>
    </row>
    <row r="7">
      <c r="A7" s="123" t="s">
        <v>157</v>
      </c>
      <c r="B7" s="124">
        <v>46143.0</v>
      </c>
      <c r="D7" s="27" t="s">
        <v>158</v>
      </c>
      <c r="E7" s="27">
        <f>SUMIFS(Extra!$H:$H,Extra!$E:$E,D7,Extra!$K:$K,5)</f>
        <v>12</v>
      </c>
      <c r="G7" s="27" t="s">
        <v>160</v>
      </c>
      <c r="H7" s="27">
        <f>sumifs(Dados!N:N,Dados!A:A,G7,Dados!I:I,5)</f>
        <v>88.59</v>
      </c>
      <c r="J7" s="59" t="s">
        <v>161</v>
      </c>
      <c r="K7" s="28">
        <f>'Analysis OUT'!I94</f>
        <v>84</v>
      </c>
    </row>
    <row r="8">
      <c r="A8" s="27" t="s">
        <v>162</v>
      </c>
      <c r="B8" s="28">
        <f>'Final Result'!F28</f>
        <v>7458.32</v>
      </c>
      <c r="D8" s="27" t="s">
        <v>163</v>
      </c>
      <c r="E8" s="27">
        <f>SUMIFS(Extra!$H:$H,Extra!$E:$E,D8,Extra!$K:$K,5)</f>
        <v>2</v>
      </c>
      <c r="G8" s="27" t="s">
        <v>164</v>
      </c>
      <c r="H8" s="27">
        <f>sumifs(Dados!N:N,Dados!A:A,G8,Dados!I:I,5)</f>
        <v>0</v>
      </c>
      <c r="J8" s="59" t="s">
        <v>37</v>
      </c>
      <c r="K8" s="28">
        <f>'Analysis OUT'!I95</f>
        <v>64.45</v>
      </c>
    </row>
    <row r="9">
      <c r="A9" s="27" t="s">
        <v>165</v>
      </c>
      <c r="B9" s="28">
        <f>'Final Result'!F25</f>
        <v>2243.34</v>
      </c>
      <c r="D9" s="27" t="s">
        <v>166</v>
      </c>
      <c r="E9" s="27">
        <f>SUMIFS(Extra!$H:$H,Extra!$E:$E,D9,Extra!$K:$K,5)</f>
        <v>0</v>
      </c>
      <c r="G9" s="27" t="s">
        <v>167</v>
      </c>
      <c r="H9" s="27">
        <f>sumifs(Dados!N:N,Dados!A:A,G9,Dados!I:I,5)</f>
        <v>1526.64</v>
      </c>
      <c r="J9" s="59" t="s">
        <v>168</v>
      </c>
      <c r="K9" s="28">
        <f>'Analysis OUT'!I96</f>
        <v>0</v>
      </c>
    </row>
    <row r="10">
      <c r="A10" s="126" t="s">
        <v>169</v>
      </c>
      <c r="B10" s="127">
        <f>B8+B9</f>
        <v>9701.66</v>
      </c>
      <c r="D10" s="27" t="s">
        <v>170</v>
      </c>
      <c r="E10" s="27">
        <f>SUMIFS(Extra!$H:$H,Extra!$E:$E,D10,Extra!$K:$K,5)</f>
        <v>0</v>
      </c>
      <c r="G10" s="27" t="s">
        <v>153</v>
      </c>
      <c r="H10" s="27">
        <f>sumifs(Dados!N:N,Dados!A:A,G10,Dados!I:I,5)</f>
        <v>80</v>
      </c>
      <c r="J10" s="126" t="s">
        <v>35</v>
      </c>
      <c r="K10" s="127">
        <f>SUM(K2:K9)</f>
        <v>1526.64</v>
      </c>
    </row>
    <row r="11">
      <c r="D11" s="27" t="s">
        <v>171</v>
      </c>
      <c r="E11" s="27">
        <f>SUMIFS(Extra!$H:$H,Extra!$E:$E,D11,Extra!$K:$K,5)</f>
        <v>0</v>
      </c>
      <c r="G11" s="27" t="s">
        <v>172</v>
      </c>
      <c r="H11" s="27">
        <f>sumifs(Dados!N:N,Dados!A:A,G11,Dados!I:I,5)</f>
        <v>301.01</v>
      </c>
    </row>
    <row r="12">
      <c r="A12" s="123" t="s">
        <v>174</v>
      </c>
      <c r="B12" s="124">
        <v>46143.0</v>
      </c>
      <c r="D12" s="126" t="s">
        <v>35</v>
      </c>
      <c r="E12" s="127">
        <f>SUM(E2:E11)</f>
        <v>1037</v>
      </c>
      <c r="G12" s="27" t="s">
        <v>175</v>
      </c>
      <c r="H12" s="27">
        <f>sumifs(Dados!N:N,Dados!A:A,G12,Dados!I:I,5)</f>
        <v>64.67</v>
      </c>
    </row>
    <row r="13">
      <c r="A13" s="27" t="s">
        <v>176</v>
      </c>
      <c r="B13" s="128">
        <f>Receptor!F26</f>
        <v>425</v>
      </c>
      <c r="G13" s="27" t="s">
        <v>177</v>
      </c>
      <c r="H13" s="27">
        <f>sumifs(Dados!N:N,Dados!A:A,G13,Dados!I:I,5)</f>
        <v>0</v>
      </c>
    </row>
    <row r="14">
      <c r="A14" s="27" t="s">
        <v>91</v>
      </c>
      <c r="B14" s="72">
        <f>Receptor!F27</f>
        <v>0.5806010929</v>
      </c>
      <c r="G14" s="27" t="s">
        <v>178</v>
      </c>
      <c r="H14" s="27">
        <f>sumifs(Dados!N:N,Dados!A:A,G14,Dados!I:I,5)</f>
        <v>7183.57</v>
      </c>
    </row>
    <row r="15">
      <c r="A15" s="27" t="s">
        <v>92</v>
      </c>
      <c r="B15" s="72">
        <f>Receptor!F28</f>
        <v>0.8158148505</v>
      </c>
      <c r="G15" s="126" t="s">
        <v>35</v>
      </c>
      <c r="H15" s="127">
        <f>SUM(H2:H14)</f>
        <v>10013.47</v>
      </c>
    </row>
    <row r="16">
      <c r="A16" s="27"/>
    </row>
    <row r="17">
      <c r="A17" s="27" t="s">
        <v>179</v>
      </c>
      <c r="B17" s="28">
        <f>Receptor!F33</f>
        <v>40.80921325</v>
      </c>
    </row>
    <row r="18">
      <c r="A18" s="27" t="s">
        <v>180</v>
      </c>
      <c r="B18" s="28">
        <f>Receptor!F37</f>
        <v>25.6098977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23" t="s">
        <v>119</v>
      </c>
      <c r="B1" s="124">
        <v>46178.0</v>
      </c>
      <c r="C1" s="125" t="s">
        <v>141</v>
      </c>
      <c r="D1" s="123" t="s">
        <v>110</v>
      </c>
      <c r="E1" s="124">
        <v>46177.0</v>
      </c>
      <c r="F1" s="27" t="s">
        <v>141</v>
      </c>
      <c r="G1" s="123" t="s">
        <v>142</v>
      </c>
      <c r="H1" s="124">
        <v>46176.0</v>
      </c>
      <c r="I1" s="27" t="s">
        <v>141</v>
      </c>
      <c r="J1" s="123" t="s">
        <v>143</v>
      </c>
      <c r="K1" s="124">
        <v>46184.0</v>
      </c>
    </row>
    <row r="2">
      <c r="A2" s="27" t="s">
        <v>144</v>
      </c>
      <c r="B2" s="28">
        <f>'Final Result'!G18</f>
        <v>25723.1</v>
      </c>
      <c r="D2" s="27" t="s">
        <v>145</v>
      </c>
      <c r="E2" s="27">
        <f>SUMIFS(Extra!$H:$H,Extra!$E:$E,D2,Extra!$K:$K,6)</f>
        <v>357</v>
      </c>
      <c r="G2" s="27" t="s">
        <v>106</v>
      </c>
      <c r="H2" s="27">
        <f>sumifs(Dados!N:N,Dados!A:A,G2,Dados!I:I,6)</f>
        <v>721.71</v>
      </c>
      <c r="J2" s="59" t="s">
        <v>41</v>
      </c>
      <c r="K2" s="28">
        <f>'Analysis OUT'!J89</f>
        <v>560.75</v>
      </c>
    </row>
    <row r="3">
      <c r="A3" s="27" t="s">
        <v>147</v>
      </c>
      <c r="B3" s="28">
        <f>'Final Result'!G20</f>
        <v>14358.59</v>
      </c>
      <c r="D3" s="27" t="s">
        <v>148</v>
      </c>
      <c r="E3" s="27">
        <f>SUMIFS(Extra!$H:$H,Extra!$E:$E,D3,Extra!$K:$K,6)</f>
        <v>30</v>
      </c>
      <c r="G3" s="27" t="s">
        <v>136</v>
      </c>
      <c r="H3" s="27">
        <f>sumifs(Dados!N:N,Dados!A:A,G3,Dados!I:I,6)</f>
        <v>26.2</v>
      </c>
      <c r="J3" s="59" t="s">
        <v>61</v>
      </c>
      <c r="K3" s="28">
        <f>'Analysis OUT'!J90</f>
        <v>1332</v>
      </c>
    </row>
    <row r="4">
      <c r="A4" s="27" t="s">
        <v>149</v>
      </c>
      <c r="B4" s="28">
        <f>'Final Result'!G21</f>
        <v>179.47</v>
      </c>
      <c r="D4" s="27" t="s">
        <v>150</v>
      </c>
      <c r="E4" s="27">
        <f>SUMIFS(Extra!$H:$H,Extra!$E:$E,D4,Extra!$K:$K,6)</f>
        <v>396.15</v>
      </c>
      <c r="G4" s="27" t="s">
        <v>151</v>
      </c>
      <c r="H4" s="27">
        <f>sumifs(Dados!N:N,Dados!A:A,G4,Dados!I:I,6)</f>
        <v>392.21</v>
      </c>
      <c r="J4" s="59" t="s">
        <v>49</v>
      </c>
      <c r="K4" s="28">
        <f>'Analysis OUT'!J91</f>
        <v>87.3</v>
      </c>
    </row>
    <row r="5">
      <c r="A5" s="126" t="s">
        <v>152</v>
      </c>
      <c r="B5" s="127">
        <f>B2-B3-B4</f>
        <v>11185.04</v>
      </c>
      <c r="D5" s="27" t="s">
        <v>153</v>
      </c>
      <c r="E5" s="27">
        <f>SUMIFS(Extra!$H:$H,Extra!$E:$E,D5,Extra!$K:$K,6)</f>
        <v>0</v>
      </c>
      <c r="G5" s="27" t="s">
        <v>154</v>
      </c>
      <c r="H5" s="27">
        <f>sumifs(Dados!N:N,Dados!A:A,G5,Dados!I:I,6)</f>
        <v>53.9</v>
      </c>
      <c r="J5" s="59" t="s">
        <v>32</v>
      </c>
      <c r="K5" s="28">
        <f>'Analysis OUT'!J92</f>
        <v>115</v>
      </c>
    </row>
    <row r="6">
      <c r="D6" s="27" t="s">
        <v>155</v>
      </c>
      <c r="E6" s="27">
        <f>SUMIFS(Extra!$H:$H,Extra!$E:$E,D6,Extra!$K:$K,6)</f>
        <v>195</v>
      </c>
      <c r="G6" s="27" t="s">
        <v>156</v>
      </c>
      <c r="H6" s="27">
        <f>sumifs(Dados!N:N,Dados!A:A,G6,Dados!I:I,6)</f>
        <v>1507.98</v>
      </c>
      <c r="J6" s="59" t="s">
        <v>40</v>
      </c>
      <c r="K6" s="28">
        <f>'Analysis OUT'!J93</f>
        <v>422.3</v>
      </c>
    </row>
    <row r="7">
      <c r="A7" s="123" t="s">
        <v>157</v>
      </c>
      <c r="B7" s="124">
        <v>46185.0</v>
      </c>
      <c r="D7" s="27" t="s">
        <v>158</v>
      </c>
      <c r="E7" s="27">
        <f>SUMIFS(Extra!$H:$H,Extra!$E:$E,D7,Extra!$K:$K,6)</f>
        <v>24</v>
      </c>
      <c r="G7" s="27" t="s">
        <v>160</v>
      </c>
      <c r="H7" s="27">
        <f>sumifs(Dados!N:N,Dados!A:A,G7,Dados!I:I,6)</f>
        <v>42.18</v>
      </c>
      <c r="J7" s="59" t="s">
        <v>161</v>
      </c>
      <c r="K7" s="28">
        <f>'Analysis OUT'!J94</f>
        <v>40</v>
      </c>
    </row>
    <row r="8">
      <c r="A8" s="27" t="s">
        <v>162</v>
      </c>
      <c r="B8" s="28">
        <f>'Final Result'!G28</f>
        <v>5892.24</v>
      </c>
      <c r="D8" s="27" t="s">
        <v>163</v>
      </c>
      <c r="E8" s="27">
        <f>SUMIFS(Extra!$H:$H,Extra!$E:$E,D8,Extra!$K:$K,6)</f>
        <v>0</v>
      </c>
      <c r="G8" s="27" t="s">
        <v>164</v>
      </c>
      <c r="H8" s="27">
        <f>sumifs(Dados!N:N,Dados!A:A,G8,Dados!I:I,6)</f>
        <v>0</v>
      </c>
      <c r="J8" s="59" t="s">
        <v>37</v>
      </c>
      <c r="K8" s="28">
        <f>'Analysis OUT'!J95</f>
        <v>75.57</v>
      </c>
    </row>
    <row r="9">
      <c r="A9" s="27" t="s">
        <v>165</v>
      </c>
      <c r="B9" s="28">
        <f>'Final Result'!G25</f>
        <v>4458.1</v>
      </c>
      <c r="D9" s="27" t="s">
        <v>166</v>
      </c>
      <c r="E9" s="27">
        <f>SUMIFS(Extra!$H:$H,Extra!$E:$E,D9,Extra!$K:$K,6)</f>
        <v>224</v>
      </c>
      <c r="G9" s="27" t="s">
        <v>167</v>
      </c>
      <c r="H9" s="27">
        <f>sumifs(Dados!N:N,Dados!A:A,G9,Dados!I:I,6)</f>
        <v>2632.92</v>
      </c>
      <c r="J9" s="59" t="s">
        <v>168</v>
      </c>
      <c r="K9" s="28">
        <f>'Analysis OUT'!J96</f>
        <v>0</v>
      </c>
    </row>
    <row r="10">
      <c r="A10" s="126" t="s">
        <v>169</v>
      </c>
      <c r="B10" s="127">
        <f>B8+B9</f>
        <v>10350.34</v>
      </c>
      <c r="D10" s="27" t="s">
        <v>170</v>
      </c>
      <c r="E10" s="27">
        <f>SUMIFS(Extra!$H:$H,Extra!$E:$E,D10,Extra!$K:$K,6)</f>
        <v>0</v>
      </c>
      <c r="G10" s="27" t="s">
        <v>153</v>
      </c>
      <c r="H10" s="27">
        <f>sumifs(Dados!N:N,Dados!A:A,G10,Dados!I:I,6)</f>
        <v>42.16</v>
      </c>
      <c r="J10" s="126" t="s">
        <v>35</v>
      </c>
      <c r="K10" s="127">
        <f>SUM(K2:K9)</f>
        <v>2632.92</v>
      </c>
    </row>
    <row r="11">
      <c r="D11" s="27" t="s">
        <v>171</v>
      </c>
      <c r="E11" s="27">
        <f>SUMIFS(Extra!$H:$H,Extra!$E:$E,D11,Extra!$K:$K,6)</f>
        <v>0</v>
      </c>
      <c r="G11" s="27" t="s">
        <v>172</v>
      </c>
      <c r="H11" s="27">
        <f>sumifs(Dados!N:N,Dados!A:A,G11,Dados!I:I,6)</f>
        <v>455.96</v>
      </c>
    </row>
    <row r="12">
      <c r="A12" s="123" t="s">
        <v>174</v>
      </c>
      <c r="B12" s="124">
        <v>46178.0</v>
      </c>
      <c r="D12" s="126" t="s">
        <v>35</v>
      </c>
      <c r="E12" s="127">
        <f>SUM(E2:E11)</f>
        <v>1226.15</v>
      </c>
      <c r="G12" s="27" t="s">
        <v>175</v>
      </c>
      <c r="H12" s="27">
        <f>sumifs(Dados!N:N,Dados!A:A,G12,Dados!I:I,6)</f>
        <v>12.99</v>
      </c>
    </row>
    <row r="13">
      <c r="A13" s="27" t="s">
        <v>86</v>
      </c>
      <c r="B13" s="128">
        <f>Receptor!G26</f>
        <v>676</v>
      </c>
      <c r="G13" s="27" t="s">
        <v>177</v>
      </c>
      <c r="H13" s="27">
        <f>sumifs(Dados!N:N,Dados!A:A,G13,Dados!I:I,6)</f>
        <v>0</v>
      </c>
    </row>
    <row r="14">
      <c r="A14" s="27" t="s">
        <v>91</v>
      </c>
      <c r="B14" s="72">
        <f>Receptor!G27</f>
        <v>0.9234972678</v>
      </c>
      <c r="G14" s="27" t="s">
        <v>178</v>
      </c>
      <c r="H14" s="27">
        <f>sumifs(Dados!N:N,Dados!A:A,G14,Dados!I:I,6)</f>
        <v>8470.38</v>
      </c>
    </row>
    <row r="15">
      <c r="A15" s="27" t="s">
        <v>92</v>
      </c>
      <c r="B15" s="72">
        <f>Receptor!G28</f>
        <v>0.8775313404</v>
      </c>
      <c r="G15" s="126" t="s">
        <v>35</v>
      </c>
      <c r="H15" s="127">
        <f>SUM(H2:H14)</f>
        <v>14358.59</v>
      </c>
    </row>
    <row r="16">
      <c r="A16" s="27"/>
    </row>
    <row r="17">
      <c r="A17" s="27" t="s">
        <v>179</v>
      </c>
      <c r="B17" s="28">
        <f>Receptor!G33</f>
        <v>35.36338235</v>
      </c>
    </row>
    <row r="18">
      <c r="A18" s="27" t="s">
        <v>180</v>
      </c>
      <c r="B18" s="28">
        <f>Receptor!G37</f>
        <v>23.19642973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23" t="s">
        <v>119</v>
      </c>
      <c r="B1" s="124">
        <v>46212.0</v>
      </c>
      <c r="C1" s="125" t="s">
        <v>141</v>
      </c>
      <c r="D1" s="123" t="s">
        <v>110</v>
      </c>
      <c r="E1" s="124">
        <v>46205.0</v>
      </c>
      <c r="F1" s="27" t="s">
        <v>141</v>
      </c>
      <c r="G1" s="123" t="s">
        <v>142</v>
      </c>
      <c r="H1" s="124">
        <v>46205.0</v>
      </c>
      <c r="I1" s="27" t="s">
        <v>141</v>
      </c>
      <c r="J1" s="123" t="s">
        <v>143</v>
      </c>
      <c r="K1" s="124">
        <v>46205.0</v>
      </c>
    </row>
    <row r="2">
      <c r="A2" s="27" t="s">
        <v>144</v>
      </c>
      <c r="B2" s="28">
        <f>'Final Result'!H18</f>
        <v>27733.64</v>
      </c>
      <c r="D2" s="27" t="s">
        <v>145</v>
      </c>
      <c r="E2" s="27">
        <f>SUMIFS(Extra!$H:$H,Extra!$E:$E,D2,Extra!$K:$K,7)</f>
        <v>266.4</v>
      </c>
      <c r="G2" s="27" t="s">
        <v>106</v>
      </c>
      <c r="H2" s="27">
        <f>sumifs(Dados!N:N,Dados!A:A,G2,Dados!I:I,7)</f>
        <v>0</v>
      </c>
      <c r="J2" s="59" t="s">
        <v>41</v>
      </c>
      <c r="K2" s="28">
        <f>'Analysis OUT'!K89</f>
        <v>589.55</v>
      </c>
    </row>
    <row r="3">
      <c r="A3" s="27" t="s">
        <v>147</v>
      </c>
      <c r="B3" s="28">
        <f>'Final Result'!H20</f>
        <v>12890.11</v>
      </c>
      <c r="D3" s="27" t="s">
        <v>148</v>
      </c>
      <c r="E3" s="27">
        <f>SUMIFS(Extra!$H:$H,Extra!$E:$E,D3,Extra!$K:$K,7)</f>
        <v>0</v>
      </c>
      <c r="G3" s="27" t="s">
        <v>136</v>
      </c>
      <c r="H3" s="27">
        <f>sumifs(Dados!N:N,Dados!A:A,G3,Dados!I:I,7)</f>
        <v>5.19</v>
      </c>
      <c r="J3" s="59" t="s">
        <v>61</v>
      </c>
      <c r="K3" s="28">
        <f>'Analysis OUT'!K90</f>
        <v>1184</v>
      </c>
    </row>
    <row r="4">
      <c r="A4" s="27" t="s">
        <v>149</v>
      </c>
      <c r="B4" s="28">
        <f>'Final Result'!H21</f>
        <v>260.97</v>
      </c>
      <c r="D4" s="27" t="s">
        <v>150</v>
      </c>
      <c r="E4" s="27">
        <f>SUMIFS(Extra!$H:$H,Extra!$E:$E,D4,Extra!$K:$K,7)</f>
        <v>431.4</v>
      </c>
      <c r="G4" s="27" t="s">
        <v>151</v>
      </c>
      <c r="H4" s="27">
        <f>sumifs(Dados!N:N,Dados!A:A,G4,Dados!I:I,7)</f>
        <v>459.23</v>
      </c>
      <c r="J4" s="59" t="s">
        <v>49</v>
      </c>
      <c r="K4" s="28">
        <f>'Analysis OUT'!K91</f>
        <v>87.3</v>
      </c>
    </row>
    <row r="5">
      <c r="A5" s="126" t="s">
        <v>152</v>
      </c>
      <c r="B5" s="127">
        <f>B2-B3-B4</f>
        <v>14582.56</v>
      </c>
      <c r="D5" s="27" t="s">
        <v>153</v>
      </c>
      <c r="E5" s="27">
        <f>SUMIFS(Extra!$H:$H,Extra!$E:$E,D5,Extra!$K:$K,7)</f>
        <v>0</v>
      </c>
      <c r="G5" s="27" t="s">
        <v>154</v>
      </c>
      <c r="H5" s="27">
        <f>sumifs(Dados!N:N,Dados!A:A,G5,Dados!I:I,7)</f>
        <v>83.04</v>
      </c>
      <c r="J5" s="59" t="s">
        <v>32</v>
      </c>
      <c r="K5" s="28">
        <f>'Analysis OUT'!K92</f>
        <v>620</v>
      </c>
    </row>
    <row r="6">
      <c r="D6" s="27" t="s">
        <v>155</v>
      </c>
      <c r="E6" s="27">
        <f>SUMIFS(Extra!$H:$H,Extra!$E:$E,D6,Extra!$K:$K,7)</f>
        <v>7</v>
      </c>
      <c r="G6" s="27" t="s">
        <v>156</v>
      </c>
      <c r="H6" s="27">
        <f>sumifs(Dados!N:N,Dados!A:A,G6,Dados!I:I,7)</f>
        <v>0</v>
      </c>
      <c r="J6" s="59" t="s">
        <v>40</v>
      </c>
      <c r="K6" s="28">
        <f>'Analysis OUT'!K93</f>
        <v>468.92</v>
      </c>
    </row>
    <row r="7">
      <c r="A7" s="123" t="s">
        <v>157</v>
      </c>
      <c r="B7" s="124">
        <v>46205.0</v>
      </c>
      <c r="D7" s="27" t="s">
        <v>158</v>
      </c>
      <c r="E7" s="27">
        <f>SUMIFS(Extra!$H:$H,Extra!$E:$E,D7,Extra!$K:$K,7)</f>
        <v>0</v>
      </c>
      <c r="G7" s="27" t="s">
        <v>160</v>
      </c>
      <c r="H7" s="27">
        <f>sumifs(Dados!N:N,Dados!A:A,G7,Dados!I:I,7)</f>
        <v>411</v>
      </c>
      <c r="J7" s="59" t="s">
        <v>161</v>
      </c>
      <c r="K7" s="28">
        <f>'Analysis OUT'!K94</f>
        <v>40</v>
      </c>
    </row>
    <row r="8">
      <c r="A8" s="27" t="s">
        <v>162</v>
      </c>
      <c r="B8" s="28">
        <f>'Final Result'!H28</f>
        <v>1902.3</v>
      </c>
      <c r="D8" s="27" t="s">
        <v>163</v>
      </c>
      <c r="E8" s="27">
        <f>SUMIFS(Extra!$H:$H,Extra!$E:$E,D8,Extra!$K:$K,7)</f>
        <v>2</v>
      </c>
      <c r="G8" s="27" t="s">
        <v>164</v>
      </c>
      <c r="H8" s="27">
        <f>sumifs(Dados!N:N,Dados!A:A,G8,Dados!I:I,7)</f>
        <v>0</v>
      </c>
      <c r="J8" s="59" t="s">
        <v>37</v>
      </c>
      <c r="K8" s="28">
        <f>'Analysis OUT'!K95</f>
        <v>63.76</v>
      </c>
    </row>
    <row r="9">
      <c r="A9" s="27" t="s">
        <v>165</v>
      </c>
      <c r="B9" s="28">
        <f>'Final Result'!H25</f>
        <v>2800.45</v>
      </c>
      <c r="D9" s="27" t="s">
        <v>166</v>
      </c>
      <c r="E9" s="27">
        <f>SUMIFS(Extra!$H:$H,Extra!$E:$E,D9,Extra!$K:$K,7)</f>
        <v>58</v>
      </c>
      <c r="G9" s="27" t="s">
        <v>167</v>
      </c>
      <c r="H9" s="27">
        <f>sumifs(Dados!N:N,Dados!A:A,G9,Dados!I:I,7)</f>
        <v>3053.53</v>
      </c>
      <c r="J9" s="59" t="s">
        <v>168</v>
      </c>
      <c r="K9" s="28">
        <f>'Analysis OUT'!K96</f>
        <v>0</v>
      </c>
    </row>
    <row r="10">
      <c r="A10" s="126" t="s">
        <v>169</v>
      </c>
      <c r="B10" s="127">
        <f>B8+B9</f>
        <v>4702.75</v>
      </c>
      <c r="D10" s="27" t="s">
        <v>170</v>
      </c>
      <c r="E10" s="27">
        <f>SUMIFS(Extra!$H:$H,Extra!$E:$E,D10,Extra!$K:$K,7)</f>
        <v>25</v>
      </c>
      <c r="G10" s="27" t="s">
        <v>153</v>
      </c>
      <c r="H10" s="27">
        <f>sumifs(Dados!N:N,Dados!A:A,G10,Dados!I:I,7)</f>
        <v>14</v>
      </c>
      <c r="J10" s="126" t="s">
        <v>35</v>
      </c>
      <c r="K10" s="127">
        <f>SUM(K2:K9)</f>
        <v>3053.53</v>
      </c>
    </row>
    <row r="11">
      <c r="D11" s="27" t="s">
        <v>171</v>
      </c>
      <c r="E11" s="27">
        <f>SUMIFS(Extra!$H:$H,Extra!$E:$E,D11,Extra!$K:$K,7)</f>
        <v>0</v>
      </c>
      <c r="G11" s="27" t="s">
        <v>172</v>
      </c>
      <c r="H11" s="27">
        <f>sumifs(Dados!N:N,Dados!A:A,G11,Dados!I:I,7)</f>
        <v>143.17</v>
      </c>
    </row>
    <row r="12">
      <c r="A12" s="123" t="s">
        <v>174</v>
      </c>
      <c r="B12" s="124">
        <v>46205.0</v>
      </c>
      <c r="D12" s="126" t="s">
        <v>35</v>
      </c>
      <c r="E12" s="127">
        <f>SUM(E2:E11)</f>
        <v>789.8</v>
      </c>
      <c r="G12" s="27" t="s">
        <v>175</v>
      </c>
      <c r="H12" s="27">
        <f>sumifs(Dados!N:N,Dados!A:A,G12,Dados!I:I,7)</f>
        <v>42.15</v>
      </c>
    </row>
    <row r="13">
      <c r="A13" s="27" t="s">
        <v>86</v>
      </c>
      <c r="B13" s="128">
        <f>Receptor!H26</f>
        <v>591</v>
      </c>
      <c r="G13" s="27" t="s">
        <v>177</v>
      </c>
      <c r="H13" s="27">
        <f>sumifs(Dados!N:N,Dados!A:A,G13,Dados!I:I,7)</f>
        <v>13</v>
      </c>
    </row>
    <row r="14">
      <c r="A14" s="27" t="s">
        <v>91</v>
      </c>
      <c r="B14" s="72">
        <f>Receptor!H27</f>
        <v>0.8073770492</v>
      </c>
      <c r="G14" s="27" t="s">
        <v>178</v>
      </c>
      <c r="H14" s="27">
        <f>sumifs(Dados!N:N,Dados!A:A,G14,Dados!I:I,7)</f>
        <v>8665.8</v>
      </c>
    </row>
    <row r="15">
      <c r="A15" s="27" t="s">
        <v>92</v>
      </c>
      <c r="B15" s="72">
        <f>Receptor!H28</f>
        <v>0.9057377049</v>
      </c>
      <c r="G15" s="126" t="s">
        <v>35</v>
      </c>
      <c r="H15" s="127">
        <f>SUM(H2:H14)</f>
        <v>12890.11</v>
      </c>
    </row>
    <row r="16">
      <c r="A16" s="27"/>
    </row>
    <row r="17">
      <c r="A17" s="27" t="s">
        <v>179</v>
      </c>
      <c r="B17" s="28">
        <f>Receptor!H33</f>
        <v>35.09791667</v>
      </c>
    </row>
    <row r="18">
      <c r="A18" s="27" t="s">
        <v>180</v>
      </c>
      <c r="B18" s="28">
        <f>Receptor!H37</f>
        <v>25.02933981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23" t="s">
        <v>119</v>
      </c>
      <c r="B1" s="129">
        <v>46243.0</v>
      </c>
      <c r="C1" s="125" t="s">
        <v>141</v>
      </c>
      <c r="D1" s="123" t="s">
        <v>110</v>
      </c>
      <c r="E1" s="129">
        <v>46236.0</v>
      </c>
      <c r="F1" s="27" t="s">
        <v>141</v>
      </c>
      <c r="G1" s="123" t="s">
        <v>142</v>
      </c>
      <c r="H1" s="129">
        <v>46236.0</v>
      </c>
      <c r="I1" s="27" t="s">
        <v>141</v>
      </c>
      <c r="J1" s="123" t="s">
        <v>143</v>
      </c>
      <c r="K1" s="129">
        <v>46236.0</v>
      </c>
    </row>
    <row r="2">
      <c r="A2" s="27" t="s">
        <v>144</v>
      </c>
      <c r="B2" s="28">
        <f>'Final Result'!I18</f>
        <v>35941.15</v>
      </c>
      <c r="D2" s="27" t="s">
        <v>145</v>
      </c>
      <c r="E2" s="27">
        <f>SUMIFS(Extra!$H:$H,Extra!$E:$E,D2,Extra!$K:$K,8)</f>
        <v>708</v>
      </c>
      <c r="G2" s="27" t="s">
        <v>106</v>
      </c>
      <c r="H2" s="27">
        <f>SUMIFS(Dados!N:N,Dados!A:A,G2,Dados!I:I,8)</f>
        <v>0</v>
      </c>
      <c r="J2" s="59" t="s">
        <v>41</v>
      </c>
      <c r="K2" s="28">
        <f>'Analysis OUT'!L89</f>
        <v>669.65</v>
      </c>
    </row>
    <row r="3">
      <c r="A3" s="27" t="s">
        <v>147</v>
      </c>
      <c r="B3" s="28">
        <f>'Final Result'!I20</f>
        <v>16255.01</v>
      </c>
      <c r="D3" s="27" t="s">
        <v>148</v>
      </c>
      <c r="E3" s="27">
        <f>SUMIFS(Extra!$H:$H,Extra!$E:$E,D3,Extra!$K:$K,8)</f>
        <v>0</v>
      </c>
      <c r="G3" s="27" t="s">
        <v>136</v>
      </c>
      <c r="H3" s="27">
        <f>SUMIFS(Dados!N:N,Dados!A:A,G3,Dados!I:I,8)</f>
        <v>5.19</v>
      </c>
      <c r="J3" s="59" t="s">
        <v>61</v>
      </c>
      <c r="K3" s="28">
        <f>'Analysis OUT'!L90</f>
        <v>1160</v>
      </c>
    </row>
    <row r="4">
      <c r="A4" s="27" t="s">
        <v>149</v>
      </c>
      <c r="B4" s="28">
        <f>'Final Result'!I21</f>
        <v>256.74</v>
      </c>
      <c r="D4" s="27" t="s">
        <v>150</v>
      </c>
      <c r="E4" s="27">
        <f>SUMIFS(Extra!$H:$H,Extra!$E:$E,D4,Extra!$K:$K,8)</f>
        <v>754.4</v>
      </c>
      <c r="G4" s="27" t="s">
        <v>151</v>
      </c>
      <c r="H4" s="27">
        <f>SUMIFS(Dados!N:N,Dados!A:A,G4,Dados!I:I,8)</f>
        <v>323.93</v>
      </c>
      <c r="J4" s="59" t="s">
        <v>49</v>
      </c>
      <c r="K4" s="28">
        <f>'Analysis OUT'!L91</f>
        <v>87.3</v>
      </c>
    </row>
    <row r="5">
      <c r="A5" s="126" t="s">
        <v>152</v>
      </c>
      <c r="B5" s="127">
        <f>B2-B3-B4</f>
        <v>19429.4</v>
      </c>
      <c r="D5" s="27" t="s">
        <v>153</v>
      </c>
      <c r="E5" s="27">
        <f>SUMIFS(Extra!$H:$H,Extra!$E:$E,D5,Extra!$K:$K,8)</f>
        <v>50</v>
      </c>
      <c r="G5" s="27" t="s">
        <v>154</v>
      </c>
      <c r="H5" s="27">
        <f>SUMIFS(Dados!N:N,Dados!A:A,G5,Dados!I:I,8)</f>
        <v>27.8</v>
      </c>
      <c r="J5" s="59" t="s">
        <v>32</v>
      </c>
      <c r="K5" s="28">
        <f>'Analysis OUT'!L92</f>
        <v>1230</v>
      </c>
    </row>
    <row r="6">
      <c r="D6" s="27" t="s">
        <v>155</v>
      </c>
      <c r="E6" s="27">
        <f>SUMIFS(Extra!$H:$H,Extra!$E:$E,D6,Extra!$K:$K,8)</f>
        <v>195</v>
      </c>
      <c r="G6" s="27" t="s">
        <v>156</v>
      </c>
      <c r="H6" s="27">
        <f>SUMIFS(Dados!N:N,Dados!A:A,G6,Dados!I:I,8)</f>
        <v>3550.92</v>
      </c>
      <c r="J6" s="59" t="s">
        <v>40</v>
      </c>
      <c r="K6" s="28">
        <f>'Analysis OUT'!L93</f>
        <v>416.07</v>
      </c>
    </row>
    <row r="7">
      <c r="A7" s="123" t="s">
        <v>157</v>
      </c>
      <c r="B7" s="129">
        <v>46236.0</v>
      </c>
      <c r="D7" s="27" t="s">
        <v>158</v>
      </c>
      <c r="E7" s="27">
        <f>SUMIFS(Extra!$H:$H,Extra!$E:$E,D7,Extra!$K:$K,8)</f>
        <v>0</v>
      </c>
      <c r="G7" s="27" t="s">
        <v>160</v>
      </c>
      <c r="H7" s="27">
        <f>SUMIFS(Dados!N:N,Dados!A:A,G7,Dados!I:I,8)</f>
        <v>88.59</v>
      </c>
      <c r="J7" s="59" t="s">
        <v>161</v>
      </c>
      <c r="K7" s="28">
        <f>'Analysis OUT'!L94</f>
        <v>0</v>
      </c>
    </row>
    <row r="8">
      <c r="A8" s="27" t="s">
        <v>162</v>
      </c>
      <c r="B8" s="28">
        <f>'Final Result'!I28</f>
        <v>4417.33</v>
      </c>
      <c r="D8" s="27" t="s">
        <v>163</v>
      </c>
      <c r="E8" s="27">
        <f>SUMIFS(Extra!$H:$H,Extra!$E:$E,D8,Extra!$K:$K,8)</f>
        <v>5</v>
      </c>
      <c r="G8" s="27" t="s">
        <v>164</v>
      </c>
      <c r="H8" s="27">
        <f>SUMIFS(Dados!N:N,Dados!A:A,G8,Dados!I:I,8)</f>
        <v>0</v>
      </c>
      <c r="J8" s="59" t="s">
        <v>37</v>
      </c>
      <c r="K8" s="28">
        <f>'Analysis OUT'!L95</f>
        <v>64.2</v>
      </c>
    </row>
    <row r="9">
      <c r="A9" s="27" t="s">
        <v>165</v>
      </c>
      <c r="B9" s="28">
        <f>'Final Result'!I25</f>
        <v>2093.5</v>
      </c>
      <c r="D9" s="130" t="s">
        <v>166</v>
      </c>
      <c r="E9" s="27">
        <f>SUMIFS(Extra!$H:$H,Extra!$E:$E,D9,Extra!$K:$K,8)</f>
        <v>283</v>
      </c>
      <c r="G9" s="27" t="s">
        <v>167</v>
      </c>
      <c r="H9" s="27">
        <f>SUMIFS(Dados!N:N,Dados!A:A,G9,Dados!I:I,8)</f>
        <v>3627.22</v>
      </c>
      <c r="J9" s="59" t="s">
        <v>168</v>
      </c>
      <c r="K9" s="28">
        <f>'Analysis OUT'!L96</f>
        <v>0</v>
      </c>
    </row>
    <row r="10">
      <c r="A10" s="126" t="s">
        <v>169</v>
      </c>
      <c r="B10" s="127">
        <f>B8+B9</f>
        <v>6510.83</v>
      </c>
      <c r="D10" s="27" t="s">
        <v>170</v>
      </c>
      <c r="E10" s="27">
        <f>SUMIFS(Extra!$H:$H,Extra!$E:$E,D10,Extra!$K:$K,8)</f>
        <v>30</v>
      </c>
      <c r="G10" s="27" t="s">
        <v>153</v>
      </c>
      <c r="H10" s="27">
        <f>SUMIFS(Dados!N:N,Dados!A:A,G10,Dados!I:I,8)</f>
        <v>64.5</v>
      </c>
      <c r="J10" s="126" t="s">
        <v>35</v>
      </c>
      <c r="K10" s="127">
        <f>SUM(K2:K9)</f>
        <v>3627.22</v>
      </c>
    </row>
    <row r="11">
      <c r="D11" s="27" t="s">
        <v>171</v>
      </c>
      <c r="E11" s="27">
        <f>SUMIFS(Extra!$H:$H,Extra!$E:$E,D11,Extra!$K:$K,8)</f>
        <v>0</v>
      </c>
      <c r="G11" s="27" t="s">
        <v>172</v>
      </c>
      <c r="H11" s="27">
        <f>SUMIFS(Dados!N:N,Dados!A:A,G11,Dados!I:I,8)</f>
        <v>208.98</v>
      </c>
    </row>
    <row r="12">
      <c r="A12" s="123" t="s">
        <v>174</v>
      </c>
      <c r="B12" s="129">
        <v>46236.0</v>
      </c>
      <c r="D12" s="126" t="s">
        <v>35</v>
      </c>
      <c r="E12" s="127">
        <f>SUM(E2:E11)</f>
        <v>2025.4</v>
      </c>
      <c r="G12" s="27" t="s">
        <v>175</v>
      </c>
      <c r="H12" s="27">
        <f>SUMIFS(Dados!N:N,Dados!A:A,G12,Dados!I:I,8)</f>
        <v>223.15</v>
      </c>
    </row>
    <row r="13">
      <c r="A13" s="27" t="s">
        <v>86</v>
      </c>
      <c r="B13" s="128">
        <f>Receptor!I26</f>
        <v>745</v>
      </c>
      <c r="G13" s="27" t="s">
        <v>177</v>
      </c>
      <c r="H13" s="27">
        <f>SUMIFS(Dados!N:N,Dados!A:A,G13,Dados!I:I,8)</f>
        <v>3.93</v>
      </c>
    </row>
    <row r="14">
      <c r="A14" s="27" t="s">
        <v>91</v>
      </c>
      <c r="B14" s="72">
        <f>Receptor!I27</f>
        <v>1.017759563</v>
      </c>
      <c r="G14" s="27" t="s">
        <v>178</v>
      </c>
      <c r="H14" s="27">
        <f>SUMIFS(Dados!N:N,Dados!A:A,G14,Dados!I:I,8)</f>
        <v>8130.8</v>
      </c>
    </row>
    <row r="15">
      <c r="A15" s="27" t="s">
        <v>92</v>
      </c>
      <c r="B15" s="72">
        <f>Receptor!I28</f>
        <v>1.017759563</v>
      </c>
      <c r="G15" s="126" t="s">
        <v>35</v>
      </c>
      <c r="H15" s="127">
        <f>SUM(H2:H14)</f>
        <v>16255.01</v>
      </c>
    </row>
    <row r="16">
      <c r="A16" s="27"/>
    </row>
    <row r="17">
      <c r="A17" s="27" t="s">
        <v>179</v>
      </c>
      <c r="B17" s="28">
        <f>Receptor!I33</f>
        <v>42.62192982</v>
      </c>
    </row>
    <row r="18">
      <c r="A18" s="27" t="s">
        <v>180</v>
      </c>
      <c r="B18" s="28">
        <f>Receptor!I37</f>
        <v>26.77925865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23" t="s">
        <v>119</v>
      </c>
      <c r="B1" s="129">
        <v>46274.0</v>
      </c>
      <c r="C1" s="125" t="s">
        <v>141</v>
      </c>
      <c r="D1" s="123" t="s">
        <v>110</v>
      </c>
      <c r="E1" s="129">
        <v>46274.0</v>
      </c>
      <c r="F1" s="27" t="s">
        <v>141</v>
      </c>
      <c r="G1" s="123" t="s">
        <v>142</v>
      </c>
      <c r="H1" s="129">
        <v>46274.0</v>
      </c>
      <c r="I1" s="27" t="s">
        <v>141</v>
      </c>
      <c r="J1" s="123" t="s">
        <v>143</v>
      </c>
      <c r="K1" s="129">
        <v>46274.0</v>
      </c>
    </row>
    <row r="2">
      <c r="A2" s="27" t="s">
        <v>144</v>
      </c>
      <c r="B2" s="28">
        <f>'Final Result'!J18</f>
        <v>25100.83</v>
      </c>
      <c r="D2" s="27" t="s">
        <v>145</v>
      </c>
      <c r="E2" s="27">
        <f>SUMIFS(Extra!$H:$H,Extra!$E:$E,D2,Extra!$K:$K,9)</f>
        <v>527</v>
      </c>
      <c r="G2" s="27" t="s">
        <v>106</v>
      </c>
      <c r="H2" s="27">
        <f>SUMIFS(Dados!N:N,Dados!A:A,G2,Dados!I:I,9)</f>
        <v>0</v>
      </c>
      <c r="J2" s="59" t="s">
        <v>41</v>
      </c>
      <c r="K2" s="28">
        <f>'Analysis OUT'!M89</f>
        <v>0</v>
      </c>
    </row>
    <row r="3">
      <c r="A3" s="27" t="s">
        <v>147</v>
      </c>
      <c r="B3" s="28">
        <f>'Final Result'!J20</f>
        <v>11741.9</v>
      </c>
      <c r="D3" s="27" t="s">
        <v>148</v>
      </c>
      <c r="E3" s="27">
        <f>SUMIFS(Extra!$H:$H,Extra!$E:$E,D3,Extra!$K:$K,9)</f>
        <v>0</v>
      </c>
      <c r="G3" s="27" t="s">
        <v>136</v>
      </c>
      <c r="H3" s="27">
        <f>SUMIFS(Dados!N:N,Dados!A:A,G3,Dados!I:I,9)</f>
        <v>5.19</v>
      </c>
      <c r="J3" s="59" t="s">
        <v>61</v>
      </c>
      <c r="K3" s="28">
        <f>'Analysis OUT'!M90</f>
        <v>1250</v>
      </c>
    </row>
    <row r="4">
      <c r="A4" s="27" t="s">
        <v>149</v>
      </c>
      <c r="B4" s="28">
        <f>'Final Result'!J21</f>
        <v>169.9</v>
      </c>
      <c r="D4" s="27" t="s">
        <v>150</v>
      </c>
      <c r="E4" s="27">
        <f>SUMIFS(Extra!$H:$H,Extra!$E:$E,D4,Extra!$K:$K,9)</f>
        <v>463.7</v>
      </c>
      <c r="G4" s="27" t="s">
        <v>151</v>
      </c>
      <c r="H4" s="27">
        <f>SUMIFS(Dados!N:N,Dados!A:A,G4,Dados!I:I,9)</f>
        <v>438.1</v>
      </c>
      <c r="J4" s="59" t="s">
        <v>49</v>
      </c>
      <c r="K4" s="28">
        <f>'Analysis OUT'!M91</f>
        <v>87.3</v>
      </c>
    </row>
    <row r="5">
      <c r="A5" s="126" t="s">
        <v>152</v>
      </c>
      <c r="B5" s="127">
        <f>B2-B3-B4</f>
        <v>13189.03</v>
      </c>
      <c r="D5" s="27" t="s">
        <v>153</v>
      </c>
      <c r="E5" s="27">
        <f>SUMIFS(Extra!$H:$H,Extra!$E:$E,D5,Extra!$K:$K,9)</f>
        <v>0</v>
      </c>
      <c r="G5" s="27" t="s">
        <v>154</v>
      </c>
      <c r="H5" s="27">
        <f>SUMIFS(Dados!N:N,Dados!A:A,G5,Dados!I:I,9)</f>
        <v>84.27</v>
      </c>
      <c r="J5" s="59" t="s">
        <v>32</v>
      </c>
      <c r="K5" s="28">
        <f>'Analysis OUT'!M92</f>
        <v>230</v>
      </c>
    </row>
    <row r="6">
      <c r="D6" s="27" t="s">
        <v>155</v>
      </c>
      <c r="E6" s="27">
        <f>SUMIFS(Extra!$H:$H,Extra!$E:$E,D6,Extra!$K:$K,9)</f>
        <v>165</v>
      </c>
      <c r="G6" s="27" t="s">
        <v>156</v>
      </c>
      <c r="H6" s="27">
        <f>SUMIFS(Dados!N:N,Dados!A:A,G6,Dados!I:I,9)</f>
        <v>379.28</v>
      </c>
      <c r="J6" s="59" t="s">
        <v>40</v>
      </c>
      <c r="K6" s="28">
        <f>'Analysis OUT'!M93</f>
        <v>84.25</v>
      </c>
    </row>
    <row r="7">
      <c r="A7" s="123" t="s">
        <v>157</v>
      </c>
      <c r="B7" s="129">
        <v>46274.0</v>
      </c>
      <c r="D7" s="27" t="s">
        <v>158</v>
      </c>
      <c r="E7" s="27">
        <f>SUMIFS(Extra!$H:$H,Extra!$E:$E,D7,Extra!$K:$K,9)</f>
        <v>0</v>
      </c>
      <c r="G7" s="27" t="s">
        <v>160</v>
      </c>
      <c r="H7" s="27">
        <f>SUMIFS(Dados!N:N,Dados!A:A,G7,Dados!I:I,9)</f>
        <v>526.62</v>
      </c>
      <c r="J7" s="59" t="s">
        <v>161</v>
      </c>
      <c r="K7" s="28">
        <f>'Analysis OUT'!M94</f>
        <v>80</v>
      </c>
    </row>
    <row r="8">
      <c r="A8" s="27" t="s">
        <v>162</v>
      </c>
      <c r="B8" s="28">
        <f>'Final Result'!J28</f>
        <v>2942.56</v>
      </c>
      <c r="D8" s="27" t="s">
        <v>163</v>
      </c>
      <c r="E8" s="27">
        <f>SUMIFS(Extra!$H:$H,Extra!$E:$E,D8,Extra!$K:$K,9)</f>
        <v>0</v>
      </c>
      <c r="G8" s="27" t="s">
        <v>164</v>
      </c>
      <c r="H8" s="27">
        <f>SUMIFS(Dados!N:N,Dados!A:A,G8,Dados!I:I,9)</f>
        <v>30.78</v>
      </c>
      <c r="J8" s="59" t="s">
        <v>37</v>
      </c>
      <c r="K8" s="28">
        <f>'Analysis OUT'!M95</f>
        <v>0</v>
      </c>
    </row>
    <row r="9">
      <c r="A9" s="27" t="s">
        <v>165</v>
      </c>
      <c r="B9" s="28">
        <f>'Final Result'!J25</f>
        <v>2919</v>
      </c>
      <c r="D9" s="130" t="s">
        <v>166</v>
      </c>
      <c r="E9" s="27">
        <f>SUMIFS(Extra!$H:$H,Extra!$E:$E,D9,Extra!$K:$K,9)</f>
        <v>291</v>
      </c>
      <c r="G9" s="27" t="s">
        <v>167</v>
      </c>
      <c r="H9" s="27">
        <f>SUMIFS(Dados!N:N,Dados!A:A,G9,Dados!I:I,9)</f>
        <v>1731.55</v>
      </c>
      <c r="J9" s="59" t="s">
        <v>168</v>
      </c>
      <c r="K9" s="28">
        <f>'Analysis OUT'!M96</f>
        <v>0</v>
      </c>
    </row>
    <row r="10">
      <c r="A10" s="126" t="s">
        <v>169</v>
      </c>
      <c r="B10" s="127">
        <f>B8+B9</f>
        <v>5861.56</v>
      </c>
      <c r="D10" s="27" t="s">
        <v>170</v>
      </c>
      <c r="E10" s="27">
        <f>SUMIFS(Extra!$H:$H,Extra!$E:$E,D10,Extra!$K:$K,9)</f>
        <v>0</v>
      </c>
      <c r="G10" s="27" t="s">
        <v>153</v>
      </c>
      <c r="H10" s="27">
        <f>SUMIFS(Dados!N:N,Dados!A:A,G10,Dados!I:I,9)</f>
        <v>21.72</v>
      </c>
      <c r="J10" s="126" t="s">
        <v>35</v>
      </c>
      <c r="K10" s="127">
        <f>SUM(K2:K9)</f>
        <v>1731.55</v>
      </c>
    </row>
    <row r="11">
      <c r="D11" s="27" t="s">
        <v>171</v>
      </c>
      <c r="E11" s="27">
        <f>SUMIFS(Extra!$H:$H,Extra!$E:$E,D11,Extra!$K:$K,9)</f>
        <v>0</v>
      </c>
      <c r="G11" s="27" t="s">
        <v>172</v>
      </c>
      <c r="H11" s="27">
        <f>SUMIFS(Dados!N:N,Dados!A:A,G11,Dados!I:I,9)</f>
        <v>237.39</v>
      </c>
    </row>
    <row r="12">
      <c r="A12" s="123" t="s">
        <v>174</v>
      </c>
      <c r="B12" s="129">
        <v>46274.0</v>
      </c>
      <c r="D12" s="126" t="s">
        <v>35</v>
      </c>
      <c r="E12" s="127">
        <f>SUM(E2:E11)</f>
        <v>1446.7</v>
      </c>
      <c r="G12" s="27" t="s">
        <v>175</v>
      </c>
      <c r="H12" s="27">
        <f>SUMIFS(Dados!N:N,Dados!A:A,G12,Dados!I:I,9)</f>
        <v>21.2</v>
      </c>
    </row>
    <row r="13">
      <c r="A13" s="27" t="s">
        <v>86</v>
      </c>
      <c r="B13" s="128">
        <f>Receptor!J26</f>
        <v>781</v>
      </c>
      <c r="G13" s="27" t="s">
        <v>177</v>
      </c>
      <c r="H13" s="27">
        <f>SUMIFS(Dados!N:N,Dados!A:A,G13,Dados!I:I,9)</f>
        <v>0</v>
      </c>
    </row>
    <row r="14">
      <c r="A14" s="27" t="s">
        <v>91</v>
      </c>
      <c r="B14" s="72">
        <f>Receptor!J27</f>
        <v>1.066939891</v>
      </c>
      <c r="G14" s="27" t="s">
        <v>178</v>
      </c>
      <c r="H14" s="27">
        <f>SUMIFS(Dados!N:N,Dados!A:A,G14,Dados!I:I,9)</f>
        <v>8265.8</v>
      </c>
    </row>
    <row r="15">
      <c r="A15" s="27" t="s">
        <v>92</v>
      </c>
      <c r="B15" s="72">
        <f>Receptor!J28</f>
        <v>0.9740437158</v>
      </c>
      <c r="G15" s="126" t="s">
        <v>35</v>
      </c>
      <c r="H15" s="127">
        <f>SUM(H2:H14)</f>
        <v>11741.9</v>
      </c>
    </row>
    <row r="16">
      <c r="A16" s="27"/>
    </row>
    <row r="17">
      <c r="A17" s="27" t="s">
        <v>179</v>
      </c>
      <c r="B17" s="28">
        <f>Receptor!J33</f>
        <v>33.84770004</v>
      </c>
    </row>
    <row r="18">
      <c r="A18" s="27" t="s">
        <v>180</v>
      </c>
      <c r="B18" s="28">
        <f>Receptor!J37</f>
        <v>15.57281167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23" t="s">
        <v>119</v>
      </c>
      <c r="B1" s="129">
        <v>45901.0</v>
      </c>
      <c r="C1" s="125" t="s">
        <v>141</v>
      </c>
      <c r="D1" s="123" t="s">
        <v>110</v>
      </c>
      <c r="E1" s="129">
        <v>45901.0</v>
      </c>
      <c r="F1" s="27" t="s">
        <v>141</v>
      </c>
      <c r="G1" s="123" t="s">
        <v>142</v>
      </c>
      <c r="H1" s="129">
        <v>45901.0</v>
      </c>
      <c r="I1" s="27" t="s">
        <v>141</v>
      </c>
      <c r="J1" s="123" t="s">
        <v>143</v>
      </c>
      <c r="K1" s="129">
        <v>45901.0</v>
      </c>
    </row>
    <row r="2">
      <c r="A2" s="27" t="s">
        <v>144</v>
      </c>
      <c r="B2" s="131">
        <f>29857.66+E12</f>
        <v>31807.16</v>
      </c>
      <c r="D2" s="27" t="s">
        <v>145</v>
      </c>
      <c r="E2" s="27">
        <f>45+267</f>
        <v>312</v>
      </c>
      <c r="G2" s="27" t="s">
        <v>106</v>
      </c>
      <c r="H2" s="130">
        <v>83.82</v>
      </c>
      <c r="J2" s="59" t="s">
        <v>41</v>
      </c>
      <c r="K2" s="131">
        <v>698.73</v>
      </c>
    </row>
    <row r="3">
      <c r="A3" s="27" t="s">
        <v>147</v>
      </c>
      <c r="B3" s="131">
        <v>10322.99</v>
      </c>
      <c r="D3" s="27" t="s">
        <v>148</v>
      </c>
      <c r="E3" s="130">
        <v>322.0</v>
      </c>
      <c r="G3" s="27" t="s">
        <v>136</v>
      </c>
      <c r="H3" s="130">
        <v>30.76</v>
      </c>
      <c r="J3" s="59" t="s">
        <v>61</v>
      </c>
      <c r="K3" s="131">
        <v>1270.0</v>
      </c>
    </row>
    <row r="4">
      <c r="A4" s="27" t="s">
        <v>149</v>
      </c>
      <c r="B4" s="131">
        <v>394.32</v>
      </c>
      <c r="D4" s="27" t="s">
        <v>150</v>
      </c>
      <c r="E4" s="130">
        <f>250.25+170.5</f>
        <v>420.75</v>
      </c>
      <c r="G4" s="27" t="s">
        <v>151</v>
      </c>
      <c r="H4" s="130">
        <v>637.96</v>
      </c>
      <c r="J4" s="59" t="s">
        <v>49</v>
      </c>
      <c r="K4" s="28">
        <f>'Analysis OUT'!M91</f>
        <v>87.3</v>
      </c>
    </row>
    <row r="5">
      <c r="A5" s="126" t="s">
        <v>152</v>
      </c>
      <c r="B5" s="127">
        <f>B2-B3-B4</f>
        <v>21089.85</v>
      </c>
      <c r="D5" s="27" t="s">
        <v>153</v>
      </c>
      <c r="E5" s="130">
        <f>1948.5-1527.75</f>
        <v>420.75</v>
      </c>
      <c r="G5" s="27" t="s">
        <v>154</v>
      </c>
      <c r="H5" s="130">
        <v>37.12</v>
      </c>
      <c r="J5" s="59" t="s">
        <v>32</v>
      </c>
      <c r="K5" s="131">
        <v>215.0</v>
      </c>
    </row>
    <row r="6">
      <c r="D6" s="27" t="s">
        <v>155</v>
      </c>
      <c r="E6" s="130">
        <v>185.0</v>
      </c>
      <c r="G6" s="27" t="s">
        <v>156</v>
      </c>
      <c r="H6" s="130">
        <v>878.72</v>
      </c>
      <c r="J6" s="59" t="s">
        <v>40</v>
      </c>
      <c r="K6" s="131">
        <f>548.32-3.92</f>
        <v>544.4</v>
      </c>
    </row>
    <row r="7">
      <c r="A7" s="123" t="s">
        <v>157</v>
      </c>
      <c r="B7" s="129">
        <v>45901.0</v>
      </c>
      <c r="D7" s="27" t="s">
        <v>158</v>
      </c>
      <c r="E7" s="27">
        <f>SUMIFS(Extra!$H:$H,Extra!$E:$E,D7,Extra!$K:$K,9)</f>
        <v>0</v>
      </c>
      <c r="G7" s="27" t="s">
        <v>160</v>
      </c>
      <c r="H7" s="130">
        <v>266.06</v>
      </c>
      <c r="J7" s="59" t="s">
        <v>161</v>
      </c>
      <c r="K7" s="131">
        <v>0.0</v>
      </c>
    </row>
    <row r="8">
      <c r="A8" s="27" t="s">
        <v>162</v>
      </c>
      <c r="B8" s="131">
        <v>381.55</v>
      </c>
      <c r="D8" s="27" t="s">
        <v>163</v>
      </c>
      <c r="E8" s="130">
        <v>3.0</v>
      </c>
      <c r="G8" s="27" t="s">
        <v>164</v>
      </c>
      <c r="H8" s="130">
        <v>0.0</v>
      </c>
      <c r="J8" s="59" t="s">
        <v>37</v>
      </c>
      <c r="K8" s="131">
        <v>67.15</v>
      </c>
    </row>
    <row r="9">
      <c r="A9" s="27" t="s">
        <v>165</v>
      </c>
      <c r="B9" s="131">
        <v>1301.39</v>
      </c>
      <c r="D9" s="130" t="s">
        <v>166</v>
      </c>
      <c r="E9" s="130">
        <v>286.0</v>
      </c>
      <c r="G9" s="27" t="s">
        <v>167</v>
      </c>
      <c r="H9" s="130">
        <v>2882.58</v>
      </c>
      <c r="J9" s="59" t="s">
        <v>168</v>
      </c>
      <c r="K9" s="28">
        <f>'Analysis OUT'!M96</f>
        <v>0</v>
      </c>
    </row>
    <row r="10">
      <c r="A10" s="126" t="s">
        <v>169</v>
      </c>
      <c r="B10" s="127">
        <f>B8+B9</f>
        <v>1682.94</v>
      </c>
      <c r="D10" s="27" t="s">
        <v>170</v>
      </c>
      <c r="E10" s="27">
        <f>SUMIFS(Extra!$H:$H,Extra!$E:$E,D10,Extra!$K:$K,9)</f>
        <v>0</v>
      </c>
      <c r="G10" s="27" t="s">
        <v>153</v>
      </c>
      <c r="H10" s="130">
        <v>61.0</v>
      </c>
      <c r="J10" s="126" t="s">
        <v>35</v>
      </c>
      <c r="K10" s="127">
        <f>SUM(K2:K9)</f>
        <v>2882.58</v>
      </c>
    </row>
    <row r="11">
      <c r="D11" s="27" t="s">
        <v>171</v>
      </c>
      <c r="E11" s="27">
        <f>SUMIFS(Extra!$H:$H,Extra!$E:$E,D11,Extra!$K:$K,9)</f>
        <v>0</v>
      </c>
      <c r="G11" s="27" t="s">
        <v>172</v>
      </c>
      <c r="H11" s="130">
        <v>235.67</v>
      </c>
    </row>
    <row r="12">
      <c r="A12" s="123" t="s">
        <v>174</v>
      </c>
      <c r="B12" s="129">
        <v>45901.0</v>
      </c>
      <c r="D12" s="126" t="s">
        <v>35</v>
      </c>
      <c r="E12" s="127">
        <f>SUM(E2:E11)</f>
        <v>1949.5</v>
      </c>
      <c r="G12" s="27" t="s">
        <v>175</v>
      </c>
      <c r="H12" s="130">
        <v>9.3</v>
      </c>
    </row>
    <row r="13">
      <c r="A13" s="27" t="s">
        <v>86</v>
      </c>
      <c r="B13" s="135">
        <v>713.0</v>
      </c>
      <c r="G13" s="27" t="s">
        <v>177</v>
      </c>
      <c r="H13" s="27">
        <f>SUMIFS(Dados!N:N,Dados!A:A,G13,Dados!I:I,9)</f>
        <v>0</v>
      </c>
    </row>
    <row r="14">
      <c r="A14" s="27" t="s">
        <v>91</v>
      </c>
      <c r="B14" s="136">
        <v>0.974</v>
      </c>
      <c r="G14" s="27" t="s">
        <v>178</v>
      </c>
      <c r="H14" s="130">
        <v>5200.0</v>
      </c>
    </row>
    <row r="15">
      <c r="A15" s="27"/>
      <c r="B15" s="72"/>
      <c r="G15" s="126" t="s">
        <v>35</v>
      </c>
      <c r="H15" s="127">
        <f>SUM(H2:H14)</f>
        <v>10322.99</v>
      </c>
    </row>
    <row r="16">
      <c r="A16" s="27"/>
    </row>
    <row r="17">
      <c r="A17" s="27" t="s">
        <v>179</v>
      </c>
      <c r="B17" s="131">
        <v>40.21</v>
      </c>
    </row>
    <row r="18">
      <c r="A18" s="27" t="s">
        <v>180</v>
      </c>
      <c r="B18" s="131">
        <v>16.39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23" t="s">
        <v>119</v>
      </c>
      <c r="B1" s="129">
        <v>45870.0</v>
      </c>
      <c r="C1" s="125" t="s">
        <v>141</v>
      </c>
      <c r="D1" s="123" t="s">
        <v>110</v>
      </c>
      <c r="E1" s="129">
        <v>45870.0</v>
      </c>
      <c r="F1" s="27" t="s">
        <v>141</v>
      </c>
      <c r="G1" s="123" t="s">
        <v>142</v>
      </c>
      <c r="H1" s="129">
        <v>45870.0</v>
      </c>
    </row>
    <row r="2">
      <c r="A2" s="27" t="s">
        <v>144</v>
      </c>
      <c r="B2" s="28">
        <f>40573.54</f>
        <v>40573.54</v>
      </c>
      <c r="D2" s="27" t="s">
        <v>194</v>
      </c>
      <c r="E2" s="28">
        <v>25.0</v>
      </c>
      <c r="G2" s="27" t="s">
        <v>106</v>
      </c>
      <c r="H2" s="28">
        <v>559.65</v>
      </c>
    </row>
    <row r="3">
      <c r="A3" s="27" t="s">
        <v>147</v>
      </c>
      <c r="B3" s="131">
        <f>10112.85</f>
        <v>10112.85</v>
      </c>
      <c r="D3" s="27" t="s">
        <v>195</v>
      </c>
      <c r="E3" s="28">
        <v>260.0</v>
      </c>
      <c r="G3" s="27" t="s">
        <v>118</v>
      </c>
      <c r="H3" s="28">
        <v>0.0</v>
      </c>
    </row>
    <row r="4">
      <c r="A4" s="27" t="s">
        <v>149</v>
      </c>
      <c r="B4" s="131">
        <v>629.69</v>
      </c>
      <c r="D4" s="27" t="s">
        <v>148</v>
      </c>
      <c r="E4" s="28">
        <v>261.0</v>
      </c>
      <c r="G4" s="27" t="s">
        <v>136</v>
      </c>
      <c r="H4" s="28">
        <v>58.07</v>
      </c>
    </row>
    <row r="5">
      <c r="A5" s="126" t="s">
        <v>152</v>
      </c>
      <c r="B5" s="127">
        <f>B2-B3-B4</f>
        <v>29831</v>
      </c>
      <c r="D5" s="27" t="s">
        <v>196</v>
      </c>
      <c r="E5" s="28">
        <v>60.0</v>
      </c>
      <c r="G5" s="27" t="s">
        <v>197</v>
      </c>
      <c r="H5" s="28">
        <v>241.35000000000002</v>
      </c>
    </row>
    <row r="6">
      <c r="D6" s="27" t="s">
        <v>198</v>
      </c>
      <c r="E6" s="28">
        <v>45.0</v>
      </c>
      <c r="G6" s="27" t="s">
        <v>154</v>
      </c>
      <c r="H6" s="28">
        <v>39.39</v>
      </c>
    </row>
    <row r="7">
      <c r="A7" s="123" t="s">
        <v>157</v>
      </c>
      <c r="B7" s="129">
        <v>45870.0</v>
      </c>
      <c r="D7" s="27" t="s">
        <v>199</v>
      </c>
      <c r="E7" s="28">
        <v>345.0</v>
      </c>
      <c r="G7" s="27" t="s">
        <v>156</v>
      </c>
      <c r="H7" s="28">
        <v>1736.01</v>
      </c>
    </row>
    <row r="8">
      <c r="A8" s="27" t="s">
        <v>162</v>
      </c>
      <c r="B8" s="131">
        <v>29.99</v>
      </c>
      <c r="D8" s="132" t="s">
        <v>200</v>
      </c>
      <c r="E8" s="28">
        <v>1.78</v>
      </c>
      <c r="G8" s="27" t="s">
        <v>160</v>
      </c>
      <c r="H8" s="28">
        <v>326.78999999999996</v>
      </c>
    </row>
    <row r="9">
      <c r="A9" s="27" t="s">
        <v>165</v>
      </c>
      <c r="B9" s="131">
        <v>5723.2</v>
      </c>
      <c r="D9" s="27" t="s">
        <v>155</v>
      </c>
      <c r="E9" s="28">
        <v>65.0</v>
      </c>
      <c r="G9" s="27" t="s">
        <v>201</v>
      </c>
      <c r="H9" s="28">
        <v>0.0</v>
      </c>
    </row>
    <row r="10">
      <c r="A10" s="126" t="s">
        <v>169</v>
      </c>
      <c r="B10" s="127">
        <f>B8+B9</f>
        <v>5753.19</v>
      </c>
      <c r="D10" s="27" t="s">
        <v>163</v>
      </c>
      <c r="E10" s="28">
        <v>6.0</v>
      </c>
      <c r="G10" s="27" t="s">
        <v>164</v>
      </c>
      <c r="H10" s="28">
        <v>0.0</v>
      </c>
    </row>
    <row r="11">
      <c r="D11" s="27" t="s">
        <v>150</v>
      </c>
      <c r="E11" s="28">
        <v>146.5</v>
      </c>
      <c r="G11" s="27" t="s">
        <v>202</v>
      </c>
      <c r="H11" s="28">
        <f>1510.5</f>
        <v>1510.5</v>
      </c>
    </row>
    <row r="12">
      <c r="A12" s="123" t="s">
        <v>174</v>
      </c>
      <c r="B12" s="129">
        <v>45870.0</v>
      </c>
      <c r="D12" s="133" t="s">
        <v>203</v>
      </c>
      <c r="E12" s="134">
        <v>1.5</v>
      </c>
      <c r="G12" s="27" t="s">
        <v>205</v>
      </c>
      <c r="H12" s="28">
        <v>646.4399999999999</v>
      </c>
    </row>
    <row r="13">
      <c r="A13" s="27" t="s">
        <v>86</v>
      </c>
      <c r="B13" s="135">
        <v>743.0</v>
      </c>
      <c r="D13" s="133" t="s">
        <v>206</v>
      </c>
      <c r="E13" s="134">
        <v>15.0</v>
      </c>
      <c r="G13" s="27" t="s">
        <v>175</v>
      </c>
      <c r="H13" s="28">
        <v>86.34</v>
      </c>
    </row>
    <row r="14">
      <c r="A14" s="27" t="s">
        <v>91</v>
      </c>
      <c r="B14" s="136">
        <v>1.0178</v>
      </c>
      <c r="D14" s="133" t="s">
        <v>171</v>
      </c>
      <c r="E14" s="134">
        <v>110.0</v>
      </c>
      <c r="G14" s="27" t="s">
        <v>178</v>
      </c>
      <c r="H14" s="28">
        <v>4850.0</v>
      </c>
    </row>
    <row r="15">
      <c r="A15" s="130" t="s">
        <v>207</v>
      </c>
      <c r="B15" s="136">
        <v>1.163</v>
      </c>
      <c r="D15" s="133" t="s">
        <v>170</v>
      </c>
      <c r="E15" s="134">
        <v>25.0</v>
      </c>
      <c r="G15" s="27" t="s">
        <v>153</v>
      </c>
      <c r="H15" s="28">
        <v>24.0</v>
      </c>
    </row>
    <row r="16">
      <c r="A16" s="27"/>
      <c r="D16" s="133" t="s">
        <v>208</v>
      </c>
      <c r="E16" s="134">
        <v>2.5</v>
      </c>
      <c r="G16" s="133" t="s">
        <v>177</v>
      </c>
      <c r="H16" s="134">
        <v>34.31</v>
      </c>
    </row>
    <row r="17">
      <c r="A17" s="27" t="s">
        <v>179</v>
      </c>
      <c r="B17" s="131">
        <v>51.27</v>
      </c>
      <c r="D17" s="133" t="s">
        <v>209</v>
      </c>
      <c r="E17" s="134">
        <v>12.0</v>
      </c>
      <c r="G17" s="126" t="s">
        <v>35</v>
      </c>
      <c r="H17" s="127">
        <f>SUM(H2:H16)</f>
        <v>10112.85</v>
      </c>
    </row>
    <row r="18">
      <c r="A18" s="27" t="s">
        <v>180</v>
      </c>
      <c r="B18" s="131">
        <v>13.57</v>
      </c>
      <c r="D18" s="133" t="s">
        <v>210</v>
      </c>
      <c r="E18" s="134">
        <v>3.0</v>
      </c>
    </row>
    <row r="19">
      <c r="D19" s="133" t="s">
        <v>211</v>
      </c>
      <c r="E19" s="134">
        <v>9.0</v>
      </c>
    </row>
    <row r="20">
      <c r="D20" s="133" t="s">
        <v>212</v>
      </c>
      <c r="E20" s="134">
        <v>26.0</v>
      </c>
    </row>
    <row r="21" ht="15.75" customHeight="1">
      <c r="D21" s="133" t="s">
        <v>213</v>
      </c>
      <c r="E21" s="134">
        <v>24.0</v>
      </c>
    </row>
    <row r="22" ht="15.75" customHeight="1">
      <c r="D22" s="133" t="s">
        <v>214</v>
      </c>
      <c r="E22" s="134">
        <v>6.0</v>
      </c>
    </row>
    <row r="23" ht="15.75" customHeight="1">
      <c r="D23" s="133" t="s">
        <v>215</v>
      </c>
      <c r="E23" s="134">
        <v>41.0</v>
      </c>
    </row>
    <row r="24" ht="15.75" customHeight="1">
      <c r="D24" s="133" t="s">
        <v>216</v>
      </c>
      <c r="E24" s="134">
        <v>96.0</v>
      </c>
    </row>
    <row r="25" ht="15.75" customHeight="1">
      <c r="D25" s="133" t="s">
        <v>217</v>
      </c>
      <c r="E25" s="134">
        <v>176.0</v>
      </c>
    </row>
    <row r="26" ht="15.75" customHeight="1">
      <c r="D26" s="126" t="s">
        <v>35</v>
      </c>
      <c r="E26" s="127">
        <v>1762.28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1.5"/>
    <col customWidth="1" min="3" max="3" width="10.38"/>
    <col customWidth="1" min="4" max="4" width="9.88"/>
    <col customWidth="1" min="5" max="5" width="11.63"/>
    <col customWidth="1" min="6" max="6" width="10.88"/>
    <col customWidth="1" min="7" max="7" width="11.38"/>
    <col customWidth="1" min="8" max="8" width="10.75"/>
    <col customWidth="1" min="9" max="9" width="10.25"/>
    <col customWidth="1" min="10" max="10" width="9.88"/>
    <col customWidth="1" min="11" max="11" width="9.38"/>
    <col customWidth="1" min="12" max="12" width="10.0"/>
    <col customWidth="1" min="13" max="13" width="11.5"/>
    <col customWidth="1" min="14" max="32" width="11.75"/>
  </cols>
  <sheetData>
    <row r="1" ht="15.75" customHeight="1">
      <c r="A1" s="16" t="s">
        <v>218</v>
      </c>
      <c r="B1" s="6" t="s">
        <v>2</v>
      </c>
      <c r="C1" s="6"/>
      <c r="D1" s="6"/>
      <c r="E1" s="6"/>
      <c r="F1" s="6"/>
      <c r="G1" s="6"/>
      <c r="H1" s="137"/>
      <c r="I1" s="137"/>
      <c r="J1" s="137"/>
      <c r="K1" s="137"/>
      <c r="L1" s="137"/>
      <c r="M1" s="137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</row>
    <row r="2" ht="15.75" customHeight="1">
      <c r="A2" s="138" t="s">
        <v>102</v>
      </c>
      <c r="B2" s="9">
        <v>2026.0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ht="15.75" customHeight="1">
      <c r="A3" s="1" t="s">
        <v>219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  <c r="J3" s="2" t="s">
        <v>79</v>
      </c>
      <c r="K3" s="2" t="s">
        <v>80</v>
      </c>
      <c r="L3" s="2" t="s">
        <v>81</v>
      </c>
      <c r="M3" s="2" t="s">
        <v>82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</row>
    <row r="4" ht="15.75" customHeight="1">
      <c r="A4" s="138" t="s">
        <v>219</v>
      </c>
      <c r="B4" s="9">
        <v>1.0</v>
      </c>
      <c r="C4" s="9">
        <v>2.0</v>
      </c>
      <c r="D4" s="9">
        <v>3.0</v>
      </c>
      <c r="E4" s="9">
        <v>4.0</v>
      </c>
      <c r="F4" s="9">
        <v>5.0</v>
      </c>
      <c r="G4" s="9">
        <v>6.0</v>
      </c>
      <c r="H4" s="9">
        <v>7.0</v>
      </c>
      <c r="I4" s="9">
        <v>8.0</v>
      </c>
      <c r="J4" s="9">
        <v>9.0</v>
      </c>
      <c r="K4" s="9">
        <v>10.0</v>
      </c>
      <c r="L4" s="9">
        <v>11.0</v>
      </c>
      <c r="M4" s="9">
        <v>12.0</v>
      </c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</row>
    <row r="5" ht="15.75" customHeight="1">
      <c r="A5" s="15" t="s">
        <v>221</v>
      </c>
      <c r="B5" s="18">
        <v>89327.83</v>
      </c>
      <c r="C5" s="139">
        <f t="shared" ref="C5:M5" si="1">B16</f>
        <v>83545.52</v>
      </c>
      <c r="D5" s="139">
        <f t="shared" si="1"/>
        <v>55362.75</v>
      </c>
      <c r="E5" s="139">
        <f t="shared" si="1"/>
        <v>44212.71</v>
      </c>
      <c r="F5" s="139">
        <f t="shared" si="1"/>
        <v>33049.2</v>
      </c>
      <c r="G5" s="139">
        <f t="shared" si="1"/>
        <v>32293.36888</v>
      </c>
      <c r="H5" s="139">
        <f t="shared" si="1"/>
        <v>29775.85888</v>
      </c>
      <c r="I5" s="139">
        <f t="shared" si="1"/>
        <v>32289.37888</v>
      </c>
      <c r="J5" s="139">
        <f t="shared" si="1"/>
        <v>31619.35888</v>
      </c>
      <c r="K5" s="139">
        <f t="shared" si="1"/>
        <v>42030.07888</v>
      </c>
      <c r="L5" s="139">
        <f t="shared" si="1"/>
        <v>45885.66888</v>
      </c>
      <c r="M5" s="139">
        <f t="shared" si="1"/>
        <v>45885.66888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ht="15.75" customHeight="1">
      <c r="A6" s="140" t="s">
        <v>222</v>
      </c>
      <c r="B6" s="18">
        <f>SUMIFS(Dados!$N:$N,Dados!$G:$G,B4,Dados!$H:$H,$B$2,Dados!$B:$B,$A$6)</f>
        <v>0</v>
      </c>
      <c r="C6" s="18">
        <f>SUMIFS(Dados!$N:$N,Dados!$G:$G,C4,Dados!$H:$H,$B$2,Dados!$B:$B,$A$6)</f>
        <v>0</v>
      </c>
      <c r="D6" s="18">
        <f>SUMIFS(Dados!$N:$N,Dados!$G:$G,D4,Dados!$H:$H,$B$2,Dados!$B:$B,$A$6)</f>
        <v>0</v>
      </c>
      <c r="E6" s="18">
        <f>SUMIFS(Dados!$N:$N,Dados!$G:$G,E4,Dados!$H:$H,$B$2,Dados!$B:$B,$A$6)</f>
        <v>0</v>
      </c>
      <c r="F6" s="18">
        <f>SUMIFS(Dados!$N:$N,Dados!$G:$G,F4,Dados!$H:$H,$B$2,Dados!$B:$B,$A$6)</f>
        <v>0</v>
      </c>
      <c r="G6" s="18">
        <f>SUMIFS(Dados!$N:$N,Dados!$G:$G,G4,Dados!$H:$H,$B$2,Dados!$B:$B,$A$6)</f>
        <v>0</v>
      </c>
      <c r="H6" s="18">
        <f>SUMIFS(Dados!$N:$N,Dados!$G:$G,H4,Dados!$H:$H,$B$2,Dados!$B:$B,$A$6)</f>
        <v>0</v>
      </c>
      <c r="I6" s="18">
        <f>SUMIFS(Dados!$N:$N,Dados!$G:$G,I4,Dados!$H:$H,$B$2,Dados!$B:$B,$A$6)</f>
        <v>1100.09</v>
      </c>
      <c r="J6" s="18">
        <f>SUMIFS(Dados!$N:$N,Dados!$G:$G,J4,Dados!$H:$H,$B$2,Dados!$B:$B,$A$6)</f>
        <v>0</v>
      </c>
      <c r="K6" s="18">
        <f>SUMIFS(Dados!$N:$N,Dados!$G:$G,K4,Dados!$H:$H,$B$2,Dados!$B:$B,$A$6)</f>
        <v>0</v>
      </c>
      <c r="L6" s="18">
        <f>SUMIFS(Dados!$N:$N,Dados!$G:$G,L4,Dados!$H:$H,$B$2,Dados!$B:$B,$A$6)</f>
        <v>0</v>
      </c>
      <c r="M6" s="18">
        <f>SUMIFS(Dados!$N:$N,Dados!$G:$G,M4,Dados!$H:$H,$B$2,Dados!$B:$B,$A$6)</f>
        <v>0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ht="15.75" customHeight="1">
      <c r="A7" s="140" t="s">
        <v>110</v>
      </c>
      <c r="B7" s="18">
        <f>SUMIFS(Extra!$H:$H,Extra!$C:$C,B4,Extra!$D:$D,$B$2,Extra!$I:$I,"Bank")</f>
        <v>0</v>
      </c>
      <c r="C7" s="18">
        <f>SUMIFS(Extra!$H:$H,Extra!$C:$C,C4,Extra!$D:$D,$B$2,Extra!$I:$I,"Bank")</f>
        <v>0</v>
      </c>
      <c r="D7" s="18">
        <f>SUMIFS(Extra!$H:$H,Extra!$C:$C,D4,Extra!$D:$D,$B$2,Extra!$I:$I,"Bank")</f>
        <v>0</v>
      </c>
      <c r="E7" s="18">
        <f>SUMIFS(Extra!$H:$H,Extra!$C:$C,E4,Extra!$D:$D,$B$2,Extra!$I:$I,"Bank")</f>
        <v>0</v>
      </c>
      <c r="F7" s="18">
        <f>SUMIFS(Extra!$H:$H,Extra!$C:$C,F4,Extra!$D:$D,$B$2,Extra!$I:$I,"Bank")</f>
        <v>423.5</v>
      </c>
      <c r="G7" s="18">
        <f>SUMIFS(Extra!$H:$H,Extra!$C:$C,G4,Extra!$D:$D,$B$2,Extra!$I:$I,"Bank")</f>
        <v>216.15</v>
      </c>
      <c r="H7" s="18">
        <f>SUMIFS(Extra!$H:$H,Extra!$C:$C,H4,Extra!$D:$D,$B$2,Extra!$I:$I,"Bank")</f>
        <v>356.4</v>
      </c>
      <c r="I7" s="18">
        <f>SUMIFS(Extra!$H:$H,Extra!$C:$C,I4,Extra!$D:$D,$B$2,Extra!$I:$I,"Bank")</f>
        <v>533.4</v>
      </c>
      <c r="J7" s="18">
        <f>SUMIFS(Extra!$H:$H,Extra!$C:$C,J4,Extra!$D:$D,$B$2,Extra!$I:$I,"Bank")</f>
        <v>400.2</v>
      </c>
      <c r="K7" s="18">
        <f>SUMIFS(Extra!$H:$H,Extra!$C:$C,K4,Extra!$D:$D,$B$2,Extra!$I:$I,"Bank")</f>
        <v>0</v>
      </c>
      <c r="L7" s="18">
        <f>SUMIFS(Extra!$H:$H,Extra!$C:$C,L4,Extra!$D:$D,$B$2,Extra!$I:$I,"Bank")</f>
        <v>0</v>
      </c>
      <c r="M7" s="18">
        <f>SUMIFS(Extra!$H:$H,Extra!$C:$C,M4,Extra!$D:$D,$B$2,Extra!$I:$I,"Bank")</f>
        <v>0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ht="15.75" customHeight="1">
      <c r="A8" s="15" t="s">
        <v>232</v>
      </c>
      <c r="B8" s="18"/>
      <c r="C8" s="18"/>
      <c r="D8" s="18"/>
      <c r="E8" s="18"/>
      <c r="F8" s="18"/>
      <c r="G8" s="18">
        <f>SUMIFS(CloudBed!$P:$P,CloudBed!$K:$K,"Booking",CloudBed!$S:$S,G4)</f>
        <v>350</v>
      </c>
      <c r="H8" s="18">
        <f>SUMIFS(CloudBed!$P:$P,CloudBed!$K:$K,"Booking",CloudBed!$S:$S,H4)</f>
        <v>456</v>
      </c>
      <c r="I8" s="18">
        <f>SUMIFS(CloudBed!$P:$P,CloudBed!$K:$K,"Booking",CloudBed!$S:$S,I4)</f>
        <v>496</v>
      </c>
      <c r="J8" s="18">
        <f>SUMIFS(CloudBed!$P:$P,CloudBed!$K:$K,"Booking",CloudBed!$S:$S,J4)</f>
        <v>544</v>
      </c>
      <c r="K8" s="18">
        <f>SUMIFS(CloudBed!$P:$P,CloudBed!$K:$K,"Booking",CloudBed!$S:$S,K4)</f>
        <v>626</v>
      </c>
      <c r="L8" s="18">
        <f>SUMIFS(CloudBed!$P:$P,CloudBed!$K:$K,"Booking",CloudBed!$S:$S,L4)</f>
        <v>0</v>
      </c>
      <c r="M8" s="18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ht="15.75" customHeight="1">
      <c r="A9" s="15" t="s">
        <v>36</v>
      </c>
      <c r="B9" s="18"/>
      <c r="C9" s="18"/>
      <c r="D9" s="18"/>
      <c r="E9" s="18"/>
      <c r="F9" s="18"/>
      <c r="G9" s="18">
        <f>SUMIFS(CloudBed!$V:$V,CloudBed!$K:$K,"Booking",CloudBed!$Y:$Y,G4)</f>
        <v>6419.64</v>
      </c>
      <c r="H9" s="18">
        <f>SUMIFS(CloudBed!$V:$V,CloudBed!$K:$K,"Booking",CloudBed!$Y:$Y,H4)</f>
        <v>8072.45</v>
      </c>
      <c r="I9" s="18">
        <f>SUMIFS(CloudBed!$V:$V,CloudBed!$K:$K,"Booking",CloudBed!$Y:$Y,I4)</f>
        <v>8751.41</v>
      </c>
      <c r="J9" s="18">
        <f>SUMIFS(CloudBed!$V:$V,CloudBed!$K:$K,"Booking",CloudBed!$Y:$Y,J4)</f>
        <v>11805.35</v>
      </c>
      <c r="K9" s="18">
        <f>SUMIFS(CloudBed!$V:$V,CloudBed!$K:$K,"Booking",CloudBed!$Y:$Y,K4)</f>
        <v>10922.64</v>
      </c>
      <c r="L9" s="18">
        <f>SUMIFS(CloudBed!$V:$V,CloudBed!$K:$K,"Booking",CloudBed!$Y:$Y,L4)</f>
        <v>0</v>
      </c>
      <c r="M9" s="18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ht="15.75" customHeight="1">
      <c r="A10" s="15" t="s">
        <v>234</v>
      </c>
      <c r="B10" s="18"/>
      <c r="C10" s="18"/>
      <c r="D10" s="18"/>
      <c r="E10" s="18"/>
      <c r="F10" s="18">
        <f>SUMIFS(CloudBed!$P:$P,CloudBed!$K:$K,"Airbnb",CloudBed!$S:$S,F4)</f>
        <v>188</v>
      </c>
      <c r="G10" s="18">
        <f>SUMIFS(CloudBed!$P:$P,CloudBed!$K:$K,"Airbnb",CloudBed!$S:$S,G4)</f>
        <v>378</v>
      </c>
      <c r="H10" s="18">
        <f>SUMIFS(CloudBed!$P:$P,CloudBed!$K:$K,"Airbnb",CloudBed!$S:$S,H4)</f>
        <v>238</v>
      </c>
      <c r="I10" s="18">
        <f>SUMIFS(CloudBed!$P:$P,CloudBed!$K:$K,"Airbnb",CloudBed!$S:$S,I4)</f>
        <v>288</v>
      </c>
      <c r="J10" s="18">
        <f>SUMIFS(CloudBed!$P:$P,CloudBed!$K:$K,"Airbnb",CloudBed!$S:$S,J4)</f>
        <v>250</v>
      </c>
      <c r="K10" s="18">
        <f>SUMIFS(CloudBed!$P:$P,CloudBed!$K:$K,"Airbnb",CloudBed!$S:$S,K4)</f>
        <v>0</v>
      </c>
      <c r="L10" s="18">
        <f>SUMIFS(CloudBed!$P:$P,CloudBed!$K:$K,"Airbnb",CloudBed!$S:$S,L4)</f>
        <v>0</v>
      </c>
      <c r="M10" s="18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ht="15.75" customHeight="1">
      <c r="A11" s="15" t="s">
        <v>51</v>
      </c>
      <c r="B11" s="18"/>
      <c r="C11" s="18"/>
      <c r="D11" s="18"/>
      <c r="E11" s="18"/>
      <c r="F11" s="18">
        <f>SUMIFS(CloudBed!$V:$V,CloudBed!$K:$K,"Airbnb",CloudBed!$Y:$Y,F4)</f>
        <v>4244.358881</v>
      </c>
      <c r="G11" s="18">
        <f>SUMIFS(CloudBed!$V:$V,CloudBed!$K:$K,"Airbnb",CloudBed!$Y:$Y,G4)</f>
        <v>7211.42</v>
      </c>
      <c r="H11" s="18">
        <f>SUMIFS(CloudBed!$V:$V,CloudBed!$K:$K,"Airbnb",CloudBed!$Y:$Y,H4)</f>
        <v>5127.72</v>
      </c>
      <c r="I11" s="18">
        <f>SUMIFS(CloudBed!$V:$V,CloudBed!$K:$K,"Airbnb",CloudBed!$Y:$Y,I4)</f>
        <v>7285.24</v>
      </c>
      <c r="J11" s="18">
        <f>SUMIFS(CloudBed!$V:$V,CloudBed!$K:$K,"Airbnb",CloudBed!$Y:$Y,J4)</f>
        <v>4363.53</v>
      </c>
      <c r="K11" s="18">
        <f>SUMIFS(CloudBed!$V:$V,CloudBed!$K:$K,"Airbnb",CloudBed!$Y:$Y,K4)</f>
        <v>0</v>
      </c>
      <c r="L11" s="18">
        <f>SUMIFS(CloudBed!$V:$V,CloudBed!$K:$K,"Airbnb",CloudBed!$Y:$Y,L4)</f>
        <v>0</v>
      </c>
      <c r="M11" s="18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ht="15.75" customHeight="1">
      <c r="A12" s="15" t="s">
        <v>237</v>
      </c>
      <c r="B12" s="18"/>
      <c r="C12" s="18"/>
      <c r="D12" s="18"/>
      <c r="E12" s="18"/>
      <c r="F12" s="18">
        <f>SUMIFS(CloudBed!$P:$P,CloudBed!$U:$U,"Credit Card",CloudBed!$S:$S,F4)</f>
        <v>0</v>
      </c>
      <c r="G12" s="18">
        <f>SUMIFS(CloudBed!$P:$P,CloudBed!$U:$U,"Credit Card",CloudBed!$S:$S,G4)</f>
        <v>22</v>
      </c>
      <c r="H12" s="18">
        <f>SUMIFS(CloudBed!$P:$P,CloudBed!$U:$U,"Credit Card",CloudBed!$S:$S,H4)</f>
        <v>8</v>
      </c>
      <c r="I12" s="18">
        <f>SUMIFS(CloudBed!$P:$P,CloudBed!$U:$U,"Credit Card",CloudBed!$S:$S,I4)</f>
        <v>2</v>
      </c>
      <c r="J12" s="18">
        <f>SUMIFS(CloudBed!$P:$P,CloudBed!$U:$U,"Credit Card",CloudBed!$S:$S,J4)</f>
        <v>4</v>
      </c>
      <c r="K12" s="18">
        <f>SUMIFS(CloudBed!$P:$P,CloudBed!$U:$U,"Credit Card",CloudBed!$S:$S,K4)</f>
        <v>0</v>
      </c>
      <c r="L12" s="18">
        <f>SUMIFS(CloudBed!$P:$P,CloudBed!$U:$U,"Credit Card",CloudBed!$S:$S,L4)</f>
        <v>0</v>
      </c>
      <c r="M12" s="18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ht="15.75" customHeight="1">
      <c r="A13" s="15" t="s">
        <v>238</v>
      </c>
      <c r="B13" s="18"/>
      <c r="C13" s="18"/>
      <c r="D13" s="18"/>
      <c r="E13" s="18"/>
      <c r="F13" s="18">
        <f>SUMIFS(CloudBed!$V:$V,CloudBed!$AA:$AA,"Credit Card",CloudBed!$Y:$Y,F4)</f>
        <v>0</v>
      </c>
      <c r="G13" s="18">
        <f>SUMIFS(CloudBed!$V:$V,CloudBed!$AA:$AA,"Credit Card",CloudBed!$Y:$Y,G4)</f>
        <v>405</v>
      </c>
      <c r="H13" s="18">
        <f>SUMIFS(CloudBed!$V:$V,CloudBed!$AA:$AA,"Credit Card",CloudBed!$Y:$Y,H4)</f>
        <v>137.76</v>
      </c>
      <c r="I13" s="18">
        <f>SUMIFS(CloudBed!$V:$V,CloudBed!$AA:$AA,"Credit Card",CloudBed!$Y:$Y,I4)</f>
        <v>42.53</v>
      </c>
      <c r="J13" s="18">
        <f>SUMIFS(CloudBed!$V:$V,CloudBed!$AA:$AA,"Credit Card",CloudBed!$Y:$Y,J4)</f>
        <v>59.5</v>
      </c>
      <c r="K13" s="18">
        <f>SUMIFS(CloudBed!$V:$V,CloudBed!$AA:$AA,"Credit Card",CloudBed!$Y:$Y,K4)</f>
        <v>0</v>
      </c>
      <c r="L13" s="18">
        <f>SUMIFS(CloudBed!$V:$V,CloudBed!$AA:$AA,"Credit Card",CloudBed!$Y:$Y,L4)</f>
        <v>0</v>
      </c>
      <c r="M13" s="18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ht="15.75" customHeight="1">
      <c r="A14" s="15" t="s">
        <v>240</v>
      </c>
      <c r="B14" s="18">
        <f>SUMIFS(Dados!$N:$N,Dados!$G:$G,B4,Dados!$H:$H,$B$2,Dados!$D:$D,$B$1)</f>
        <v>5782.31</v>
      </c>
      <c r="C14" s="18">
        <f>SUMIFS(Dados!$N:$N,Dados!$G:$G,C4,Dados!$H:$H,$B$2,Dados!$D:$D,$B$1)</f>
        <v>28182.77</v>
      </c>
      <c r="D14" s="18">
        <f>SUMIFS(Dados!$N:$N,Dados!$G:$G,D4,Dados!$H:$H,$B$2,Dados!$D:$D,$B$1)</f>
        <v>11150.04</v>
      </c>
      <c r="E14" s="18">
        <f>SUMIFS(Dados!$N:$N,Dados!$G:$G,E4,Dados!$H:$H,$B$2,Dados!$D:$D,$B$1)</f>
        <v>11163.51</v>
      </c>
      <c r="F14" s="18">
        <f>SUMIFS(Dados!$N:$N,Dados!$G:$G,F4,Dados!$H:$H,$B$2,Dados!$D:$D,$B$1)</f>
        <v>5611.69</v>
      </c>
      <c r="G14" s="18">
        <f>SUMIFS(Dados!$N:$N,Dados!$G:$G,G4,Dados!$H:$H,$B$2,Dados!$D:$D,$B$1)</f>
        <v>17519.72</v>
      </c>
      <c r="H14" s="18">
        <f>SUMIFS(Dados!$N:$N,Dados!$G:$G,H4,Dados!$H:$H,$B$2,Dados!$D:$D,$B$1)</f>
        <v>11887.81</v>
      </c>
      <c r="I14" s="18">
        <f>SUMIFS(Dados!$N:$N,Dados!$G:$G,I4,Dados!$H:$H,$B$2,Dados!$D:$D,$B$1)</f>
        <v>19168.69</v>
      </c>
      <c r="J14" s="18">
        <f>SUMIFS(Dados!$N:$N,Dados!$G:$G,J4,Dados!$H:$H,$B$2,Dados!$D:$D,$B$1)</f>
        <v>7090.86</v>
      </c>
      <c r="K14" s="18">
        <f>SUMIFS(Dados!$N:$N,Dados!$G:$G,K4,Dados!$H:$H,$B$2,Dados!$D:$D,$B$1)</f>
        <v>7693.05</v>
      </c>
      <c r="L14" s="18">
        <f>SUMIFS(Dados!$N:$N,Dados!$G:$G,L4,Dados!$H:$H,$B$2,Dados!$D:$D,$B$1)</f>
        <v>0</v>
      </c>
      <c r="M14" s="18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ht="15.75" customHeight="1">
      <c r="A15" s="141" t="s">
        <v>153</v>
      </c>
      <c r="B15" s="142"/>
      <c r="C15" s="142"/>
      <c r="D15" s="142"/>
      <c r="E15" s="142"/>
      <c r="F15" s="142"/>
      <c r="G15" s="142"/>
      <c r="H15" s="142">
        <v>5.0</v>
      </c>
      <c r="I15" s="143">
        <v>0.0</v>
      </c>
      <c r="J15" s="142">
        <f>75</f>
        <v>75</v>
      </c>
      <c r="K15" s="142"/>
      <c r="L15" s="142"/>
      <c r="M15" s="142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</row>
    <row r="16" ht="15.75" customHeight="1">
      <c r="A16" s="15" t="s">
        <v>242</v>
      </c>
      <c r="B16" s="144">
        <f t="shared" ref="B16:H16" si="2">B5+B7+B8+B9+B10+B11+B12+B13-B14+B15</f>
        <v>83545.52</v>
      </c>
      <c r="C16" s="144">
        <f t="shared" si="2"/>
        <v>55362.75</v>
      </c>
      <c r="D16" s="144">
        <f t="shared" si="2"/>
        <v>44212.71</v>
      </c>
      <c r="E16" s="144">
        <f t="shared" si="2"/>
        <v>33049.2</v>
      </c>
      <c r="F16" s="144">
        <f t="shared" si="2"/>
        <v>32293.36888</v>
      </c>
      <c r="G16" s="144">
        <f t="shared" si="2"/>
        <v>29775.85888</v>
      </c>
      <c r="H16" s="144">
        <f t="shared" si="2"/>
        <v>32289.37888</v>
      </c>
      <c r="I16" s="144">
        <f>I5+I6+I7+I8+I9+I10+I11+I12+I13-I14+I15</f>
        <v>31619.35888</v>
      </c>
      <c r="J16" s="144">
        <f t="shared" ref="J16:M16" si="3">J5+J7+J8+J9+J10+J11+J12+J13-J14+J15</f>
        <v>42030.07888</v>
      </c>
      <c r="K16" s="144">
        <f t="shared" si="3"/>
        <v>45885.66888</v>
      </c>
      <c r="L16" s="144">
        <f t="shared" si="3"/>
        <v>45885.66888</v>
      </c>
      <c r="M16" s="144">
        <f t="shared" si="3"/>
        <v>45885.66888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ht="15.75" customHeight="1">
      <c r="A17" s="15" t="s">
        <v>244</v>
      </c>
      <c r="B17" s="139">
        <v>83544.2</v>
      </c>
      <c r="C17" s="139">
        <v>55368.87</v>
      </c>
      <c r="D17" s="139">
        <v>44210.86</v>
      </c>
      <c r="E17" s="139">
        <v>33047.0</v>
      </c>
      <c r="F17" s="139">
        <v>31868.65</v>
      </c>
      <c r="G17" s="139">
        <v>29766.9</v>
      </c>
      <c r="H17" s="139">
        <v>31957.21</v>
      </c>
      <c r="I17" s="139">
        <v>31621.5</v>
      </c>
      <c r="J17" s="145">
        <v>42028.69</v>
      </c>
      <c r="K17" s="139"/>
      <c r="L17" s="139"/>
      <c r="M17" s="139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ht="15.75" customHeight="1">
      <c r="A18" s="146" t="s">
        <v>54</v>
      </c>
      <c r="B18" s="147">
        <f t="shared" ref="B18:M18" si="4">B16-B17</f>
        <v>1.32</v>
      </c>
      <c r="C18" s="147">
        <f t="shared" si="4"/>
        <v>-6.12</v>
      </c>
      <c r="D18" s="147">
        <f t="shared" si="4"/>
        <v>1.85</v>
      </c>
      <c r="E18" s="147">
        <f t="shared" si="4"/>
        <v>2.2</v>
      </c>
      <c r="F18" s="147">
        <f t="shared" si="4"/>
        <v>424.7188812</v>
      </c>
      <c r="G18" s="147">
        <f t="shared" si="4"/>
        <v>8.9588812</v>
      </c>
      <c r="H18" s="147">
        <f t="shared" si="4"/>
        <v>332.1688812</v>
      </c>
      <c r="I18" s="147">
        <f t="shared" si="4"/>
        <v>-2.1411188</v>
      </c>
      <c r="J18" s="147">
        <f t="shared" si="4"/>
        <v>1.3888812</v>
      </c>
      <c r="K18" s="147">
        <f t="shared" si="4"/>
        <v>45885.66888</v>
      </c>
      <c r="L18" s="147">
        <f t="shared" si="4"/>
        <v>45885.66888</v>
      </c>
      <c r="M18" s="147">
        <f t="shared" si="4"/>
        <v>45885.66888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ht="15.75" customHeight="1">
      <c r="A19" s="39"/>
      <c r="B19" s="40"/>
      <c r="C19" s="40"/>
      <c r="D19" s="40"/>
      <c r="E19" s="40"/>
      <c r="F19" s="40"/>
      <c r="G19" s="40"/>
      <c r="H19" s="39"/>
      <c r="I19" s="39"/>
      <c r="J19" s="39"/>
      <c r="K19" s="39"/>
      <c r="L19" s="39"/>
      <c r="M19" s="39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ht="15.75" customHeight="1">
      <c r="A21" s="16" t="s">
        <v>218</v>
      </c>
      <c r="B21" s="16" t="s">
        <v>245</v>
      </c>
      <c r="C21" s="16"/>
      <c r="D21" s="16"/>
      <c r="E21" s="16"/>
      <c r="F21" s="16"/>
      <c r="G21" s="16"/>
      <c r="H21" s="148"/>
      <c r="I21" s="148"/>
      <c r="J21" s="148"/>
      <c r="K21" s="148"/>
      <c r="L21" s="148"/>
      <c r="M21" s="148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ht="15.75" customHeight="1">
      <c r="A22" s="138" t="s">
        <v>102</v>
      </c>
      <c r="B22" s="9">
        <v>2026.0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ht="15.75" customHeight="1">
      <c r="A23" s="138" t="s">
        <v>219</v>
      </c>
      <c r="B23" s="9">
        <v>1.0</v>
      </c>
      <c r="C23" s="9">
        <v>2.0</v>
      </c>
      <c r="D23" s="9">
        <v>3.0</v>
      </c>
      <c r="E23" s="9">
        <v>4.0</v>
      </c>
      <c r="F23" s="9">
        <v>5.0</v>
      </c>
      <c r="G23" s="9">
        <v>6.0</v>
      </c>
      <c r="H23" s="9">
        <v>7.0</v>
      </c>
      <c r="I23" s="9">
        <v>8.0</v>
      </c>
      <c r="J23" s="9">
        <v>9.0</v>
      </c>
      <c r="K23" s="9">
        <v>10.0</v>
      </c>
      <c r="L23" s="9">
        <v>11.0</v>
      </c>
      <c r="M23" s="9">
        <v>12.0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ht="15.75" customHeight="1">
      <c r="A24" s="1" t="s">
        <v>219</v>
      </c>
      <c r="B24" s="2" t="s">
        <v>71</v>
      </c>
      <c r="C24" s="2" t="s">
        <v>72</v>
      </c>
      <c r="D24" s="2" t="s">
        <v>73</v>
      </c>
      <c r="E24" s="2" t="s">
        <v>74</v>
      </c>
      <c r="F24" s="2" t="s">
        <v>75</v>
      </c>
      <c r="G24" s="2" t="s">
        <v>76</v>
      </c>
      <c r="H24" s="2" t="s">
        <v>77</v>
      </c>
      <c r="I24" s="2" t="s">
        <v>78</v>
      </c>
      <c r="J24" s="2" t="s">
        <v>79</v>
      </c>
      <c r="K24" s="2" t="s">
        <v>80</v>
      </c>
      <c r="L24" s="2" t="s">
        <v>81</v>
      </c>
      <c r="M24" s="2" t="s">
        <v>82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ht="15.75" customHeight="1">
      <c r="A25" s="15" t="s">
        <v>221</v>
      </c>
      <c r="B25" s="18">
        <v>80.0</v>
      </c>
      <c r="C25" s="139">
        <f t="shared" ref="C25:M25" si="5">B33</f>
        <v>80</v>
      </c>
      <c r="D25" s="139">
        <f t="shared" si="5"/>
        <v>80</v>
      </c>
      <c r="E25" s="139">
        <f t="shared" si="5"/>
        <v>80</v>
      </c>
      <c r="F25" s="139">
        <f t="shared" si="5"/>
        <v>80</v>
      </c>
      <c r="G25" s="139">
        <f t="shared" si="5"/>
        <v>376.96</v>
      </c>
      <c r="H25" s="139">
        <f t="shared" si="5"/>
        <v>775.01</v>
      </c>
      <c r="I25" s="139">
        <f t="shared" si="5"/>
        <v>309.35</v>
      </c>
      <c r="J25" s="139">
        <f t="shared" si="5"/>
        <v>432.67</v>
      </c>
      <c r="K25" s="139">
        <f t="shared" si="5"/>
        <v>464.06</v>
      </c>
      <c r="L25" s="139">
        <f t="shared" si="5"/>
        <v>464.06</v>
      </c>
      <c r="M25" s="139">
        <f t="shared" si="5"/>
        <v>464.06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ht="15.75" customHeight="1">
      <c r="A26" s="149" t="s">
        <v>247</v>
      </c>
      <c r="B26" s="18"/>
      <c r="C26" s="18"/>
      <c r="D26" s="18"/>
      <c r="E26" s="18"/>
      <c r="F26" s="18">
        <f>SUMIFS(CloudBed!$P:$P,CloudBed!$S:$S,F23,CloudBed!$U:$U,"Money Box")</f>
        <v>176</v>
      </c>
      <c r="G26" s="18">
        <f>SUMIFS(CloudBed!$P:$P,CloudBed!$S:$S,G23,CloudBed!$U:$U,"Money Box")</f>
        <v>276</v>
      </c>
      <c r="H26" s="18">
        <f>SUMIFS(CloudBed!$P:$P,CloudBed!$S:$S,H23,CloudBed!$U:$U,"Money Box")</f>
        <v>364</v>
      </c>
      <c r="I26" s="18">
        <f>SUMIFS(CloudBed!$P:$P,CloudBed!$S:$S,I23,CloudBed!$U:$U,"Money Box")</f>
        <v>300</v>
      </c>
      <c r="J26" s="18">
        <f>SUMIFS(CloudBed!$P:$P,CloudBed!$S:$S,J23,CloudBed!$U:$U,"Money Box")</f>
        <v>310</v>
      </c>
      <c r="K26" s="18">
        <f>SUMIFS(CloudBed!$P:$P,CloudBed!$S:$S,K23,CloudBed!$U:$U,"Money Box")</f>
        <v>0</v>
      </c>
      <c r="L26" s="18">
        <f>SUMIFS(CloudBed!$P:$P,CloudBed!$S:$S,L23,CloudBed!$U:$U,"Money Box")</f>
        <v>0</v>
      </c>
      <c r="M26" s="18">
        <f>SUMIFS(CloudBed!$P:$P,CloudBed!$S:$S,M23,CloudBed!$U:$U,"Money Box")</f>
        <v>0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ht="15.75" customHeight="1">
      <c r="A27" s="149" t="s">
        <v>249</v>
      </c>
      <c r="B27" s="18"/>
      <c r="C27" s="18"/>
      <c r="D27" s="18"/>
      <c r="E27" s="18"/>
      <c r="F27" s="18">
        <f>SUMIFS(CloudBed!$V:$V,CloudBed!$S:$S,F23,CloudBed!$AA:$AA,"Money Box")</f>
        <v>1413.5</v>
      </c>
      <c r="G27" s="18">
        <f>SUMIFS(CloudBed!$V:$V,CloudBed!$S:$S,G23,CloudBed!$AA:$AA,"Money Box")</f>
        <v>3293.2</v>
      </c>
      <c r="H27" s="18">
        <f>SUMIFS(CloudBed!$V:$V,CloudBed!$S:$S,H23,CloudBed!$AA:$AA,"Money Box")</f>
        <v>6538.2</v>
      </c>
      <c r="I27" s="18">
        <f>SUMIFS(CloudBed!$V:$V,CloudBed!$S:$S,I23,CloudBed!$AA:$AA,"Money Box")</f>
        <v>6608.75</v>
      </c>
      <c r="J27" s="18">
        <f>SUMIFS(CloudBed!$V:$V,CloudBed!$S:$S,J23,CloudBed!$AA:$AA,"Money Box")</f>
        <v>5363.94</v>
      </c>
      <c r="K27" s="18">
        <f>SUMIFS(CloudBed!$V:$V,CloudBed!$S:$S,K23,CloudBed!$AA:$AA,"Money Box")</f>
        <v>0</v>
      </c>
      <c r="L27" s="18">
        <f>SUMIFS(CloudBed!$V:$V,CloudBed!$S:$S,L23,CloudBed!$AA:$AA,"Money Box")</f>
        <v>0</v>
      </c>
      <c r="M27" s="18">
        <f>SUMIFS(CloudBed!$V:$V,CloudBed!$S:$S,M23,CloudBed!$AA:$AA,"Money Box")</f>
        <v>0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ht="15.75" customHeight="1">
      <c r="A28" s="149" t="s">
        <v>87</v>
      </c>
      <c r="B28" s="18"/>
      <c r="C28" s="18"/>
      <c r="D28" s="18"/>
      <c r="E28" s="18"/>
      <c r="F28" s="18">
        <f>sumifs(FF!$E:$E,FF!$F:$F,"FF",FF!$C:$C,F23)</f>
        <v>671</v>
      </c>
      <c r="G28" s="18">
        <f>sumifs(FF!$E:$E,FF!$F:$F,"FF",FF!$C:$C,G23)</f>
        <v>1120</v>
      </c>
      <c r="H28" s="18">
        <f>sumifs(FF!$E:$E,FF!$F:$F,"FF",FF!$C:$C,H23)</f>
        <v>2210.5</v>
      </c>
      <c r="I28" s="18">
        <f>sumifs(FF!$E:$E,FF!$F:$F,"FF",FF!$C:$C,I23)</f>
        <v>5502.66</v>
      </c>
      <c r="J28" s="18">
        <f>sumifs(FF!$E:$E,FF!$F:$F,"FF",FF!$C:$C,J23)</f>
        <v>2062.99</v>
      </c>
      <c r="K28" s="18">
        <f>sumifs(FF!$E:$E,FF!$F:$F,"FF",FF!$C:$C,K23)</f>
        <v>0</v>
      </c>
      <c r="L28" s="18">
        <f>sumifs(FF!$E:$E,FF!$F:$F,"FF",FF!$C:$C,L23)</f>
        <v>0</v>
      </c>
      <c r="M28" s="18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ht="15.75" customHeight="1">
      <c r="A29" s="149" t="s">
        <v>110</v>
      </c>
      <c r="B29" s="18"/>
      <c r="C29" s="18"/>
      <c r="D29" s="18"/>
      <c r="E29" s="18"/>
      <c r="F29" s="18">
        <f>SUMIFS(Extra!$H:$H,Extra!$I:$I,"Money Box",Extra!$C:$C,F23)</f>
        <v>518.5</v>
      </c>
      <c r="G29" s="18">
        <f>SUMIFS(Extra!$H:$H,Extra!$I:$I,"Money Box",Extra!$C:$C,G23)</f>
        <v>940</v>
      </c>
      <c r="H29" s="18">
        <f>SUMIFS(Extra!$H:$H,Extra!$I:$I,"Money Box",Extra!$C:$C,H23)</f>
        <v>411.4</v>
      </c>
      <c r="I29" s="18">
        <f>SUMIFS(Extra!$H:$H,Extra!$I:$I,"Money Box",Extra!$C:$C,I23)</f>
        <v>1326</v>
      </c>
      <c r="J29" s="18">
        <f>SUMIFS(Extra!$H:$H,Extra!$I:$I,"Money Box",Extra!$C:$C,J23)</f>
        <v>1034.5</v>
      </c>
      <c r="K29" s="18">
        <f>SUMIFS(Extra!$H:$H,Extra!$I:$I,"Money Box",Extra!$C:$C,K23)</f>
        <v>0</v>
      </c>
      <c r="L29" s="18">
        <f>SUMIFS(Extra!$H:$H,Extra!$I:$I,"Money Box",Extra!$C:$C,L23)</f>
        <v>0</v>
      </c>
      <c r="M29" s="18">
        <f>SUMIFS(Extra!$H:$H,Extra!$I:$I,"Money Box",Extra!$C:$C,M23)</f>
        <v>0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ht="15.75" customHeight="1">
      <c r="A30" s="149" t="s">
        <v>251</v>
      </c>
      <c r="B30" s="18">
        <f t="shared" ref="B30:L30" si="6">SUM(B26:B29)</f>
        <v>0</v>
      </c>
      <c r="C30" s="18">
        <f t="shared" si="6"/>
        <v>0</v>
      </c>
      <c r="D30" s="18">
        <f t="shared" si="6"/>
        <v>0</v>
      </c>
      <c r="E30" s="18">
        <f t="shared" si="6"/>
        <v>0</v>
      </c>
      <c r="F30" s="18">
        <f t="shared" si="6"/>
        <v>2779</v>
      </c>
      <c r="G30" s="18">
        <f t="shared" si="6"/>
        <v>5629.2</v>
      </c>
      <c r="H30" s="18">
        <f t="shared" si="6"/>
        <v>9524.1</v>
      </c>
      <c r="I30" s="18">
        <f t="shared" si="6"/>
        <v>13737.41</v>
      </c>
      <c r="J30" s="18">
        <f t="shared" si="6"/>
        <v>8771.43</v>
      </c>
      <c r="K30" s="18">
        <f t="shared" si="6"/>
        <v>0</v>
      </c>
      <c r="L30" s="18">
        <f t="shared" si="6"/>
        <v>0</v>
      </c>
      <c r="M30" s="18">
        <f>SUM(M26:M27)</f>
        <v>0</v>
      </c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ht="15.75" customHeight="1">
      <c r="A31" s="149" t="s">
        <v>227</v>
      </c>
      <c r="B31" s="18">
        <f>SUMIFS(Dados!$N:$N,Dados!$G:$G,B23,Dados!$H:$H,$B$2,Dados!$D:$D,"Money Box")-B32</f>
        <v>0</v>
      </c>
      <c r="C31" s="18">
        <f>SUMIFS(Dados!$N:$N,Dados!$G:$G,C23,Dados!$H:$H,$B$2,Dados!$D:$D,"Money Box")-C32</f>
        <v>0</v>
      </c>
      <c r="D31" s="18">
        <f>SUMIFS(Dados!$N:$N,Dados!$G:$G,D23,Dados!$H:$H,$B$2,Dados!$D:$D,"Money Box")-D32</f>
        <v>0</v>
      </c>
      <c r="E31" s="18">
        <f>SUMIFS(Dados!$N:$N,Dados!$G:$G,E23,Dados!$H:$H,$B$2,Dados!$D:$D,"Money Box")-E32</f>
        <v>0</v>
      </c>
      <c r="F31" s="18">
        <f>SUMIFS(Dados!$N:$N,Dados!$G:$G,F23,Dados!$H:$H,$B$2,Dados!$D:$D,"Money Box")-F32</f>
        <v>1482.04</v>
      </c>
      <c r="G31" s="18">
        <f>SUMIFS(Dados!$N:$N,Dados!$G:$G,G23,Dados!$H:$H,$B$2,Dados!$D:$D,"Money Box")-G32</f>
        <v>2231.15</v>
      </c>
      <c r="H31" s="18">
        <f>SUMIFS(Dados!$N:$N,Dados!$G:$G,H23,Dados!$H:$H,$B$2,Dados!$D:$D,"Money Box")-H32</f>
        <v>1479.76</v>
      </c>
      <c r="I31" s="18">
        <f>SUMIFS(Dados!$N:$N,Dados!$G:$G,I23,Dados!$H:$H,$B$2,Dados!$D:$D,"Money Box")-I32</f>
        <v>2014</v>
      </c>
      <c r="J31" s="18">
        <f>SUMIFS(Dados!$N:$N,Dados!$G:$G,J23,Dados!$H:$H,$B$2,Dados!$D:$D,"Money Box")-J32</f>
        <v>1740.04</v>
      </c>
      <c r="K31" s="18">
        <f>SUMIFS(Dados!$N:$N,Dados!$G:$G,K23,Dados!$H:$H,$B$2,Dados!$D:$D,"Money Box")-K32</f>
        <v>0</v>
      </c>
      <c r="L31" s="18">
        <f>SUMIFS(Dados!$N:$N,Dados!$G:$G,L23,Dados!$H:$H,$B$2,Dados!$D:$D,"Money Box")-L32</f>
        <v>0</v>
      </c>
      <c r="M31" s="18">
        <f>SUMIFS(Dados!$N:$N,Dados!$G:$G,M23,Dados!$H:$H,$B$2,Dados!$D:$D,"Money Box")-M32</f>
        <v>0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ht="15.75" customHeight="1">
      <c r="A32" s="149" t="s">
        <v>253</v>
      </c>
      <c r="B32" s="18">
        <f>SUMIFS(Dados!$N:$N,Dados!$G:$G,B23,Dados!$H:$H,$B$2,Dados!$D:$D,"Money Box",Dados!$A:$A,"Drop")</f>
        <v>0</v>
      </c>
      <c r="C32" s="18">
        <f>SUMIFS(Dados!$N:$N,Dados!$G:$G,C23,Dados!$H:$H,$B$2,Dados!$D:$D,"Money Box",Dados!$A:$A,"Drop")</f>
        <v>0</v>
      </c>
      <c r="D32" s="18">
        <f>SUMIFS(Dados!$N:$N,Dados!$G:$G,D23,Dados!$H:$H,$B$2,Dados!$D:$D,"Money Box",Dados!$A:$A,"Drop")</f>
        <v>0</v>
      </c>
      <c r="E32" s="18">
        <f>SUMIFS(Dados!$N:$N,Dados!$G:$G,E23,Dados!$H:$H,$B$2,Dados!$D:$D,"Money Box",Dados!$A:$A,"Drop")</f>
        <v>0</v>
      </c>
      <c r="F32" s="18">
        <f>SUMIFS(Dados!$N:$N,Dados!$G:$G,F23,Dados!$H:$H,$B$2,Dados!$D:$D,"Money Box",Dados!$A:$A,"Drop")</f>
        <v>1000</v>
      </c>
      <c r="G32" s="18">
        <f>SUMIFS(Dados!$N:$N,Dados!$G:$G,G23,Dados!$H:$H,$B$2,Dados!$D:$D,"Money Box",Dados!$A:$A,"Drop")</f>
        <v>3000</v>
      </c>
      <c r="H32" s="18">
        <f>SUMIFS(Dados!$N:$N,Dados!$G:$G,H23,Dados!$H:$H,$B$2,Dados!$D:$D,"Money Box",Dados!$A:$A,"Drop")</f>
        <v>8510</v>
      </c>
      <c r="I32" s="18">
        <f>SUMIFS(Dados!$N:$N,Dados!$G:$G,I23,Dados!$H:$H,$B$2,Dados!$D:$D,"Money Box",Dados!$A:$A,"Drop")</f>
        <v>11600.09</v>
      </c>
      <c r="J32" s="18">
        <f>SUMIFS(Dados!$N:$N,Dados!$G:$G,J23,Dados!$H:$H,$B$2,Dados!$D:$D,"Money Box",Dados!$A:$A,"Drop")</f>
        <v>7000</v>
      </c>
      <c r="K32" s="18">
        <f>SUMIFS(Dados!$N:$N,Dados!$G:$G,K23,Dados!$H:$H,$B$2,Dados!$D:$D,"MoneyBox",Dados!$A:$A,"Drop")</f>
        <v>0</v>
      </c>
      <c r="L32" s="18">
        <f>SUMIFS(Dados!$N:$N,Dados!$G:$G,L23,Dados!$H:$H,$B$2,Dados!$D:$D,"MoneyBox",Dados!$A:$A,"Drop")</f>
        <v>0</v>
      </c>
      <c r="M32" s="18">
        <f>SUMIFS(Dados!$N:$N,Dados!$G:$G,M23,Dados!$H:$H,$B$2,Dados!$D:$D,"MoneyBox",Dados!$A:$A,"Drop")</f>
        <v>0</v>
      </c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ht="15.75" customHeight="1">
      <c r="A33" s="149" t="s">
        <v>242</v>
      </c>
      <c r="B33" s="18">
        <f t="shared" ref="B33:M33" si="7">B25+B30-B31-B32</f>
        <v>80</v>
      </c>
      <c r="C33" s="18">
        <f t="shared" si="7"/>
        <v>80</v>
      </c>
      <c r="D33" s="18">
        <f t="shared" si="7"/>
        <v>80</v>
      </c>
      <c r="E33" s="18">
        <f t="shared" si="7"/>
        <v>80</v>
      </c>
      <c r="F33" s="18">
        <f t="shared" si="7"/>
        <v>376.96</v>
      </c>
      <c r="G33" s="18">
        <f t="shared" si="7"/>
        <v>775.01</v>
      </c>
      <c r="H33" s="18">
        <f t="shared" si="7"/>
        <v>309.35</v>
      </c>
      <c r="I33" s="18">
        <f t="shared" si="7"/>
        <v>432.67</v>
      </c>
      <c r="J33" s="18">
        <f t="shared" si="7"/>
        <v>464.06</v>
      </c>
      <c r="K33" s="18">
        <f t="shared" si="7"/>
        <v>464.06</v>
      </c>
      <c r="L33" s="18">
        <f t="shared" si="7"/>
        <v>464.06</v>
      </c>
      <c r="M33" s="18">
        <f t="shared" si="7"/>
        <v>464.06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ht="15.75" customHeight="1">
      <c r="A34" s="149" t="s">
        <v>229</v>
      </c>
      <c r="B34" s="18">
        <v>80.0</v>
      </c>
      <c r="C34" s="18">
        <v>80.0</v>
      </c>
      <c r="D34" s="18">
        <v>80.0</v>
      </c>
      <c r="E34" s="18">
        <v>80.0</v>
      </c>
      <c r="F34" s="18">
        <v>369.42</v>
      </c>
      <c r="G34" s="150">
        <v>340.6</v>
      </c>
      <c r="H34" s="18">
        <f>404+11.2</f>
        <v>415.2</v>
      </c>
      <c r="I34" s="18">
        <v>433.54</v>
      </c>
      <c r="J34" s="43">
        <v>464.42</v>
      </c>
      <c r="K34" s="18"/>
      <c r="L34" s="18"/>
      <c r="M34" s="18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ht="15.75" customHeight="1">
      <c r="A35" s="146" t="s">
        <v>54</v>
      </c>
      <c r="B35" s="147">
        <f t="shared" ref="B35:M35" si="8">B33-B34</f>
        <v>0</v>
      </c>
      <c r="C35" s="147">
        <f t="shared" si="8"/>
        <v>0</v>
      </c>
      <c r="D35" s="147">
        <f t="shared" si="8"/>
        <v>0</v>
      </c>
      <c r="E35" s="147">
        <f t="shared" si="8"/>
        <v>0</v>
      </c>
      <c r="F35" s="147">
        <f t="shared" si="8"/>
        <v>7.54</v>
      </c>
      <c r="G35" s="147">
        <f t="shared" si="8"/>
        <v>434.41</v>
      </c>
      <c r="H35" s="147">
        <f t="shared" si="8"/>
        <v>-105.85</v>
      </c>
      <c r="I35" s="147">
        <f t="shared" si="8"/>
        <v>-0.87</v>
      </c>
      <c r="J35" s="147">
        <f t="shared" si="8"/>
        <v>-0.36</v>
      </c>
      <c r="K35" s="147">
        <f t="shared" si="8"/>
        <v>464.06</v>
      </c>
      <c r="L35" s="147">
        <f t="shared" si="8"/>
        <v>464.06</v>
      </c>
      <c r="M35" s="147">
        <f t="shared" si="8"/>
        <v>464.06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 ht="15.75" customHeight="1">
      <c r="A39" s="16" t="s">
        <v>218</v>
      </c>
      <c r="B39" s="16" t="s">
        <v>12</v>
      </c>
      <c r="C39" s="16"/>
      <c r="D39" s="16"/>
      <c r="E39" s="16"/>
      <c r="F39" s="16"/>
      <c r="G39" s="16"/>
      <c r="H39" s="148"/>
      <c r="I39" s="148"/>
      <c r="J39" s="148"/>
      <c r="K39" s="148"/>
      <c r="L39" s="148"/>
      <c r="M39" s="148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0" ht="15.75" customHeight="1">
      <c r="A40" s="138" t="s">
        <v>102</v>
      </c>
      <c r="B40" s="9">
        <v>2026.0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 ht="15.75" customHeight="1">
      <c r="A41" s="138" t="s">
        <v>219</v>
      </c>
      <c r="B41" s="9">
        <v>1.0</v>
      </c>
      <c r="C41" s="9">
        <v>2.0</v>
      </c>
      <c r="D41" s="9">
        <v>3.0</v>
      </c>
      <c r="E41" s="9">
        <v>4.0</v>
      </c>
      <c r="F41" s="9">
        <v>5.0</v>
      </c>
      <c r="G41" s="9">
        <v>6.0</v>
      </c>
      <c r="H41" s="9">
        <v>7.0</v>
      </c>
      <c r="I41" s="9">
        <v>8.0</v>
      </c>
      <c r="J41" s="9">
        <v>9.0</v>
      </c>
      <c r="K41" s="9">
        <v>10.0</v>
      </c>
      <c r="L41" s="9">
        <v>11.0</v>
      </c>
      <c r="M41" s="9">
        <v>12.0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</row>
    <row r="42" ht="15.75" customHeight="1">
      <c r="A42" s="1" t="s">
        <v>219</v>
      </c>
      <c r="B42" s="2" t="s">
        <v>71</v>
      </c>
      <c r="C42" s="2" t="s">
        <v>72</v>
      </c>
      <c r="D42" s="2" t="s">
        <v>73</v>
      </c>
      <c r="E42" s="2" t="s">
        <v>74</v>
      </c>
      <c r="F42" s="2" t="s">
        <v>75</v>
      </c>
      <c r="G42" s="2" t="s">
        <v>76</v>
      </c>
      <c r="H42" s="2" t="s">
        <v>77</v>
      </c>
      <c r="I42" s="2" t="s">
        <v>78</v>
      </c>
      <c r="J42" s="2" t="s">
        <v>79</v>
      </c>
      <c r="K42" s="2" t="s">
        <v>80</v>
      </c>
      <c r="L42" s="2" t="s">
        <v>81</v>
      </c>
      <c r="M42" s="2" t="s">
        <v>82</v>
      </c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 ht="15.75" customHeight="1">
      <c r="A43" s="15" t="s">
        <v>221</v>
      </c>
      <c r="B43" s="151">
        <v>0.0</v>
      </c>
      <c r="C43" s="151">
        <f t="shared" ref="C43:M43" si="9">B52</f>
        <v>-1162.2</v>
      </c>
      <c r="D43" s="151">
        <f t="shared" si="9"/>
        <v>-2434.2</v>
      </c>
      <c r="E43" s="151">
        <f t="shared" si="9"/>
        <v>-2986.65</v>
      </c>
      <c r="F43" s="151">
        <f t="shared" si="9"/>
        <v>-3609.27</v>
      </c>
      <c r="G43" s="151">
        <f t="shared" si="9"/>
        <v>-3563.11</v>
      </c>
      <c r="H43" s="151">
        <f t="shared" si="9"/>
        <v>-3410.71</v>
      </c>
      <c r="I43" s="151">
        <f t="shared" si="9"/>
        <v>-3709.36</v>
      </c>
      <c r="J43" s="151">
        <f t="shared" si="9"/>
        <v>-2879.11</v>
      </c>
      <c r="K43" s="151">
        <f t="shared" si="9"/>
        <v>-4360.66</v>
      </c>
      <c r="L43" s="151">
        <f t="shared" si="9"/>
        <v>-4360.66</v>
      </c>
      <c r="M43" s="151">
        <f t="shared" si="9"/>
        <v>-4360.66</v>
      </c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ht="15.75" customHeight="1">
      <c r="A44" s="149" t="s">
        <v>247</v>
      </c>
      <c r="B44" s="18"/>
      <c r="C44" s="18"/>
      <c r="D44" s="18"/>
      <c r="E44" s="18"/>
      <c r="F44" s="18">
        <f>SUMIFS(CloudBed!$P:$P,CloudBed!$S:$S,F41,CloudBed!$U:$U,"Revolut")</f>
        <v>20</v>
      </c>
      <c r="G44" s="18">
        <f>SUMIFS(CloudBed!$P:$P,CloudBed!$S:$S,G41,CloudBed!$U:$U,"Revolut")</f>
        <v>58</v>
      </c>
      <c r="H44" s="18">
        <f>SUMIFS(CloudBed!$P:$P,CloudBed!$S:$S,H41,CloudBed!$U:$U,"Revolut")</f>
        <v>46</v>
      </c>
      <c r="I44" s="18">
        <f>SUMIFS(CloudBed!$P:$P,CloudBed!$S:$S,I41,CloudBed!$U:$U,"Revolut")</f>
        <v>56</v>
      </c>
      <c r="J44" s="18">
        <f>SUMIFS(CloudBed!$P:$P,CloudBed!$S:$S,J41,CloudBed!$U:$U,"Revolut")</f>
        <v>16</v>
      </c>
      <c r="K44" s="18">
        <f>SUMIFS(CloudBed!$P:$P,CloudBed!$S:$S,K41,CloudBed!$U:$U,"Revolut")</f>
        <v>0</v>
      </c>
      <c r="L44" s="18">
        <f>SUMIFS(CloudBed!$P:$P,CloudBed!$S:$S,L41,CloudBed!$U:$U,"Revolut")</f>
        <v>0</v>
      </c>
      <c r="M44" s="18">
        <f>SUMIFS(CloudBed!$J:$J,CloudBed!$N:$N,"Revolut",CloudBed!$D:$D,M41)</f>
        <v>0</v>
      </c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ht="15.75" customHeight="1">
      <c r="A45" s="149" t="s">
        <v>249</v>
      </c>
      <c r="B45" s="18"/>
      <c r="C45" s="18"/>
      <c r="D45" s="18"/>
      <c r="E45" s="18"/>
      <c r="F45" s="18">
        <f>SUMIFS(CloudBed!$V:$V,CloudBed!$S:$S,F41,CloudBed!$AA:$AA,"Revolut")</f>
        <v>503.25</v>
      </c>
      <c r="G45" s="18">
        <f>SUMIFS(CloudBed!$V:$V,CloudBed!$S:$S,G41,CloudBed!$AA:$AA,"Revolut")</f>
        <v>952</v>
      </c>
      <c r="H45" s="18">
        <f>SUMIFS(CloudBed!$V:$V,CloudBed!$S:$S,H41,CloudBed!$AA:$AA,"Revolut")</f>
        <v>806.5</v>
      </c>
      <c r="I45" s="18">
        <f>SUMIFS(CloudBed!$V:$V,CloudBed!$S:$S,I41,CloudBed!$AA:$AA,"Revolut")</f>
        <v>1245.25</v>
      </c>
      <c r="J45" s="18">
        <f>SUMIFS(CloudBed!$V:$V,CloudBed!$S:$S,J41,CloudBed!$AA:$AA,"Revolut")</f>
        <v>286.45</v>
      </c>
      <c r="K45" s="18">
        <f>SUMIFS(CloudBed!$V:$V,CloudBed!$S:$S,K41,CloudBed!$AA:$AA,"Revolut")</f>
        <v>0</v>
      </c>
      <c r="L45" s="18">
        <f>SUMIFS(CloudBed!$V:$V,CloudBed!$S:$S,L41,CloudBed!$AA:$AA,"Revolut")</f>
        <v>0</v>
      </c>
      <c r="M45" s="18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ht="15.75" customHeight="1">
      <c r="A46" s="149" t="s">
        <v>257</v>
      </c>
      <c r="B46" s="18">
        <f>SUMIFS(Extra!$H:$H,Extra!$I:$I,"Revolut",Extra!$C:$C,B41)</f>
        <v>0</v>
      </c>
      <c r="C46" s="18">
        <f>SUMIFS(Extra!$H:$H,Extra!$I:$I,"Revolut",Extra!$C:$C,C41)</f>
        <v>0</v>
      </c>
      <c r="D46" s="18">
        <f>SUMIFS(Extra!$H:$H,Extra!$I:$I,"Revolut",Extra!$C:$C,D41)</f>
        <v>0</v>
      </c>
      <c r="E46" s="18">
        <f>SUMIFS(Extra!$H:$H,Extra!$I:$I,"Revolut",Extra!$C:$C,E41)</f>
        <v>0</v>
      </c>
      <c r="F46" s="18">
        <f>SUMIFS(Extra!$H:$H,Extra!$I:$I,"Revolut",Extra!$C:$C,F41)</f>
        <v>72</v>
      </c>
      <c r="G46" s="18">
        <f>SUMIFS(Extra!$H:$H,Extra!$I:$I,"Revolut",Extra!$C:$C,G41)</f>
        <v>31</v>
      </c>
      <c r="H46" s="18">
        <f>SUMIFS(Extra!$H:$H,Extra!$I:$I,"Revolut",Extra!$C:$C,H41)</f>
        <v>12</v>
      </c>
      <c r="I46" s="18">
        <f>SUMIFS(Extra!$H:$H,Extra!$I:$I,"Revolut",Extra!$C:$C,I41)</f>
        <v>66</v>
      </c>
      <c r="J46" s="18">
        <f>SUMIFS(Extra!$H:$H,Extra!$I:$I,"Revolut",Extra!$C:$C,J41)</f>
        <v>0</v>
      </c>
      <c r="K46" s="18">
        <f>SUMIFS(Extra!$H:$H,Extra!$I:$I,"Revolut",Extra!$C:$C,K41)</f>
        <v>0</v>
      </c>
      <c r="L46" s="18">
        <f>SUMIFS(Extra!$H:$H,Extra!$I:$I,"Revolut",Extra!$C:$C,L41)</f>
        <v>0</v>
      </c>
      <c r="M46" s="18">
        <f>SUMIFS(Extra!$H:$H,Extra!$I:$I,"Revolut",Extra!$C:$C,M41)</f>
        <v>0</v>
      </c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ht="15.75" customHeight="1">
      <c r="A47" s="149" t="s">
        <v>87</v>
      </c>
      <c r="B47" s="18">
        <f>SUMIFS(FF!$E:$E,FF!$F:$F,"Revolut",FF!$C:$C,B41)</f>
        <v>0</v>
      </c>
      <c r="C47" s="18">
        <f>SUMIFS(FF!$E:$E,FF!$F:$F,"Revolut",FF!$C:$C,C41)</f>
        <v>0</v>
      </c>
      <c r="D47" s="18">
        <f>SUMIFS(FF!$E:$E,FF!$F:$F,"Revolut",FF!$C:$C,D41)</f>
        <v>0</v>
      </c>
      <c r="E47" s="18">
        <f>SUMIFS(FF!$E:$E,FF!$F:$F,"Revolut",FF!$C:$C,E41)</f>
        <v>0</v>
      </c>
      <c r="F47" s="18">
        <f>SUMIFS(FF!$E:$E,FF!$F:$F,"Revolut",FF!$C:$C,F41)</f>
        <v>410</v>
      </c>
      <c r="G47" s="18">
        <f>SUMIFS(FF!$E:$E,FF!$F:$F,"Revolut",FF!$C:$C,G41)</f>
        <v>399.5</v>
      </c>
      <c r="H47" s="18">
        <f>SUMIFS(FF!$E:$E,FF!$F:$F,"Revolut",FF!$C:$C,H41)</f>
        <v>115</v>
      </c>
      <c r="I47" s="18">
        <f>SUMIFS(FF!$E:$E,FF!$F:$F,"Revolut",FF!$C:$C,I41)</f>
        <v>0</v>
      </c>
      <c r="J47" s="18">
        <f>SUMIFS(FF!$E:$E,FF!$F:$F,"Revolut",FF!$C:$C,J41)</f>
        <v>55</v>
      </c>
      <c r="K47" s="18">
        <f>SUMIFS(FF!$E:$E,FF!$F:$F,"Revolut",FF!$C:$C,K41)</f>
        <v>0</v>
      </c>
      <c r="L47" s="18">
        <f>SUMIFS(FF!$E:$E,FF!$F:$F,"Revolut",FF!$C:$C,L41)</f>
        <v>0</v>
      </c>
      <c r="M47" s="18">
        <f>SUMIFS(FF!$E:$E,FF!$F:$F,"Revolut",FF!$C:$C,M41)</f>
        <v>0</v>
      </c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ht="15.75" customHeight="1">
      <c r="A48" s="149" t="s">
        <v>251</v>
      </c>
      <c r="B48" s="144">
        <f t="shared" ref="B48:M48" si="10">SUM(B44:B47)</f>
        <v>0</v>
      </c>
      <c r="C48" s="144">
        <f t="shared" si="10"/>
        <v>0</v>
      </c>
      <c r="D48" s="144">
        <f t="shared" si="10"/>
        <v>0</v>
      </c>
      <c r="E48" s="144">
        <f t="shared" si="10"/>
        <v>0</v>
      </c>
      <c r="F48" s="144">
        <f t="shared" si="10"/>
        <v>1005.25</v>
      </c>
      <c r="G48" s="144">
        <f t="shared" si="10"/>
        <v>1440.5</v>
      </c>
      <c r="H48" s="144">
        <f t="shared" si="10"/>
        <v>979.5</v>
      </c>
      <c r="I48" s="144">
        <f t="shared" si="10"/>
        <v>1367.25</v>
      </c>
      <c r="J48" s="144">
        <f t="shared" si="10"/>
        <v>357.45</v>
      </c>
      <c r="K48" s="144">
        <f t="shared" si="10"/>
        <v>0</v>
      </c>
      <c r="L48" s="144">
        <f t="shared" si="10"/>
        <v>0</v>
      </c>
      <c r="M48" s="144">
        <f t="shared" si="10"/>
        <v>0</v>
      </c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ht="15.75" customHeight="1">
      <c r="A49" s="149" t="s">
        <v>259</v>
      </c>
      <c r="B49" s="144"/>
      <c r="C49" s="144"/>
      <c r="D49" s="144"/>
      <c r="E49" s="144"/>
      <c r="F49" s="144">
        <f>15+90+160+120.75+45+45+432.5+35+2+4+25+35</f>
        <v>1009.25</v>
      </c>
      <c r="G49" s="144">
        <v>1425.96</v>
      </c>
      <c r="H49" s="144">
        <v>992.32</v>
      </c>
      <c r="I49" s="144">
        <v>1379.84</v>
      </c>
      <c r="J49" s="152">
        <v>352.56</v>
      </c>
      <c r="K49" s="144"/>
      <c r="L49" s="144"/>
      <c r="M49" s="144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ht="15.75" customHeight="1">
      <c r="A50" s="146" t="s">
        <v>54</v>
      </c>
      <c r="B50" s="147">
        <f t="shared" ref="B50:M50" si="11">B48-B49</f>
        <v>0</v>
      </c>
      <c r="C50" s="147">
        <f t="shared" si="11"/>
        <v>0</v>
      </c>
      <c r="D50" s="147">
        <f t="shared" si="11"/>
        <v>0</v>
      </c>
      <c r="E50" s="147">
        <f t="shared" si="11"/>
        <v>0</v>
      </c>
      <c r="F50" s="147">
        <f t="shared" si="11"/>
        <v>-4</v>
      </c>
      <c r="G50" s="147">
        <f t="shared" si="11"/>
        <v>14.54</v>
      </c>
      <c r="H50" s="147">
        <f t="shared" si="11"/>
        <v>-12.82</v>
      </c>
      <c r="I50" s="147">
        <f t="shared" si="11"/>
        <v>-12.59</v>
      </c>
      <c r="J50" s="147">
        <f t="shared" si="11"/>
        <v>4.89</v>
      </c>
      <c r="K50" s="147">
        <f t="shared" si="11"/>
        <v>0</v>
      </c>
      <c r="L50" s="147">
        <f t="shared" si="11"/>
        <v>0</v>
      </c>
      <c r="M50" s="147">
        <f t="shared" si="11"/>
        <v>0</v>
      </c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</row>
    <row r="51" ht="15.75" customHeight="1">
      <c r="A51" s="149" t="s">
        <v>260</v>
      </c>
      <c r="B51" s="18">
        <f>SUMIFS(Dados!$N:$N,Dados!$G:$G,B41,Dados!$H:$H,$B$40,Dados!$D:$D,"Revolut")</f>
        <v>1162.2</v>
      </c>
      <c r="C51" s="18">
        <f>SUMIFS(Dados!$N:$N,Dados!$G:$G,C41,Dados!$H:$H,$B$40,Dados!$D:$D,"Revolut")</f>
        <v>1272</v>
      </c>
      <c r="D51" s="18">
        <f>SUMIFS(Dados!$N:$N,Dados!$G:$G,D41,Dados!$H:$H,$B$40,Dados!$D:$D,"Revolut")</f>
        <v>552.45</v>
      </c>
      <c r="E51" s="18">
        <f>SUMIFS(Dados!$N:$N,Dados!$G:$G,E41,Dados!$H:$H,$B$40,Dados!$D:$D,"Revolut")</f>
        <v>622.62</v>
      </c>
      <c r="F51" s="18">
        <f>SUMIFS(Dados!$N:$N,Dados!$G:$G,F41,Dados!$H:$H,$B$40,Dados!$D:$D,"Revolut")</f>
        <v>959.09</v>
      </c>
      <c r="G51" s="18">
        <f>SUMIFS(Dados!$N:$N,Dados!$G:$G,G41,Dados!$H:$H,$B$40,Dados!$D:$D,"Revolut")</f>
        <v>1288.1</v>
      </c>
      <c r="H51" s="18">
        <f>SUMIFS(Dados!$N:$N,Dados!$G:$G,H41,Dados!$H:$H,$B$40,Dados!$D:$D,"Revolut")</f>
        <v>1278.15</v>
      </c>
      <c r="I51" s="18">
        <f>SUMIFS(Dados!$N:$N,Dados!$G:$G,I41,Dados!$H:$H,$B$40,Dados!$D:$D,"Revolut")</f>
        <v>537</v>
      </c>
      <c r="J51" s="18">
        <f>SUMIFS(Dados!$N:$N,Dados!$G:$G,J41,Dados!$H:$H,$B$40,Dados!$D:$D,"Revolut")</f>
        <v>1839</v>
      </c>
      <c r="K51" s="18">
        <f>SUMIFS(Dados!$N:$N,Dados!$G:$G,K41,Dados!$H:$H,$B$40,Dados!$D:$D,"Revolut")</f>
        <v>0</v>
      </c>
      <c r="L51" s="18">
        <f>SUMIFS(Dados!$N:$N,Dados!$G:$G,L41,Dados!$H:$H,$B$40,Dados!$D:$D,"Revolut")</f>
        <v>0</v>
      </c>
      <c r="M51" s="18">
        <f>SUMIFS(FF!$E:$E,FF!$F:$F,"Revolut",FF!$C:$C,M46)</f>
        <v>0</v>
      </c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</row>
    <row r="52" ht="15.75" customHeight="1">
      <c r="A52" s="15" t="s">
        <v>242</v>
      </c>
      <c r="B52" s="151">
        <f t="shared" ref="B52:M52" si="12">B43+B48-B51</f>
        <v>-1162.2</v>
      </c>
      <c r="C52" s="151">
        <f t="shared" si="12"/>
        <v>-2434.2</v>
      </c>
      <c r="D52" s="151">
        <f t="shared" si="12"/>
        <v>-2986.65</v>
      </c>
      <c r="E52" s="151">
        <f t="shared" si="12"/>
        <v>-3609.27</v>
      </c>
      <c r="F52" s="151">
        <f t="shared" si="12"/>
        <v>-3563.11</v>
      </c>
      <c r="G52" s="151">
        <f t="shared" si="12"/>
        <v>-3410.71</v>
      </c>
      <c r="H52" s="151">
        <f t="shared" si="12"/>
        <v>-3709.36</v>
      </c>
      <c r="I52" s="151">
        <f t="shared" si="12"/>
        <v>-2879.11</v>
      </c>
      <c r="J52" s="151">
        <f t="shared" si="12"/>
        <v>-4360.66</v>
      </c>
      <c r="K52" s="151">
        <f t="shared" si="12"/>
        <v>-4360.66</v>
      </c>
      <c r="L52" s="151">
        <f t="shared" si="12"/>
        <v>-4360.66</v>
      </c>
      <c r="M52" s="151">
        <f t="shared" si="12"/>
        <v>-4360.66</v>
      </c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</row>
    <row r="54" ht="15.75" customHeight="1">
      <c r="A54" s="16" t="s">
        <v>218</v>
      </c>
      <c r="B54" s="16" t="s">
        <v>262</v>
      </c>
      <c r="C54" s="16"/>
      <c r="D54" s="16"/>
      <c r="E54" s="16"/>
      <c r="F54" s="16"/>
      <c r="G54" s="16"/>
      <c r="H54" s="148"/>
      <c r="I54" s="148"/>
      <c r="J54" s="148"/>
      <c r="K54" s="148"/>
      <c r="L54" s="148"/>
      <c r="M54" s="148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</row>
    <row r="55" ht="15.75" customHeight="1">
      <c r="A55" s="138" t="s">
        <v>102</v>
      </c>
      <c r="B55" s="9">
        <v>2026.0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</row>
    <row r="56" ht="15.75" customHeight="1">
      <c r="A56" s="138" t="s">
        <v>219</v>
      </c>
      <c r="B56" s="9">
        <v>1.0</v>
      </c>
      <c r="C56" s="9">
        <v>2.0</v>
      </c>
      <c r="D56" s="9">
        <v>3.0</v>
      </c>
      <c r="E56" s="9">
        <v>4.0</v>
      </c>
      <c r="F56" s="9">
        <v>5.0</v>
      </c>
      <c r="G56" s="9">
        <v>6.0</v>
      </c>
      <c r="H56" s="9">
        <v>7.0</v>
      </c>
      <c r="I56" s="9">
        <v>8.0</v>
      </c>
      <c r="J56" s="9">
        <v>9.0</v>
      </c>
      <c r="K56" s="9">
        <v>10.0</v>
      </c>
      <c r="L56" s="9">
        <v>11.0</v>
      </c>
      <c r="M56" s="9">
        <v>12.0</v>
      </c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 ht="15.75" customHeight="1">
      <c r="A57" s="1" t="s">
        <v>219</v>
      </c>
      <c r="B57" s="2" t="s">
        <v>71</v>
      </c>
      <c r="C57" s="2" t="s">
        <v>72</v>
      </c>
      <c r="D57" s="2" t="s">
        <v>73</v>
      </c>
      <c r="E57" s="2" t="s">
        <v>74</v>
      </c>
      <c r="F57" s="2" t="s">
        <v>75</v>
      </c>
      <c r="G57" s="2" t="s">
        <v>76</v>
      </c>
      <c r="H57" s="2" t="s">
        <v>77</v>
      </c>
      <c r="I57" s="2" t="s">
        <v>78</v>
      </c>
      <c r="J57" s="2" t="s">
        <v>79</v>
      </c>
      <c r="K57" s="2" t="s">
        <v>80</v>
      </c>
      <c r="L57" s="2" t="s">
        <v>81</v>
      </c>
      <c r="M57" s="2" t="s">
        <v>82</v>
      </c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ht="15.75" customHeight="1">
      <c r="A58" s="149" t="s">
        <v>247</v>
      </c>
      <c r="B58" s="18"/>
      <c r="C58" s="18"/>
      <c r="D58" s="18"/>
      <c r="E58" s="18"/>
      <c r="F58" s="18">
        <f>SUMIFS(CloudBed!$P:$P,CloudBed!$S:$S,F56,CloudBed!$U:$U,"Paypal")</f>
        <v>18</v>
      </c>
      <c r="G58" s="18">
        <f>SUMIFS(CloudBed!$P:$P,CloudBed!$S:$S,G56,CloudBed!$U:$U,"Paypal")</f>
        <v>94</v>
      </c>
      <c r="H58" s="18">
        <f>SUMIFS(CloudBed!$P:$P,CloudBed!$S:$S,H56,CloudBed!$U:$U,"Paypal")</f>
        <v>36</v>
      </c>
      <c r="I58" s="18">
        <f>SUMIFS(CloudBed!$P:$P,CloudBed!$S:$S,I56,CloudBed!$U:$U,"Paypal")</f>
        <v>34</v>
      </c>
      <c r="J58" s="18">
        <f>SUMIFS(CloudBed!$P:$P,CloudBed!$S:$S,J56,CloudBed!$U:$U,"Paypal")</f>
        <v>18</v>
      </c>
      <c r="K58" s="18">
        <f>SUMIFS(CloudBed!$P:$P,CloudBed!$S:$S,K56,CloudBed!$U:$U,"Paypal")</f>
        <v>0</v>
      </c>
      <c r="L58" s="18">
        <f>SUMIFS(CloudBed!$P:$P,CloudBed!$S:$S,L56,CloudBed!$U:$U,"Paypal")</f>
        <v>0</v>
      </c>
      <c r="M58" s="18">
        <f>SUMIFS(CloudBed!$J:$J,CloudBed!$N:$N,"Paypal",CloudBed!$D:$D,M56)</f>
        <v>0</v>
      </c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ht="15.75" customHeight="1">
      <c r="A59" s="149" t="s">
        <v>249</v>
      </c>
      <c r="B59" s="18"/>
      <c r="C59" s="18"/>
      <c r="D59" s="18"/>
      <c r="E59" s="18"/>
      <c r="F59" s="18">
        <f>SUMIFS(CloudBed!$V:$V,CloudBed!$S:$S,F56,CloudBed!$AA:$AA,"Paypal")</f>
        <v>553.75</v>
      </c>
      <c r="G59" s="18">
        <f>SUMIFS(CloudBed!$V:$V,CloudBed!$S:$S,G56,CloudBed!$AA:$AA,"Paypal")</f>
        <v>1611.3</v>
      </c>
      <c r="H59" s="18">
        <f>SUMIFS(CloudBed!$V:$V,CloudBed!$S:$S,H56,CloudBed!$AA:$AA,"Paypal")</f>
        <v>630</v>
      </c>
      <c r="I59" s="18">
        <f>SUMIFS(CloudBed!$V:$V,CloudBed!$S:$S,I56,CloudBed!$AA:$AA,"Paypal")</f>
        <v>926.5</v>
      </c>
      <c r="J59" s="18">
        <f>SUMIFS(CloudBed!$V:$V,CloudBed!$S:$S,J56,CloudBed!$AA:$AA,"Paypal")</f>
        <v>310.25</v>
      </c>
      <c r="K59" s="18">
        <f>SUMIFS(CloudBed!$V:$V,CloudBed!$S:$S,K56,CloudBed!$AA:$AA,"Paypal")</f>
        <v>0</v>
      </c>
      <c r="L59" s="18">
        <f>SUMIFS(CloudBed!$V:$V,CloudBed!$S:$S,L56,CloudBed!$AA:$AA,"Paypal")</f>
        <v>0</v>
      </c>
      <c r="M59" s="18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0" ht="15.75" customHeight="1">
      <c r="A60" s="149" t="s">
        <v>257</v>
      </c>
      <c r="B60" s="18">
        <f>SUMIFS(Extra!$H:$H,Extra!$I:$I,"Paypal",Extra!$C:$C,B56)</f>
        <v>0</v>
      </c>
      <c r="C60" s="18">
        <f>SUMIFS(Extra!$H:$H,Extra!$I:$I,"Paypal",Extra!$C:$C,C56)</f>
        <v>0</v>
      </c>
      <c r="D60" s="18">
        <f>SUMIFS(Extra!$H:$H,Extra!$I:$I,"Paypal",Extra!$C:$C,D56)</f>
        <v>0</v>
      </c>
      <c r="E60" s="18">
        <f>SUMIFS(Extra!$H:$H,Extra!$I:$I,"Paypal",Extra!$C:$C,E56)</f>
        <v>0</v>
      </c>
      <c r="F60" s="18">
        <f>SUMIFS(Extra!$H:$H,Extra!$I:$I,"Paypal",Extra!$C:$C,F56)</f>
        <v>23</v>
      </c>
      <c r="G60" s="18">
        <f>SUMIFS(Extra!$H:$H,Extra!$I:$I,"Paypal",Extra!$C:$C,G56)</f>
        <v>39</v>
      </c>
      <c r="H60" s="18">
        <f>SUMIFS(Extra!$H:$H,Extra!$I:$I,"Paypal",Extra!$C:$C,H56)</f>
        <v>10</v>
      </c>
      <c r="I60" s="18">
        <f>SUMIFS(Extra!$H:$H,Extra!$I:$I,"Paypal",Extra!$C:$C,I56)</f>
        <v>100</v>
      </c>
      <c r="J60" s="18">
        <f>SUMIFS(Extra!$H:$H,Extra!$I:$I,"Paypal",Extra!$C:$C,J56)</f>
        <v>12</v>
      </c>
      <c r="K60" s="18">
        <f>SUMIFS(Extra!$H:$H,Extra!$I:$I,"Paypal",Extra!$C:$C,K56)</f>
        <v>0</v>
      </c>
      <c r="L60" s="18">
        <f>SUMIFS(Extra!$H:$H,Extra!$I:$I,"Paypal",Extra!$C:$C,L56)</f>
        <v>0</v>
      </c>
      <c r="M60" s="18">
        <f>SUMIFS(Extra!$H:$H,Extra!$I:$I,"Paypal",Extra!$C:$C,M56)</f>
        <v>0</v>
      </c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</row>
    <row r="61" ht="15.75" customHeight="1">
      <c r="A61" s="149" t="s">
        <v>87</v>
      </c>
      <c r="B61" s="18">
        <f>SUMIFS(FF!$E:$E,FF!$F:$F,"Paypal",FF!$C:$C,B56)</f>
        <v>0</v>
      </c>
      <c r="C61" s="18">
        <f>SUMIFS(FF!$E:$E,FF!$F:$F,"Paypal",FF!$C:$C,C56)</f>
        <v>0</v>
      </c>
      <c r="D61" s="18">
        <f>SUMIFS(FF!$E:$E,FF!$F:$F,"Paypal",FF!$C:$C,D56)</f>
        <v>0</v>
      </c>
      <c r="E61" s="18">
        <f>SUMIFS(FF!$E:$E,FF!$F:$F,"Paypal",FF!$C:$C,E56)</f>
        <v>0</v>
      </c>
      <c r="F61" s="18">
        <f>SUMIFS(FF!$E:$E,FF!$F:$F,"Paypal",FF!$C:$C,F56)</f>
        <v>250</v>
      </c>
      <c r="G61" s="18">
        <f>SUMIFS(FF!$E:$E,FF!$F:$F,"Paypal",FF!$C:$C,G56)</f>
        <v>507.5</v>
      </c>
      <c r="H61" s="18">
        <f>SUMIFS(FF!$E:$E,FF!$F:$F,"Paypal",FF!$C:$C,H56)</f>
        <v>499.5</v>
      </c>
      <c r="I61" s="18">
        <f>SUMIFS(FF!$E:$E,FF!$F:$F,"Paypal",FF!$C:$C,I56)</f>
        <v>487</v>
      </c>
      <c r="J61" s="18">
        <f>SUMIFS(FF!$E:$E,FF!$F:$F,"Paypal",FF!$C:$C,J56)</f>
        <v>0</v>
      </c>
      <c r="K61" s="18">
        <f>SUMIFS(FF!$E:$E,FF!$F:$F,"Paypal",FF!$C:$C,K56)</f>
        <v>0</v>
      </c>
      <c r="L61" s="18">
        <f>SUMIFS(FF!$E:$E,FF!$F:$F,"Paypal",FF!$C:$C,L56)</f>
        <v>0</v>
      </c>
      <c r="M61" s="18">
        <f>SUMIFS(FF!$E:$E,FF!$F:$F,"Paypal",FF!$C:$C,M56)</f>
        <v>0</v>
      </c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</row>
    <row r="62" ht="15.75" customHeight="1">
      <c r="A62" s="149" t="s">
        <v>251</v>
      </c>
      <c r="B62" s="144">
        <f t="shared" ref="B62:M62" si="13">SUM(B58:B61)</f>
        <v>0</v>
      </c>
      <c r="C62" s="144">
        <f t="shared" si="13"/>
        <v>0</v>
      </c>
      <c r="D62" s="144">
        <f t="shared" si="13"/>
        <v>0</v>
      </c>
      <c r="E62" s="144">
        <f t="shared" si="13"/>
        <v>0</v>
      </c>
      <c r="F62" s="144">
        <f t="shared" si="13"/>
        <v>844.75</v>
      </c>
      <c r="G62" s="144">
        <f t="shared" si="13"/>
        <v>2251.8</v>
      </c>
      <c r="H62" s="144">
        <f t="shared" si="13"/>
        <v>1175.5</v>
      </c>
      <c r="I62" s="144">
        <f t="shared" si="13"/>
        <v>1547.5</v>
      </c>
      <c r="J62" s="144">
        <f t="shared" si="13"/>
        <v>340.25</v>
      </c>
      <c r="K62" s="144">
        <f t="shared" si="13"/>
        <v>0</v>
      </c>
      <c r="L62" s="144">
        <f t="shared" si="13"/>
        <v>0</v>
      </c>
      <c r="M62" s="144">
        <f t="shared" si="13"/>
        <v>0</v>
      </c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</row>
    <row r="63" ht="15.75" customHeight="1">
      <c r="A63" s="149" t="s">
        <v>259</v>
      </c>
      <c r="B63" s="144"/>
      <c r="C63" s="144"/>
      <c r="D63" s="144"/>
      <c r="E63" s="144"/>
      <c r="F63" s="144">
        <v>844.07</v>
      </c>
      <c r="G63" s="144">
        <v>2225.88</v>
      </c>
      <c r="H63" s="144">
        <v>1217.47</v>
      </c>
      <c r="I63" s="144">
        <v>1553.75</v>
      </c>
      <c r="J63" s="152">
        <v>352.92</v>
      </c>
      <c r="K63" s="144"/>
      <c r="L63" s="144"/>
      <c r="M63" s="144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</row>
    <row r="64" ht="15.75" customHeight="1">
      <c r="A64" s="146" t="s">
        <v>54</v>
      </c>
      <c r="B64" s="147">
        <f t="shared" ref="B64:M64" si="14">B62-B63</f>
        <v>0</v>
      </c>
      <c r="C64" s="147">
        <f t="shared" si="14"/>
        <v>0</v>
      </c>
      <c r="D64" s="147">
        <f t="shared" si="14"/>
        <v>0</v>
      </c>
      <c r="E64" s="147">
        <f t="shared" si="14"/>
        <v>0</v>
      </c>
      <c r="F64" s="147">
        <f t="shared" si="14"/>
        <v>0.68</v>
      </c>
      <c r="G64" s="147">
        <f t="shared" si="14"/>
        <v>25.92</v>
      </c>
      <c r="H64" s="147">
        <f t="shared" si="14"/>
        <v>-41.97</v>
      </c>
      <c r="I64" s="147">
        <f t="shared" si="14"/>
        <v>-6.25</v>
      </c>
      <c r="J64" s="147">
        <f t="shared" si="14"/>
        <v>-12.67</v>
      </c>
      <c r="K64" s="147">
        <f t="shared" si="14"/>
        <v>0</v>
      </c>
      <c r="L64" s="147">
        <f t="shared" si="14"/>
        <v>0</v>
      </c>
      <c r="M64" s="147">
        <f t="shared" si="14"/>
        <v>0</v>
      </c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</row>
    <row r="67" ht="15.75" customHeight="1">
      <c r="A67" s="16" t="s">
        <v>218</v>
      </c>
      <c r="B67" s="16" t="s">
        <v>5</v>
      </c>
      <c r="C67" s="16" t="s">
        <v>265</v>
      </c>
      <c r="D67" s="16"/>
      <c r="E67" s="16"/>
      <c r="F67" s="16"/>
      <c r="G67" s="16"/>
      <c r="H67" s="148"/>
      <c r="I67" s="148"/>
      <c r="J67" s="148"/>
      <c r="K67" s="148"/>
      <c r="L67" s="148"/>
      <c r="M67" s="148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</row>
    <row r="68" ht="15.75" customHeight="1">
      <c r="A68" s="138" t="s">
        <v>102</v>
      </c>
      <c r="B68" s="9">
        <v>2026.0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</row>
    <row r="69" ht="15.75" customHeight="1">
      <c r="A69" s="138" t="s">
        <v>219</v>
      </c>
      <c r="B69" s="9">
        <v>1.0</v>
      </c>
      <c r="C69" s="9">
        <v>2.0</v>
      </c>
      <c r="D69" s="9">
        <v>3.0</v>
      </c>
      <c r="E69" s="9">
        <v>4.0</v>
      </c>
      <c r="F69" s="9">
        <v>5.0</v>
      </c>
      <c r="G69" s="9">
        <v>6.0</v>
      </c>
      <c r="H69" s="9">
        <v>7.0</v>
      </c>
      <c r="I69" s="9">
        <v>8.0</v>
      </c>
      <c r="J69" s="9">
        <v>9.0</v>
      </c>
      <c r="K69" s="9">
        <v>10.0</v>
      </c>
      <c r="L69" s="9">
        <v>11.0</v>
      </c>
      <c r="M69" s="9">
        <v>12.0</v>
      </c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</row>
    <row r="70" ht="15.75" customHeight="1">
      <c r="A70" s="1" t="s">
        <v>219</v>
      </c>
      <c r="B70" s="2" t="s">
        <v>71</v>
      </c>
      <c r="C70" s="2" t="s">
        <v>72</v>
      </c>
      <c r="D70" s="2" t="s">
        <v>73</v>
      </c>
      <c r="E70" s="2" t="s">
        <v>74</v>
      </c>
      <c r="F70" s="2" t="s">
        <v>75</v>
      </c>
      <c r="G70" s="2" t="s">
        <v>76</v>
      </c>
      <c r="H70" s="2" t="s">
        <v>77</v>
      </c>
      <c r="I70" s="2" t="s">
        <v>78</v>
      </c>
      <c r="J70" s="2" t="s">
        <v>79</v>
      </c>
      <c r="K70" s="2" t="s">
        <v>80</v>
      </c>
      <c r="L70" s="2" t="s">
        <v>81</v>
      </c>
      <c r="M70" s="2" t="s">
        <v>82</v>
      </c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</row>
    <row r="71" ht="15.75" customHeight="1">
      <c r="A71" s="15" t="s">
        <v>221</v>
      </c>
      <c r="B71" s="153">
        <v>0.0</v>
      </c>
      <c r="C71" s="139">
        <f t="shared" ref="C71:M71" si="15">B77</f>
        <v>0</v>
      </c>
      <c r="D71" s="139">
        <f t="shared" si="15"/>
        <v>0</v>
      </c>
      <c r="E71" s="139">
        <f t="shared" si="15"/>
        <v>0</v>
      </c>
      <c r="F71" s="139">
        <f t="shared" si="15"/>
        <v>0</v>
      </c>
      <c r="G71" s="139">
        <f t="shared" si="15"/>
        <v>1000</v>
      </c>
      <c r="H71" s="139">
        <f t="shared" si="15"/>
        <v>2200</v>
      </c>
      <c r="I71" s="139">
        <f t="shared" si="15"/>
        <v>5725</v>
      </c>
      <c r="J71" s="139">
        <f t="shared" si="15"/>
        <v>15395</v>
      </c>
      <c r="K71" s="139">
        <f t="shared" si="15"/>
        <v>21835</v>
      </c>
      <c r="L71" s="139">
        <f t="shared" si="15"/>
        <v>21835</v>
      </c>
      <c r="M71" s="139">
        <f t="shared" si="15"/>
        <v>21835</v>
      </c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</row>
    <row r="72" ht="15.75" customHeight="1">
      <c r="A72" s="149" t="s">
        <v>266</v>
      </c>
      <c r="B72" s="18">
        <f>sumifs(Dados!$N:$N,Dados!$B:$B,"From MB to Drop",Dados!$G:$G,B69)</f>
        <v>0</v>
      </c>
      <c r="C72" s="18">
        <f>sumifs(Dados!$N:$N,Dados!$B:$B,"From MB to Drop",Dados!$G:$G,C69)</f>
        <v>0</v>
      </c>
      <c r="D72" s="18">
        <f>sumifs(Dados!$N:$N,Dados!$B:$B,"From MB to Drop",Dados!$G:$G,D69)</f>
        <v>0</v>
      </c>
      <c r="E72" s="18">
        <f>sumifs(Dados!$N:$N,Dados!$B:$B,"From MB to Drop",Dados!$G:$G,E69)</f>
        <v>0</v>
      </c>
      <c r="F72" s="18">
        <f>sumifs(Dados!$N:$N,Dados!$B:$B,"From MB to Drop",Dados!$G:$G,F69)</f>
        <v>1000</v>
      </c>
      <c r="G72" s="18">
        <f>sumifs(Dados!$N:$N,Dados!$B:$B,"From MB to Drop",Dados!$G:$G,G69)</f>
        <v>3000</v>
      </c>
      <c r="H72" s="18">
        <f>sumifs(Dados!$N:$N,Dados!$B:$B,"From MB to Drop",Dados!$G:$G,H69)</f>
        <v>8510</v>
      </c>
      <c r="I72" s="18">
        <f>sumifs(Dados!$N:$N,Dados!$B:$B,"From MB to Drop",Dados!$G:$G,I69)</f>
        <v>11600.09</v>
      </c>
      <c r="J72" s="18">
        <f>sumifs(Dados!$N:$N,Dados!$B:$B,"From MB to Drop",Dados!$G:$G,J69)</f>
        <v>7000</v>
      </c>
      <c r="K72" s="18">
        <f>sumifs(Dados!$N:$N,Dados!$B:$B,"From MB to Drop",Dados!$G:$G,K69)</f>
        <v>0</v>
      </c>
      <c r="L72" s="18">
        <f>sumifs(Dados!$N:$N,Dados!$B:$B,"From MB to Drop",Dados!$G:$G,L69)</f>
        <v>0</v>
      </c>
      <c r="M72" s="18">
        <f>sumifs(Dados!$N:$N,Dados!$B:$B,"From MB to Drop",Dados!$G:$G,M69)</f>
        <v>0</v>
      </c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</row>
    <row r="73" ht="15.75" customHeight="1">
      <c r="A73" s="140" t="s">
        <v>222</v>
      </c>
      <c r="B73" s="18">
        <f>SUMIFS(Dados!$N:$N,Dados!$G:$G,B69,Dados!$H:$H,$B$68,Dados!$B:$B,$A$73)</f>
        <v>0</v>
      </c>
      <c r="C73" s="18">
        <f>SUMIFS(Dados!$N:$N,Dados!$G:$G,C69,Dados!$H:$H,$B$68,Dados!$B:$B,$A$73)</f>
        <v>0</v>
      </c>
      <c r="D73" s="18">
        <f>SUMIFS(Dados!$N:$N,Dados!$G:$G,D69,Dados!$H:$H,$B$68,Dados!$B:$B,$A$73)</f>
        <v>0</v>
      </c>
      <c r="E73" s="18">
        <f>SUMIFS(Dados!$N:$N,Dados!$G:$G,E69,Dados!$H:$H,$B$68,Dados!$B:$B,$A$73)</f>
        <v>0</v>
      </c>
      <c r="F73" s="18">
        <f>SUMIFS(Dados!$N:$N,Dados!$G:$G,F69,Dados!$H:$H,$B$68,Dados!$B:$B,$A$73)</f>
        <v>0</v>
      </c>
      <c r="G73" s="18">
        <f>SUMIFS(Dados!$N:$N,Dados!$G:$G,G69,Dados!$H:$H,$B$68,Dados!$B:$B,$A$73)</f>
        <v>0</v>
      </c>
      <c r="H73" s="18">
        <f>SUMIFS(Dados!$N:$N,Dados!$G:$G,H69,Dados!$H:$H,$B$68,Dados!$B:$B,$A$73)</f>
        <v>0</v>
      </c>
      <c r="I73" s="18">
        <f>SUMIFS(Dados!$N:$N,Dados!$G:$G,I69,Dados!$H:$H,$B$68,Dados!$B:$B,$A$73)</f>
        <v>1100.09</v>
      </c>
      <c r="J73" s="18">
        <f>SUMIFS(Dados!$N:$N,Dados!$G:$G,J69,Dados!$H:$H,$B$68,Dados!$B:$B,$A$73)</f>
        <v>0</v>
      </c>
      <c r="K73" s="18">
        <f>SUMIFS(Dados!$N:$N,Dados!$G:$G,K69,Dados!$H:$H,$B$68,Dados!$B:$B,$A$73)</f>
        <v>0</v>
      </c>
      <c r="L73" s="18">
        <f>SUMIFS(Dados!$N:$N,Dados!$G:$G,L69,Dados!$H:$H,$B$68,Dados!$B:$B,$A$73)</f>
        <v>0</v>
      </c>
      <c r="M73" s="18">
        <f>SUMIFS(Dados!$N:$N,Dados!$G:$G,M69,Dados!$H:$H,$B$68,Dados!$B:$B,$A$73)</f>
        <v>0</v>
      </c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</row>
    <row r="74" ht="15.75" customHeight="1">
      <c r="A74" s="15" t="s">
        <v>240</v>
      </c>
      <c r="B74" s="18">
        <f>sumifs(Dados!$N:$N,Dados!$G:$G,B69,Dados!$H:$H,$B$82,Dados!$D:$D,$B$81)-B75</f>
        <v>0</v>
      </c>
      <c r="C74" s="18">
        <f>sumifs(Dados!$N:$N,Dados!$G:$G,C69,Dados!$H:$H,$B$82,Dados!$D:$D,$B$81)-C75</f>
        <v>0</v>
      </c>
      <c r="D74" s="18">
        <f>sumifs(Dados!$N:$N,Dados!$G:$G,D69,Dados!$H:$H,$B$82,Dados!$D:$D,$B$81)-D75</f>
        <v>0</v>
      </c>
      <c r="E74" s="18">
        <f>sumifs(Dados!$N:$N,Dados!$G:$G,E69,Dados!$H:$H,$B$82,Dados!$D:$D,$B$81)-E75</f>
        <v>0</v>
      </c>
      <c r="F74" s="18">
        <f>sumifs(Dados!$N:$N,Dados!$G:$G,F69,Dados!$H:$H,$B$82,Dados!$D:$D,$B$81)-F75</f>
        <v>0</v>
      </c>
      <c r="G74" s="18">
        <f>sumifs(Dados!$N:$N,Dados!$G:$G,G69,Dados!$H:$H,$B$82,Dados!$D:$D,$B$81)-G75</f>
        <v>1800</v>
      </c>
      <c r="H74" s="18">
        <f>sumifs(Dados!$N:$N,Dados!$G:$G,H69,Dados!$H:$H,$B$82,Dados!$D:$D,$B$81)-H75</f>
        <v>4985</v>
      </c>
      <c r="I74" s="18">
        <f>SUMIFS(Dados!$N:$N,Dados!$G:$G,I69,Dados!$H:$H,$B$82,Dados!$D:$D,$B$81)-I75-I73</f>
        <v>830</v>
      </c>
      <c r="J74" s="18">
        <f>sumifs(Dados!$N:$N,Dados!$G:$G,J69,Dados!$H:$H,$B$82,Dados!$D:$D,$B$81)-J75</f>
        <v>560</v>
      </c>
      <c r="K74" s="18">
        <f>sumifs(Dados!$N:$N,Dados!$G:$G,K69,Dados!$H:$H,$B$82,Dados!$D:$D,$B$81)-K75</f>
        <v>0</v>
      </c>
      <c r="L74" s="18">
        <f>sumifs(Dados!$N:$N,Dados!$G:$G,L69,Dados!$H:$H,$B$82,Dados!$D:$D,$B$81)-L75</f>
        <v>0</v>
      </c>
      <c r="M74" s="18">
        <f>sumifs(Dados!$N:$N,Dados!$G:$G,M69,Dados!$H:$H,$B$82,Dados!$D:$D,$B$81)-M75</f>
        <v>0</v>
      </c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</row>
    <row r="75" ht="15.75" hidden="1" customHeight="1">
      <c r="A75" s="149" t="s">
        <v>269</v>
      </c>
      <c r="B75" s="18">
        <f>sumifs(Dados!$N:$N,Dados!$G:$G,B69,Dados!$H:$H,$B$68,Dados!$D:$D,$B$67,Dados!$A:$A,"*obra*")</f>
        <v>3668.42</v>
      </c>
      <c r="C75" s="18">
        <f>sumifs(Dados!$N:$N,Dados!$G:$G,C69,Dados!$H:$H,$B$68,Dados!$D:$D,$B$67,Dados!$A:$A,"*obra*")</f>
        <v>17372</v>
      </c>
      <c r="D75" s="18">
        <f>sumifs(Dados!$N:$N,Dados!$G:$G,D69,Dados!$H:$H,$B$68,Dados!$D:$D,$B$67,Dados!$A:$A,"*obra*")</f>
        <v>5265.81</v>
      </c>
      <c r="E75" s="18">
        <f>sumifs(Dados!$N:$N,Dados!$G:$G,E69,Dados!$H:$H,$B$68,Dados!$D:$D,$B$67,Dados!$A:$A,"*obra*")</f>
        <v>2650.73</v>
      </c>
      <c r="F75" s="18">
        <f>sumifs(Dados!$N:$N,Dados!$G:$G,F69,Dados!$H:$H,$B$68,Dados!$D:$D,$B$67,Dados!$A:$A,"*obra*")</f>
        <v>5280</v>
      </c>
      <c r="G75" s="18">
        <f>sumifs(Dados!$N:$N,Dados!$G:$G,G69,Dados!$H:$H,$B$68,Dados!$D:$D,$B$67,Dados!$A:$A,"*obra*")</f>
        <v>2330</v>
      </c>
      <c r="H75" s="18">
        <f>sumifs(Dados!$N:$N,Dados!$G:$G,H69,Dados!$H:$H,$B$68,Dados!$D:$D,$B$67,Dados!$A:$A,"*obra*")</f>
        <v>700</v>
      </c>
      <c r="I75" s="18">
        <f>sumifs(Dados!$N:$N,Dados!$G:$G,I69,Dados!$H:$H,$B$68,Dados!$D:$D,$B$67,Dados!$A:$A,"*obra*")</f>
        <v>1100</v>
      </c>
      <c r="J75" s="18">
        <f>sumifs(Dados!$N:$N,Dados!$G:$G,J69,Dados!$H:$H,$B$68,Dados!$D:$D,$B$67,Dados!$A:$A,"*obra*")</f>
        <v>1965</v>
      </c>
      <c r="K75" s="18">
        <f>sumifs(Dados!$N:$N,Dados!$G:$G,K69,Dados!$H:$H,$B$68,Dados!$D:$D,$B$67,Dados!$A:$A,"*obra*")</f>
        <v>0</v>
      </c>
      <c r="L75" s="18">
        <f>sumifs(Dados!$N:$N,Dados!$G:$G,L69,Dados!$H:$H,$B$68,Dados!$D:$D,$B$67,Dados!K:K,"*obra*")</f>
        <v>0</v>
      </c>
      <c r="M75" s="18">
        <f>sumifs(Dados!$N:$N,Dados!$G:$G,M69,Dados!$H:$H,$B$82,Dados!$D:$D,$B$81,Dados!L:L,"*obra*")</f>
        <v>0</v>
      </c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</row>
    <row r="76" ht="15.75" customHeight="1">
      <c r="A76" s="141" t="s">
        <v>153</v>
      </c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</row>
    <row r="77" ht="15.75" customHeight="1">
      <c r="A77" s="149" t="s">
        <v>242</v>
      </c>
      <c r="B77" s="144">
        <f t="shared" ref="B77:M77" si="16">B71+B72-B73-B74</f>
        <v>0</v>
      </c>
      <c r="C77" s="144">
        <f t="shared" si="16"/>
        <v>0</v>
      </c>
      <c r="D77" s="144">
        <f t="shared" si="16"/>
        <v>0</v>
      </c>
      <c r="E77" s="144">
        <f t="shared" si="16"/>
        <v>0</v>
      </c>
      <c r="F77" s="144">
        <f t="shared" si="16"/>
        <v>1000</v>
      </c>
      <c r="G77" s="144">
        <f t="shared" si="16"/>
        <v>2200</v>
      </c>
      <c r="H77" s="144">
        <f t="shared" si="16"/>
        <v>5725</v>
      </c>
      <c r="I77" s="144">
        <f t="shared" si="16"/>
        <v>15395</v>
      </c>
      <c r="J77" s="144">
        <f t="shared" si="16"/>
        <v>21835</v>
      </c>
      <c r="K77" s="144">
        <f t="shared" si="16"/>
        <v>21835</v>
      </c>
      <c r="L77" s="144">
        <f t="shared" si="16"/>
        <v>21835</v>
      </c>
      <c r="M77" s="144">
        <f t="shared" si="16"/>
        <v>21835</v>
      </c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</row>
    <row r="78" ht="15.75" customHeight="1">
      <c r="A78" s="15" t="s">
        <v>271</v>
      </c>
      <c r="B78" s="144"/>
      <c r="C78" s="144"/>
      <c r="D78" s="144"/>
      <c r="E78" s="144"/>
      <c r="F78" s="144">
        <v>1000.0</v>
      </c>
      <c r="G78" s="144">
        <v>2200.0</v>
      </c>
      <c r="H78" s="144">
        <v>5720.0</v>
      </c>
      <c r="I78" s="144">
        <f>9670+5720</f>
        <v>15390</v>
      </c>
      <c r="J78" s="144">
        <f>I78+6440</f>
        <v>21830</v>
      </c>
      <c r="K78" s="144"/>
      <c r="L78" s="144"/>
      <c r="M78" s="144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</row>
    <row r="79" ht="15.75" customHeight="1">
      <c r="A79" s="146" t="s">
        <v>54</v>
      </c>
      <c r="B79" s="147">
        <f t="shared" ref="B79:M79" si="17">B77-B78</f>
        <v>0</v>
      </c>
      <c r="C79" s="147">
        <f t="shared" si="17"/>
        <v>0</v>
      </c>
      <c r="D79" s="147">
        <f t="shared" si="17"/>
        <v>0</v>
      </c>
      <c r="E79" s="147">
        <f t="shared" si="17"/>
        <v>0</v>
      </c>
      <c r="F79" s="147">
        <f t="shared" si="17"/>
        <v>0</v>
      </c>
      <c r="G79" s="147">
        <f t="shared" si="17"/>
        <v>0</v>
      </c>
      <c r="H79" s="147">
        <f t="shared" si="17"/>
        <v>5</v>
      </c>
      <c r="I79" s="147">
        <f t="shared" si="17"/>
        <v>5</v>
      </c>
      <c r="J79" s="147">
        <f t="shared" si="17"/>
        <v>5</v>
      </c>
      <c r="K79" s="147">
        <f t="shared" si="17"/>
        <v>21835</v>
      </c>
      <c r="L79" s="147">
        <f t="shared" si="17"/>
        <v>21835</v>
      </c>
      <c r="M79" s="147">
        <f t="shared" si="17"/>
        <v>21835</v>
      </c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</row>
    <row r="80" ht="15.75" customHeight="1">
      <c r="A80" s="39"/>
      <c r="B80" s="39"/>
      <c r="C80" s="39"/>
      <c r="D80" s="39"/>
      <c r="E80" s="39"/>
      <c r="F80" s="40"/>
      <c r="G80" s="39"/>
      <c r="H80" s="39"/>
      <c r="I80" s="39"/>
      <c r="J80" s="39"/>
      <c r="K80" s="39"/>
      <c r="L80" s="39"/>
      <c r="M80" s="39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</row>
    <row r="81" ht="15.75" customHeight="1">
      <c r="A81" s="16" t="s">
        <v>218</v>
      </c>
      <c r="B81" s="16" t="s">
        <v>5</v>
      </c>
      <c r="C81" s="16" t="s">
        <v>268</v>
      </c>
      <c r="D81" s="16"/>
      <c r="E81" s="16"/>
      <c r="F81" s="16"/>
      <c r="G81" s="16"/>
      <c r="H81" s="148"/>
      <c r="I81" s="148"/>
      <c r="J81" s="148"/>
      <c r="K81" s="148"/>
      <c r="L81" s="148"/>
      <c r="M81" s="148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</row>
    <row r="82" ht="15.75" customHeight="1">
      <c r="A82" s="138" t="s">
        <v>102</v>
      </c>
      <c r="B82" s="9">
        <v>2026.0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</row>
    <row r="83" ht="15.75" customHeight="1">
      <c r="A83" s="138" t="s">
        <v>219</v>
      </c>
      <c r="B83" s="9">
        <v>1.0</v>
      </c>
      <c r="C83" s="9">
        <v>2.0</v>
      </c>
      <c r="D83" s="9">
        <v>3.0</v>
      </c>
      <c r="E83" s="9">
        <v>4.0</v>
      </c>
      <c r="F83" s="9">
        <v>5.0</v>
      </c>
      <c r="G83" s="9">
        <v>6.0</v>
      </c>
      <c r="H83" s="9">
        <v>7.0</v>
      </c>
      <c r="I83" s="9">
        <v>8.0</v>
      </c>
      <c r="J83" s="9">
        <v>9.0</v>
      </c>
      <c r="K83" s="9">
        <v>10.0</v>
      </c>
      <c r="L83" s="9">
        <v>11.0</v>
      </c>
      <c r="M83" s="9">
        <v>12.0</v>
      </c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</row>
    <row r="84" ht="15.75" customHeight="1">
      <c r="A84" s="1" t="s">
        <v>219</v>
      </c>
      <c r="B84" s="2" t="s">
        <v>71</v>
      </c>
      <c r="C84" s="2" t="s">
        <v>72</v>
      </c>
      <c r="D84" s="2" t="s">
        <v>73</v>
      </c>
      <c r="E84" s="2" t="s">
        <v>74</v>
      </c>
      <c r="F84" s="2" t="s">
        <v>75</v>
      </c>
      <c r="G84" s="2" t="s">
        <v>76</v>
      </c>
      <c r="H84" s="2" t="s">
        <v>77</v>
      </c>
      <c r="I84" s="2" t="s">
        <v>78</v>
      </c>
      <c r="J84" s="2" t="s">
        <v>79</v>
      </c>
      <c r="K84" s="2" t="s">
        <v>80</v>
      </c>
      <c r="L84" s="2" t="s">
        <v>81</v>
      </c>
      <c r="M84" s="2" t="s">
        <v>82</v>
      </c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</row>
    <row r="85" ht="15.75" customHeight="1">
      <c r="A85" s="15" t="s">
        <v>221</v>
      </c>
      <c r="B85" s="153">
        <v>0.0</v>
      </c>
      <c r="C85" s="139">
        <f t="shared" ref="C85:M85" si="18">B89</f>
        <v>6331.58</v>
      </c>
      <c r="D85" s="139">
        <f t="shared" si="18"/>
        <v>8959.58</v>
      </c>
      <c r="E85" s="139">
        <f t="shared" si="18"/>
        <v>3693.77</v>
      </c>
      <c r="F85" s="139">
        <f t="shared" si="18"/>
        <v>1043.04</v>
      </c>
      <c r="G85" s="139">
        <f t="shared" si="18"/>
        <v>763.04</v>
      </c>
      <c r="H85" s="139">
        <f t="shared" si="18"/>
        <v>3433.04</v>
      </c>
      <c r="I85" s="139">
        <f t="shared" si="18"/>
        <v>2733.04</v>
      </c>
      <c r="J85" s="139">
        <f t="shared" si="18"/>
        <v>1633.04</v>
      </c>
      <c r="K85" s="139">
        <f t="shared" si="18"/>
        <v>4668.04</v>
      </c>
      <c r="L85" s="139">
        <f t="shared" si="18"/>
        <v>4668.04</v>
      </c>
      <c r="M85" s="139">
        <f t="shared" si="18"/>
        <v>4668.04</v>
      </c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</row>
    <row r="86" ht="15.75" customHeight="1">
      <c r="A86" s="149" t="s">
        <v>272</v>
      </c>
      <c r="B86" s="18">
        <f>sumifs(Dados!$N:$N,Dados!$G:$G,B83,Dados!$H:$H,$B$82,Dados!$B:$B,"From Adrian Money to Drop")</f>
        <v>10000</v>
      </c>
      <c r="C86" s="18">
        <f>sumifs(Dados!$N:$N,Dados!$G:$G,C83,Dados!$H:$H,$B$82,Dados!$B:$B,"From Adrian Money to Drop")</f>
        <v>20000</v>
      </c>
      <c r="D86" s="18">
        <f>sumifs(Dados!$N:$N,Dados!$G:$G,D83,Dados!$H:$H,$B$82,Dados!$B:$B,"From Adrian Money to Drop")</f>
        <v>0</v>
      </c>
      <c r="E86" s="18">
        <f>sumifs(Dados!$N:$N,Dados!$G:$G,E83,Dados!$H:$H,$B$82,Dados!$B:$B,"From Adrian Money to Drop")</f>
        <v>0</v>
      </c>
      <c r="F86" s="18">
        <f>sumifs(Dados!$N:$N,Dados!$G:$G,F83,Dados!$H:$H,$B$82,Dados!$B:$B,"From Adrian Money to Drop")</f>
        <v>5000</v>
      </c>
      <c r="G86" s="18">
        <f>sumifs(Dados!$N:$N,Dados!$G:$G,G83,Dados!$H:$H,$B$82,Dados!$B:$B,"From Adrian Money to Drop")</f>
        <v>5000</v>
      </c>
      <c r="H86" s="18">
        <f>sumifs(Dados!$N:$N,Dados!$G:$G,H83,Dados!$H:$H,$B$82,Dados!$B:$B,"From Adrian Money to Drop")</f>
        <v>0</v>
      </c>
      <c r="I86" s="18">
        <f>sumifs(Dados!$N:$N,Dados!$G:$G,I83,Dados!$H:$H,$B$82,Dados!$B:$B,"From Adrian Money to Drop")</f>
        <v>0</v>
      </c>
      <c r="J86" s="18">
        <f>sumifs(Dados!$N:$N,Dados!$G:$G,J83,Dados!$H:$H,$B$82,Dados!$B:$B,"From Adrian Money to Drop")</f>
        <v>5000</v>
      </c>
      <c r="K86" s="18">
        <f>sumifs(Dados!$N:$N,Dados!$G:$G,K83,Dados!$H:$H,$B$82,Dados!$B:$B,"FromAdrianMoneytoDrop")</f>
        <v>0</v>
      </c>
      <c r="L86" s="18">
        <f>sumifs(Dados!$N:$N,Dados!$G:$G,L83,Dados!$H:$H,$B$82,Dados!$B:$B,"FromAdrianMoneytoDrop")</f>
        <v>0</v>
      </c>
      <c r="M86" s="18">
        <f>sumifs(Dados!$N:$N,Dados!$G:$G,M83,Dados!$H:$H,$B$82,Dados!$B:$B,"FromAdrianMoneytoDrop")</f>
        <v>0</v>
      </c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</row>
    <row r="87" ht="15.75" customHeight="1">
      <c r="A87" s="149" t="s">
        <v>269</v>
      </c>
      <c r="B87" s="18">
        <f>sumifs(Dados!$N:$N,Dados!$G:$G,B83,Dados!$H:$H,$B$82,Dados!$D:$D,$B$81,Dados!$A:$A,"*obra*")</f>
        <v>3668.42</v>
      </c>
      <c r="C87" s="18">
        <f>sumifs(Dados!$N:$N,Dados!$G:$G,C83,Dados!$H:$H,$B$82,Dados!$D:$D,$B$81,Dados!$A:$A,"*obra*")</f>
        <v>17372</v>
      </c>
      <c r="D87" s="18">
        <f>sumifs(Dados!$N:$N,Dados!$G:$G,D83,Dados!$H:$H,$B$82,Dados!$D:$D,$B$81,Dados!$A:$A,"*obra*")</f>
        <v>5265.81</v>
      </c>
      <c r="E87" s="18">
        <f>sumifs(Dados!$N:$N,Dados!$G:$G,E83,Dados!$H:$H,$B$82,Dados!$D:$D,$B$81,Dados!$A:$A,"*obra*")</f>
        <v>2650.73</v>
      </c>
      <c r="F87" s="18">
        <f>sumifs(Dados!$N:$N,Dados!$G:$G,F83,Dados!$H:$H,$B$82,Dados!$D:$D,$B$81,Dados!$A:$A,"*obra*")</f>
        <v>5280</v>
      </c>
      <c r="G87" s="18">
        <f>sumifs(Dados!$N:$N,Dados!$G:$G,G83,Dados!$H:$H,$B$82,Dados!$D:$D,$B$81,Dados!$A:$A,"*obra*")</f>
        <v>2330</v>
      </c>
      <c r="H87" s="18">
        <f>sumifs(Dados!$N:$N,Dados!$G:$G,H83,Dados!$H:$H,$B$82,Dados!$D:$D,$B$81,Dados!$A:$A,"*obra*")</f>
        <v>700</v>
      </c>
      <c r="I87" s="18">
        <f>sumifs(Dados!$N:$N,Dados!$G:$G,I83,Dados!$H:$H,$B$82,Dados!$D:$D,$B$81,Dados!$A:$A,"*obra*")</f>
        <v>1100</v>
      </c>
      <c r="J87" s="18">
        <f>sumifs(Dados!$N:$N,Dados!$G:$G,J83,Dados!$H:$H,$B$82,Dados!$D:$D,$B$81,Dados!$A:$A,"*obra*")</f>
        <v>1965</v>
      </c>
      <c r="K87" s="18">
        <f>sumifs(Dados!$N:$N,Dados!$G:$G,K83,Dados!$H:$H,$B$82,Dados!$D:$D,$B$81,Dados!$A:$A,"*obra*")</f>
        <v>0</v>
      </c>
      <c r="L87" s="18">
        <f>sumifs(Dados!$N:$N,Dados!$G:$G,L83,Dados!$H:$H,$B$82,Dados!$D:$D,$B$81,Dados!$A:$A,"*obra*")</f>
        <v>0</v>
      </c>
      <c r="M87" s="18">
        <f>sumifs(Dados!$N:$N,Dados!$G:$G,M83,Dados!$H:$H,$B$82,Dados!$D:$D,$B$81,Dados!$A:$A,"*obra*")</f>
        <v>0</v>
      </c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ht="15.75" customHeight="1">
      <c r="A88" s="141" t="s">
        <v>153</v>
      </c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ht="15.75" customHeight="1">
      <c r="A89" s="149" t="s">
        <v>242</v>
      </c>
      <c r="B89" s="144">
        <f t="shared" ref="B89:M89" si="19">B85+B86-B87</f>
        <v>6331.58</v>
      </c>
      <c r="C89" s="144">
        <f t="shared" si="19"/>
        <v>8959.58</v>
      </c>
      <c r="D89" s="144">
        <f t="shared" si="19"/>
        <v>3693.77</v>
      </c>
      <c r="E89" s="144">
        <f t="shared" si="19"/>
        <v>1043.04</v>
      </c>
      <c r="F89" s="144">
        <f t="shared" si="19"/>
        <v>763.04</v>
      </c>
      <c r="G89" s="144">
        <f t="shared" si="19"/>
        <v>3433.04</v>
      </c>
      <c r="H89" s="144">
        <f t="shared" si="19"/>
        <v>2733.04</v>
      </c>
      <c r="I89" s="144">
        <f t="shared" si="19"/>
        <v>1633.04</v>
      </c>
      <c r="J89" s="144">
        <f t="shared" si="19"/>
        <v>4668.04</v>
      </c>
      <c r="K89" s="144">
        <f t="shared" si="19"/>
        <v>4668.04</v>
      </c>
      <c r="L89" s="144">
        <f t="shared" si="19"/>
        <v>4668.04</v>
      </c>
      <c r="M89" s="144">
        <f t="shared" si="19"/>
        <v>4668.04</v>
      </c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</row>
    <row r="90" ht="15.75" customHeight="1">
      <c r="A90" s="149" t="s">
        <v>273</v>
      </c>
      <c r="B90" s="144"/>
      <c r="C90" s="144"/>
      <c r="D90" s="144"/>
      <c r="E90" s="144"/>
      <c r="F90" s="144"/>
      <c r="G90" s="144"/>
      <c r="H90" s="144"/>
      <c r="I90" s="144"/>
      <c r="J90" s="144">
        <f>71+45+4500</f>
        <v>4616</v>
      </c>
      <c r="K90" s="144"/>
      <c r="L90" s="144"/>
      <c r="M90" s="144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ht="15.75" customHeight="1">
      <c r="A91" s="146" t="s">
        <v>54</v>
      </c>
      <c r="B91" s="147"/>
      <c r="C91" s="147"/>
      <c r="D91" s="147"/>
      <c r="E91" s="147"/>
      <c r="F91" s="147"/>
      <c r="G91" s="147"/>
      <c r="H91" s="147"/>
      <c r="I91" s="147"/>
      <c r="J91" s="147">
        <f t="shared" ref="J91:M91" si="20">J89-J90</f>
        <v>52.04</v>
      </c>
      <c r="K91" s="147">
        <f t="shared" si="20"/>
        <v>4668.04</v>
      </c>
      <c r="L91" s="147">
        <f t="shared" si="20"/>
        <v>4668.04</v>
      </c>
      <c r="M91" s="147">
        <f t="shared" si="20"/>
        <v>4668.04</v>
      </c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ht="15.75" customHeight="1">
      <c r="A92" s="39"/>
      <c r="B92" s="39"/>
      <c r="C92" s="39"/>
      <c r="D92" s="39"/>
      <c r="E92" s="39"/>
      <c r="F92" s="40"/>
      <c r="G92" s="39"/>
      <c r="H92" s="39"/>
      <c r="I92" s="155"/>
      <c r="J92" s="39"/>
      <c r="K92" s="39"/>
      <c r="L92" s="39"/>
      <c r="M92" s="39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</row>
    <row r="93" ht="15.75" customHeight="1">
      <c r="A93" s="39"/>
      <c r="B93" s="39"/>
      <c r="C93" s="39"/>
      <c r="D93" s="39"/>
      <c r="E93" s="39"/>
      <c r="F93" s="40"/>
      <c r="G93" s="39"/>
      <c r="H93" s="39"/>
      <c r="I93" s="39"/>
      <c r="J93" s="39"/>
      <c r="K93" s="39"/>
      <c r="L93" s="39"/>
      <c r="M93" s="39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</row>
    <row r="94" ht="15.75" customHeight="1">
      <c r="A94" s="16" t="s">
        <v>218</v>
      </c>
      <c r="B94" s="16" t="s">
        <v>274</v>
      </c>
      <c r="C94" s="16"/>
      <c r="D94" s="16"/>
      <c r="E94" s="16"/>
      <c r="F94" s="16"/>
      <c r="G94" s="16"/>
      <c r="H94" s="148"/>
      <c r="I94" s="148"/>
      <c r="J94" s="148"/>
      <c r="K94" s="148"/>
      <c r="L94" s="148"/>
      <c r="M94" s="148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</row>
    <row r="95" ht="15.75" customHeight="1">
      <c r="A95" s="138" t="s">
        <v>102</v>
      </c>
      <c r="B95" s="9">
        <v>2026.0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</row>
    <row r="96" ht="15.75" customHeight="1">
      <c r="A96" s="138" t="s">
        <v>219</v>
      </c>
      <c r="B96" s="9">
        <v>1.0</v>
      </c>
      <c r="C96" s="9">
        <v>2.0</v>
      </c>
      <c r="D96" s="9">
        <v>3.0</v>
      </c>
      <c r="E96" s="9">
        <v>4.0</v>
      </c>
      <c r="F96" s="9">
        <v>5.0</v>
      </c>
      <c r="G96" s="9">
        <v>6.0</v>
      </c>
      <c r="H96" s="9">
        <v>7.0</v>
      </c>
      <c r="I96" s="9">
        <v>8.0</v>
      </c>
      <c r="J96" s="9">
        <v>9.0</v>
      </c>
      <c r="K96" s="9">
        <v>10.0</v>
      </c>
      <c r="L96" s="9">
        <v>11.0</v>
      </c>
      <c r="M96" s="9">
        <v>12.0</v>
      </c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</row>
    <row r="97" ht="15.75" customHeight="1">
      <c r="A97" s="1" t="s">
        <v>219</v>
      </c>
      <c r="B97" s="2" t="s">
        <v>71</v>
      </c>
      <c r="C97" s="2" t="s">
        <v>72</v>
      </c>
      <c r="D97" s="2" t="s">
        <v>73</v>
      </c>
      <c r="E97" s="2" t="s">
        <v>74</v>
      </c>
      <c r="F97" s="2" t="s">
        <v>75</v>
      </c>
      <c r="G97" s="2" t="s">
        <v>76</v>
      </c>
      <c r="H97" s="2" t="s">
        <v>77</v>
      </c>
      <c r="I97" s="2" t="s">
        <v>78</v>
      </c>
      <c r="J97" s="2" t="s">
        <v>79</v>
      </c>
      <c r="K97" s="2" t="s">
        <v>80</v>
      </c>
      <c r="L97" s="2" t="s">
        <v>81</v>
      </c>
      <c r="M97" s="2" t="s">
        <v>82</v>
      </c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</row>
    <row r="98" ht="15.75" customHeight="1">
      <c r="A98" s="149" t="s">
        <v>221</v>
      </c>
      <c r="B98" s="139">
        <f>17827+72000</f>
        <v>89827</v>
      </c>
      <c r="C98" s="139">
        <f t="shared" ref="C98:M98" si="21">B102</f>
        <v>79827</v>
      </c>
      <c r="D98" s="139">
        <f t="shared" si="21"/>
        <v>59827</v>
      </c>
      <c r="E98" s="139">
        <f t="shared" si="21"/>
        <v>59827</v>
      </c>
      <c r="F98" s="139">
        <f t="shared" si="21"/>
        <v>59680.53</v>
      </c>
      <c r="G98" s="139">
        <f t="shared" si="21"/>
        <v>52512.67</v>
      </c>
      <c r="H98" s="139">
        <f t="shared" si="21"/>
        <v>47512.67</v>
      </c>
      <c r="I98" s="139">
        <f t="shared" si="21"/>
        <v>47512.67</v>
      </c>
      <c r="J98" s="139">
        <f t="shared" si="21"/>
        <v>47512.67</v>
      </c>
      <c r="K98" s="139">
        <f t="shared" si="21"/>
        <v>42512.67</v>
      </c>
      <c r="L98" s="139">
        <f t="shared" si="21"/>
        <v>42512.67</v>
      </c>
      <c r="M98" s="139">
        <f t="shared" si="21"/>
        <v>42512.67</v>
      </c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</row>
    <row r="99" ht="15.75" customHeight="1">
      <c r="A99" s="149" t="s">
        <v>275</v>
      </c>
      <c r="B99" s="18">
        <f>sumifs(Dados!$N:$N,Dados!$G:$G,B96,Dados!$H:$H,$B$95,Dados!$A:$A,"Drop",Dados!$D:$D,"Drop Box")</f>
        <v>0</v>
      </c>
      <c r="C99" s="18">
        <f>sumifs(Dados!$N:$N,Dados!$G:$G,C96,Dados!$H:$H,$B$95,Dados!$A:$A,"Drop",Dados!$D:$D,"DropBox")</f>
        <v>0</v>
      </c>
      <c r="D99" s="18">
        <f>sumifs(Dados!$N:$N,Dados!$G:$G,D96,Dados!$H:$H,$B$95,Dados!$A:$A,"Drop",Dados!$D:$D,"DropBox")</f>
        <v>0</v>
      </c>
      <c r="E99" s="18">
        <f>sumifs(Dados!$N:$N,Dados!$G:$G,E96,Dados!$H:$H,$B$95,Dados!$A:$A,"Drop",Dados!$D:$D,"DropBox")</f>
        <v>0</v>
      </c>
      <c r="F99" s="18">
        <f>sumifs(Dados!$N:$N,Dados!$G:$G,F96,Dados!$H:$H,$B$95,Dados!$A:$A,"Drop",Dados!$D:$D,"DropBox")</f>
        <v>0</v>
      </c>
      <c r="G99" s="18">
        <f>sumifs(Dados!$N:$N,Dados!$G:$G,G96,Dados!$H:$H,$B$95,Dados!$A:$A,"Drop",Dados!$D:$D,"DropBox")</f>
        <v>0</v>
      </c>
      <c r="H99" s="18">
        <f>sumifs(Dados!$N:$N,Dados!$G:$G,H96,Dados!$H:$H,$B$95,Dados!$A:$A,"Drop",Dados!$D:$D,"DropBox")</f>
        <v>0</v>
      </c>
      <c r="I99" s="18">
        <f>sumifs(Dados!$N:$N,Dados!$G:$G,I96,Dados!$H:$H,$B$95,Dados!$A:$A,"Drop",Dados!$D:$D,"DropBox")</f>
        <v>0</v>
      </c>
      <c r="J99" s="18">
        <f>sumifs(Dados!$N:$N,Dados!$G:$G,J96,Dados!$H:$H,$B$95,Dados!$A:$A,"Drop",Dados!$D:$D,"DropBox")</f>
        <v>0</v>
      </c>
      <c r="K99" s="18">
        <f>sumifs(Dados!$N:$N,Dados!$G:$G,K96,Dados!$H:$H,$B$95,Dados!$A:$A,"Drop",Dados!$D:$D,"DropBox")</f>
        <v>0</v>
      </c>
      <c r="L99" s="18">
        <f>sumifs(Dados!$N:$N,Dados!$G:$G,L96,Dados!$H:$H,$B$95,Dados!$A:$A,"Drop",Dados!$D:$D,"DropBox")</f>
        <v>0</v>
      </c>
      <c r="M99" s="18">
        <f>sumifs(Dados!$N:$N,Dados!$G:$G,M96,Dados!$H:$H,$B$95,Dados!$A:$A,"Drop",Dados!$D:$D,"DropBox")</f>
        <v>0</v>
      </c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</row>
    <row r="100" ht="15.75" customHeight="1">
      <c r="A100" s="149" t="s">
        <v>253</v>
      </c>
      <c r="B100" s="18">
        <f>sumifs(Dados!$N:$N,Dados!$G:$G,B96,Dados!$H:$H,$B$95,Dados!$D:$D,$B$94,Dados!$A:$A,"Drop")</f>
        <v>10000</v>
      </c>
      <c r="C100" s="18">
        <f>sumifs(Dados!$N:$N,Dados!$G:$G,C96,Dados!$H:$H,$B$95,Dados!$D:$D,$B$94,Dados!$A:$A,"Drop")</f>
        <v>20000</v>
      </c>
      <c r="D100" s="18">
        <f>sumifs(Dados!$N:$N,Dados!$G:$G,D96,Dados!$H:$H,$B$95,Dados!$D:$D,$B$94,Dados!$A:$A,"Drop")</f>
        <v>0</v>
      </c>
      <c r="E100" s="18">
        <f>sumifs(Dados!$N:$N,Dados!$G:$G,E96,Dados!$H:$H,$B$95,Dados!$D:$D,$B$94,Dados!$A:$A,"Drop")</f>
        <v>0</v>
      </c>
      <c r="F100" s="18">
        <f>sumifs(Dados!$N:$N,Dados!$G:$G,F96,Dados!$H:$H,$B$95,Dados!$D:$D,$B$94,Dados!$A:$A,"Drop")</f>
        <v>5000</v>
      </c>
      <c r="G100" s="18">
        <f>sumifs(Dados!$N:$N,Dados!$G:$G,G96,Dados!$H:$H,$B$95,Dados!$D:$D,$B$94,Dados!$A:$A,"Drop")</f>
        <v>5000</v>
      </c>
      <c r="H100" s="18">
        <f>sumifs(Dados!$N:$N,Dados!$G:$G,H96,Dados!$H:$H,$B$95,Dados!$D:$D,$B$94,Dados!$A:$A,"Drop")</f>
        <v>0</v>
      </c>
      <c r="I100" s="18">
        <f>sumifs(Dados!$N:$N,Dados!$G:$G,I96,Dados!$H:$H,$B$95,Dados!$D:$D,$B$94,Dados!$A:$A,"Drop")</f>
        <v>0</v>
      </c>
      <c r="J100" s="18">
        <f>sumifs(Dados!$N:$N,Dados!$G:$G,J96,Dados!$H:$H,$B$95,Dados!$D:$D,$B$94,Dados!$A:$A,"Drop")</f>
        <v>5000</v>
      </c>
      <c r="K100" s="18">
        <f>sumifs(Dados!$N:$N,Dados!$G:$G,K96,Dados!$H:$H,$B$95,Dados!$D:$D,$B$94,Dados!$A:$A,"Drop")</f>
        <v>0</v>
      </c>
      <c r="L100" s="18">
        <f>sumifs(Dados!$N:$N,Dados!$G:$G,L96,Dados!$H:$H,$B$95,Dados!$D:$D,$B$94,Dados!$A:$A,"Drop")</f>
        <v>0</v>
      </c>
      <c r="M100" s="18">
        <f>sumifs(Dados!$N:$N,Dados!$G:$G,M96,Dados!$H:$H,$B$95,Dados!$D:$D,$B$94,Dados!$A:$A,"Drop")</f>
        <v>0</v>
      </c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</row>
    <row r="101" ht="15.75" customHeight="1">
      <c r="A101" s="149" t="s">
        <v>240</v>
      </c>
      <c r="B101" s="18">
        <f>sumifs(Dados!$N:$N,Dados!$G:$G,B96,Dados!$H:$H,$B$95,Dados!$D:$D,$B$94)-B100</f>
        <v>0</v>
      </c>
      <c r="C101" s="18">
        <f>sumifs(Dados!$N:$N,Dados!$G:$G,C96,Dados!$H:$H,$B$95,Dados!$D:$D,$B$94)-C100</f>
        <v>0</v>
      </c>
      <c r="D101" s="18">
        <f>sumifs(Dados!$N:$N,Dados!$G:$G,D96,Dados!$H:$H,$B$95,Dados!$D:$D,$B$94)-D100</f>
        <v>0</v>
      </c>
      <c r="E101" s="18">
        <f>sumifs(Dados!$N:$N,Dados!$G:$G,E96,Dados!$H:$H,$B$95,Dados!$D:$D,$B$94)-E100</f>
        <v>146.47</v>
      </c>
      <c r="F101" s="18">
        <f>sumifs(Dados!$N:$N,Dados!$G:$G,F96,Dados!$H:$H,$B$95,Dados!$D:$D,$B$94)-F100</f>
        <v>2167.86</v>
      </c>
      <c r="G101" s="18">
        <f>sumifs(Dados!$N:$N,Dados!$G:$G,G96,Dados!$H:$H,$B$95,Dados!$D:$D,$B$94)-G100</f>
        <v>0</v>
      </c>
      <c r="H101" s="18">
        <f>sumifs(Dados!$N:$N,Dados!$G:$G,H96,Dados!$H:$H,$B$95,Dados!$D:$D,$B$94)-H100</f>
        <v>0</v>
      </c>
      <c r="I101" s="18">
        <f>sumifs(Dados!$N:$N,Dados!$G:$G,I96,Dados!$H:$H,$B$95,Dados!$D:$D,$B$94)-I100</f>
        <v>0</v>
      </c>
      <c r="J101" s="18">
        <f>sumifs(Dados!$N:$N,Dados!$G:$G,J96,Dados!$H:$H,$B$95,Dados!$D:$D,$B$94)-J100</f>
        <v>0</v>
      </c>
      <c r="K101" s="18">
        <f>sumifs(Dados!$N:$N,Dados!$G:$G,K96,Dados!$H:$H,$B$95,Dados!$D:$D,$B$94)-K100</f>
        <v>0</v>
      </c>
      <c r="L101" s="18">
        <f>sumifs(Dados!$N:$N,Dados!$G:$G,L96,Dados!$H:$H,$B$95,Dados!$D:$D,$B$94)-L100</f>
        <v>0</v>
      </c>
      <c r="M101" s="18">
        <f>sumifs(Dados!$N:$N,Dados!$G:$G,M96,Dados!$H:$H,$B$95,Dados!$D:$D,$B$94)</f>
        <v>0</v>
      </c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</row>
    <row r="102" ht="15.75" customHeight="1">
      <c r="A102" s="149" t="s">
        <v>242</v>
      </c>
      <c r="B102" s="139">
        <f t="shared" ref="B102:J102" si="22">B98+B99-B100-B101</f>
        <v>79827</v>
      </c>
      <c r="C102" s="139">
        <f t="shared" si="22"/>
        <v>59827</v>
      </c>
      <c r="D102" s="139">
        <f t="shared" si="22"/>
        <v>59827</v>
      </c>
      <c r="E102" s="139">
        <f t="shared" si="22"/>
        <v>59680.53</v>
      </c>
      <c r="F102" s="139">
        <f t="shared" si="22"/>
        <v>52512.67</v>
      </c>
      <c r="G102" s="139">
        <f t="shared" si="22"/>
        <v>47512.67</v>
      </c>
      <c r="H102" s="139">
        <f t="shared" si="22"/>
        <v>47512.67</v>
      </c>
      <c r="I102" s="139">
        <f t="shared" si="22"/>
        <v>47512.67</v>
      </c>
      <c r="J102" s="139">
        <f t="shared" si="22"/>
        <v>42512.67</v>
      </c>
      <c r="K102" s="139">
        <f t="shared" ref="K102:M102" si="23">K98+K99-K101</f>
        <v>42512.67</v>
      </c>
      <c r="L102" s="139">
        <f t="shared" si="23"/>
        <v>42512.67</v>
      </c>
      <c r="M102" s="139">
        <f t="shared" si="23"/>
        <v>42512.67</v>
      </c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</row>
    <row r="103" ht="15.75" customHeight="1">
      <c r="A103" s="149" t="s">
        <v>276</v>
      </c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</row>
    <row r="104" ht="15.75" customHeight="1">
      <c r="A104" s="146" t="s">
        <v>54</v>
      </c>
      <c r="B104" s="147">
        <f t="shared" ref="B104:M104" si="24">B102-B103</f>
        <v>79827</v>
      </c>
      <c r="C104" s="147">
        <f t="shared" si="24"/>
        <v>59827</v>
      </c>
      <c r="D104" s="147">
        <f t="shared" si="24"/>
        <v>59827</v>
      </c>
      <c r="E104" s="147">
        <f t="shared" si="24"/>
        <v>59680.53</v>
      </c>
      <c r="F104" s="147">
        <f t="shared" si="24"/>
        <v>52512.67</v>
      </c>
      <c r="G104" s="147">
        <f t="shared" si="24"/>
        <v>47512.67</v>
      </c>
      <c r="H104" s="147">
        <f t="shared" si="24"/>
        <v>47512.67</v>
      </c>
      <c r="I104" s="147">
        <f t="shared" si="24"/>
        <v>47512.67</v>
      </c>
      <c r="J104" s="147">
        <f t="shared" si="24"/>
        <v>42512.67</v>
      </c>
      <c r="K104" s="147">
        <f t="shared" si="24"/>
        <v>42512.67</v>
      </c>
      <c r="L104" s="147">
        <f t="shared" si="24"/>
        <v>42512.67</v>
      </c>
      <c r="M104" s="147">
        <f t="shared" si="24"/>
        <v>42512.67</v>
      </c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</row>
    <row r="107" ht="15.75" customHeight="1">
      <c r="A107" s="156" t="s">
        <v>218</v>
      </c>
      <c r="B107" s="156" t="s">
        <v>35</v>
      </c>
      <c r="C107" s="156"/>
      <c r="D107" s="156"/>
      <c r="E107" s="156"/>
      <c r="F107" s="156"/>
      <c r="G107" s="156"/>
      <c r="H107" s="157"/>
      <c r="I107" s="157"/>
      <c r="J107" s="157"/>
      <c r="K107" s="157"/>
      <c r="L107" s="157"/>
      <c r="M107" s="157"/>
      <c r="N107" s="157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</row>
    <row r="108" ht="15.75" customHeight="1">
      <c r="A108" s="138" t="s">
        <v>102</v>
      </c>
      <c r="B108" s="9">
        <v>2026.0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>
        <v>2025.0</v>
      </c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</row>
    <row r="109" ht="15.75" customHeight="1">
      <c r="A109" s="138" t="s">
        <v>219</v>
      </c>
      <c r="B109" s="2" t="s">
        <v>71</v>
      </c>
      <c r="C109" s="2" t="s">
        <v>72</v>
      </c>
      <c r="D109" s="2" t="s">
        <v>73</v>
      </c>
      <c r="E109" s="2" t="s">
        <v>74</v>
      </c>
      <c r="F109" s="2" t="s">
        <v>75</v>
      </c>
      <c r="G109" s="2" t="s">
        <v>76</v>
      </c>
      <c r="H109" s="2" t="s">
        <v>77</v>
      </c>
      <c r="I109" s="2" t="s">
        <v>78</v>
      </c>
      <c r="J109" s="2" t="s">
        <v>79</v>
      </c>
      <c r="K109" s="2" t="s">
        <v>80</v>
      </c>
      <c r="L109" s="2" t="s">
        <v>81</v>
      </c>
      <c r="M109" s="2" t="s">
        <v>82</v>
      </c>
      <c r="N109" s="2" t="s">
        <v>35</v>
      </c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</row>
    <row r="110" ht="15.75" customHeight="1">
      <c r="A110" s="149" t="s">
        <v>221</v>
      </c>
      <c r="B110" s="158">
        <f>B5+B25+B43+B85+B98</f>
        <v>179234.83</v>
      </c>
      <c r="C110" s="158">
        <f t="shared" ref="C110:M110" si="25">B116</f>
        <v>168621.9</v>
      </c>
      <c r="D110" s="158">
        <f t="shared" si="25"/>
        <v>121795.13</v>
      </c>
      <c r="E110" s="158">
        <f t="shared" si="25"/>
        <v>104826.83</v>
      </c>
      <c r="F110" s="158">
        <f t="shared" si="25"/>
        <v>90243.5</v>
      </c>
      <c r="G110" s="158">
        <f t="shared" si="25"/>
        <v>84227.67888</v>
      </c>
      <c r="H110" s="158">
        <f t="shared" si="25"/>
        <v>83382.41888</v>
      </c>
      <c r="I110" s="158">
        <f t="shared" si="25"/>
        <v>89132.12888</v>
      </c>
      <c r="J110" s="158">
        <f t="shared" si="25"/>
        <v>99533.17888</v>
      </c>
      <c r="K110" s="158">
        <f t="shared" si="25"/>
        <v>113308.9889</v>
      </c>
      <c r="L110" s="158">
        <f t="shared" si="25"/>
        <v>117164.5789</v>
      </c>
      <c r="M110" s="158">
        <f t="shared" si="25"/>
        <v>117164.5789</v>
      </c>
      <c r="N110" s="158">
        <f>B110</f>
        <v>179234.83</v>
      </c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</row>
    <row r="111" ht="15.75" customHeight="1">
      <c r="A111" s="149" t="s">
        <v>278</v>
      </c>
      <c r="B111" s="18">
        <f t="shared" ref="B111:L111" si="26">B8+B9+B10+B11+B12+B13+B26+B27+B28+B44+B45+B47+B58+B59+B61</f>
        <v>0</v>
      </c>
      <c r="C111" s="18">
        <f t="shared" si="26"/>
        <v>0</v>
      </c>
      <c r="D111" s="18">
        <f t="shared" si="26"/>
        <v>0</v>
      </c>
      <c r="E111" s="18">
        <f t="shared" si="26"/>
        <v>0</v>
      </c>
      <c r="F111" s="18">
        <f t="shared" si="26"/>
        <v>8447.858881</v>
      </c>
      <c r="G111" s="18">
        <f t="shared" si="26"/>
        <v>23097.56</v>
      </c>
      <c r="H111" s="18">
        <f t="shared" si="26"/>
        <v>25285.63</v>
      </c>
      <c r="I111" s="18">
        <f t="shared" si="26"/>
        <v>32025.34</v>
      </c>
      <c r="J111" s="18">
        <f t="shared" si="26"/>
        <v>25449.01</v>
      </c>
      <c r="K111" s="18">
        <f t="shared" si="26"/>
        <v>11548.64</v>
      </c>
      <c r="L111" s="18">
        <f t="shared" si="26"/>
        <v>0</v>
      </c>
      <c r="M111" s="18" t="str">
        <f>M8+M10+#REF!+#REF!+M44+M47+M58+M61</f>
        <v>#REF!</v>
      </c>
      <c r="N111" s="18" t="str">
        <f t="shared" ref="N111:N112" si="28">SUM(B111:M111)</f>
        <v>#REF!</v>
      </c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</row>
    <row r="112" ht="15.75" customHeight="1">
      <c r="A112" s="149" t="s">
        <v>110</v>
      </c>
      <c r="B112" s="18">
        <f t="shared" ref="B112:L112" si="27">B29+B46+B60+B7</f>
        <v>0</v>
      </c>
      <c r="C112" s="18">
        <f t="shared" si="27"/>
        <v>0</v>
      </c>
      <c r="D112" s="18">
        <f t="shared" si="27"/>
        <v>0</v>
      </c>
      <c r="E112" s="18">
        <f t="shared" si="27"/>
        <v>0</v>
      </c>
      <c r="F112" s="18">
        <f t="shared" si="27"/>
        <v>1037</v>
      </c>
      <c r="G112" s="18">
        <f t="shared" si="27"/>
        <v>1226.15</v>
      </c>
      <c r="H112" s="18">
        <f t="shared" si="27"/>
        <v>789.8</v>
      </c>
      <c r="I112" s="18">
        <f t="shared" si="27"/>
        <v>2025.4</v>
      </c>
      <c r="J112" s="18">
        <f t="shared" si="27"/>
        <v>1446.7</v>
      </c>
      <c r="K112" s="18">
        <f t="shared" si="27"/>
        <v>0</v>
      </c>
      <c r="L112" s="18">
        <f t="shared" si="27"/>
        <v>0</v>
      </c>
      <c r="M112" s="18" t="str">
        <f>#REF!+M46+M60</f>
        <v>#REF!</v>
      </c>
      <c r="N112" s="18" t="str">
        <f t="shared" si="28"/>
        <v>#REF!</v>
      </c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</row>
    <row r="113" ht="15.75" customHeight="1">
      <c r="A113" s="159" t="s">
        <v>251</v>
      </c>
      <c r="B113" s="160">
        <f t="shared" ref="B113:N113" si="29">sum(B111:B112)</f>
        <v>0</v>
      </c>
      <c r="C113" s="160">
        <f t="shared" si="29"/>
        <v>0</v>
      </c>
      <c r="D113" s="160">
        <f t="shared" si="29"/>
        <v>0</v>
      </c>
      <c r="E113" s="160">
        <f t="shared" si="29"/>
        <v>0</v>
      </c>
      <c r="F113" s="160">
        <f t="shared" si="29"/>
        <v>9484.858881</v>
      </c>
      <c r="G113" s="160">
        <f t="shared" si="29"/>
        <v>24323.71</v>
      </c>
      <c r="H113" s="160">
        <f t="shared" si="29"/>
        <v>26075.43</v>
      </c>
      <c r="I113" s="160">
        <f t="shared" si="29"/>
        <v>34050.74</v>
      </c>
      <c r="J113" s="160">
        <f t="shared" si="29"/>
        <v>26895.71</v>
      </c>
      <c r="K113" s="160">
        <f t="shared" si="29"/>
        <v>11548.64</v>
      </c>
      <c r="L113" s="160">
        <f t="shared" si="29"/>
        <v>0</v>
      </c>
      <c r="M113" s="160" t="str">
        <f t="shared" si="29"/>
        <v>#REF!</v>
      </c>
      <c r="N113" s="160" t="str">
        <f t="shared" si="29"/>
        <v>#REF!</v>
      </c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</row>
    <row r="114" ht="15.75" customHeight="1">
      <c r="A114" s="161" t="s">
        <v>30</v>
      </c>
      <c r="B114" s="162">
        <f t="shared" ref="B114:M114" si="30">B14+B31+B51+B74+B87+B101</f>
        <v>10612.93</v>
      </c>
      <c r="C114" s="162">
        <f t="shared" si="30"/>
        <v>46826.77</v>
      </c>
      <c r="D114" s="162">
        <f t="shared" si="30"/>
        <v>16968.3</v>
      </c>
      <c r="E114" s="162">
        <f t="shared" si="30"/>
        <v>14583.33</v>
      </c>
      <c r="F114" s="162">
        <f t="shared" si="30"/>
        <v>15500.68</v>
      </c>
      <c r="G114" s="162">
        <f t="shared" si="30"/>
        <v>25168.97</v>
      </c>
      <c r="H114" s="162">
        <f t="shared" si="30"/>
        <v>20330.72</v>
      </c>
      <c r="I114" s="162">
        <f t="shared" si="30"/>
        <v>23649.69</v>
      </c>
      <c r="J114" s="162">
        <f t="shared" si="30"/>
        <v>13194.9</v>
      </c>
      <c r="K114" s="162">
        <f t="shared" si="30"/>
        <v>7693.05</v>
      </c>
      <c r="L114" s="162">
        <f t="shared" si="30"/>
        <v>0</v>
      </c>
      <c r="M114" s="162">
        <f t="shared" si="30"/>
        <v>0</v>
      </c>
      <c r="N114" s="162" t="str">
        <f>sum(#REF!)</f>
        <v>#REF!</v>
      </c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</row>
    <row r="115" ht="15.75" customHeight="1">
      <c r="A115" s="149" t="s">
        <v>153</v>
      </c>
      <c r="B115" s="163" t="str">
        <f t="shared" ref="B115:L115" si="31">B15</f>
        <v/>
      </c>
      <c r="C115" s="163" t="str">
        <f t="shared" si="31"/>
        <v/>
      </c>
      <c r="D115" s="163" t="str">
        <f t="shared" si="31"/>
        <v/>
      </c>
      <c r="E115" s="163" t="str">
        <f t="shared" si="31"/>
        <v/>
      </c>
      <c r="F115" s="163" t="str">
        <f t="shared" si="31"/>
        <v/>
      </c>
      <c r="G115" s="163" t="str">
        <f t="shared" si="31"/>
        <v/>
      </c>
      <c r="H115" s="163">
        <f t="shared" si="31"/>
        <v>5</v>
      </c>
      <c r="I115" s="163">
        <f t="shared" si="31"/>
        <v>0</v>
      </c>
      <c r="J115" s="163">
        <f t="shared" si="31"/>
        <v>75</v>
      </c>
      <c r="K115" s="163" t="str">
        <f t="shared" si="31"/>
        <v/>
      </c>
      <c r="L115" s="163" t="str">
        <f t="shared" si="31"/>
        <v/>
      </c>
      <c r="M115" s="163">
        <f>M15+M88</f>
        <v>0</v>
      </c>
      <c r="N115" s="18">
        <f>SUM(B115:M115)</f>
        <v>80</v>
      </c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</row>
    <row r="116" ht="15.75" customHeight="1">
      <c r="A116" s="149" t="s">
        <v>242</v>
      </c>
      <c r="B116" s="158">
        <f t="shared" ref="B116:N116" si="32">B110+B113-B114+B115</f>
        <v>168621.9</v>
      </c>
      <c r="C116" s="158">
        <f t="shared" si="32"/>
        <v>121795.13</v>
      </c>
      <c r="D116" s="158">
        <f t="shared" si="32"/>
        <v>104826.83</v>
      </c>
      <c r="E116" s="158">
        <f t="shared" si="32"/>
        <v>90243.5</v>
      </c>
      <c r="F116" s="158">
        <f t="shared" si="32"/>
        <v>84227.67888</v>
      </c>
      <c r="G116" s="158">
        <f t="shared" si="32"/>
        <v>83382.41888</v>
      </c>
      <c r="H116" s="158">
        <f t="shared" si="32"/>
        <v>89132.12888</v>
      </c>
      <c r="I116" s="158">
        <f t="shared" si="32"/>
        <v>99533.17888</v>
      </c>
      <c r="J116" s="158">
        <f t="shared" si="32"/>
        <v>113308.9889</v>
      </c>
      <c r="K116" s="158">
        <f t="shared" si="32"/>
        <v>117164.5789</v>
      </c>
      <c r="L116" s="158">
        <f t="shared" si="32"/>
        <v>117164.5789</v>
      </c>
      <c r="M116" s="158" t="str">
        <f t="shared" si="32"/>
        <v>#REF!</v>
      </c>
      <c r="N116" s="158" t="str">
        <f t="shared" si="32"/>
        <v>#REF!</v>
      </c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</row>
    <row r="117" ht="15.75" customHeight="1">
      <c r="A117" s="15" t="s">
        <v>242</v>
      </c>
      <c r="B117" s="164">
        <f t="shared" ref="B117:M117" si="33">B102+B89+B77+B52+B33+B16</f>
        <v>168621.9</v>
      </c>
      <c r="C117" s="164">
        <f t="shared" si="33"/>
        <v>121795.13</v>
      </c>
      <c r="D117" s="164">
        <f t="shared" si="33"/>
        <v>104826.83</v>
      </c>
      <c r="E117" s="164">
        <f t="shared" si="33"/>
        <v>90243.5</v>
      </c>
      <c r="F117" s="164">
        <f t="shared" si="33"/>
        <v>83382.92888</v>
      </c>
      <c r="G117" s="164">
        <f t="shared" si="33"/>
        <v>80285.86888</v>
      </c>
      <c r="H117" s="164">
        <f t="shared" si="33"/>
        <v>84860.07888</v>
      </c>
      <c r="I117" s="164">
        <f t="shared" si="33"/>
        <v>93713.62888</v>
      </c>
      <c r="J117" s="164">
        <f t="shared" si="33"/>
        <v>107149.1889</v>
      </c>
      <c r="K117" s="164">
        <f t="shared" si="33"/>
        <v>111004.7789</v>
      </c>
      <c r="L117" s="164">
        <f t="shared" si="33"/>
        <v>111004.7789</v>
      </c>
      <c r="M117" s="164">
        <f t="shared" si="33"/>
        <v>111004.7789</v>
      </c>
      <c r="N117" s="18">
        <f>M117</f>
        <v>111004.7789</v>
      </c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</row>
    <row r="118" ht="15.75" customHeight="1">
      <c r="A118" s="15" t="s">
        <v>282</v>
      </c>
      <c r="B118" s="164"/>
      <c r="C118" s="164">
        <f>B119</f>
        <v>0</v>
      </c>
      <c r="D118" s="164">
        <f t="shared" ref="D118:K118" si="34">C118+C119</f>
        <v>0</v>
      </c>
      <c r="E118" s="164">
        <f t="shared" si="34"/>
        <v>0</v>
      </c>
      <c r="F118" s="164">
        <f t="shared" si="34"/>
        <v>0</v>
      </c>
      <c r="G118" s="164">
        <f t="shared" si="34"/>
        <v>844.75</v>
      </c>
      <c r="H118" s="164">
        <f t="shared" si="34"/>
        <v>3096.55</v>
      </c>
      <c r="I118" s="164">
        <f t="shared" si="34"/>
        <v>4272.05</v>
      </c>
      <c r="J118" s="164">
        <f t="shared" si="34"/>
        <v>5819.55</v>
      </c>
      <c r="K118" s="164">
        <f t="shared" si="34"/>
        <v>6159.8</v>
      </c>
      <c r="L118" s="164"/>
      <c r="M118" s="164">
        <f>L119+L118</f>
        <v>0</v>
      </c>
      <c r="N118" s="18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</row>
    <row r="119" ht="15.75" customHeight="1">
      <c r="A119" s="15" t="s">
        <v>283</v>
      </c>
      <c r="B119" s="164">
        <f t="shared" ref="B119:M119" si="35">B62</f>
        <v>0</v>
      </c>
      <c r="C119" s="164">
        <f t="shared" si="35"/>
        <v>0</v>
      </c>
      <c r="D119" s="164">
        <f t="shared" si="35"/>
        <v>0</v>
      </c>
      <c r="E119" s="164">
        <f t="shared" si="35"/>
        <v>0</v>
      </c>
      <c r="F119" s="164">
        <f t="shared" si="35"/>
        <v>844.75</v>
      </c>
      <c r="G119" s="164">
        <f t="shared" si="35"/>
        <v>2251.8</v>
      </c>
      <c r="H119" s="164">
        <f t="shared" si="35"/>
        <v>1175.5</v>
      </c>
      <c r="I119" s="164">
        <f t="shared" si="35"/>
        <v>1547.5</v>
      </c>
      <c r="J119" s="164">
        <f t="shared" si="35"/>
        <v>340.25</v>
      </c>
      <c r="K119" s="164">
        <f t="shared" si="35"/>
        <v>0</v>
      </c>
      <c r="L119" s="164">
        <f t="shared" si="35"/>
        <v>0</v>
      </c>
      <c r="M119" s="164">
        <f t="shared" si="35"/>
        <v>0</v>
      </c>
      <c r="N119" s="18" t="str">
        <f>N116-N117</f>
        <v>#REF!</v>
      </c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</row>
    <row r="120" ht="15.75" customHeight="1">
      <c r="A120" s="15" t="s">
        <v>242</v>
      </c>
      <c r="B120" s="164">
        <f t="shared" ref="B120:K120" si="36">B117+B118+B119</f>
        <v>168621.9</v>
      </c>
      <c r="C120" s="164">
        <f t="shared" si="36"/>
        <v>121795.13</v>
      </c>
      <c r="D120" s="164">
        <f t="shared" si="36"/>
        <v>104826.83</v>
      </c>
      <c r="E120" s="164">
        <f t="shared" si="36"/>
        <v>90243.5</v>
      </c>
      <c r="F120" s="164">
        <f t="shared" si="36"/>
        <v>84227.67888</v>
      </c>
      <c r="G120" s="164">
        <f t="shared" si="36"/>
        <v>83382.41888</v>
      </c>
      <c r="H120" s="164">
        <f t="shared" si="36"/>
        <v>89132.12888</v>
      </c>
      <c r="I120" s="164">
        <f t="shared" si="36"/>
        <v>99533.17888</v>
      </c>
      <c r="J120" s="164">
        <f t="shared" si="36"/>
        <v>113308.9889</v>
      </c>
      <c r="K120" s="164">
        <f t="shared" si="36"/>
        <v>117164.5789</v>
      </c>
      <c r="L120" s="164">
        <f>L117+L119</f>
        <v>111004.7789</v>
      </c>
      <c r="M120" s="164">
        <f>M117+M118+M119</f>
        <v>111004.7789</v>
      </c>
      <c r="N120" s="18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</row>
    <row r="121" ht="15.75" customHeight="1">
      <c r="A121" s="146" t="s">
        <v>284</v>
      </c>
      <c r="B121" s="147">
        <f t="shared" ref="B121:M121" si="37">B116-B120</f>
        <v>0</v>
      </c>
      <c r="C121" s="147">
        <f t="shared" si="37"/>
        <v>0</v>
      </c>
      <c r="D121" s="147">
        <f t="shared" si="37"/>
        <v>0</v>
      </c>
      <c r="E121" s="147">
        <f t="shared" si="37"/>
        <v>0</v>
      </c>
      <c r="F121" s="147">
        <f t="shared" si="37"/>
        <v>0</v>
      </c>
      <c r="G121" s="147">
        <f t="shared" si="37"/>
        <v>0</v>
      </c>
      <c r="H121" s="147">
        <f t="shared" si="37"/>
        <v>0</v>
      </c>
      <c r="I121" s="147">
        <f t="shared" si="37"/>
        <v>0</v>
      </c>
      <c r="J121" s="147">
        <f t="shared" si="37"/>
        <v>0</v>
      </c>
      <c r="K121" s="147">
        <f t="shared" si="37"/>
        <v>0</v>
      </c>
      <c r="L121" s="147">
        <f t="shared" si="37"/>
        <v>6159.8</v>
      </c>
      <c r="M121" s="147" t="str">
        <f t="shared" si="37"/>
        <v>#REF!</v>
      </c>
      <c r="N121" s="147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155"/>
      <c r="J122" s="39"/>
      <c r="K122" s="39"/>
      <c r="L122" s="39"/>
      <c r="M122" s="39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</row>
    <row r="123" ht="15.75" customHeight="1">
      <c r="A123" s="165" t="s">
        <v>174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7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</row>
    <row r="124" ht="15.75" customHeight="1">
      <c r="A124" s="15"/>
      <c r="B124" s="2" t="s">
        <v>71</v>
      </c>
      <c r="C124" s="2" t="s">
        <v>72</v>
      </c>
      <c r="D124" s="2" t="s">
        <v>73</v>
      </c>
      <c r="E124" s="2" t="s">
        <v>74</v>
      </c>
      <c r="F124" s="2" t="s">
        <v>75</v>
      </c>
      <c r="G124" s="2" t="s">
        <v>76</v>
      </c>
      <c r="H124" s="2" t="s">
        <v>77</v>
      </c>
      <c r="I124" s="2" t="s">
        <v>78</v>
      </c>
      <c r="J124" s="2" t="s">
        <v>79</v>
      </c>
      <c r="K124" s="2" t="s">
        <v>80</v>
      </c>
      <c r="L124" s="2" t="s">
        <v>81</v>
      </c>
      <c r="M124" s="2" t="s">
        <v>82</v>
      </c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</row>
    <row r="125" ht="15.75" customHeight="1">
      <c r="A125" s="15" t="s">
        <v>286</v>
      </c>
      <c r="B125" s="139">
        <f t="shared" ref="B125:M125" si="38">B116-B110</f>
        <v>-10612.93</v>
      </c>
      <c r="C125" s="139">
        <f t="shared" si="38"/>
        <v>-46826.77</v>
      </c>
      <c r="D125" s="139">
        <f t="shared" si="38"/>
        <v>-16968.3</v>
      </c>
      <c r="E125" s="139">
        <f t="shared" si="38"/>
        <v>-14583.33</v>
      </c>
      <c r="F125" s="139">
        <f t="shared" si="38"/>
        <v>-6015.821119</v>
      </c>
      <c r="G125" s="139">
        <f t="shared" si="38"/>
        <v>-845.26</v>
      </c>
      <c r="H125" s="139">
        <f t="shared" si="38"/>
        <v>5749.71</v>
      </c>
      <c r="I125" s="139">
        <f t="shared" si="38"/>
        <v>10401.05</v>
      </c>
      <c r="J125" s="139">
        <f t="shared" si="38"/>
        <v>13775.81</v>
      </c>
      <c r="K125" s="139">
        <f t="shared" si="38"/>
        <v>3855.59</v>
      </c>
      <c r="L125" s="139">
        <f t="shared" si="38"/>
        <v>0</v>
      </c>
      <c r="M125" s="139" t="str">
        <f t="shared" si="38"/>
        <v>#REF!</v>
      </c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</row>
    <row r="126" ht="15.75" customHeight="1">
      <c r="A126" s="15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39"/>
      <c r="M126" s="139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</row>
    <row r="127" ht="15.75" customHeight="1">
      <c r="A127" s="15" t="s">
        <v>287</v>
      </c>
      <c r="B127" s="139">
        <f t="shared" ref="B127:K127" si="39">B113</f>
        <v>0</v>
      </c>
      <c r="C127" s="139">
        <f t="shared" si="39"/>
        <v>0</v>
      </c>
      <c r="D127" s="139">
        <f t="shared" si="39"/>
        <v>0</v>
      </c>
      <c r="E127" s="139">
        <f t="shared" si="39"/>
        <v>0</v>
      </c>
      <c r="F127" s="139">
        <f t="shared" si="39"/>
        <v>9484.858881</v>
      </c>
      <c r="G127" s="139">
        <f t="shared" si="39"/>
        <v>24323.71</v>
      </c>
      <c r="H127" s="139">
        <f t="shared" si="39"/>
        <v>26075.43</v>
      </c>
      <c r="I127" s="139">
        <f t="shared" si="39"/>
        <v>34050.74</v>
      </c>
      <c r="J127" s="139">
        <f t="shared" si="39"/>
        <v>26895.71</v>
      </c>
      <c r="K127" s="139">
        <f t="shared" si="39"/>
        <v>11548.64</v>
      </c>
      <c r="L127" s="139"/>
      <c r="M127" s="139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</row>
    <row r="128" ht="15.75" customHeight="1">
      <c r="A128" s="15" t="s">
        <v>260</v>
      </c>
      <c r="B128" s="139">
        <f t="shared" ref="B128:K128" si="40">B114</f>
        <v>10612.93</v>
      </c>
      <c r="C128" s="139">
        <f t="shared" si="40"/>
        <v>46826.77</v>
      </c>
      <c r="D128" s="139">
        <f t="shared" si="40"/>
        <v>16968.3</v>
      </c>
      <c r="E128" s="139">
        <f t="shared" si="40"/>
        <v>14583.33</v>
      </c>
      <c r="F128" s="139">
        <f t="shared" si="40"/>
        <v>15500.68</v>
      </c>
      <c r="G128" s="139">
        <f t="shared" si="40"/>
        <v>25168.97</v>
      </c>
      <c r="H128" s="139">
        <f t="shared" si="40"/>
        <v>20330.72</v>
      </c>
      <c r="I128" s="139">
        <f t="shared" si="40"/>
        <v>23649.69</v>
      </c>
      <c r="J128" s="139">
        <f t="shared" si="40"/>
        <v>13194.9</v>
      </c>
      <c r="K128" s="139">
        <f t="shared" si="40"/>
        <v>7693.05</v>
      </c>
      <c r="L128" s="139"/>
      <c r="M128" s="139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</row>
    <row r="129" ht="15.75" customHeight="1">
      <c r="A129" s="149" t="s">
        <v>153</v>
      </c>
      <c r="B129" s="139" t="str">
        <f t="shared" ref="B129:M129" si="41">B115</f>
        <v/>
      </c>
      <c r="C129" s="139" t="str">
        <f t="shared" si="41"/>
        <v/>
      </c>
      <c r="D129" s="139" t="str">
        <f t="shared" si="41"/>
        <v/>
      </c>
      <c r="E129" s="139" t="str">
        <f t="shared" si="41"/>
        <v/>
      </c>
      <c r="F129" s="139" t="str">
        <f t="shared" si="41"/>
        <v/>
      </c>
      <c r="G129" s="139" t="str">
        <f t="shared" si="41"/>
        <v/>
      </c>
      <c r="H129" s="139">
        <f t="shared" si="41"/>
        <v>5</v>
      </c>
      <c r="I129" s="139">
        <f t="shared" si="41"/>
        <v>0</v>
      </c>
      <c r="J129" s="139">
        <f t="shared" si="41"/>
        <v>75</v>
      </c>
      <c r="K129" s="139" t="str">
        <f t="shared" si="41"/>
        <v/>
      </c>
      <c r="L129" s="139" t="str">
        <f t="shared" si="41"/>
        <v/>
      </c>
      <c r="M129" s="139">
        <f t="shared" si="41"/>
        <v>0</v>
      </c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</row>
    <row r="130" ht="15.75" customHeight="1">
      <c r="A130" s="15" t="s">
        <v>119</v>
      </c>
      <c r="B130" s="139">
        <f t="shared" ref="B130:M130" si="42">B127-B128+B129</f>
        <v>-10612.93</v>
      </c>
      <c r="C130" s="139">
        <f t="shared" si="42"/>
        <v>-46826.77</v>
      </c>
      <c r="D130" s="139">
        <f t="shared" si="42"/>
        <v>-16968.3</v>
      </c>
      <c r="E130" s="139">
        <f t="shared" si="42"/>
        <v>-14583.33</v>
      </c>
      <c r="F130" s="139">
        <f t="shared" si="42"/>
        <v>-6015.821119</v>
      </c>
      <c r="G130" s="139">
        <f t="shared" si="42"/>
        <v>-845.26</v>
      </c>
      <c r="H130" s="139">
        <f t="shared" si="42"/>
        <v>5749.71</v>
      </c>
      <c r="I130" s="139">
        <f t="shared" si="42"/>
        <v>10401.05</v>
      </c>
      <c r="J130" s="139">
        <f t="shared" si="42"/>
        <v>13775.81</v>
      </c>
      <c r="K130" s="139">
        <f t="shared" si="42"/>
        <v>3855.59</v>
      </c>
      <c r="L130" s="139">
        <f t="shared" si="42"/>
        <v>0</v>
      </c>
      <c r="M130" s="139">
        <f t="shared" si="42"/>
        <v>0</v>
      </c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</row>
    <row r="131" ht="15.75" customHeight="1">
      <c r="A131" s="15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</row>
    <row r="132" ht="15.75" customHeight="1">
      <c r="A132" s="146" t="s">
        <v>54</v>
      </c>
      <c r="B132" s="147">
        <f t="shared" ref="B132:K132" si="43">B125-B130</f>
        <v>0</v>
      </c>
      <c r="C132" s="147">
        <f t="shared" si="43"/>
        <v>0</v>
      </c>
      <c r="D132" s="147">
        <f t="shared" si="43"/>
        <v>0</v>
      </c>
      <c r="E132" s="147">
        <f t="shared" si="43"/>
        <v>0</v>
      </c>
      <c r="F132" s="147">
        <f t="shared" si="43"/>
        <v>0</v>
      </c>
      <c r="G132" s="147">
        <f t="shared" si="43"/>
        <v>0</v>
      </c>
      <c r="H132" s="147">
        <f t="shared" si="43"/>
        <v>0</v>
      </c>
      <c r="I132" s="147">
        <f t="shared" si="43"/>
        <v>0</v>
      </c>
      <c r="J132" s="147">
        <f t="shared" si="43"/>
        <v>0</v>
      </c>
      <c r="K132" s="147">
        <f t="shared" si="43"/>
        <v>0</v>
      </c>
      <c r="L132" s="147" t="str">
        <f t="shared" ref="L132:M132" si="44">#REF!-L131</f>
        <v>#REF!</v>
      </c>
      <c r="M132" s="147" t="str">
        <f t="shared" si="44"/>
        <v>#REF!</v>
      </c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</row>
    <row r="133" ht="15.75" customHeight="1">
      <c r="A133" s="39"/>
      <c r="B133" s="39"/>
      <c r="C133" s="166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</row>
    <row r="134" ht="15.75" customHeight="1">
      <c r="A134" s="165" t="s">
        <v>289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7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</row>
    <row r="135" ht="15.75" customHeight="1">
      <c r="A135" s="15"/>
      <c r="B135" s="2" t="s">
        <v>71</v>
      </c>
      <c r="C135" s="2" t="s">
        <v>72</v>
      </c>
      <c r="D135" s="2" t="s">
        <v>73</v>
      </c>
      <c r="E135" s="2" t="s">
        <v>74</v>
      </c>
      <c r="F135" s="2" t="s">
        <v>75</v>
      </c>
      <c r="G135" s="2" t="s">
        <v>76</v>
      </c>
      <c r="H135" s="2" t="s">
        <v>77</v>
      </c>
      <c r="I135" s="2" t="s">
        <v>78</v>
      </c>
      <c r="J135" s="2" t="s">
        <v>79</v>
      </c>
      <c r="K135" s="2" t="s">
        <v>80</v>
      </c>
      <c r="L135" s="2" t="s">
        <v>81</v>
      </c>
      <c r="M135" s="2" t="s">
        <v>82</v>
      </c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</row>
    <row r="136" ht="15.75" customHeight="1">
      <c r="A136" s="15" t="s">
        <v>287</v>
      </c>
      <c r="B136" s="139">
        <f t="shared" ref="B136:M136" si="45">B86+B72+B99</f>
        <v>10000</v>
      </c>
      <c r="C136" s="139">
        <f t="shared" si="45"/>
        <v>20000</v>
      </c>
      <c r="D136" s="139">
        <f t="shared" si="45"/>
        <v>0</v>
      </c>
      <c r="E136" s="139">
        <f t="shared" si="45"/>
        <v>0</v>
      </c>
      <c r="F136" s="139">
        <f t="shared" si="45"/>
        <v>6000</v>
      </c>
      <c r="G136" s="139">
        <f t="shared" si="45"/>
        <v>8000</v>
      </c>
      <c r="H136" s="139">
        <f t="shared" si="45"/>
        <v>8510</v>
      </c>
      <c r="I136" s="139">
        <f t="shared" si="45"/>
        <v>11600.09</v>
      </c>
      <c r="J136" s="139">
        <f t="shared" si="45"/>
        <v>12000</v>
      </c>
      <c r="K136" s="139">
        <f t="shared" si="45"/>
        <v>0</v>
      </c>
      <c r="L136" s="139">
        <f t="shared" si="45"/>
        <v>0</v>
      </c>
      <c r="M136" s="139">
        <f t="shared" si="45"/>
        <v>0</v>
      </c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</row>
    <row r="137" ht="15.75" customHeight="1">
      <c r="A137" s="15" t="s">
        <v>227</v>
      </c>
      <c r="B137" s="18">
        <f t="shared" ref="B137:M137" si="46">B32+B100</f>
        <v>10000</v>
      </c>
      <c r="C137" s="18">
        <f t="shared" si="46"/>
        <v>20000</v>
      </c>
      <c r="D137" s="18">
        <f t="shared" si="46"/>
        <v>0</v>
      </c>
      <c r="E137" s="18">
        <f t="shared" si="46"/>
        <v>0</v>
      </c>
      <c r="F137" s="18">
        <f t="shared" si="46"/>
        <v>6000</v>
      </c>
      <c r="G137" s="18">
        <f t="shared" si="46"/>
        <v>8000</v>
      </c>
      <c r="H137" s="18">
        <f t="shared" si="46"/>
        <v>8510</v>
      </c>
      <c r="I137" s="18">
        <f t="shared" si="46"/>
        <v>11600.09</v>
      </c>
      <c r="J137" s="18">
        <f t="shared" si="46"/>
        <v>12000</v>
      </c>
      <c r="K137" s="18">
        <f t="shared" si="46"/>
        <v>0</v>
      </c>
      <c r="L137" s="18">
        <f t="shared" si="46"/>
        <v>0</v>
      </c>
      <c r="M137" s="18">
        <f t="shared" si="46"/>
        <v>0</v>
      </c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</row>
    <row r="138" ht="15.75" customHeight="1">
      <c r="A138" s="146" t="s">
        <v>54</v>
      </c>
      <c r="B138" s="147">
        <f t="shared" ref="B138:M138" si="47">B136-B137</f>
        <v>0</v>
      </c>
      <c r="C138" s="147">
        <f t="shared" si="47"/>
        <v>0</v>
      </c>
      <c r="D138" s="147">
        <f t="shared" si="47"/>
        <v>0</v>
      </c>
      <c r="E138" s="147">
        <f t="shared" si="47"/>
        <v>0</v>
      </c>
      <c r="F138" s="147">
        <f t="shared" si="47"/>
        <v>0</v>
      </c>
      <c r="G138" s="147">
        <f t="shared" si="47"/>
        <v>0</v>
      </c>
      <c r="H138" s="147">
        <f t="shared" si="47"/>
        <v>0</v>
      </c>
      <c r="I138" s="147">
        <f t="shared" si="47"/>
        <v>0</v>
      </c>
      <c r="J138" s="147">
        <f t="shared" si="47"/>
        <v>0</v>
      </c>
      <c r="K138" s="147">
        <f t="shared" si="47"/>
        <v>0</v>
      </c>
      <c r="L138" s="147">
        <f t="shared" si="47"/>
        <v>0</v>
      </c>
      <c r="M138" s="147">
        <f t="shared" si="47"/>
        <v>0</v>
      </c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155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167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40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23:M123"/>
    <mergeCell ref="A134:M134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12.63"/>
    <col customWidth="1" min="3" max="3" width="7.13"/>
    <col customWidth="1" min="4" max="6" width="12.63"/>
  </cols>
  <sheetData>
    <row r="1">
      <c r="A1" s="27" t="s">
        <v>219</v>
      </c>
      <c r="B1" s="27">
        <v>7.0</v>
      </c>
      <c r="C1" s="27"/>
      <c r="D1" s="27"/>
      <c r="E1" s="27"/>
      <c r="F1" s="27"/>
      <c r="G1" s="27"/>
      <c r="H1" s="27"/>
    </row>
    <row r="2">
      <c r="A2" s="27" t="s">
        <v>223</v>
      </c>
      <c r="B2" s="27" t="s">
        <v>224</v>
      </c>
      <c r="C2" s="27" t="s">
        <v>225</v>
      </c>
      <c r="D2" s="27" t="s">
        <v>226</v>
      </c>
      <c r="E2" s="27" t="s">
        <v>87</v>
      </c>
      <c r="F2" s="27" t="s">
        <v>110</v>
      </c>
      <c r="G2" s="27" t="s">
        <v>227</v>
      </c>
      <c r="H2" s="27" t="s">
        <v>228</v>
      </c>
      <c r="I2" s="27" t="s">
        <v>229</v>
      </c>
      <c r="J2" s="27" t="s">
        <v>88</v>
      </c>
    </row>
    <row r="3">
      <c r="A3" s="27">
        <v>1.0</v>
      </c>
      <c r="B3" s="18">
        <f>'Daily cash flow 06-2026'!I34</f>
        <v>340.6</v>
      </c>
      <c r="C3" s="27">
        <f>SUMIFS(CloudBed!P:P,CloudBed!U:U,"Money Box",CloudBed!R:R,A3,CloudBed!S:S,$B$1)</f>
        <v>4</v>
      </c>
      <c r="D3" s="27">
        <f>SUMIFS(CloudBed!V:V,CloudBed!AA:AA,"Money Box",CloudBed!X:X,A3,CloudBed!Y:Y,$B$1)</f>
        <v>68</v>
      </c>
      <c r="E3" s="27">
        <f>SUMIFS(FF!E:E,FF!B:B,A3,FF!C:C,$B$1,FF!F:F,"FF")</f>
        <v>15</v>
      </c>
      <c r="F3" s="27">
        <f>sumifs(Extra!H:H,Extra!B:B,A3,Extra!C:C,$B$1,Extra!I:I,"MoneyBox")</f>
        <v>0</v>
      </c>
      <c r="G3" s="27">
        <f>SUMIFS(Dados!N:N,Dados!F:F,A3,Dados!G:G,$B$1,Dados!D:D,"MoneyBox")</f>
        <v>0</v>
      </c>
      <c r="H3" s="28">
        <f t="shared" ref="H3:H34" si="1">B3+D3+C3+F3+E3-G3</f>
        <v>427.6</v>
      </c>
      <c r="J3" s="28">
        <f t="shared" ref="J3:J34" si="2">H3-I3</f>
        <v>427.6</v>
      </c>
    </row>
    <row r="4">
      <c r="A4" s="27">
        <v>2.0</v>
      </c>
      <c r="B4" s="28">
        <f t="shared" ref="B4:B33" si="3">H3</f>
        <v>427.6</v>
      </c>
      <c r="C4" s="27">
        <f>SUMIFS(CloudBed!P:P,CloudBed!U:U,"Money Box",CloudBed!R:R,A4,CloudBed!S:S,$B$1)</f>
        <v>2</v>
      </c>
      <c r="D4" s="27">
        <f>SUMIFS(CloudBed!V:V,CloudBed!AA:AA,"Money Box",CloudBed!X:X,A4,CloudBed!Y:Y,$B$1)</f>
        <v>29.75</v>
      </c>
      <c r="E4" s="27">
        <f>SUMIFS(FF!E:E,FF!B:B,A4,FF!C:C,$B$1,FF!F:F,"FF")</f>
        <v>95</v>
      </c>
      <c r="F4" s="27">
        <f>sumifs(Extra!H:H,Extra!B:B,A4,Extra!C:C,$B$1,Extra!I:I,"MoneyBox")</f>
        <v>0</v>
      </c>
      <c r="G4" s="27">
        <f>SUMIFS(Dados!N:N,Dados!F:F,A4,Dados!G:G,$B$1,Dados!D:D,"MoneyBox")</f>
        <v>0</v>
      </c>
      <c r="H4" s="28">
        <f t="shared" si="1"/>
        <v>554.35</v>
      </c>
      <c r="J4" s="28">
        <f t="shared" si="2"/>
        <v>554.35</v>
      </c>
    </row>
    <row r="5">
      <c r="A5" s="27">
        <v>3.0</v>
      </c>
      <c r="B5" s="28">
        <f t="shared" si="3"/>
        <v>554.35</v>
      </c>
      <c r="C5" s="27">
        <f>SUMIFS(CloudBed!P:P,CloudBed!U:U,"Money Box",CloudBed!R:R,A5,CloudBed!S:S,$B$1)</f>
        <v>12</v>
      </c>
      <c r="D5" s="27">
        <f>SUMIFS(CloudBed!V:V,CloudBed!AA:AA,"Money Box",CloudBed!X:X,A5,CloudBed!Y:Y,$B$1)</f>
        <v>178.5</v>
      </c>
      <c r="E5" s="27">
        <f>SUMIFS(FF!E:E,FF!B:B,A5,FF!C:C,$B$1,FF!F:F,"FF")</f>
        <v>100</v>
      </c>
      <c r="F5" s="27">
        <f>sumifs(Extra!H:H,Extra!B:B,A5,Extra!C:C,$B$1,Extra!I:I,"MoneyBox")</f>
        <v>0</v>
      </c>
      <c r="G5" s="27">
        <f>SUMIFS(Dados!N:N,Dados!F:F,A5,Dados!G:G,$B$1,Dados!D:D,"MoneyBox")</f>
        <v>0</v>
      </c>
      <c r="H5" s="28">
        <f t="shared" si="1"/>
        <v>844.85</v>
      </c>
      <c r="I5" s="27">
        <v>203.15</v>
      </c>
      <c r="J5" s="28">
        <f t="shared" si="2"/>
        <v>641.7</v>
      </c>
    </row>
    <row r="6">
      <c r="A6" s="27">
        <v>4.0</v>
      </c>
      <c r="B6" s="28">
        <f t="shared" si="3"/>
        <v>844.85</v>
      </c>
      <c r="C6" s="27">
        <f>SUMIFS(CloudBed!P:P,CloudBed!U:U,"Money Box",CloudBed!R:R,A6,CloudBed!S:S,$B$1)</f>
        <v>6</v>
      </c>
      <c r="D6" s="27">
        <f>SUMIFS(CloudBed!V:V,CloudBed!AA:AA,"Money Box",CloudBed!X:X,A6,CloudBed!Y:Y,$B$1)</f>
        <v>89.25</v>
      </c>
      <c r="E6" s="27">
        <f>SUMIFS(FF!E:E,FF!B:B,A6,FF!C:C,$B$1,FF!F:F,"FF")</f>
        <v>25</v>
      </c>
      <c r="F6" s="27">
        <f>sumifs(Extra!H:H,Extra!B:B,A6,Extra!C:C,$B$1,Extra!I:I,"MoneyBox")</f>
        <v>0</v>
      </c>
      <c r="G6" s="27">
        <f>SUMIFS(Dados!N:N,Dados!F:F,A6,Dados!G:G,$B$1,Dados!D:D,"MoneyBox")</f>
        <v>0</v>
      </c>
      <c r="H6" s="28">
        <f t="shared" si="1"/>
        <v>965.1</v>
      </c>
      <c r="I6" s="27">
        <v>360.15</v>
      </c>
      <c r="J6" s="28">
        <f t="shared" si="2"/>
        <v>604.95</v>
      </c>
    </row>
    <row r="7">
      <c r="A7" s="27">
        <v>5.0</v>
      </c>
      <c r="B7" s="28">
        <f t="shared" si="3"/>
        <v>965.1</v>
      </c>
      <c r="C7" s="27">
        <f>SUMIFS(CloudBed!P:P,CloudBed!U:U,"Money Box",CloudBed!R:R,A7,CloudBed!S:S,$B$1)</f>
        <v>8</v>
      </c>
      <c r="D7" s="27">
        <f>SUMIFS(CloudBed!V:V,CloudBed!AA:AA,"Money Box",CloudBed!X:X,A7,CloudBed!Y:Y,$B$1)</f>
        <v>116.45</v>
      </c>
      <c r="E7" s="27">
        <f>SUMIFS(FF!E:E,FF!B:B,A7,FF!C:C,$B$1,FF!F:F,"FF")</f>
        <v>0</v>
      </c>
      <c r="F7" s="27">
        <f>sumifs(Extra!H:H,Extra!B:B,A7,Extra!C:C,$B$1,Extra!I:I,"MoneyBox")</f>
        <v>0</v>
      </c>
      <c r="G7" s="27">
        <f>SUMIFS(Dados!N:N,Dados!F:F,A7,Dados!G:G,$B$1,Dados!D:D,"MoneyBox")</f>
        <v>0</v>
      </c>
      <c r="H7" s="28">
        <f t="shared" si="1"/>
        <v>1089.55</v>
      </c>
      <c r="J7" s="28">
        <f t="shared" si="2"/>
        <v>1089.55</v>
      </c>
    </row>
    <row r="8">
      <c r="A8" s="27">
        <v>6.0</v>
      </c>
      <c r="B8" s="28">
        <f t="shared" si="3"/>
        <v>1089.55</v>
      </c>
      <c r="C8" s="27">
        <f>SUMIFS(CloudBed!P:P,CloudBed!U:U,"Money Box",CloudBed!R:R,A8,CloudBed!S:S,$B$1)</f>
        <v>14</v>
      </c>
      <c r="D8" s="27">
        <f>SUMIFS(CloudBed!V:V,CloudBed!AA:AA,"Money Box",CloudBed!X:X,A8,CloudBed!Y:Y,$B$1)</f>
        <v>208.25</v>
      </c>
      <c r="E8" s="27">
        <f>SUMIFS(FF!E:E,FF!B:B,A8,FF!C:C,$B$1,FF!F:F,"FF")</f>
        <v>67</v>
      </c>
      <c r="F8" s="27">
        <f>sumifs(Extra!H:H,Extra!B:B,A8,Extra!C:C,$B$1,Extra!I:I,"MoneyBox")</f>
        <v>0</v>
      </c>
      <c r="G8" s="27">
        <f>SUMIFS(Dados!N:N,Dados!F:F,A8,Dados!G:G,$B$1,Dados!D:D,"MoneyBox")</f>
        <v>0</v>
      </c>
      <c r="H8" s="28">
        <f t="shared" si="1"/>
        <v>1378.8</v>
      </c>
      <c r="J8" s="28">
        <f t="shared" si="2"/>
        <v>1378.8</v>
      </c>
    </row>
    <row r="9">
      <c r="A9" s="27">
        <v>7.0</v>
      </c>
      <c r="B9" s="28">
        <f t="shared" si="3"/>
        <v>1378.8</v>
      </c>
      <c r="C9" s="27">
        <f>SUMIFS(CloudBed!P:P,CloudBed!U:U,"Money Box",CloudBed!R:R,A9,CloudBed!S:S,$B$1)</f>
        <v>32</v>
      </c>
      <c r="D9" s="27">
        <f>SUMIFS(CloudBed!V:V,CloudBed!AA:AA,"Money Box",CloudBed!X:X,A9,CloudBed!Y:Y,$B$1)</f>
        <v>498.95</v>
      </c>
      <c r="E9" s="27">
        <f>SUMIFS(FF!E:E,FF!B:B,A9,FF!C:C,$B$1,FF!F:F,"FF")</f>
        <v>114</v>
      </c>
      <c r="F9" s="27">
        <f>sumifs(Extra!H:H,Extra!B:B,A9,Extra!C:C,$B$1,Extra!I:I,"MoneyBox")</f>
        <v>0</v>
      </c>
      <c r="G9" s="27">
        <f>SUMIFS(Dados!N:N,Dados!F:F,A9,Dados!G:G,$B$1,Dados!D:D,"MoneyBox")</f>
        <v>0</v>
      </c>
      <c r="H9" s="28">
        <f t="shared" si="1"/>
        <v>2023.75</v>
      </c>
      <c r="J9" s="28">
        <f t="shared" si="2"/>
        <v>2023.75</v>
      </c>
    </row>
    <row r="10">
      <c r="A10" s="27">
        <v>8.0</v>
      </c>
      <c r="B10" s="28">
        <f t="shared" si="3"/>
        <v>2023.75</v>
      </c>
      <c r="C10" s="27">
        <f>SUMIFS(CloudBed!P:P,CloudBed!U:U,"Money Box",CloudBed!R:R,A10,CloudBed!S:S,$B$1)</f>
        <v>28</v>
      </c>
      <c r="D10" s="27">
        <f>SUMIFS(CloudBed!V:V,CloudBed!AA:AA,"Money Box",CloudBed!X:X,A10,CloudBed!Y:Y,$B$1)</f>
        <v>705.5</v>
      </c>
      <c r="E10" s="27">
        <f>SUMIFS(FF!E:E,FF!B:B,A10,FF!C:C,$B$1,FF!F:F,"FF")</f>
        <v>35</v>
      </c>
      <c r="F10" s="27">
        <f>sumifs(Extra!H:H,Extra!B:B,A10,Extra!C:C,$B$1,Extra!I:I,"MoneyBox")</f>
        <v>0</v>
      </c>
      <c r="G10" s="27">
        <f>SUMIFS(Dados!N:N,Dados!F:F,A10,Dados!G:G,$B$1,Dados!D:D,"MoneyBox")</f>
        <v>0</v>
      </c>
      <c r="H10" s="28">
        <f t="shared" si="1"/>
        <v>2792.25</v>
      </c>
      <c r="J10" s="28">
        <f t="shared" si="2"/>
        <v>2792.25</v>
      </c>
    </row>
    <row r="11">
      <c r="A11" s="27">
        <v>9.0</v>
      </c>
      <c r="B11" s="28">
        <f t="shared" si="3"/>
        <v>2792.25</v>
      </c>
      <c r="C11" s="27">
        <f>SUMIFS(CloudBed!P:P,CloudBed!U:U,"Money Box",CloudBed!R:R,A11,CloudBed!S:S,$B$1)</f>
        <v>4</v>
      </c>
      <c r="D11" s="27">
        <f>SUMIFS(CloudBed!V:V,CloudBed!AA:AA,"Money Box",CloudBed!X:X,A11,CloudBed!Y:Y,$B$1)</f>
        <v>76.5</v>
      </c>
      <c r="E11" s="27">
        <f>SUMIFS(FF!E:E,FF!B:B,A11,FF!C:C,$B$1,FF!F:F,"FF")</f>
        <v>0</v>
      </c>
      <c r="F11" s="27">
        <f>sumifs(Extra!H:H,Extra!B:B,A11,Extra!C:C,$B$1,Extra!I:I,"MoneyBox")</f>
        <v>0</v>
      </c>
      <c r="G11" s="27">
        <f>SUMIFS(Dados!N:N,Dados!F:F,A11,Dados!G:G,$B$1,Dados!D:D,"MoneyBox")</f>
        <v>0</v>
      </c>
      <c r="H11" s="28">
        <f t="shared" si="1"/>
        <v>2872.75</v>
      </c>
      <c r="J11" s="28">
        <f t="shared" si="2"/>
        <v>2872.75</v>
      </c>
    </row>
    <row r="12">
      <c r="A12" s="27">
        <v>10.0</v>
      </c>
      <c r="B12" s="28">
        <f t="shared" si="3"/>
        <v>2872.75</v>
      </c>
      <c r="C12" s="27">
        <f>SUMIFS(CloudBed!P:P,CloudBed!U:U,"Money Box",CloudBed!R:R,A12,CloudBed!S:S,$B$1)</f>
        <v>10</v>
      </c>
      <c r="D12" s="27">
        <f>SUMIFS(CloudBed!V:V,CloudBed!AA:AA,"Money Box",CloudBed!X:X,A12,CloudBed!Y:Y,$B$1)</f>
        <v>158.1</v>
      </c>
      <c r="E12" s="27">
        <f>SUMIFS(FF!E:E,FF!B:B,A12,FF!C:C,$B$1,FF!F:F,"FF")</f>
        <v>0</v>
      </c>
      <c r="F12" s="27">
        <f>sumifs(Extra!H:H,Extra!B:B,A12,Extra!C:C,$B$1,Extra!I:I,"MoneyBox")</f>
        <v>0</v>
      </c>
      <c r="G12" s="27">
        <f>SUMIFS(Dados!N:N,Dados!F:F,A12,Dados!G:G,$B$1,Dados!D:D,"MoneyBox")</f>
        <v>0</v>
      </c>
      <c r="H12" s="28">
        <f t="shared" si="1"/>
        <v>3040.85</v>
      </c>
      <c r="J12" s="28">
        <f t="shared" si="2"/>
        <v>3040.85</v>
      </c>
    </row>
    <row r="13">
      <c r="A13" s="27">
        <v>11.0</v>
      </c>
      <c r="B13" s="28">
        <f t="shared" si="3"/>
        <v>3040.85</v>
      </c>
      <c r="C13" s="27">
        <f>SUMIFS(CloudBed!P:P,CloudBed!U:U,"Money Box",CloudBed!R:R,A13,CloudBed!S:S,$B$1)</f>
        <v>0</v>
      </c>
      <c r="D13" s="27">
        <f>SUMIFS(CloudBed!V:V,CloudBed!AA:AA,"Money Box",CloudBed!X:X,A13,CloudBed!Y:Y,$B$1)</f>
        <v>0</v>
      </c>
      <c r="E13" s="27">
        <f>SUMIFS(FF!E:E,FF!B:B,A13,FF!C:C,$B$1,FF!F:F,"FF")</f>
        <v>30</v>
      </c>
      <c r="F13" s="27">
        <f>sumifs(Extra!H:H,Extra!B:B,A13,Extra!C:C,$B$1,Extra!I:I,"MoneyBox")</f>
        <v>0</v>
      </c>
      <c r="G13" s="27">
        <f>SUMIFS(Dados!N:N,Dados!F:F,A13,Dados!G:G,$B$1,Dados!D:D,"MoneyBox")</f>
        <v>0</v>
      </c>
      <c r="H13" s="28">
        <f t="shared" si="1"/>
        <v>3070.85</v>
      </c>
      <c r="J13" s="28">
        <f t="shared" si="2"/>
        <v>3070.85</v>
      </c>
    </row>
    <row r="14">
      <c r="A14" s="27">
        <v>12.0</v>
      </c>
      <c r="B14" s="28">
        <f t="shared" si="3"/>
        <v>3070.85</v>
      </c>
      <c r="C14" s="27">
        <f>SUMIFS(CloudBed!P:P,CloudBed!U:U,"Money Box",CloudBed!R:R,A14,CloudBed!S:S,$B$1)</f>
        <v>12</v>
      </c>
      <c r="D14" s="27">
        <f>SUMIFS(CloudBed!V:V,CloudBed!AA:AA,"Money Box",CloudBed!X:X,A14,CloudBed!Y:Y,$B$1)</f>
        <v>207.4</v>
      </c>
      <c r="E14" s="27">
        <f>SUMIFS(FF!E:E,FF!B:B,A14,FF!C:C,$B$1,FF!F:F,"FF")</f>
        <v>35</v>
      </c>
      <c r="F14" s="27">
        <f>sumifs(Extra!H:H,Extra!B:B,A14,Extra!C:C,$B$1,Extra!I:I,"MoneyBox")</f>
        <v>0</v>
      </c>
      <c r="G14" s="27">
        <f>SUMIFS(Dados!N:N,Dados!F:F,A14,Dados!G:G,$B$1,Dados!D:D,"MoneyBox")</f>
        <v>0</v>
      </c>
      <c r="H14" s="28">
        <f t="shared" si="1"/>
        <v>3325.25</v>
      </c>
      <c r="J14" s="28">
        <f t="shared" si="2"/>
        <v>3325.25</v>
      </c>
    </row>
    <row r="15">
      <c r="A15" s="27">
        <v>13.0</v>
      </c>
      <c r="B15" s="28">
        <f t="shared" si="3"/>
        <v>3325.25</v>
      </c>
      <c r="C15" s="27">
        <f>SUMIFS(CloudBed!P:P,CloudBed!U:U,"Money Box",CloudBed!R:R,A15,CloudBed!S:S,$B$1)</f>
        <v>2</v>
      </c>
      <c r="D15" s="27">
        <f>SUMIFS(CloudBed!V:V,CloudBed!AA:AA,"Money Box",CloudBed!X:X,A15,CloudBed!Y:Y,$B$1)</f>
        <v>29.75</v>
      </c>
      <c r="E15" s="27">
        <f>SUMIFS(FF!E:E,FF!B:B,A15,FF!C:C,$B$1,FF!F:F,"FF")</f>
        <v>35</v>
      </c>
      <c r="F15" s="27">
        <f>sumifs(Extra!H:H,Extra!B:B,A15,Extra!C:C,$B$1,Extra!I:I,"MoneyBox")</f>
        <v>0</v>
      </c>
      <c r="G15" s="27">
        <f>SUMIFS(Dados!N:N,Dados!F:F,A15,Dados!G:G,$B$1,Dados!D:D,"MoneyBox")</f>
        <v>0</v>
      </c>
      <c r="H15" s="28">
        <f t="shared" si="1"/>
        <v>3392</v>
      </c>
      <c r="J15" s="28">
        <f t="shared" si="2"/>
        <v>3392</v>
      </c>
    </row>
    <row r="16">
      <c r="A16" s="27">
        <v>14.0</v>
      </c>
      <c r="B16" s="28">
        <f t="shared" si="3"/>
        <v>3392</v>
      </c>
      <c r="C16" s="27">
        <f>SUMIFS(CloudBed!P:P,CloudBed!U:U,"Money Box",CloudBed!R:R,A16,CloudBed!S:S,$B$1)</f>
        <v>8</v>
      </c>
      <c r="D16" s="27">
        <f>SUMIFS(CloudBed!V:V,CloudBed!AA:AA,"Money Box",CloudBed!X:X,A16,CloudBed!Y:Y,$B$1)</f>
        <v>136</v>
      </c>
      <c r="E16" s="27">
        <f>SUMIFS(FF!E:E,FF!B:B,A16,FF!C:C,$B$1,FF!F:F,"FF")</f>
        <v>192</v>
      </c>
      <c r="F16" s="27">
        <f>sumifs(Extra!H:H,Extra!B:B,A16,Extra!C:C,$B$1,Extra!I:I,"MoneyBox")</f>
        <v>0</v>
      </c>
      <c r="G16" s="27">
        <f>SUMIFS(Dados!N:N,Dados!F:F,A16,Dados!G:G,$B$1,Dados!D:D,"MoneyBox")</f>
        <v>0</v>
      </c>
      <c r="H16" s="28">
        <f t="shared" si="1"/>
        <v>3728</v>
      </c>
      <c r="J16" s="28">
        <f t="shared" si="2"/>
        <v>3728</v>
      </c>
    </row>
    <row r="17">
      <c r="A17" s="27">
        <v>15.0</v>
      </c>
      <c r="B17" s="28">
        <f t="shared" si="3"/>
        <v>3728</v>
      </c>
      <c r="C17" s="27">
        <f>SUMIFS(CloudBed!P:P,CloudBed!U:U,"Money Box",CloudBed!R:R,A17,CloudBed!S:S,$B$1)</f>
        <v>12</v>
      </c>
      <c r="D17" s="27">
        <f>SUMIFS(CloudBed!V:V,CloudBed!AA:AA,"Money Box",CloudBed!X:X,A17,CloudBed!Y:Y,$B$1)</f>
        <v>178.5</v>
      </c>
      <c r="E17" s="27">
        <f>SUMIFS(FF!E:E,FF!B:B,A17,FF!C:C,$B$1,FF!F:F,"FF")</f>
        <v>35</v>
      </c>
      <c r="F17" s="27">
        <f>sumifs(Extra!H:H,Extra!B:B,A17,Extra!C:C,$B$1,Extra!I:I,"MoneyBox")</f>
        <v>0</v>
      </c>
      <c r="G17" s="27">
        <f>SUMIFS(Dados!N:N,Dados!F:F,A17,Dados!G:G,$B$1,Dados!D:D,"MoneyBox")</f>
        <v>0</v>
      </c>
      <c r="H17" s="28">
        <f t="shared" si="1"/>
        <v>3953.5</v>
      </c>
      <c r="J17" s="28">
        <f t="shared" si="2"/>
        <v>3953.5</v>
      </c>
    </row>
    <row r="18">
      <c r="A18" s="27">
        <v>16.0</v>
      </c>
      <c r="B18" s="28">
        <f t="shared" si="3"/>
        <v>3953.5</v>
      </c>
      <c r="C18" s="27">
        <f>SUMIFS(CloudBed!P:P,CloudBed!U:U,"Money Box",CloudBed!R:R,A18,CloudBed!S:S,$B$1)</f>
        <v>2</v>
      </c>
      <c r="D18" s="27">
        <f>SUMIFS(CloudBed!V:V,CloudBed!AA:AA,"Money Box",CloudBed!X:X,A18,CloudBed!Y:Y,$B$1)</f>
        <v>35.7</v>
      </c>
      <c r="E18" s="27">
        <f>SUMIFS(FF!E:E,FF!B:B,A18,FF!C:C,$B$1,FF!F:F,"FF")</f>
        <v>0</v>
      </c>
      <c r="F18" s="27">
        <f>sumifs(Extra!H:H,Extra!B:B,A18,Extra!C:C,$B$1,Extra!I:I,"MoneyBox")</f>
        <v>0</v>
      </c>
      <c r="G18" s="27">
        <f>SUMIFS(Dados!N:N,Dados!F:F,A18,Dados!G:G,$B$1,Dados!D:D,"MoneyBox")</f>
        <v>0</v>
      </c>
      <c r="H18" s="28">
        <f t="shared" si="1"/>
        <v>3991.2</v>
      </c>
      <c r="J18" s="28">
        <f t="shared" si="2"/>
        <v>3991.2</v>
      </c>
    </row>
    <row r="19">
      <c r="A19" s="27">
        <v>17.0</v>
      </c>
      <c r="B19" s="28">
        <f t="shared" si="3"/>
        <v>3991.2</v>
      </c>
      <c r="C19" s="27">
        <f>SUMIFS(CloudBed!P:P,CloudBed!U:U,"Money Box",CloudBed!R:R,A19,CloudBed!S:S,$B$1)</f>
        <v>10</v>
      </c>
      <c r="D19" s="27">
        <f>SUMIFS(CloudBed!V:V,CloudBed!AA:AA,"Money Box",CloudBed!X:X,A19,CloudBed!Y:Y,$B$1)</f>
        <v>197.2</v>
      </c>
      <c r="E19" s="27">
        <f>SUMIFS(FF!E:E,FF!B:B,A19,FF!C:C,$B$1,FF!F:F,"FF")</f>
        <v>72</v>
      </c>
      <c r="F19" s="27">
        <f>sumifs(Extra!H:H,Extra!B:B,A19,Extra!C:C,$B$1,Extra!I:I,"MoneyBox")</f>
        <v>0</v>
      </c>
      <c r="G19" s="27">
        <f>SUMIFS(Dados!N:N,Dados!F:F,A19,Dados!G:G,$B$1,Dados!D:D,"MoneyBox")</f>
        <v>0</v>
      </c>
      <c r="H19" s="28">
        <f t="shared" si="1"/>
        <v>4270.4</v>
      </c>
      <c r="J19" s="28">
        <f t="shared" si="2"/>
        <v>4270.4</v>
      </c>
    </row>
    <row r="20">
      <c r="A20" s="27">
        <v>18.0</v>
      </c>
      <c r="B20" s="28">
        <f t="shared" si="3"/>
        <v>4270.4</v>
      </c>
      <c r="C20" s="27">
        <f>SUMIFS(CloudBed!P:P,CloudBed!U:U,"Money Box",CloudBed!R:R,A20,CloudBed!S:S,$B$1)</f>
        <v>6</v>
      </c>
      <c r="D20" s="27">
        <f>SUMIFS(CloudBed!V:V,CloudBed!AA:AA,"Money Box",CloudBed!X:X,A20,CloudBed!Y:Y,$B$1)</f>
        <v>81.6</v>
      </c>
      <c r="E20" s="27">
        <f>SUMIFS(FF!E:E,FF!B:B,A20,FF!C:C,$B$1,FF!F:F,"FF")</f>
        <v>39.5</v>
      </c>
      <c r="F20" s="27">
        <f>sumifs(Extra!H:H,Extra!B:B,A20,Extra!C:C,$B$1,Extra!I:I,"MoneyBox")</f>
        <v>0</v>
      </c>
      <c r="G20" s="27">
        <f>SUMIFS(Dados!N:N,Dados!F:F,A20,Dados!G:G,$B$1,Dados!D:D,"MoneyBox")</f>
        <v>0</v>
      </c>
      <c r="H20" s="28">
        <f t="shared" si="1"/>
        <v>4397.5</v>
      </c>
      <c r="J20" s="28">
        <f t="shared" si="2"/>
        <v>4397.5</v>
      </c>
    </row>
    <row r="21" ht="15.75" customHeight="1">
      <c r="A21" s="27">
        <v>19.0</v>
      </c>
      <c r="B21" s="28">
        <f t="shared" si="3"/>
        <v>4397.5</v>
      </c>
      <c r="C21" s="27">
        <f>SUMIFS(CloudBed!P:P,CloudBed!U:U,"Money Box",CloudBed!R:R,A21,CloudBed!S:S,$B$1)</f>
        <v>0</v>
      </c>
      <c r="D21" s="27">
        <f>SUMIFS(CloudBed!V:V,CloudBed!AA:AA,"Money Box",CloudBed!X:X,A21,CloudBed!Y:Y,$B$1)</f>
        <v>0</v>
      </c>
      <c r="E21" s="27">
        <f>SUMIFS(FF!E:E,FF!B:B,A21,FF!C:C,$B$1,FF!F:F,"FF")</f>
        <v>68</v>
      </c>
      <c r="F21" s="27">
        <f>sumifs(Extra!H:H,Extra!B:B,A21,Extra!C:C,$B$1,Extra!I:I,"MoneyBox")</f>
        <v>0</v>
      </c>
      <c r="G21" s="27">
        <f>SUMIFS(Dados!N:N,Dados!F:F,A21,Dados!G:G,$B$1,Dados!D:D,"MoneyBox")</f>
        <v>0</v>
      </c>
      <c r="H21" s="28">
        <f t="shared" si="1"/>
        <v>4465.5</v>
      </c>
      <c r="J21" s="28">
        <f t="shared" si="2"/>
        <v>4465.5</v>
      </c>
    </row>
    <row r="22" ht="15.75" customHeight="1">
      <c r="A22" s="27">
        <v>20.0</v>
      </c>
      <c r="B22" s="28">
        <f t="shared" si="3"/>
        <v>4465.5</v>
      </c>
      <c r="C22" s="27">
        <f>SUMIFS(CloudBed!P:P,CloudBed!U:U,"Money Box",CloudBed!R:R,A22,CloudBed!S:S,$B$1)</f>
        <v>10</v>
      </c>
      <c r="D22" s="27">
        <f>SUMIFS(CloudBed!V:V,CloudBed!AA:AA,"Money Box",CloudBed!X:X,A22,CloudBed!Y:Y,$B$1)</f>
        <v>143.65</v>
      </c>
      <c r="E22" s="27">
        <f>SUMIFS(FF!E:E,FF!B:B,A22,FF!C:C,$B$1,FF!F:F,"FF")</f>
        <v>490</v>
      </c>
      <c r="F22" s="27">
        <f>sumifs(Extra!H:H,Extra!B:B,A22,Extra!C:C,$B$1,Extra!I:I,"MoneyBox")</f>
        <v>0</v>
      </c>
      <c r="G22" s="27">
        <f>SUMIFS(Dados!N:N,Dados!F:F,A22,Dados!G:G,$B$1,Dados!D:D,"MoneyBox")</f>
        <v>0</v>
      </c>
      <c r="H22" s="28">
        <f t="shared" si="1"/>
        <v>5109.15</v>
      </c>
      <c r="J22" s="28">
        <f t="shared" si="2"/>
        <v>5109.15</v>
      </c>
    </row>
    <row r="23" ht="15.75" customHeight="1">
      <c r="A23" s="27">
        <v>21.0</v>
      </c>
      <c r="B23" s="28">
        <f t="shared" si="3"/>
        <v>5109.15</v>
      </c>
      <c r="C23" s="27">
        <f>SUMIFS(CloudBed!P:P,CloudBed!U:U,"Money Box",CloudBed!R:R,A23,CloudBed!S:S,$B$1)</f>
        <v>32</v>
      </c>
      <c r="D23" s="27">
        <f>SUMIFS(CloudBed!V:V,CloudBed!AA:AA,"Money Box",CloudBed!X:X,A23,CloudBed!Y:Y,$B$1)</f>
        <v>497.25</v>
      </c>
      <c r="E23" s="27">
        <f>SUMIFS(FF!E:E,FF!B:B,A23,FF!C:C,$B$1,FF!F:F,"FF")</f>
        <v>0</v>
      </c>
      <c r="F23" s="27">
        <f>sumifs(Extra!H:H,Extra!B:B,A23,Extra!C:C,$B$1,Extra!I:I,"MoneyBox")</f>
        <v>0</v>
      </c>
      <c r="G23" s="27">
        <f>SUMIFS(Dados!N:N,Dados!F:F,A23,Dados!G:G,$B$1,Dados!D:D,"MoneyBox")</f>
        <v>0</v>
      </c>
      <c r="H23" s="28">
        <f t="shared" si="1"/>
        <v>5638.4</v>
      </c>
      <c r="J23" s="28">
        <f t="shared" si="2"/>
        <v>5638.4</v>
      </c>
    </row>
    <row r="24" ht="15.75" customHeight="1">
      <c r="A24" s="27">
        <v>22.0</v>
      </c>
      <c r="B24" s="28">
        <f t="shared" si="3"/>
        <v>5638.4</v>
      </c>
      <c r="C24" s="27">
        <f>SUMIFS(CloudBed!P:P,CloudBed!U:U,"Money Box",CloudBed!R:R,A24,CloudBed!S:S,$B$1)</f>
        <v>26</v>
      </c>
      <c r="D24" s="27">
        <f>SUMIFS(CloudBed!V:V,CloudBed!AA:AA,"Money Box",CloudBed!X:X,A24,CloudBed!Y:Y,$B$1)</f>
        <v>521.05</v>
      </c>
      <c r="E24" s="27">
        <f>SUMIFS(FF!E:E,FF!B:B,A24,FF!C:C,$B$1,FF!F:F,"FF")</f>
        <v>130</v>
      </c>
      <c r="F24" s="27">
        <f>sumifs(Extra!H:H,Extra!B:B,A24,Extra!C:C,$B$1,Extra!I:I,"MoneyBox")</f>
        <v>0</v>
      </c>
      <c r="G24" s="27">
        <f>SUMIFS(Dados!N:N,Dados!F:F,A24,Dados!G:G,$B$1,Dados!D:D,"MoneyBox")</f>
        <v>0</v>
      </c>
      <c r="H24" s="28">
        <f t="shared" si="1"/>
        <v>6315.45</v>
      </c>
      <c r="J24" s="28">
        <f t="shared" si="2"/>
        <v>6315.45</v>
      </c>
    </row>
    <row r="25" ht="15.75" customHeight="1">
      <c r="A25" s="27">
        <v>23.0</v>
      </c>
      <c r="B25" s="28">
        <f t="shared" si="3"/>
        <v>6315.45</v>
      </c>
      <c r="C25" s="27">
        <f>SUMIFS(CloudBed!P:P,CloudBed!U:U,"Money Box",CloudBed!R:R,A25,CloudBed!S:S,$B$1)</f>
        <v>28</v>
      </c>
      <c r="D25" s="27">
        <f>SUMIFS(CloudBed!V:V,CloudBed!AA:AA,"Money Box",CloudBed!X:X,A25,CloudBed!Y:Y,$B$1)</f>
        <v>697</v>
      </c>
      <c r="E25" s="27">
        <f>SUMIFS(FF!E:E,FF!B:B,A25,FF!C:C,$B$1,FF!F:F,"FF")</f>
        <v>10</v>
      </c>
      <c r="F25" s="27">
        <f>sumifs(Extra!H:H,Extra!B:B,A25,Extra!C:C,$B$1,Extra!I:I,"MoneyBox")</f>
        <v>0</v>
      </c>
      <c r="G25" s="27">
        <f>SUMIFS(Dados!N:N,Dados!F:F,A25,Dados!G:G,$B$1,Dados!D:D,"MoneyBox")</f>
        <v>0</v>
      </c>
      <c r="H25" s="28">
        <f t="shared" si="1"/>
        <v>7050.45</v>
      </c>
      <c r="J25" s="28">
        <f t="shared" si="2"/>
        <v>7050.45</v>
      </c>
    </row>
    <row r="26" ht="15.75" customHeight="1">
      <c r="A26" s="27">
        <v>24.0</v>
      </c>
      <c r="B26" s="28">
        <f t="shared" si="3"/>
        <v>7050.45</v>
      </c>
      <c r="C26" s="27">
        <f>SUMIFS(CloudBed!P:P,CloudBed!U:U,"Money Box",CloudBed!R:R,A26,CloudBed!S:S,$B$1)</f>
        <v>10</v>
      </c>
      <c r="D26" s="27">
        <f>SUMIFS(CloudBed!V:V,CloudBed!AA:AA,"Money Box",CloudBed!X:X,A26,CloudBed!Y:Y,$B$1)</f>
        <v>164.05</v>
      </c>
      <c r="E26" s="27">
        <f>SUMIFS(FF!E:E,FF!B:B,A26,FF!C:C,$B$1,FF!F:F,"FF")</f>
        <v>110</v>
      </c>
      <c r="F26" s="27">
        <f>sumifs(Extra!H:H,Extra!B:B,A26,Extra!C:C,$B$1,Extra!I:I,"MoneyBox")</f>
        <v>0</v>
      </c>
      <c r="G26" s="27">
        <f>SUMIFS(Dados!N:N,Dados!F:F,A26,Dados!G:G,$B$1,Dados!D:D,"MoneyBox")</f>
        <v>0</v>
      </c>
      <c r="H26" s="28">
        <f t="shared" si="1"/>
        <v>7334.5</v>
      </c>
      <c r="J26" s="28">
        <f t="shared" si="2"/>
        <v>7334.5</v>
      </c>
    </row>
    <row r="27" ht="15.75" customHeight="1">
      <c r="A27" s="27">
        <v>25.0</v>
      </c>
      <c r="B27" s="28">
        <f t="shared" si="3"/>
        <v>7334.5</v>
      </c>
      <c r="C27" s="27">
        <f>SUMIFS(CloudBed!P:P,CloudBed!U:U,"Money Box",CloudBed!R:R,A27,CloudBed!S:S,$B$1)</f>
        <v>12</v>
      </c>
      <c r="D27" s="27">
        <f>SUMIFS(CloudBed!V:V,CloudBed!AA:AA,"Money Box",CloudBed!X:X,A27,CloudBed!Y:Y,$B$1)</f>
        <v>212.5</v>
      </c>
      <c r="E27" s="27">
        <f>SUMIFS(FF!E:E,FF!B:B,A27,FF!C:C,$B$1,FF!F:F,"FF")</f>
        <v>70</v>
      </c>
      <c r="F27" s="27">
        <f>sumifs(Extra!H:H,Extra!B:B,A27,Extra!C:C,$B$1,Extra!I:I,"MoneyBox")</f>
        <v>0</v>
      </c>
      <c r="G27" s="27">
        <f>SUMIFS(Dados!N:N,Dados!F:F,A27,Dados!G:G,$B$1,Dados!D:D,"MoneyBox")</f>
        <v>0</v>
      </c>
      <c r="H27" s="28">
        <f t="shared" si="1"/>
        <v>7629</v>
      </c>
      <c r="J27" s="28">
        <f t="shared" si="2"/>
        <v>7629</v>
      </c>
    </row>
    <row r="28" ht="15.75" customHeight="1">
      <c r="A28" s="27">
        <v>26.0</v>
      </c>
      <c r="B28" s="28">
        <f t="shared" si="3"/>
        <v>7629</v>
      </c>
      <c r="C28" s="27">
        <f>SUMIFS(CloudBed!P:P,CloudBed!U:U,"Money Box",CloudBed!R:R,A28,CloudBed!S:S,$B$1)</f>
        <v>0</v>
      </c>
      <c r="D28" s="27">
        <f>SUMIFS(CloudBed!V:V,CloudBed!AA:AA,"Money Box",CloudBed!X:X,A28,CloudBed!Y:Y,$B$1)</f>
        <v>0</v>
      </c>
      <c r="E28" s="27">
        <f>SUMIFS(FF!E:E,FF!B:B,A28,FF!C:C,$B$1,FF!F:F,"FF")</f>
        <v>159</v>
      </c>
      <c r="F28" s="27">
        <f>sumifs(Extra!H:H,Extra!B:B,A28,Extra!C:C,$B$1,Extra!I:I,"MoneyBox")</f>
        <v>0</v>
      </c>
      <c r="G28" s="27">
        <f>SUMIFS(Dados!N:N,Dados!F:F,A28,Dados!G:G,$B$1,Dados!D:D,"MoneyBox")</f>
        <v>0</v>
      </c>
      <c r="H28" s="28">
        <f t="shared" si="1"/>
        <v>7788</v>
      </c>
      <c r="J28" s="28">
        <f t="shared" si="2"/>
        <v>7788</v>
      </c>
    </row>
    <row r="29" ht="15.75" customHeight="1">
      <c r="A29" s="27">
        <v>27.0</v>
      </c>
      <c r="B29" s="28">
        <f t="shared" si="3"/>
        <v>7788</v>
      </c>
      <c r="C29" s="27">
        <f>SUMIFS(CloudBed!P:P,CloudBed!U:U,"Money Box",CloudBed!R:R,A29,CloudBed!S:S,$B$1)</f>
        <v>14</v>
      </c>
      <c r="D29" s="27">
        <f>SUMIFS(CloudBed!V:V,CloudBed!AA:AA,"Money Box",CloudBed!X:X,A29,CloudBed!Y:Y,$B$1)</f>
        <v>240.55</v>
      </c>
      <c r="E29" s="27">
        <f>SUMIFS(FF!E:E,FF!B:B,A29,FF!C:C,$B$1,FF!F:F,"FF")</f>
        <v>74</v>
      </c>
      <c r="F29" s="27">
        <f>sumifs(Extra!H:H,Extra!B:B,A29,Extra!C:C,$B$1,Extra!I:I,"MoneyBox")</f>
        <v>0</v>
      </c>
      <c r="G29" s="27">
        <f>SUMIFS(Dados!N:N,Dados!F:F,A29,Dados!G:G,$B$1,Dados!D:D,"MoneyBox")</f>
        <v>0</v>
      </c>
      <c r="H29" s="28">
        <f t="shared" si="1"/>
        <v>8116.55</v>
      </c>
      <c r="J29" s="28">
        <f t="shared" si="2"/>
        <v>8116.55</v>
      </c>
    </row>
    <row r="30" ht="15.75" customHeight="1">
      <c r="A30" s="27">
        <v>28.0</v>
      </c>
      <c r="B30" s="28">
        <f t="shared" si="3"/>
        <v>8116.55</v>
      </c>
      <c r="C30" s="27">
        <f>SUMIFS(CloudBed!P:P,CloudBed!U:U,"Money Box",CloudBed!R:R,A30,CloudBed!S:S,$B$1)</f>
        <v>14</v>
      </c>
      <c r="D30" s="27">
        <f>SUMIFS(CloudBed!V:V,CloudBed!AA:AA,"Money Box",CloudBed!X:X,A30,CloudBed!Y:Y,$B$1)</f>
        <v>293.25</v>
      </c>
      <c r="E30" s="27">
        <f>SUMIFS(FF!E:E,FF!B:B,A30,FF!C:C,$B$1,FF!F:F,"FF")</f>
        <v>60</v>
      </c>
      <c r="F30" s="27">
        <f>sumifs(Extra!H:H,Extra!B:B,A30,Extra!C:C,$B$1,Extra!I:I,"MoneyBox")</f>
        <v>0</v>
      </c>
      <c r="G30" s="27">
        <f>SUMIFS(Dados!N:N,Dados!F:F,A30,Dados!G:G,$B$1,Dados!D:D,"MoneyBox")</f>
        <v>0</v>
      </c>
      <c r="H30" s="28">
        <f t="shared" si="1"/>
        <v>8483.8</v>
      </c>
      <c r="J30" s="28">
        <f t="shared" si="2"/>
        <v>8483.8</v>
      </c>
    </row>
    <row r="31" ht="15.75" customHeight="1">
      <c r="A31" s="27">
        <v>29.0</v>
      </c>
      <c r="B31" s="28">
        <f t="shared" si="3"/>
        <v>8483.8</v>
      </c>
      <c r="C31" s="27">
        <f>SUMIFS(CloudBed!P:P,CloudBed!U:U,"Money Box",CloudBed!R:R,A31,CloudBed!S:S,$B$1)</f>
        <v>12</v>
      </c>
      <c r="D31" s="27">
        <f>SUMIFS(CloudBed!V:V,CloudBed!AA:AA,"Money Box",CloudBed!X:X,A31,CloudBed!Y:Y,$B$1)</f>
        <v>178.5</v>
      </c>
      <c r="E31" s="27">
        <f>SUMIFS(FF!E:E,FF!B:B,A31,FF!C:C,$B$1,FF!F:F,"FF")</f>
        <v>0</v>
      </c>
      <c r="F31" s="27">
        <f>sumifs(Extra!H:H,Extra!B:B,A31,Extra!C:C,$B$1,Extra!I:I,"MoneyBox")</f>
        <v>0</v>
      </c>
      <c r="G31" s="27">
        <f>SUMIFS(Dados!N:N,Dados!F:F,A31,Dados!G:G,$B$1,Dados!D:D,"MoneyBox")</f>
        <v>0</v>
      </c>
      <c r="H31" s="28">
        <f t="shared" si="1"/>
        <v>8674.3</v>
      </c>
      <c r="I31" s="27">
        <v>359.44</v>
      </c>
      <c r="J31" s="28">
        <f t="shared" si="2"/>
        <v>8314.86</v>
      </c>
    </row>
    <row r="32" ht="15.75" customHeight="1">
      <c r="A32" s="27">
        <v>30.0</v>
      </c>
      <c r="B32" s="28">
        <f t="shared" si="3"/>
        <v>8674.3</v>
      </c>
      <c r="C32" s="27">
        <f>SUMIFS(CloudBed!P:P,CloudBed!U:U,"Money Box",CloudBed!R:R,A32,CloudBed!S:S,$B$1)</f>
        <v>8</v>
      </c>
      <c r="D32" s="27">
        <f>SUMIFS(CloudBed!V:V,CloudBed!AA:AA,"Money Box",CloudBed!X:X,A32,CloudBed!Y:Y,$B$1)</f>
        <v>119</v>
      </c>
      <c r="E32" s="27">
        <f>SUMIFS(FF!E:E,FF!B:B,A32,FF!C:C,$B$1,FF!F:F,"FF")</f>
        <v>75</v>
      </c>
      <c r="F32" s="27">
        <f>sumifs(Extra!H:H,Extra!B:B,A32,Extra!C:C,$B$1,Extra!I:I,"MoneyBox")</f>
        <v>0</v>
      </c>
      <c r="G32" s="27">
        <f>SUMIFS(Dados!N:N,Dados!F:F,A32,Dados!G:G,$B$1,Dados!D:D,"MoneyBox")</f>
        <v>0</v>
      </c>
      <c r="H32" s="28">
        <f t="shared" si="1"/>
        <v>8876.3</v>
      </c>
      <c r="I32" s="27">
        <v>315.69</v>
      </c>
      <c r="J32" s="28">
        <f t="shared" si="2"/>
        <v>8560.61</v>
      </c>
    </row>
    <row r="33" ht="15.75" customHeight="1">
      <c r="A33" s="27">
        <v>31.0</v>
      </c>
      <c r="B33" s="28">
        <f t="shared" si="3"/>
        <v>8876.3</v>
      </c>
      <c r="C33" s="27">
        <f>SUMIFS(CloudBed!P:P,CloudBed!U:U,"Money Box",CloudBed!R:R,A33,CloudBed!S:S,$B$1)</f>
        <v>26</v>
      </c>
      <c r="D33" s="27">
        <f>SUMIFS(CloudBed!V:V,CloudBed!AA:AA,"Money Box",CloudBed!X:X,A33,CloudBed!Y:Y,$B$1)</f>
        <v>476</v>
      </c>
      <c r="E33" s="27">
        <f>SUMIFS(FF!E:E,FF!B:B,A33,FF!C:C,$B$1,FF!F:F,"FF")</f>
        <v>75</v>
      </c>
      <c r="F33" s="27">
        <f>sumifs(Extra!H:H,Extra!B:B,A33,Extra!C:C,$B$1,Extra!I:I,"MoneyBox")</f>
        <v>0</v>
      </c>
      <c r="G33" s="27">
        <f>SUMIFS(Dados!N:N,Dados!F:F,A33,Dados!G:G,$B$1,Dados!D:D,"MoneyBox")</f>
        <v>0</v>
      </c>
      <c r="H33" s="28">
        <f t="shared" si="1"/>
        <v>9453.3</v>
      </c>
      <c r="I33" s="27">
        <f t="shared" ref="I33:I34" si="5">404+11.2</f>
        <v>415.2</v>
      </c>
      <c r="J33" s="28">
        <f t="shared" si="2"/>
        <v>9038.1</v>
      </c>
    </row>
    <row r="34" ht="15.75" customHeight="1">
      <c r="A34" s="27" t="s">
        <v>6</v>
      </c>
      <c r="B34" s="28">
        <f>B3</f>
        <v>340.6</v>
      </c>
      <c r="C34" s="27">
        <f t="shared" ref="C34:G34" si="4">SUM(C3:C33)</f>
        <v>364</v>
      </c>
      <c r="D34" s="27">
        <f t="shared" si="4"/>
        <v>6538.2</v>
      </c>
      <c r="E34" s="27">
        <f t="shared" si="4"/>
        <v>2210.5</v>
      </c>
      <c r="F34" s="27">
        <f t="shared" si="4"/>
        <v>0</v>
      </c>
      <c r="G34" s="27">
        <f t="shared" si="4"/>
        <v>0</v>
      </c>
      <c r="H34" s="28">
        <f t="shared" si="1"/>
        <v>9453.3</v>
      </c>
      <c r="I34" s="27">
        <f t="shared" si="5"/>
        <v>415.2</v>
      </c>
      <c r="J34" s="28">
        <f t="shared" si="2"/>
        <v>9038.1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12.63"/>
    <col customWidth="1" min="3" max="3" width="7.13"/>
    <col customWidth="1" min="4" max="6" width="12.63"/>
  </cols>
  <sheetData>
    <row r="1">
      <c r="A1" s="27" t="s">
        <v>219</v>
      </c>
      <c r="B1" s="130">
        <v>9.0</v>
      </c>
      <c r="C1" s="27"/>
      <c r="D1" s="27"/>
      <c r="E1" s="27"/>
      <c r="F1" s="27"/>
      <c r="G1" s="27"/>
      <c r="H1" s="27"/>
    </row>
    <row r="2">
      <c r="A2" s="27" t="s">
        <v>223</v>
      </c>
      <c r="B2" s="27" t="s">
        <v>224</v>
      </c>
      <c r="C2" s="27" t="s">
        <v>225</v>
      </c>
      <c r="D2" s="27" t="s">
        <v>226</v>
      </c>
      <c r="E2" s="27" t="s">
        <v>87</v>
      </c>
      <c r="F2" s="27" t="s">
        <v>110</v>
      </c>
      <c r="G2" s="27" t="s">
        <v>227</v>
      </c>
      <c r="H2" s="27" t="s">
        <v>228</v>
      </c>
      <c r="I2" s="27" t="s">
        <v>229</v>
      </c>
      <c r="J2" s="27" t="s">
        <v>88</v>
      </c>
    </row>
    <row r="3">
      <c r="A3" s="27">
        <v>1.0</v>
      </c>
      <c r="B3" s="18">
        <v>436.6700000000001</v>
      </c>
      <c r="C3" s="27">
        <f>SUMIFS(CloudBed!P:P,CloudBed!U:U,"Money Box",CloudBed!R:R,A3,CloudBed!S:S,$B$1)</f>
        <v>0</v>
      </c>
      <c r="D3" s="27">
        <f>SUMIFS(CloudBed!V:V,CloudBed!AA:AA,"Money Box",CloudBed!X:X,A3,CloudBed!Y:Y,$B$1)</f>
        <v>0</v>
      </c>
      <c r="E3" s="27">
        <f>SUMIFS(FF!E:E,FF!B:B,A3,FF!C:C,$B$1,FF!F:F,"FF")</f>
        <v>70</v>
      </c>
      <c r="F3" s="27">
        <f>SUMIFS(Extra!H:H,Extra!B:B,A3,Extra!C:C,$B$1,Extra!I:I,"Money Box")</f>
        <v>20</v>
      </c>
      <c r="G3" s="27">
        <f>SUMIFS(Dados!N:N,Dados!F:F,A3,Dados!G:G,$B$1,Dados!D:D,"Money Box")</f>
        <v>-119.5</v>
      </c>
      <c r="H3" s="28">
        <f t="shared" ref="H3:H34" si="1">B3+D3+C3+F3+E3-G3</f>
        <v>646.17</v>
      </c>
      <c r="J3" s="28">
        <f t="shared" ref="J3:J34" si="2">H3-I3</f>
        <v>646.17</v>
      </c>
    </row>
    <row r="4">
      <c r="A4" s="27">
        <v>2.0</v>
      </c>
      <c r="B4" s="28">
        <f t="shared" ref="B4:B33" si="3">H3</f>
        <v>646.17</v>
      </c>
      <c r="C4" s="27">
        <f>SUMIFS(CloudBed!P:P,CloudBed!U:U,"Money Box",CloudBed!R:R,A4,CloudBed!S:S,$B$1)</f>
        <v>0</v>
      </c>
      <c r="D4" s="27">
        <f>SUMIFS(CloudBed!V:V,CloudBed!AA:AA,"Money Box",CloudBed!X:X,A4,CloudBed!Y:Y,$B$1)</f>
        <v>0</v>
      </c>
      <c r="E4" s="27">
        <f>SUMIFS(FF!E:E,FF!B:B,A4,FF!C:C,$B$1,FF!F:F,"FF")</f>
        <v>0</v>
      </c>
      <c r="F4" s="27">
        <f>SUMIFS(Extra!H:H,Extra!B:B,A4,Extra!C:C,$B$1,Extra!I:I,"Money Box")</f>
        <v>12</v>
      </c>
      <c r="G4" s="27">
        <f>SUMIFS(Dados!N:N,Dados!F:F,A4,Dados!G:G,$B$1,Dados!D:D,"Money Box")</f>
        <v>35.66</v>
      </c>
      <c r="H4" s="28">
        <f t="shared" si="1"/>
        <v>622.51</v>
      </c>
      <c r="J4" s="28">
        <f t="shared" si="2"/>
        <v>622.51</v>
      </c>
    </row>
    <row r="5">
      <c r="A5" s="27">
        <v>3.0</v>
      </c>
      <c r="B5" s="28">
        <f t="shared" si="3"/>
        <v>622.51</v>
      </c>
      <c r="C5" s="27">
        <f>SUMIFS(CloudBed!P:P,CloudBed!U:U,"Money Box",CloudBed!R:R,A5,CloudBed!S:S,$B$1)</f>
        <v>2</v>
      </c>
      <c r="D5" s="27">
        <f>SUMIFS(CloudBed!V:V,CloudBed!AA:AA,"Money Box",CloudBed!X:X,A5,CloudBed!Y:Y,$B$1)</f>
        <v>29.75</v>
      </c>
      <c r="E5" s="27">
        <f>SUMIFS(FF!E:E,FF!B:B,A5,FF!C:C,$B$1,FF!F:F,"FF")</f>
        <v>30</v>
      </c>
      <c r="F5" s="27">
        <f>SUMIFS(Extra!H:H,Extra!B:B,A5,Extra!C:C,$B$1,Extra!I:I,"Money Box")</f>
        <v>28</v>
      </c>
      <c r="G5" s="27">
        <f>SUMIFS(Dados!N:N,Dados!F:F,A5,Dados!G:G,$B$1,Dados!D:D,"Money Box")</f>
        <v>516</v>
      </c>
      <c r="H5" s="28">
        <f t="shared" si="1"/>
        <v>196.26</v>
      </c>
      <c r="I5" s="27"/>
      <c r="J5" s="28">
        <f t="shared" si="2"/>
        <v>196.26</v>
      </c>
    </row>
    <row r="6">
      <c r="A6" s="27">
        <v>4.0</v>
      </c>
      <c r="B6" s="28">
        <f t="shared" si="3"/>
        <v>196.26</v>
      </c>
      <c r="C6" s="27">
        <f>SUMIFS(CloudBed!P:P,CloudBed!U:U,"Money Box",CloudBed!R:R,A6,CloudBed!S:S,$B$1)</f>
        <v>22</v>
      </c>
      <c r="D6" s="27">
        <f>SUMIFS(CloudBed!V:V,CloudBed!AA:AA,"Money Box",CloudBed!X:X,A6,CloudBed!Y:Y,$B$1)</f>
        <v>412.25</v>
      </c>
      <c r="E6" s="27">
        <f>SUMIFS(FF!E:E,FF!B:B,A6,FF!C:C,$B$1,FF!F:F,"FF")</f>
        <v>80</v>
      </c>
      <c r="F6" s="27">
        <f>SUMIFS(Extra!H:H,Extra!B:B,A6,Extra!C:C,$B$1,Extra!I:I,"Money Box")</f>
        <v>30</v>
      </c>
      <c r="G6" s="27">
        <f>SUMIFS(Dados!N:N,Dados!F:F,A6,Dados!G:G,$B$1,Dados!D:D,"Money Box")</f>
        <v>633.34</v>
      </c>
      <c r="H6" s="28">
        <f t="shared" si="1"/>
        <v>107.17</v>
      </c>
      <c r="I6" s="27"/>
      <c r="J6" s="28">
        <f t="shared" si="2"/>
        <v>107.17</v>
      </c>
    </row>
    <row r="7">
      <c r="A7" s="27">
        <v>5.0</v>
      </c>
      <c r="B7" s="28">
        <f t="shared" si="3"/>
        <v>107.17</v>
      </c>
      <c r="C7" s="27">
        <f>SUMIFS(CloudBed!P:P,CloudBed!U:U,"Money Box",CloudBed!R:R,A7,CloudBed!S:S,$B$1)</f>
        <v>18</v>
      </c>
      <c r="D7" s="27">
        <f>SUMIFS(CloudBed!V:V,CloudBed!AA:AA,"Money Box",CloudBed!X:X,A7,CloudBed!Y:Y,$B$1)</f>
        <v>318.75</v>
      </c>
      <c r="E7" s="27">
        <f>SUMIFS(FF!E:E,FF!B:B,A7,FF!C:C,$B$1,FF!F:F,"FF")</f>
        <v>375</v>
      </c>
      <c r="F7" s="27">
        <f>SUMIFS(Extra!H:H,Extra!B:B,A7,Extra!C:C,$B$1,Extra!I:I,"Money Box")</f>
        <v>49</v>
      </c>
      <c r="G7" s="27">
        <f>SUMIFS(Dados!N:N,Dados!F:F,A7,Dados!G:G,$B$1,Dados!D:D,"Money Box")</f>
        <v>500</v>
      </c>
      <c r="H7" s="28">
        <f t="shared" si="1"/>
        <v>367.92</v>
      </c>
      <c r="J7" s="28">
        <f t="shared" si="2"/>
        <v>367.92</v>
      </c>
    </row>
    <row r="8">
      <c r="A8" s="27">
        <v>6.0</v>
      </c>
      <c r="B8" s="28">
        <f t="shared" si="3"/>
        <v>367.92</v>
      </c>
      <c r="C8" s="27">
        <f>SUMIFS(CloudBed!P:P,CloudBed!U:U,"Money Box",CloudBed!R:R,A8,CloudBed!S:S,$B$1)</f>
        <v>10</v>
      </c>
      <c r="D8" s="27">
        <f>SUMIFS(CloudBed!V:V,CloudBed!AA:AA,"Money Box",CloudBed!X:X,A8,CloudBed!Y:Y,$B$1)</f>
        <v>148.75</v>
      </c>
      <c r="E8" s="27">
        <f>SUMIFS(FF!E:E,FF!B:B,A8,FF!C:C,$B$1,FF!F:F,"FF")</f>
        <v>135</v>
      </c>
      <c r="F8" s="27">
        <f>SUMIFS(Extra!H:H,Extra!B:B,A8,Extra!C:C,$B$1,Extra!I:I,"Money Box")</f>
        <v>30</v>
      </c>
      <c r="G8" s="27">
        <f>SUMIFS(Dados!N:N,Dados!F:F,A8,Dados!G:G,$B$1,Dados!D:D,"Money Box")</f>
        <v>445</v>
      </c>
      <c r="H8" s="28">
        <f t="shared" si="1"/>
        <v>246.67</v>
      </c>
      <c r="J8" s="28">
        <f t="shared" si="2"/>
        <v>246.67</v>
      </c>
    </row>
    <row r="9">
      <c r="A9" s="27">
        <v>7.0</v>
      </c>
      <c r="B9" s="28">
        <f t="shared" si="3"/>
        <v>246.67</v>
      </c>
      <c r="C9" s="27">
        <f>SUMIFS(CloudBed!P:P,CloudBed!U:U,"Money Box",CloudBed!R:R,A9,CloudBed!S:S,$B$1)</f>
        <v>2</v>
      </c>
      <c r="D9" s="27">
        <f>SUMIFS(CloudBed!V:V,CloudBed!AA:AA,"Money Box",CloudBed!X:X,A9,CloudBed!Y:Y,$B$1)</f>
        <v>29.75</v>
      </c>
      <c r="E9" s="27">
        <f>SUMIFS(FF!E:E,FF!B:B,A9,FF!C:C,$B$1,FF!F:F,"FF")</f>
        <v>45</v>
      </c>
      <c r="F9" s="27">
        <f>SUMIFS(Extra!H:H,Extra!B:B,A9,Extra!C:C,$B$1,Extra!I:I,"Money Box")</f>
        <v>78</v>
      </c>
      <c r="G9" s="27">
        <f>SUMIFS(Dados!N:N,Dados!F:F,A9,Dados!G:G,$B$1,Dados!D:D,"Money Box")</f>
        <v>0</v>
      </c>
      <c r="H9" s="28">
        <f t="shared" si="1"/>
        <v>401.42</v>
      </c>
      <c r="J9" s="28">
        <f t="shared" si="2"/>
        <v>401.42</v>
      </c>
    </row>
    <row r="10">
      <c r="A10" s="27">
        <v>8.0</v>
      </c>
      <c r="B10" s="28">
        <f t="shared" si="3"/>
        <v>401.42</v>
      </c>
      <c r="C10" s="27">
        <f>SUMIFS(CloudBed!P:P,CloudBed!U:U,"Money Box",CloudBed!R:R,A10,CloudBed!S:S,$B$1)</f>
        <v>8</v>
      </c>
      <c r="D10" s="27">
        <f>SUMIFS(CloudBed!V:V,CloudBed!AA:AA,"Money Box",CloudBed!X:X,A10,CloudBed!Y:Y,$B$1)</f>
        <v>119</v>
      </c>
      <c r="E10" s="27">
        <f>SUMIFS(FF!E:E,FF!B:B,A10,FF!C:C,$B$1,FF!F:F,"FF")</f>
        <v>35</v>
      </c>
      <c r="F10" s="27">
        <f>SUMIFS(Extra!H:H,Extra!B:B,A10,Extra!C:C,$B$1,Extra!I:I,"Money Box")</f>
        <v>44</v>
      </c>
      <c r="G10" s="27">
        <f>SUMIFS(Dados!N:N,Dados!F:F,A10,Dados!G:G,$B$1,Dados!D:D,"Money Box")</f>
        <v>175.39</v>
      </c>
      <c r="H10" s="28">
        <f t="shared" si="1"/>
        <v>432.03</v>
      </c>
      <c r="J10" s="28">
        <f t="shared" si="2"/>
        <v>432.03</v>
      </c>
    </row>
    <row r="11">
      <c r="A11" s="27">
        <v>9.0</v>
      </c>
      <c r="B11" s="28">
        <f t="shared" si="3"/>
        <v>432.03</v>
      </c>
      <c r="C11" s="27">
        <f>SUMIFS(CloudBed!P:P,CloudBed!U:U,"Money Box",CloudBed!R:R,A11,CloudBed!S:S,$B$1)</f>
        <v>14</v>
      </c>
      <c r="D11" s="27">
        <f>SUMIFS(CloudBed!V:V,CloudBed!AA:AA,"Money Box",CloudBed!X:X,A11,CloudBed!Y:Y,$B$1)</f>
        <v>267.75</v>
      </c>
      <c r="E11" s="27">
        <f>SUMIFS(FF!E:E,FF!B:B,A11,FF!C:C,$B$1,FF!F:F,"FF")</f>
        <v>105</v>
      </c>
      <c r="F11" s="27">
        <f>SUMIFS(Extra!H:H,Extra!B:B,A11,Extra!C:C,$B$1,Extra!I:I,"Money Box")</f>
        <v>30</v>
      </c>
      <c r="G11" s="27">
        <f>SUMIFS(Dados!N:N,Dados!F:F,A11,Dados!G:G,$B$1,Dados!D:D,"Money Box")</f>
        <v>500.86</v>
      </c>
      <c r="H11" s="28">
        <f t="shared" si="1"/>
        <v>347.92</v>
      </c>
      <c r="J11" s="28">
        <f t="shared" si="2"/>
        <v>347.92</v>
      </c>
    </row>
    <row r="12">
      <c r="A12" s="27">
        <v>10.0</v>
      </c>
      <c r="B12" s="28">
        <f t="shared" si="3"/>
        <v>347.92</v>
      </c>
      <c r="C12" s="27">
        <f>SUMIFS(CloudBed!P:P,CloudBed!U:U,"Money Box",CloudBed!R:R,A12,CloudBed!S:S,$B$1)</f>
        <v>26</v>
      </c>
      <c r="D12" s="27">
        <f>SUMIFS(CloudBed!V:V,CloudBed!AA:AA,"Money Box",CloudBed!X:X,A12,CloudBed!Y:Y,$B$1)</f>
        <v>505.75</v>
      </c>
      <c r="E12" s="27">
        <f>SUMIFS(FF!E:E,FF!B:B,A12,FF!C:C,$B$1,FF!F:F,"FF")</f>
        <v>0</v>
      </c>
      <c r="F12" s="27">
        <f>SUMIFS(Extra!H:H,Extra!B:B,A12,Extra!C:C,$B$1,Extra!I:I,"Money Box")</f>
        <v>28</v>
      </c>
      <c r="G12" s="27">
        <f>SUMIFS(Dados!N:N,Dados!F:F,A12,Dados!G:G,$B$1,Dados!D:D,"Money Box")</f>
        <v>500.24</v>
      </c>
      <c r="H12" s="28">
        <f t="shared" si="1"/>
        <v>407.43</v>
      </c>
      <c r="J12" s="28">
        <f t="shared" si="2"/>
        <v>407.43</v>
      </c>
    </row>
    <row r="13">
      <c r="A13" s="27">
        <v>11.0</v>
      </c>
      <c r="B13" s="28">
        <f t="shared" si="3"/>
        <v>407.43</v>
      </c>
      <c r="C13" s="27">
        <f>SUMIFS(CloudBed!P:P,CloudBed!U:U,"Money Box",CloudBed!R:R,A13,CloudBed!S:S,$B$1)</f>
        <v>12</v>
      </c>
      <c r="D13" s="27">
        <f>SUMIFS(CloudBed!V:V,CloudBed!AA:AA,"Money Box",CloudBed!X:X,A13,CloudBed!Y:Y,$B$1)</f>
        <v>289</v>
      </c>
      <c r="E13" s="27">
        <f>SUMIFS(FF!E:E,FF!B:B,A13,FF!C:C,$B$1,FF!F:F,"FF")</f>
        <v>0</v>
      </c>
      <c r="F13" s="27">
        <f>SUMIFS(Extra!H:H,Extra!B:B,A13,Extra!C:C,$B$1,Extra!I:I,"Money Box")</f>
        <v>12</v>
      </c>
      <c r="G13" s="27">
        <f>SUMIFS(Dados!N:N,Dados!F:F,A13,Dados!G:G,$B$1,Dados!D:D,"Money Box")</f>
        <v>53.1</v>
      </c>
      <c r="H13" s="28">
        <f t="shared" si="1"/>
        <v>667.33</v>
      </c>
      <c r="J13" s="28">
        <f t="shared" si="2"/>
        <v>667.33</v>
      </c>
    </row>
    <row r="14">
      <c r="A14" s="27">
        <v>12.0</v>
      </c>
      <c r="B14" s="28">
        <f t="shared" si="3"/>
        <v>667.33</v>
      </c>
      <c r="C14" s="27">
        <f>SUMIFS(CloudBed!P:P,CloudBed!U:U,"Money Box",CloudBed!R:R,A14,CloudBed!S:S,$B$1)</f>
        <v>4</v>
      </c>
      <c r="D14" s="27">
        <f>SUMIFS(CloudBed!V:V,CloudBed!AA:AA,"Money Box",CloudBed!X:X,A14,CloudBed!Y:Y,$B$1)</f>
        <v>87.69</v>
      </c>
      <c r="E14" s="27">
        <f>SUMIFS(FF!E:E,FF!B:B,A14,FF!C:C,$B$1,FF!F:F,"FF")</f>
        <v>0</v>
      </c>
      <c r="F14" s="27">
        <f>SUMIFS(Extra!H:H,Extra!B:B,A14,Extra!C:C,$B$1,Extra!I:I,"Money Box")</f>
        <v>21</v>
      </c>
      <c r="G14" s="27">
        <f>SUMIFS(Dados!N:N,Dados!F:F,A14,Dados!G:G,$B$1,Dados!D:D,"Money Box")</f>
        <v>60.79</v>
      </c>
      <c r="H14" s="28">
        <f t="shared" si="1"/>
        <v>719.23</v>
      </c>
      <c r="J14" s="28">
        <f t="shared" si="2"/>
        <v>719.23</v>
      </c>
    </row>
    <row r="15">
      <c r="A15" s="27">
        <v>13.0</v>
      </c>
      <c r="B15" s="28">
        <f t="shared" si="3"/>
        <v>719.23</v>
      </c>
      <c r="C15" s="27">
        <f>SUMIFS(CloudBed!P:P,CloudBed!U:U,"Money Box",CloudBed!R:R,A15,CloudBed!S:S,$B$1)</f>
        <v>2</v>
      </c>
      <c r="D15" s="27">
        <f>SUMIFS(CloudBed!V:V,CloudBed!AA:AA,"Money Box",CloudBed!X:X,A15,CloudBed!Y:Y,$B$1)</f>
        <v>38.25</v>
      </c>
      <c r="E15" s="27">
        <f>SUMIFS(FF!E:E,FF!B:B,A15,FF!C:C,$B$1,FF!F:F,"FF")</f>
        <v>100</v>
      </c>
      <c r="F15" s="27">
        <f>SUMIFS(Extra!H:H,Extra!B:B,A15,Extra!C:C,$B$1,Extra!I:I,"Money Box")</f>
        <v>27</v>
      </c>
      <c r="G15" s="27">
        <f>SUMIFS(Dados!N:N,Dados!F:F,A15,Dados!G:G,$B$1,Dados!D:D,"Money Box")</f>
        <v>310</v>
      </c>
      <c r="H15" s="28">
        <f t="shared" si="1"/>
        <v>576.48</v>
      </c>
      <c r="J15" s="28">
        <f t="shared" si="2"/>
        <v>576.48</v>
      </c>
    </row>
    <row r="16">
      <c r="A16" s="27">
        <v>14.0</v>
      </c>
      <c r="B16" s="28">
        <f t="shared" si="3"/>
        <v>576.48</v>
      </c>
      <c r="C16" s="27">
        <f>SUMIFS(CloudBed!P:P,CloudBed!U:U,"Money Box",CloudBed!R:R,A16,CloudBed!S:S,$B$1)</f>
        <v>20</v>
      </c>
      <c r="D16" s="27">
        <f>SUMIFS(CloudBed!V:V,CloudBed!AA:AA,"Money Box",CloudBed!X:X,A16,CloudBed!Y:Y,$B$1)</f>
        <v>297.5</v>
      </c>
      <c r="E16" s="27">
        <f>SUMIFS(FF!E:E,FF!B:B,A16,FF!C:C,$B$1,FF!F:F,"FF")</f>
        <v>0</v>
      </c>
      <c r="F16" s="27">
        <f>SUMIFS(Extra!H:H,Extra!B:B,A16,Extra!C:C,$B$1,Extra!I:I,"Money Box")</f>
        <v>2</v>
      </c>
      <c r="G16" s="27">
        <f>SUMIFS(Dados!N:N,Dados!F:F,A16,Dados!G:G,$B$1,Dados!D:D,"Money Box")</f>
        <v>503.72</v>
      </c>
      <c r="H16" s="28">
        <f t="shared" si="1"/>
        <v>392.26</v>
      </c>
      <c r="J16" s="28">
        <f t="shared" si="2"/>
        <v>392.26</v>
      </c>
    </row>
    <row r="17">
      <c r="A17" s="27">
        <v>15.0</v>
      </c>
      <c r="B17" s="28">
        <f t="shared" si="3"/>
        <v>392.26</v>
      </c>
      <c r="C17" s="27">
        <f>SUMIFS(CloudBed!P:P,CloudBed!U:U,"Money Box",CloudBed!R:R,A17,CloudBed!S:S,$B$1)</f>
        <v>8</v>
      </c>
      <c r="D17" s="27">
        <f>SUMIFS(CloudBed!V:V,CloudBed!AA:AA,"Money Box",CloudBed!X:X,A17,CloudBed!Y:Y,$B$1)</f>
        <v>127.5</v>
      </c>
      <c r="E17" s="27">
        <f>SUMIFS(FF!E:E,FF!B:B,A17,FF!C:C,$B$1,FF!F:F,"FF")</f>
        <v>35</v>
      </c>
      <c r="F17" s="27">
        <f>SUMIFS(Extra!H:H,Extra!B:B,A17,Extra!C:C,$B$1,Extra!I:I,"Money Box")</f>
        <v>26</v>
      </c>
      <c r="G17" s="27">
        <f>SUMIFS(Dados!N:N,Dados!F:F,A17,Dados!G:G,$B$1,Dados!D:D,"Money Box")</f>
        <v>0</v>
      </c>
      <c r="H17" s="28">
        <f t="shared" si="1"/>
        <v>588.76</v>
      </c>
      <c r="J17" s="28">
        <f t="shared" si="2"/>
        <v>588.76</v>
      </c>
    </row>
    <row r="18">
      <c r="A18" s="27">
        <v>16.0</v>
      </c>
      <c r="B18" s="28">
        <f t="shared" si="3"/>
        <v>588.76</v>
      </c>
      <c r="C18" s="27">
        <f>SUMIFS(CloudBed!P:P,CloudBed!U:U,"Money Box",CloudBed!R:R,A18,CloudBed!S:S,$B$1)</f>
        <v>10</v>
      </c>
      <c r="D18" s="27">
        <f>SUMIFS(CloudBed!V:V,CloudBed!AA:AA,"Money Box",CloudBed!X:X,A18,CloudBed!Y:Y,$B$1)</f>
        <v>171.7</v>
      </c>
      <c r="E18" s="27">
        <f>SUMIFS(FF!E:E,FF!B:B,A18,FF!C:C,$B$1,FF!F:F,"FF")</f>
        <v>0</v>
      </c>
      <c r="F18" s="27">
        <f>SUMIFS(Extra!H:H,Extra!B:B,A18,Extra!C:C,$B$1,Extra!I:I,"Money Box")</f>
        <v>12</v>
      </c>
      <c r="G18" s="27">
        <f>SUMIFS(Dados!N:N,Dados!F:F,A18,Dados!G:G,$B$1,Dados!D:D,"Money Box")</f>
        <v>500</v>
      </c>
      <c r="H18" s="28">
        <f t="shared" si="1"/>
        <v>282.46</v>
      </c>
      <c r="J18" s="28">
        <f t="shared" si="2"/>
        <v>282.46</v>
      </c>
    </row>
    <row r="19">
      <c r="A19" s="27">
        <v>17.0</v>
      </c>
      <c r="B19" s="28">
        <f t="shared" si="3"/>
        <v>282.46</v>
      </c>
      <c r="C19" s="27">
        <f>SUMIFS(CloudBed!P:P,CloudBed!U:U,"Money Box",CloudBed!R:R,A19,CloudBed!S:S,$B$1)</f>
        <v>8</v>
      </c>
      <c r="D19" s="27">
        <f>SUMIFS(CloudBed!V:V,CloudBed!AA:AA,"Money Box",CloudBed!X:X,A19,CloudBed!Y:Y,$B$1)</f>
        <v>119</v>
      </c>
      <c r="E19" s="27">
        <f>SUMIFS(FF!E:E,FF!B:B,A19,FF!C:C,$B$1,FF!F:F,"FF")</f>
        <v>70</v>
      </c>
      <c r="F19" s="27">
        <f>SUMIFS(Extra!H:H,Extra!B:B,A19,Extra!C:C,$B$1,Extra!I:I,"Money Box")</f>
        <v>34</v>
      </c>
      <c r="G19" s="27">
        <f>SUMIFS(Dados!N:N,Dados!F:F,A19,Dados!G:G,$B$1,Dados!D:D,"Money Box")</f>
        <v>44.97</v>
      </c>
      <c r="H19" s="28">
        <f t="shared" si="1"/>
        <v>468.49</v>
      </c>
      <c r="J19" s="28">
        <f t="shared" si="2"/>
        <v>468.49</v>
      </c>
    </row>
    <row r="20">
      <c r="A20" s="27">
        <v>18.0</v>
      </c>
      <c r="B20" s="28">
        <f t="shared" si="3"/>
        <v>468.49</v>
      </c>
      <c r="C20" s="27">
        <f>SUMIFS(CloudBed!P:P,CloudBed!U:U,"Money Box",CloudBed!R:R,A20,CloudBed!S:S,$B$1)</f>
        <v>4</v>
      </c>
      <c r="D20" s="27">
        <f>SUMIFS(CloudBed!V:V,CloudBed!AA:AA,"Money Box",CloudBed!X:X,A20,CloudBed!Y:Y,$B$1)</f>
        <v>67.15</v>
      </c>
      <c r="E20" s="27">
        <f>SUMIFS(FF!E:E,FF!B:B,A20,FF!C:C,$B$1,FF!F:F,"FF")</f>
        <v>95</v>
      </c>
      <c r="F20" s="27">
        <f>SUMIFS(Extra!H:H,Extra!B:B,A20,Extra!C:C,$B$1,Extra!I:I,"Money Box")</f>
        <v>32</v>
      </c>
      <c r="G20" s="27">
        <f>SUMIFS(Dados!N:N,Dados!F:F,A20,Dados!G:G,$B$1,Dados!D:D,"Money Box")</f>
        <v>504.47</v>
      </c>
      <c r="H20" s="28">
        <f t="shared" si="1"/>
        <v>162.17</v>
      </c>
      <c r="J20" s="28">
        <f t="shared" si="2"/>
        <v>162.17</v>
      </c>
    </row>
    <row r="21" ht="15.75" customHeight="1">
      <c r="A21" s="27">
        <v>19.0</v>
      </c>
      <c r="B21" s="28">
        <f t="shared" si="3"/>
        <v>162.17</v>
      </c>
      <c r="C21" s="27">
        <f>SUMIFS(CloudBed!P:P,CloudBed!U:U,"Money Box",CloudBed!R:R,A21,CloudBed!S:S,$B$1)</f>
        <v>18</v>
      </c>
      <c r="D21" s="27">
        <f>SUMIFS(CloudBed!V:V,CloudBed!AA:AA,"Money Box",CloudBed!X:X,A21,CloudBed!Y:Y,$B$1)</f>
        <v>284.75</v>
      </c>
      <c r="E21" s="27">
        <f>SUMIFS(FF!E:E,FF!B:B,A21,FF!C:C,$B$1,FF!F:F,"FF")</f>
        <v>54</v>
      </c>
      <c r="F21" s="27">
        <f>SUMIFS(Extra!H:H,Extra!B:B,A21,Extra!C:C,$B$1,Extra!I:I,"Money Box")</f>
        <v>9</v>
      </c>
      <c r="G21" s="27">
        <f>SUMIFS(Dados!N:N,Dados!F:F,A21,Dados!G:G,$B$1,Dados!D:D,"Money Box")</f>
        <v>500</v>
      </c>
      <c r="H21" s="28">
        <f t="shared" si="1"/>
        <v>27.92</v>
      </c>
      <c r="J21" s="28">
        <f t="shared" si="2"/>
        <v>27.92</v>
      </c>
    </row>
    <row r="22" ht="15.75" customHeight="1">
      <c r="A22" s="27">
        <v>20.0</v>
      </c>
      <c r="B22" s="28">
        <f t="shared" si="3"/>
        <v>27.92</v>
      </c>
      <c r="C22" s="27">
        <f>SUMIFS(CloudBed!P:P,CloudBed!U:U,"Money Box",CloudBed!R:R,A22,CloudBed!S:S,$B$1)</f>
        <v>24</v>
      </c>
      <c r="D22" s="27">
        <f>SUMIFS(CloudBed!V:V,CloudBed!AA:AA,"Money Box",CloudBed!X:X,A22,CloudBed!Y:Y,$B$1)</f>
        <v>420.75</v>
      </c>
      <c r="E22" s="27">
        <f>SUMIFS(FF!E:E,FF!B:B,A22,FF!C:C,$B$1,FF!F:F,"FF")</f>
        <v>64</v>
      </c>
      <c r="F22" s="27">
        <f>SUMIFS(Extra!H:H,Extra!B:B,A22,Extra!C:C,$B$1,Extra!I:I,"Money Box")</f>
        <v>16</v>
      </c>
      <c r="G22" s="27">
        <f>SUMIFS(Dados!N:N,Dados!F:F,A22,Dados!G:G,$B$1,Dados!D:D,"Money Box")</f>
        <v>2</v>
      </c>
      <c r="H22" s="28">
        <f t="shared" si="1"/>
        <v>550.67</v>
      </c>
      <c r="J22" s="28">
        <f t="shared" si="2"/>
        <v>550.67</v>
      </c>
    </row>
    <row r="23" ht="15.75" customHeight="1">
      <c r="A23" s="27">
        <v>21.0</v>
      </c>
      <c r="B23" s="28">
        <f t="shared" si="3"/>
        <v>550.67</v>
      </c>
      <c r="C23" s="27">
        <f>SUMIFS(CloudBed!P:P,CloudBed!U:U,"Money Box",CloudBed!R:R,A23,CloudBed!S:S,$B$1)</f>
        <v>10</v>
      </c>
      <c r="D23" s="27">
        <f>SUMIFS(CloudBed!V:V,CloudBed!AA:AA,"Money Box",CloudBed!X:X,A23,CloudBed!Y:Y,$B$1)</f>
        <v>156.4</v>
      </c>
      <c r="E23" s="27">
        <f>SUMIFS(FF!E:E,FF!B:B,A23,FF!C:C,$B$1,FF!F:F,"FF")</f>
        <v>0</v>
      </c>
      <c r="F23" s="27">
        <f>SUMIFS(Extra!H:H,Extra!B:B,A23,Extra!C:C,$B$1,Extra!I:I,"Money Box")</f>
        <v>14</v>
      </c>
      <c r="G23" s="27">
        <f>SUMIFS(Dados!N:N,Dados!F:F,A23,Dados!G:G,$B$1,Dados!D:D,"Money Box")</f>
        <v>501.39</v>
      </c>
      <c r="H23" s="28">
        <f t="shared" si="1"/>
        <v>229.68</v>
      </c>
      <c r="J23" s="28">
        <f t="shared" si="2"/>
        <v>229.68</v>
      </c>
    </row>
    <row r="24" ht="15.75" customHeight="1">
      <c r="A24" s="27">
        <v>22.0</v>
      </c>
      <c r="B24" s="28">
        <f t="shared" si="3"/>
        <v>229.68</v>
      </c>
      <c r="C24" s="27">
        <f>SUMIFS(CloudBed!P:P,CloudBed!U:U,"Money Box",CloudBed!R:R,A24,CloudBed!S:S,$B$1)</f>
        <v>12</v>
      </c>
      <c r="D24" s="27">
        <f>SUMIFS(CloudBed!V:V,CloudBed!AA:AA,"Money Box",CloudBed!X:X,A24,CloudBed!Y:Y,$B$1)</f>
        <v>173.4</v>
      </c>
      <c r="E24" s="27">
        <f>SUMIFS(FF!E:E,FF!B:B,A24,FF!C:C,$B$1,FF!F:F,"FF")</f>
        <v>282</v>
      </c>
      <c r="F24" s="27">
        <f>SUMIFS(Extra!H:H,Extra!B:B,A24,Extra!C:C,$B$1,Extra!I:I,"Money Box")</f>
        <v>14</v>
      </c>
      <c r="G24" s="27">
        <f>SUMIFS(Dados!N:N,Dados!F:F,A24,Dados!G:G,$B$1,Dados!D:D,"Money Box")</f>
        <v>2.4</v>
      </c>
      <c r="H24" s="28">
        <f t="shared" si="1"/>
        <v>708.68</v>
      </c>
      <c r="J24" s="28">
        <f t="shared" si="2"/>
        <v>708.68</v>
      </c>
    </row>
    <row r="25" ht="15.75" customHeight="1">
      <c r="A25" s="27">
        <v>23.0</v>
      </c>
      <c r="B25" s="28">
        <f t="shared" si="3"/>
        <v>708.68</v>
      </c>
      <c r="C25" s="27">
        <f>SUMIFS(CloudBed!P:P,CloudBed!U:U,"Money Box",CloudBed!R:R,A25,CloudBed!S:S,$B$1)</f>
        <v>10</v>
      </c>
      <c r="D25" s="27">
        <f>SUMIFS(CloudBed!V:V,CloudBed!AA:AA,"Money Box",CloudBed!X:X,A25,CloudBed!Y:Y,$B$1)</f>
        <v>154.7</v>
      </c>
      <c r="E25" s="27">
        <f>SUMIFS(FF!E:E,FF!B:B,A25,FF!C:C,$B$1,FF!F:F,"FF")</f>
        <v>35</v>
      </c>
      <c r="F25" s="27">
        <f>SUMIFS(Extra!H:H,Extra!B:B,A25,Extra!C:C,$B$1,Extra!I:I,"Money Box")</f>
        <v>16</v>
      </c>
      <c r="G25" s="27">
        <f>SUMIFS(Dados!N:N,Dados!F:F,A25,Dados!G:G,$B$1,Dados!D:D,"Money Box")</f>
        <v>641.7</v>
      </c>
      <c r="H25" s="28">
        <f t="shared" si="1"/>
        <v>282.68</v>
      </c>
      <c r="J25" s="28">
        <f t="shared" si="2"/>
        <v>282.68</v>
      </c>
    </row>
    <row r="26" ht="15.75" customHeight="1">
      <c r="A26" s="27">
        <v>24.0</v>
      </c>
      <c r="B26" s="28">
        <f t="shared" si="3"/>
        <v>282.68</v>
      </c>
      <c r="C26" s="27">
        <f>SUMIFS(CloudBed!P:P,CloudBed!U:U,"Money Box",CloudBed!R:R,A26,CloudBed!S:S,$B$1)</f>
        <v>12</v>
      </c>
      <c r="D26" s="27">
        <f>SUMIFS(CloudBed!V:V,CloudBed!AA:AA,"Money Box",CloudBed!X:X,A26,CloudBed!Y:Y,$B$1)</f>
        <v>308</v>
      </c>
      <c r="E26" s="27">
        <f>SUMIFS(FF!E:E,FF!B:B,A26,FF!C:C,$B$1,FF!F:F,"FF")</f>
        <v>45</v>
      </c>
      <c r="F26" s="27">
        <f>SUMIFS(Extra!H:H,Extra!B:B,A26,Extra!C:C,$B$1,Extra!I:I,"Money Box")</f>
        <v>8</v>
      </c>
      <c r="G26" s="27">
        <f>SUMIFS(Dados!N:N,Dados!F:F,A26,Dados!G:G,$B$1,Dados!D:D,"Money Box")</f>
        <v>580</v>
      </c>
      <c r="H26" s="28">
        <f t="shared" si="1"/>
        <v>75.68</v>
      </c>
      <c r="J26" s="28">
        <f t="shared" si="2"/>
        <v>75.68</v>
      </c>
    </row>
    <row r="27" ht="15.75" customHeight="1">
      <c r="A27" s="27">
        <v>25.0</v>
      </c>
      <c r="B27" s="28">
        <f t="shared" si="3"/>
        <v>75.68</v>
      </c>
      <c r="C27" s="27">
        <f>SUMIFS(CloudBed!P:P,CloudBed!U:U,"Money Box",CloudBed!R:R,A27,CloudBed!S:S,$B$1)</f>
        <v>18</v>
      </c>
      <c r="D27" s="27">
        <f>SUMIFS(CloudBed!V:V,CloudBed!AA:AA,"Money Box",CloudBed!X:X,A27,CloudBed!Y:Y,$B$1)</f>
        <v>290.7</v>
      </c>
      <c r="E27" s="27">
        <f>SUMIFS(FF!E:E,FF!B:B,A27,FF!C:C,$B$1,FF!F:F,"FF")</f>
        <v>165</v>
      </c>
      <c r="F27" s="27">
        <f>SUMIFS(Extra!H:H,Extra!B:B,A27,Extra!C:C,$B$1,Extra!I:I,"Money Box")</f>
        <v>26</v>
      </c>
      <c r="G27" s="27">
        <f>SUMIFS(Dados!N:N,Dados!F:F,A27,Dados!G:G,$B$1,Dados!D:D,"Money Box")</f>
        <v>0.66</v>
      </c>
      <c r="H27" s="28">
        <f t="shared" si="1"/>
        <v>574.72</v>
      </c>
      <c r="J27" s="28">
        <f t="shared" si="2"/>
        <v>574.72</v>
      </c>
    </row>
    <row r="28" ht="15.75" customHeight="1">
      <c r="A28" s="27">
        <v>26.0</v>
      </c>
      <c r="B28" s="28">
        <f t="shared" si="3"/>
        <v>574.72</v>
      </c>
      <c r="C28" s="27">
        <f>SUMIFS(CloudBed!P:P,CloudBed!U:U,"Money Box",CloudBed!R:R,A28,CloudBed!S:S,$B$1)</f>
        <v>10</v>
      </c>
      <c r="D28" s="27">
        <f>SUMIFS(CloudBed!V:V,CloudBed!AA:AA,"Money Box",CloudBed!X:X,A28,CloudBed!Y:Y,$B$1)</f>
        <v>172.55</v>
      </c>
      <c r="E28" s="27">
        <f>SUMIFS(FF!E:E,FF!B:B,A28,FF!C:C,$B$1,FF!F:F,"FF")</f>
        <v>80</v>
      </c>
      <c r="F28" s="27">
        <f>SUMIFS(Extra!H:H,Extra!B:B,A28,Extra!C:C,$B$1,Extra!I:I,"Money Box")</f>
        <v>20</v>
      </c>
      <c r="G28" s="27">
        <f>SUMIFS(Dados!N:N,Dados!F:F,A28,Dados!G:G,$B$1,Dados!D:D,"Money Box")</f>
        <v>0</v>
      </c>
      <c r="H28" s="28">
        <f t="shared" si="1"/>
        <v>857.27</v>
      </c>
      <c r="J28" s="28">
        <f t="shared" si="2"/>
        <v>857.27</v>
      </c>
    </row>
    <row r="29" ht="15.75" customHeight="1">
      <c r="A29" s="27">
        <v>27.0</v>
      </c>
      <c r="B29" s="28">
        <f t="shared" si="3"/>
        <v>857.27</v>
      </c>
      <c r="C29" s="27">
        <f>SUMIFS(CloudBed!P:P,CloudBed!U:U,"Money Box",CloudBed!R:R,A29,CloudBed!S:S,$B$1)</f>
        <v>4</v>
      </c>
      <c r="D29" s="27">
        <f>SUMIFS(CloudBed!V:V,CloudBed!AA:AA,"Money Box",CloudBed!X:X,A29,CloudBed!Y:Y,$B$1)</f>
        <v>68</v>
      </c>
      <c r="E29" s="27">
        <f>SUMIFS(FF!E:E,FF!B:B,A29,FF!C:C,$B$1,FF!F:F,"FF")</f>
        <v>28</v>
      </c>
      <c r="F29" s="27">
        <f>SUMIFS(Extra!H:H,Extra!B:B,A29,Extra!C:C,$B$1,Extra!I:I,"Money Box")</f>
        <v>36</v>
      </c>
      <c r="G29" s="27">
        <f>SUMIFS(Dados!N:N,Dados!F:F,A29,Dados!G:G,$B$1,Dados!D:D,"Money Box")</f>
        <v>810</v>
      </c>
      <c r="H29" s="28">
        <f t="shared" si="1"/>
        <v>183.27</v>
      </c>
      <c r="J29" s="28">
        <f t="shared" si="2"/>
        <v>183.27</v>
      </c>
    </row>
    <row r="30" ht="15.75" customHeight="1">
      <c r="A30" s="27">
        <v>28.0</v>
      </c>
      <c r="B30" s="28">
        <f t="shared" si="3"/>
        <v>183.27</v>
      </c>
      <c r="C30" s="27">
        <f>SUMIFS(CloudBed!P:P,CloudBed!U:U,"Money Box",CloudBed!R:R,A30,CloudBed!S:S,$B$1)</f>
        <v>6</v>
      </c>
      <c r="D30" s="27">
        <f>SUMIFS(CloudBed!V:V,CloudBed!AA:AA,"Money Box",CloudBed!X:X,A30,CloudBed!Y:Y,$B$1)</f>
        <v>89.25</v>
      </c>
      <c r="E30" s="27">
        <f>SUMIFS(FF!E:E,FF!B:B,A30,FF!C:C,$B$1,FF!F:F,"FF")</f>
        <v>99.99</v>
      </c>
      <c r="F30" s="27">
        <f>SUMIFS(Extra!H:H,Extra!B:B,A30,Extra!C:C,$B$1,Extra!I:I,"Money Box")</f>
        <v>12.5</v>
      </c>
      <c r="G30" s="27">
        <f>SUMIFS(Dados!N:N,Dados!F:F,A30,Dados!G:G,$B$1,Dados!D:D,"Money Box")</f>
        <v>16.65</v>
      </c>
      <c r="H30" s="28">
        <f t="shared" si="1"/>
        <v>374.36</v>
      </c>
      <c r="J30" s="28">
        <f t="shared" si="2"/>
        <v>374.36</v>
      </c>
    </row>
    <row r="31" ht="15.75" customHeight="1">
      <c r="A31" s="27">
        <v>29.0</v>
      </c>
      <c r="B31" s="28">
        <f t="shared" si="3"/>
        <v>374.36</v>
      </c>
      <c r="C31" s="27">
        <f>SUMIFS(CloudBed!P:P,CloudBed!U:U,"Money Box",CloudBed!R:R,A31,CloudBed!S:S,$B$1)</f>
        <v>8</v>
      </c>
      <c r="D31" s="27">
        <f>SUMIFS(CloudBed!V:V,CloudBed!AA:AA,"Money Box",CloudBed!X:X,A31,CloudBed!Y:Y,$B$1)</f>
        <v>119</v>
      </c>
      <c r="E31" s="27">
        <f>SUMIFS(FF!E:E,FF!B:B,A31,FF!C:C,$B$1,FF!F:F,"FF")</f>
        <v>0</v>
      </c>
      <c r="F31" s="27">
        <f>SUMIFS(Extra!H:H,Extra!B:B,A31,Extra!C:C,$B$1,Extra!I:I,"Money Box")</f>
        <v>14</v>
      </c>
      <c r="G31" s="27">
        <f>SUMIFS(Dados!N:N,Dados!F:F,A31,Dados!G:G,$B$1,Dados!D:D,"Money Box")</f>
        <v>0</v>
      </c>
      <c r="H31" s="28">
        <f t="shared" si="1"/>
        <v>515.36</v>
      </c>
      <c r="I31" s="27"/>
      <c r="J31" s="28">
        <f t="shared" si="2"/>
        <v>515.36</v>
      </c>
    </row>
    <row r="32" ht="15.75" customHeight="1">
      <c r="A32" s="27">
        <v>30.0</v>
      </c>
      <c r="B32" s="28">
        <f t="shared" si="3"/>
        <v>515.36</v>
      </c>
      <c r="C32" s="27">
        <f>SUMIFS(CloudBed!P:P,CloudBed!U:U,"Money Box",CloudBed!R:R,A32,CloudBed!S:S,$B$1)</f>
        <v>8</v>
      </c>
      <c r="D32" s="27">
        <f>SUMIFS(CloudBed!V:V,CloudBed!AA:AA,"Money Box",CloudBed!X:X,A32,CloudBed!Y:Y,$B$1)</f>
        <v>96.9</v>
      </c>
      <c r="E32" s="27">
        <f>SUMIFS(FF!E:E,FF!B:B,A32,FF!C:C,$B$1,FF!F:F,"FF")</f>
        <v>35</v>
      </c>
      <c r="F32" s="27">
        <f>SUMIFS(Extra!H:H,Extra!B:B,A32,Extra!C:C,$B$1,Extra!I:I,"Money Box")</f>
        <v>334</v>
      </c>
      <c r="G32" s="27">
        <f>SUMIFS(Dados!N:N,Dados!F:F,A32,Dados!G:G,$B$1,Dados!D:D,"Money Box")</f>
        <v>521.2</v>
      </c>
      <c r="H32" s="28">
        <f t="shared" si="1"/>
        <v>468.06</v>
      </c>
      <c r="I32" s="131">
        <v>464.42</v>
      </c>
      <c r="J32" s="28">
        <f t="shared" si="2"/>
        <v>3.64</v>
      </c>
    </row>
    <row r="33" ht="15.75" customHeight="1">
      <c r="A33" s="27">
        <v>31.0</v>
      </c>
      <c r="B33" s="28">
        <f t="shared" si="3"/>
        <v>468.06</v>
      </c>
      <c r="C33" s="27">
        <f>SUMIFS(CloudBed!P:P,CloudBed!U:U,"Money Box",CloudBed!R:R,A33,CloudBed!S:S,$B$1)</f>
        <v>0</v>
      </c>
      <c r="D33" s="27">
        <f>SUMIFS(CloudBed!V:V,CloudBed!AA:AA,"Money Box",CloudBed!X:X,A33,CloudBed!Y:Y,$B$1)</f>
        <v>0</v>
      </c>
      <c r="E33" s="27">
        <f>SUMIFS(FF!E:E,FF!B:B,A33,FF!C:C,$B$1,FF!F:F,"FF")</f>
        <v>0</v>
      </c>
      <c r="F33" s="27">
        <f>SUMIFS(Extra!H:H,Extra!B:B,A33,Extra!C:C,$B$1,Extra!I:I,"Money Box")</f>
        <v>0</v>
      </c>
      <c r="G33" s="27">
        <f>SUMIFS(Dados!N:N,Dados!F:F,A33,Dados!G:G,$B$1,Dados!D:D,"Money Box")</f>
        <v>0</v>
      </c>
      <c r="H33" s="28">
        <f t="shared" si="1"/>
        <v>468.06</v>
      </c>
      <c r="I33" s="27"/>
      <c r="J33" s="28">
        <f t="shared" si="2"/>
        <v>468.06</v>
      </c>
    </row>
    <row r="34" ht="15.75" customHeight="1">
      <c r="A34" s="27" t="s">
        <v>6</v>
      </c>
      <c r="B34" s="28">
        <f>B3</f>
        <v>436.67</v>
      </c>
      <c r="C34" s="27">
        <f t="shared" ref="C34:G34" si="4">SUM(C3:C33)</f>
        <v>310</v>
      </c>
      <c r="D34" s="27">
        <f t="shared" si="4"/>
        <v>5363.94</v>
      </c>
      <c r="E34" s="27">
        <f t="shared" si="4"/>
        <v>2062.99</v>
      </c>
      <c r="F34" s="27">
        <f t="shared" si="4"/>
        <v>1034.5</v>
      </c>
      <c r="G34" s="27">
        <f t="shared" si="4"/>
        <v>8740.04</v>
      </c>
      <c r="H34" s="28">
        <f t="shared" si="1"/>
        <v>468.06</v>
      </c>
      <c r="I34" s="130">
        <v>464.42</v>
      </c>
      <c r="J34" s="28">
        <f t="shared" si="2"/>
        <v>3.64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12.63"/>
    <col customWidth="1" min="3" max="3" width="7.13"/>
    <col customWidth="1" min="4" max="6" width="12.63"/>
  </cols>
  <sheetData>
    <row r="1">
      <c r="A1" s="27" t="s">
        <v>219</v>
      </c>
      <c r="B1" s="27">
        <v>8.0</v>
      </c>
      <c r="C1" s="27"/>
      <c r="D1" s="27"/>
      <c r="E1" s="27"/>
      <c r="F1" s="27"/>
      <c r="G1" s="27"/>
      <c r="H1" s="27"/>
    </row>
    <row r="2">
      <c r="A2" s="27" t="s">
        <v>223</v>
      </c>
      <c r="B2" s="27" t="s">
        <v>224</v>
      </c>
      <c r="C2" s="27" t="s">
        <v>225</v>
      </c>
      <c r="D2" s="27" t="s">
        <v>226</v>
      </c>
      <c r="E2" s="27" t="s">
        <v>87</v>
      </c>
      <c r="F2" s="27" t="s">
        <v>110</v>
      </c>
      <c r="G2" s="27" t="s">
        <v>227</v>
      </c>
      <c r="H2" s="27" t="s">
        <v>228</v>
      </c>
      <c r="I2" s="27" t="s">
        <v>229</v>
      </c>
      <c r="J2" s="27" t="s">
        <v>88</v>
      </c>
    </row>
    <row r="3">
      <c r="A3" s="27">
        <v>1.0</v>
      </c>
      <c r="B3" s="18">
        <f>'Monthly cash flow'!I25</f>
        <v>309.35</v>
      </c>
      <c r="C3" s="27">
        <f>SUMIFS(CloudBed!P:P,CloudBed!U:U,"Money Box",CloudBed!R:R,A3,CloudBed!S:S,$B$1)</f>
        <v>30</v>
      </c>
      <c r="D3" s="27">
        <f>SUMIFS(CloudBed!V:V,CloudBed!AA:AA,"Money Box",CloudBed!X:X,A3,CloudBed!Y:Y,$B$1)</f>
        <v>616.25</v>
      </c>
      <c r="E3" s="27">
        <f>SUMIFS(FF!E:E,FF!B:B,A3,FF!C:C,$B$1,FF!F:F,"FF")</f>
        <v>30</v>
      </c>
      <c r="F3" s="27">
        <f>sumifs(Extra!H:H,Extra!B:B,A3,Extra!C:C,$B$1,Extra!I:I,"Money Box")</f>
        <v>70</v>
      </c>
      <c r="G3" s="27">
        <f>SUMIFS(Dados!N:N,Dados!F:F,A3,Dados!G:G,$B$1,Dados!D:D,"Money Box")</f>
        <v>1020.93</v>
      </c>
      <c r="H3" s="28">
        <f t="shared" ref="H3:H34" si="1">B3+D3+C3+F3+E3-G3</f>
        <v>34.67</v>
      </c>
      <c r="I3" s="27">
        <v>129.62</v>
      </c>
      <c r="J3" s="28">
        <f t="shared" ref="J3:J34" si="2">H3-I3</f>
        <v>-94.95</v>
      </c>
    </row>
    <row r="4">
      <c r="A4" s="27">
        <v>2.0</v>
      </c>
      <c r="B4" s="28">
        <f t="shared" ref="B4:B33" si="3">H3</f>
        <v>34.67</v>
      </c>
      <c r="C4" s="27">
        <f>SUMIFS(CloudBed!P:P,CloudBed!U:U,"Money Box",CloudBed!R:R,A4,CloudBed!S:S,$B$1)</f>
        <v>10</v>
      </c>
      <c r="D4" s="27">
        <f>SUMIFS(CloudBed!V:V,CloudBed!AA:AA,"Money Box",CloudBed!X:X,A4,CloudBed!Y:Y,$B$1)</f>
        <v>199.75</v>
      </c>
      <c r="E4" s="27">
        <f>SUMIFS(FF!E:E,FF!B:B,A4,FF!C:C,$B$1,FF!F:F,"FF")</f>
        <v>150</v>
      </c>
      <c r="F4" s="27">
        <f>sumifs(Extra!H:H,Extra!B:B,A4,Extra!C:C,$B$1,Extra!I:I,"Money Box")</f>
        <v>30</v>
      </c>
      <c r="G4" s="27">
        <f>SUMIFS(Dados!N:N,Dados!F:F,A4,Dados!G:G,$B$1,Dados!D:D,"Money Box")</f>
        <v>0</v>
      </c>
      <c r="H4" s="28">
        <f t="shared" si="1"/>
        <v>424.42</v>
      </c>
      <c r="I4" s="27">
        <v>519.37</v>
      </c>
      <c r="J4" s="28">
        <f t="shared" si="2"/>
        <v>-94.95</v>
      </c>
    </row>
    <row r="5">
      <c r="A5" s="27">
        <v>3.0</v>
      </c>
      <c r="B5" s="28">
        <f t="shared" si="3"/>
        <v>424.42</v>
      </c>
      <c r="C5" s="27">
        <f>SUMIFS(CloudBed!P:P,CloudBed!U:U,"Money Box",CloudBed!R:R,A5,CloudBed!S:S,$B$1)</f>
        <v>4</v>
      </c>
      <c r="D5" s="27">
        <f>SUMIFS(CloudBed!V:V,CloudBed!AA:AA,"Money Box",CloudBed!X:X,A5,CloudBed!Y:Y,$B$1)</f>
        <v>85</v>
      </c>
      <c r="E5" s="27">
        <f>SUMIFS(FF!E:E,FF!B:B,A5,FF!C:C,$B$1,FF!F:F,"FF")</f>
        <v>30</v>
      </c>
      <c r="F5" s="27">
        <f>sumifs(Extra!H:H,Extra!B:B,A5,Extra!C:C,$B$1,Extra!I:I,"Money Box")</f>
        <v>16</v>
      </c>
      <c r="G5" s="27">
        <f>SUMIFS(Dados!N:N,Dados!F:F,A5,Dados!G:G,$B$1,Dados!D:D,"Money Box")</f>
        <v>500</v>
      </c>
      <c r="H5" s="28">
        <f t="shared" si="1"/>
        <v>59.42</v>
      </c>
      <c r="I5" s="27">
        <f>650.37-500</f>
        <v>150.37</v>
      </c>
      <c r="J5" s="28">
        <f t="shared" si="2"/>
        <v>-90.95</v>
      </c>
    </row>
    <row r="6">
      <c r="A6" s="27">
        <v>4.0</v>
      </c>
      <c r="B6" s="28">
        <f t="shared" si="3"/>
        <v>59.42</v>
      </c>
      <c r="C6" s="27">
        <f>SUMIFS(CloudBed!P:P,CloudBed!U:U,"Money Box",CloudBed!R:R,A6,CloudBed!S:S,$B$1)</f>
        <v>12</v>
      </c>
      <c r="D6" s="27">
        <f>SUMIFS(CloudBed!V:V,CloudBed!AA:AA,"Money Box",CloudBed!X:X,A6,CloudBed!Y:Y,$B$1)</f>
        <v>289</v>
      </c>
      <c r="E6" s="27">
        <f>SUMIFS(FF!E:E,FF!B:B,A6,FF!C:C,$B$1,FF!F:F,"FF")</f>
        <v>271</v>
      </c>
      <c r="F6" s="27">
        <f>sumifs(Extra!H:H,Extra!B:B,A6,Extra!C:C,$B$1,Extra!I:I,"Money Box")</f>
        <v>67</v>
      </c>
      <c r="G6" s="27">
        <f>SUMIFS(Dados!N:N,Dados!F:F,A6,Dados!G:G,$B$1,Dados!D:D,"Money Box")</f>
        <v>563.45</v>
      </c>
      <c r="H6" s="28">
        <f t="shared" si="1"/>
        <v>134.97</v>
      </c>
      <c r="I6" s="27">
        <v>231.37</v>
      </c>
      <c r="J6" s="28">
        <f t="shared" si="2"/>
        <v>-96.4</v>
      </c>
    </row>
    <row r="7">
      <c r="A7" s="27">
        <v>5.0</v>
      </c>
      <c r="B7" s="28">
        <f t="shared" si="3"/>
        <v>134.97</v>
      </c>
      <c r="C7" s="27">
        <f>SUMIFS(CloudBed!P:P,CloudBed!U:U,"Money Box",CloudBed!R:R,A7,CloudBed!S:S,$B$1)</f>
        <v>0</v>
      </c>
      <c r="D7" s="27">
        <f>SUMIFS(CloudBed!V:V,CloudBed!AA:AA,"Money Box",CloudBed!X:X,A7,CloudBed!Y:Y,$B$1)</f>
        <v>0</v>
      </c>
      <c r="E7" s="27">
        <f>SUMIFS(FF!E:E,FF!B:B,A7,FF!C:C,$B$1,FF!F:F,"FF")</f>
        <v>501</v>
      </c>
      <c r="F7" s="27">
        <f>sumifs(Extra!H:H,Extra!B:B,A7,Extra!C:C,$B$1,Extra!I:I,"Money Box")</f>
        <v>26</v>
      </c>
      <c r="G7" s="27">
        <f>SUMIFS(Dados!N:N,Dados!F:F,A7,Dados!G:G,$B$1,Dados!D:D,"Money Box")</f>
        <v>500</v>
      </c>
      <c r="H7" s="28">
        <f t="shared" si="1"/>
        <v>161.97</v>
      </c>
      <c r="J7" s="28">
        <f t="shared" si="2"/>
        <v>161.97</v>
      </c>
    </row>
    <row r="8">
      <c r="A8" s="27">
        <v>6.0</v>
      </c>
      <c r="B8" s="28">
        <f t="shared" si="3"/>
        <v>161.97</v>
      </c>
      <c r="C8" s="27">
        <f>SUMIFS(CloudBed!P:P,CloudBed!U:U,"Money Box",CloudBed!R:R,A8,CloudBed!S:S,$B$1)</f>
        <v>4</v>
      </c>
      <c r="D8" s="27">
        <f>SUMIFS(CloudBed!V:V,CloudBed!AA:AA,"Money Box",CloudBed!X:X,A8,CloudBed!Y:Y,$B$1)</f>
        <v>110.5</v>
      </c>
      <c r="E8" s="27">
        <f>SUMIFS(FF!E:E,FF!B:B,A8,FF!C:C,$B$1,FF!F:F,"FF")</f>
        <v>105</v>
      </c>
      <c r="F8" s="27">
        <f>sumifs(Extra!H:H,Extra!B:B,A8,Extra!C:C,$B$1,Extra!I:I,"Money Box")</f>
        <v>51</v>
      </c>
      <c r="G8" s="27">
        <f>SUMIFS(Dados!N:N,Dados!F:F,A8,Dados!G:G,$B$1,Dados!D:D,"Money Box")</f>
        <v>195.74</v>
      </c>
      <c r="H8" s="28">
        <f t="shared" si="1"/>
        <v>236.73</v>
      </c>
      <c r="I8" s="27">
        <v>339.23</v>
      </c>
      <c r="J8" s="28">
        <f t="shared" si="2"/>
        <v>-102.5</v>
      </c>
    </row>
    <row r="9">
      <c r="A9" s="27">
        <v>7.0</v>
      </c>
      <c r="B9" s="28">
        <f t="shared" si="3"/>
        <v>236.73</v>
      </c>
      <c r="C9" s="27">
        <f>SUMIFS(CloudBed!P:P,CloudBed!U:U,"Money Box",CloudBed!R:R,A9,CloudBed!S:S,$B$1)</f>
        <v>0</v>
      </c>
      <c r="D9" s="27">
        <f>SUMIFS(CloudBed!V:V,CloudBed!AA:AA,"Money Box",CloudBed!X:X,A9,CloudBed!Y:Y,$B$1)</f>
        <v>0</v>
      </c>
      <c r="E9" s="27">
        <f>SUMIFS(FF!E:E,FF!B:B,A9,FF!C:C,$B$1,FF!F:F,"FF")</f>
        <v>245</v>
      </c>
      <c r="F9" s="27">
        <f>sumifs(Extra!H:H,Extra!B:B,A9,Extra!C:C,$B$1,Extra!I:I,"Money Box")</f>
        <v>61</v>
      </c>
      <c r="G9" s="27">
        <f>SUMIFS(Dados!N:N,Dados!F:F,A9,Dados!G:G,$B$1,Dados!D:D,"Money Box")</f>
        <v>3.93</v>
      </c>
      <c r="H9" s="28">
        <f t="shared" si="1"/>
        <v>538.8</v>
      </c>
      <c r="I9" s="27">
        <v>396.3</v>
      </c>
      <c r="J9" s="28">
        <f t="shared" si="2"/>
        <v>142.5</v>
      </c>
    </row>
    <row r="10">
      <c r="A10" s="27">
        <v>8.0</v>
      </c>
      <c r="B10" s="28">
        <f t="shared" si="3"/>
        <v>538.8</v>
      </c>
      <c r="C10" s="27">
        <f>SUMIFS(CloudBed!P:P,CloudBed!U:U,"Money Box",CloudBed!R:R,A10,CloudBed!S:S,$B$1)</f>
        <v>0</v>
      </c>
      <c r="D10" s="27">
        <f>SUMIFS(CloudBed!V:V,CloudBed!AA:AA,"Money Box",CloudBed!X:X,A10,CloudBed!Y:Y,$B$1)</f>
        <v>0</v>
      </c>
      <c r="E10" s="27">
        <f>SUMIFS(FF!E:E,FF!B:B,A10,FF!C:C,$B$1,FF!F:F,"FF")</f>
        <v>280</v>
      </c>
      <c r="F10" s="27">
        <f>sumifs(Extra!H:H,Extra!B:B,A10,Extra!C:C,$B$1,Extra!I:I,"Money Box")</f>
        <v>32</v>
      </c>
      <c r="G10" s="27">
        <f>SUMIFS(Dados!N:N,Dados!F:F,A10,Dados!G:G,$B$1,Dados!D:D,"Money Box")</f>
        <v>0</v>
      </c>
      <c r="H10" s="28">
        <f t="shared" si="1"/>
        <v>850.8</v>
      </c>
      <c r="I10" s="27">
        <v>838.3</v>
      </c>
      <c r="J10" s="28">
        <f t="shared" si="2"/>
        <v>12.5</v>
      </c>
    </row>
    <row r="11">
      <c r="A11" s="27">
        <v>9.0</v>
      </c>
      <c r="B11" s="28">
        <f t="shared" si="3"/>
        <v>850.8</v>
      </c>
      <c r="C11" s="27">
        <f>SUMIFS(CloudBed!P:P,CloudBed!U:U,"Money Box",CloudBed!R:R,A11,CloudBed!S:S,$B$1)</f>
        <v>16</v>
      </c>
      <c r="D11" s="27">
        <f>SUMIFS(CloudBed!V:V,CloudBed!AA:AA,"Money Box",CloudBed!X:X,A11,CloudBed!Y:Y,$B$1)</f>
        <v>323</v>
      </c>
      <c r="E11" s="27">
        <f>SUMIFS(FF!E:E,FF!B:B,A11,FF!C:C,$B$1,FF!F:F,"FF")</f>
        <v>105</v>
      </c>
      <c r="F11" s="27">
        <f>sumifs(Extra!H:H,Extra!B:B,A11,Extra!C:C,$B$1,Extra!I:I,"Money Box")</f>
        <v>97</v>
      </c>
      <c r="G11" s="27">
        <f>SUMIFS(Dados!N:N,Dados!F:F,A11,Dados!G:G,$B$1,Dados!D:D,"Money Box")</f>
        <v>1060</v>
      </c>
      <c r="H11" s="28">
        <f t="shared" si="1"/>
        <v>331.8</v>
      </c>
      <c r="I11" s="27">
        <v>624.3</v>
      </c>
      <c r="J11" s="28">
        <f t="shared" si="2"/>
        <v>-292.5</v>
      </c>
    </row>
    <row r="12">
      <c r="A12" s="27">
        <v>10.0</v>
      </c>
      <c r="B12" s="28">
        <f t="shared" si="3"/>
        <v>331.8</v>
      </c>
      <c r="C12" s="27">
        <f>SUMIFS(CloudBed!P:P,CloudBed!U:U,"Money Box",CloudBed!R:R,A12,CloudBed!S:S,$B$1)</f>
        <v>20</v>
      </c>
      <c r="D12" s="27">
        <f>SUMIFS(CloudBed!V:V,CloudBed!AA:AA,"Money Box",CloudBed!X:X,A12,CloudBed!Y:Y,$B$1)</f>
        <v>408</v>
      </c>
      <c r="E12" s="27">
        <f>SUMIFS(FF!E:E,FF!B:B,A12,FF!C:C,$B$1,FF!F:F,"FF")</f>
        <v>0</v>
      </c>
      <c r="F12" s="27">
        <f>sumifs(Extra!H:H,Extra!B:B,A12,Extra!C:C,$B$1,Extra!I:I,"Money Box")</f>
        <v>69.5</v>
      </c>
      <c r="G12" s="27">
        <f>SUMIFS(Dados!N:N,Dados!F:F,A12,Dados!G:G,$B$1,Dados!D:D,"Money Box")</f>
        <v>1000</v>
      </c>
      <c r="H12" s="28">
        <f t="shared" si="1"/>
        <v>-170.7</v>
      </c>
      <c r="I12" s="27">
        <v>134.4</v>
      </c>
      <c r="J12" s="28">
        <f t="shared" si="2"/>
        <v>-305.1</v>
      </c>
    </row>
    <row r="13">
      <c r="A13" s="27">
        <v>11.0</v>
      </c>
      <c r="B13" s="28">
        <f t="shared" si="3"/>
        <v>-170.7</v>
      </c>
      <c r="C13" s="27">
        <f>SUMIFS(CloudBed!P:P,CloudBed!U:U,"Money Box",CloudBed!R:R,A13,CloudBed!S:S,$B$1)</f>
        <v>4</v>
      </c>
      <c r="D13" s="27">
        <f>SUMIFS(CloudBed!V:V,CloudBed!AA:AA,"Money Box",CloudBed!X:X,A13,CloudBed!Y:Y,$B$1)</f>
        <v>127.5</v>
      </c>
      <c r="E13" s="27">
        <f>SUMIFS(FF!E:E,FF!B:B,A13,FF!C:C,$B$1,FF!F:F,"FF")</f>
        <v>0</v>
      </c>
      <c r="F13" s="27">
        <f>sumifs(Extra!H:H,Extra!B:B,A13,Extra!C:C,$B$1,Extra!I:I,"Money Box")</f>
        <v>12</v>
      </c>
      <c r="G13" s="27">
        <f>SUMIFS(Dados!N:N,Dados!F:F,A13,Dados!G:G,$B$1,Dados!D:D,"Money Box")</f>
        <v>11.85</v>
      </c>
      <c r="H13" s="28">
        <f t="shared" si="1"/>
        <v>-39.05</v>
      </c>
      <c r="I13" s="27">
        <v>403.8</v>
      </c>
      <c r="J13" s="28">
        <f t="shared" si="2"/>
        <v>-442.85</v>
      </c>
    </row>
    <row r="14">
      <c r="A14" s="27">
        <v>12.0</v>
      </c>
      <c r="B14" s="28">
        <f t="shared" si="3"/>
        <v>-39.05</v>
      </c>
      <c r="C14" s="27">
        <f>SUMIFS(CloudBed!P:P,CloudBed!U:U,"Money Box",CloudBed!R:R,A14,CloudBed!S:S,$B$1)</f>
        <v>20</v>
      </c>
      <c r="D14" s="27">
        <f>SUMIFS(CloudBed!V:V,CloudBed!AA:AA,"Money Box",CloudBed!X:X,A14,CloudBed!Y:Y,$B$1)</f>
        <v>399.5</v>
      </c>
      <c r="E14" s="27">
        <f>SUMIFS(FF!E:E,FF!B:B,A14,FF!C:C,$B$1,FF!F:F,"FF")</f>
        <v>0</v>
      </c>
      <c r="F14" s="27">
        <f>sumifs(Extra!H:H,Extra!B:B,A14,Extra!C:C,$B$1,Extra!I:I,"Money Box")</f>
        <v>31</v>
      </c>
      <c r="G14" s="27">
        <f>SUMIFS(Dados!N:N,Dados!F:F,A14,Dados!G:G,$B$1,Dados!D:D,"Money Box")</f>
        <v>504.8</v>
      </c>
      <c r="H14" s="28">
        <f t="shared" si="1"/>
        <v>-93.35</v>
      </c>
      <c r="I14" s="27">
        <v>211.75</v>
      </c>
      <c r="J14" s="28">
        <f t="shared" si="2"/>
        <v>-305.1</v>
      </c>
    </row>
    <row r="15">
      <c r="A15" s="27">
        <v>13.0</v>
      </c>
      <c r="B15" s="28">
        <f t="shared" si="3"/>
        <v>-93.35</v>
      </c>
      <c r="C15" s="27">
        <f>SUMIFS(CloudBed!P:P,CloudBed!U:U,"Money Box",CloudBed!R:R,A15,CloudBed!S:S,$B$1)</f>
        <v>14</v>
      </c>
      <c r="D15" s="27">
        <f>SUMIFS(CloudBed!V:V,CloudBed!AA:AA,"Money Box",CloudBed!X:X,A15,CloudBed!Y:Y,$B$1)</f>
        <v>310.25</v>
      </c>
      <c r="E15" s="27">
        <f>SUMIFS(FF!E:E,FF!B:B,A15,FF!C:C,$B$1,FF!F:F,"FF")</f>
        <v>0</v>
      </c>
      <c r="F15" s="27">
        <f>sumifs(Extra!H:H,Extra!B:B,A15,Extra!C:C,$B$1,Extra!I:I,"Money Box")</f>
        <v>42</v>
      </c>
      <c r="G15" s="27">
        <f>SUMIFS(Dados!N:N,Dados!F:F,A15,Dados!G:G,$B$1,Dados!D:D,"Money Box")</f>
        <v>60</v>
      </c>
      <c r="H15" s="28">
        <f t="shared" si="1"/>
        <v>212.9</v>
      </c>
      <c r="I15" s="27">
        <v>518.0</v>
      </c>
      <c r="J15" s="28">
        <f t="shared" si="2"/>
        <v>-305.1</v>
      </c>
    </row>
    <row r="16">
      <c r="A16" s="27">
        <v>14.0</v>
      </c>
      <c r="B16" s="28">
        <f t="shared" si="3"/>
        <v>212.9</v>
      </c>
      <c r="C16" s="27">
        <f>SUMIFS(CloudBed!P:P,CloudBed!U:U,"Money Box",CloudBed!R:R,A16,CloudBed!S:S,$B$1)</f>
        <v>10</v>
      </c>
      <c r="D16" s="27">
        <f>SUMIFS(CloudBed!V:V,CloudBed!AA:AA,"Money Box",CloudBed!X:X,A16,CloudBed!Y:Y,$B$1)</f>
        <v>242.25</v>
      </c>
      <c r="E16" s="27">
        <f>SUMIFS(FF!E:E,FF!B:B,A16,FF!C:C,$B$1,FF!F:F,"FF")</f>
        <v>35</v>
      </c>
      <c r="F16" s="27">
        <f>sumifs(Extra!H:H,Extra!B:B,A16,Extra!C:C,$B$1,Extra!I:I,"Money Box")</f>
        <v>8</v>
      </c>
      <c r="G16" s="27">
        <f>SUMIFS(Dados!N:N,Dados!F:F,A16,Dados!G:G,$B$1,Dados!D:D,"Money Box")</f>
        <v>529.5</v>
      </c>
      <c r="H16" s="28">
        <f t="shared" si="1"/>
        <v>-21.35</v>
      </c>
      <c r="I16" s="27">
        <v>338.75</v>
      </c>
      <c r="J16" s="28">
        <f t="shared" si="2"/>
        <v>-360.1</v>
      </c>
    </row>
    <row r="17">
      <c r="A17" s="27">
        <v>15.0</v>
      </c>
      <c r="B17" s="28">
        <f t="shared" si="3"/>
        <v>-21.35</v>
      </c>
      <c r="C17" s="27">
        <f>SUMIFS(CloudBed!P:P,CloudBed!U:U,"Money Box",CloudBed!R:R,A17,CloudBed!S:S,$B$1)</f>
        <v>28</v>
      </c>
      <c r="D17" s="27">
        <f>SUMIFS(CloudBed!V:V,CloudBed!AA:AA,"Money Box",CloudBed!X:X,A17,CloudBed!Y:Y,$B$1)</f>
        <v>794.75</v>
      </c>
      <c r="E17" s="27">
        <f>SUMIFS(FF!E:E,FF!B:B,A17,FF!C:C,$B$1,FF!F:F,"FF")</f>
        <v>110</v>
      </c>
      <c r="F17" s="27">
        <f>sumifs(Extra!H:H,Extra!B:B,A17,Extra!C:C,$B$1,Extra!I:I,"Money Box")</f>
        <v>10</v>
      </c>
      <c r="G17" s="27">
        <f>SUMIFS(Dados!N:N,Dados!F:F,A17,Dados!G:G,$B$1,Dados!D:D,"Money Box")</f>
        <v>1001.24</v>
      </c>
      <c r="H17" s="28">
        <f t="shared" si="1"/>
        <v>-79.84</v>
      </c>
      <c r="I17" s="27">
        <v>271.51</v>
      </c>
      <c r="J17" s="28">
        <f t="shared" si="2"/>
        <v>-351.35</v>
      </c>
    </row>
    <row r="18">
      <c r="A18" s="27">
        <v>16.0</v>
      </c>
      <c r="B18" s="28">
        <f t="shared" si="3"/>
        <v>-79.84</v>
      </c>
      <c r="C18" s="27">
        <f>SUMIFS(CloudBed!P:P,CloudBed!U:U,"Money Box",CloudBed!R:R,A18,CloudBed!S:S,$B$1)</f>
        <v>18</v>
      </c>
      <c r="D18" s="27">
        <f>SUMIFS(CloudBed!V:V,CloudBed!AA:AA,"Money Box",CloudBed!X:X,A18,CloudBed!Y:Y,$B$1)</f>
        <v>352.75</v>
      </c>
      <c r="E18" s="27">
        <f>SUMIFS(FF!E:E,FF!B:B,A18,FF!C:C,$B$1,FF!F:F,"FF")</f>
        <v>441</v>
      </c>
      <c r="F18" s="27">
        <f>sumifs(Extra!H:H,Extra!B:B,A18,Extra!C:C,$B$1,Extra!I:I,"Money Box")</f>
        <v>48</v>
      </c>
      <c r="G18" s="27">
        <f>SUMIFS(Dados!N:N,Dados!F:F,A18,Dados!G:G,$B$1,Dados!D:D,"Money Box")</f>
        <v>544.47</v>
      </c>
      <c r="H18" s="28">
        <f t="shared" si="1"/>
        <v>235.44</v>
      </c>
      <c r="I18" s="27">
        <v>356.54</v>
      </c>
      <c r="J18" s="28">
        <f t="shared" si="2"/>
        <v>-121.1</v>
      </c>
    </row>
    <row r="19">
      <c r="A19" s="27">
        <v>17.0</v>
      </c>
      <c r="B19" s="28">
        <f t="shared" si="3"/>
        <v>235.44</v>
      </c>
      <c r="C19" s="27">
        <f>SUMIFS(CloudBed!P:P,CloudBed!U:U,"Money Box",CloudBed!R:R,A19,CloudBed!S:S,$B$1)</f>
        <v>4</v>
      </c>
      <c r="D19" s="27">
        <f>SUMIFS(CloudBed!V:V,CloudBed!AA:AA,"Money Box",CloudBed!X:X,A19,CloudBed!Y:Y,$B$1)</f>
        <v>93.5</v>
      </c>
      <c r="E19" s="27">
        <f>SUMIFS(FF!E:E,FF!B:B,A19,FF!C:C,$B$1,FF!F:F,"FF")</f>
        <v>749.07</v>
      </c>
      <c r="F19" s="27">
        <f>sumifs(Extra!H:H,Extra!B:B,A19,Extra!C:C,$B$1,Extra!I:I,"Money Box")</f>
        <v>60</v>
      </c>
      <c r="G19" s="27">
        <f>SUMIFS(Dados!N:N,Dados!F:F,A19,Dados!G:G,$B$1,Dados!D:D,"Money Box")</f>
        <v>1021.76</v>
      </c>
      <c r="H19" s="28">
        <f t="shared" si="1"/>
        <v>120.25</v>
      </c>
      <c r="I19" s="27">
        <v>240.78</v>
      </c>
      <c r="J19" s="28">
        <f t="shared" si="2"/>
        <v>-120.53</v>
      </c>
    </row>
    <row r="20">
      <c r="A20" s="27">
        <v>18.0</v>
      </c>
      <c r="B20" s="28">
        <f t="shared" si="3"/>
        <v>120.25</v>
      </c>
      <c r="C20" s="27">
        <f>SUMIFS(CloudBed!P:P,CloudBed!U:U,"Money Box",CloudBed!R:R,A20,CloudBed!S:S,$B$1)</f>
        <v>18</v>
      </c>
      <c r="D20" s="27">
        <f>SUMIFS(CloudBed!V:V,CloudBed!AA:AA,"Money Box",CloudBed!X:X,A20,CloudBed!Y:Y,$B$1)</f>
        <v>420.75</v>
      </c>
      <c r="E20" s="27">
        <f>SUMIFS(FF!E:E,FF!B:B,A20,FF!C:C,$B$1,FF!F:F,"FF")</f>
        <v>360</v>
      </c>
      <c r="F20" s="27">
        <f>sumifs(Extra!H:H,Extra!B:B,A20,Extra!C:C,$B$1,Extra!I:I,"Money Box")</f>
        <v>6</v>
      </c>
      <c r="G20" s="27">
        <f>SUMIFS(Dados!N:N,Dados!F:F,A20,Dados!G:G,$B$1,Dados!D:D,"Money Box")</f>
        <v>502.37</v>
      </c>
      <c r="H20" s="28">
        <f t="shared" si="1"/>
        <v>422.63</v>
      </c>
      <c r="J20" s="28">
        <f t="shared" si="2"/>
        <v>422.63</v>
      </c>
    </row>
    <row r="21" ht="15.75" customHeight="1">
      <c r="A21" s="27">
        <v>19.0</v>
      </c>
      <c r="B21" s="28">
        <f t="shared" si="3"/>
        <v>422.63</v>
      </c>
      <c r="C21" s="27">
        <f>SUMIFS(CloudBed!P:P,CloudBed!U:U,"Money Box",CloudBed!R:R,A21,CloudBed!S:S,$B$1)</f>
        <v>10</v>
      </c>
      <c r="D21" s="27">
        <f>SUMIFS(CloudBed!V:V,CloudBed!AA:AA,"Money Box",CloudBed!X:X,A21,CloudBed!Y:Y,$B$1)</f>
        <v>191.25</v>
      </c>
      <c r="E21" s="27">
        <f>SUMIFS(FF!E:E,FF!B:B,A21,FF!C:C,$B$1,FF!F:F,"FF")</f>
        <v>0</v>
      </c>
      <c r="F21" s="27">
        <f>sumifs(Extra!H:H,Extra!B:B,A21,Extra!C:C,$B$1,Extra!I:I,"Money Box")</f>
        <v>6</v>
      </c>
      <c r="G21" s="27">
        <f>SUMIFS(Dados!N:N,Dados!F:F,A21,Dados!G:G,$B$1,Dados!D:D,"Money Box")</f>
        <v>501</v>
      </c>
      <c r="H21" s="28">
        <f t="shared" si="1"/>
        <v>128.88</v>
      </c>
      <c r="J21" s="28">
        <f t="shared" si="2"/>
        <v>128.88</v>
      </c>
    </row>
    <row r="22" ht="15.75" customHeight="1">
      <c r="A22" s="27">
        <v>20.0</v>
      </c>
      <c r="B22" s="28">
        <f t="shared" si="3"/>
        <v>128.88</v>
      </c>
      <c r="C22" s="27">
        <f>SUMIFS(CloudBed!P:P,CloudBed!U:U,"Money Box",CloudBed!R:R,A22,CloudBed!S:S,$B$1)</f>
        <v>4</v>
      </c>
      <c r="D22" s="27">
        <f>SUMIFS(CloudBed!V:V,CloudBed!AA:AA,"Money Box",CloudBed!X:X,A22,CloudBed!Y:Y,$B$1)</f>
        <v>76.5</v>
      </c>
      <c r="E22" s="27">
        <f>SUMIFS(FF!E:E,FF!B:B,A22,FF!C:C,$B$1,FF!F:F,"FF")</f>
        <v>30</v>
      </c>
      <c r="F22" s="27">
        <f>sumifs(Extra!H:H,Extra!B:B,A22,Extra!C:C,$B$1,Extra!I:I,"Money Box")</f>
        <v>8</v>
      </c>
      <c r="G22" s="27">
        <f>SUMIFS(Dados!N:N,Dados!F:F,A22,Dados!G:G,$B$1,Dados!D:D,"Money Box")</f>
        <v>0</v>
      </c>
      <c r="H22" s="28">
        <f t="shared" si="1"/>
        <v>247.38</v>
      </c>
      <c r="J22" s="28">
        <f t="shared" si="2"/>
        <v>247.38</v>
      </c>
    </row>
    <row r="23" ht="15.75" customHeight="1">
      <c r="A23" s="27">
        <v>21.0</v>
      </c>
      <c r="B23" s="28">
        <f t="shared" si="3"/>
        <v>247.38</v>
      </c>
      <c r="C23" s="27">
        <f>SUMIFS(CloudBed!P:P,CloudBed!U:U,"Money Box",CloudBed!R:R,A23,CloudBed!S:S,$B$1)</f>
        <v>0</v>
      </c>
      <c r="D23" s="27">
        <f>SUMIFS(CloudBed!V:V,CloudBed!AA:AA,"Money Box",CloudBed!X:X,A23,CloudBed!Y:Y,$B$1)</f>
        <v>0</v>
      </c>
      <c r="E23" s="27">
        <f>SUMIFS(FF!E:E,FF!B:B,A23,FF!C:C,$B$1,FF!F:F,"FF")</f>
        <v>30</v>
      </c>
      <c r="F23" s="27">
        <f>sumifs(Extra!H:H,Extra!B:B,A23,Extra!C:C,$B$1,Extra!I:I,"Money Box")</f>
        <v>26</v>
      </c>
      <c r="G23" s="27">
        <f>SUMIFS(Dados!N:N,Dados!F:F,A23,Dados!G:G,$B$1,Dados!D:D,"Money Box")</f>
        <v>101.2</v>
      </c>
      <c r="H23" s="28">
        <f t="shared" si="1"/>
        <v>202.18</v>
      </c>
      <c r="J23" s="28">
        <f t="shared" si="2"/>
        <v>202.18</v>
      </c>
    </row>
    <row r="24" ht="15.75" customHeight="1">
      <c r="A24" s="27">
        <v>22.0</v>
      </c>
      <c r="B24" s="28">
        <f t="shared" si="3"/>
        <v>202.18</v>
      </c>
      <c r="C24" s="27">
        <f>SUMIFS(CloudBed!P:P,CloudBed!U:U,"Money Box",CloudBed!R:R,A24,CloudBed!S:S,$B$1)</f>
        <v>16</v>
      </c>
      <c r="D24" s="27">
        <f>SUMIFS(CloudBed!V:V,CloudBed!AA:AA,"Money Box",CloudBed!X:X,A24,CloudBed!Y:Y,$B$1)</f>
        <v>340</v>
      </c>
      <c r="E24" s="27">
        <f>SUMIFS(FF!E:E,FF!B:B,A24,FF!C:C,$B$1,FF!F:F,"FF")</f>
        <v>30</v>
      </c>
      <c r="F24" s="27">
        <f>sumifs(Extra!H:H,Extra!B:B,A24,Extra!C:C,$B$1,Extra!I:I,"Money Box")</f>
        <v>4</v>
      </c>
      <c r="G24" s="27">
        <f>SUMIFS(Dados!N:N,Dados!F:F,A24,Dados!G:G,$B$1,Dados!D:D,"Money Box")</f>
        <v>500</v>
      </c>
      <c r="H24" s="28">
        <f t="shared" si="1"/>
        <v>92.18</v>
      </c>
      <c r="J24" s="28">
        <f t="shared" si="2"/>
        <v>92.18</v>
      </c>
    </row>
    <row r="25" ht="15.75" customHeight="1">
      <c r="A25" s="27">
        <v>23.0</v>
      </c>
      <c r="B25" s="28">
        <f t="shared" si="3"/>
        <v>92.18</v>
      </c>
      <c r="C25" s="27">
        <f>SUMIFS(CloudBed!P:P,CloudBed!U:U,"Money Box",CloudBed!R:R,A25,CloudBed!S:S,$B$1)</f>
        <v>6</v>
      </c>
      <c r="D25" s="27">
        <f>SUMIFS(CloudBed!V:V,CloudBed!AA:AA,"Money Box",CloudBed!X:X,A25,CloudBed!Y:Y,$B$1)</f>
        <v>140.25</v>
      </c>
      <c r="E25" s="27">
        <f>SUMIFS(FF!E:E,FF!B:B,A25,FF!C:C,$B$1,FF!F:F,"FF")</f>
        <v>0</v>
      </c>
      <c r="F25" s="27">
        <f>sumifs(Extra!H:H,Extra!B:B,A25,Extra!C:C,$B$1,Extra!I:I,"Money Box")</f>
        <v>4</v>
      </c>
      <c r="G25" s="27">
        <f>SUMIFS(Dados!N:N,Dados!F:F,A25,Dados!G:G,$B$1,Dados!D:D,"Money Box")</f>
        <v>120</v>
      </c>
      <c r="H25" s="28">
        <f t="shared" si="1"/>
        <v>122.43</v>
      </c>
      <c r="J25" s="28">
        <f t="shared" si="2"/>
        <v>122.43</v>
      </c>
    </row>
    <row r="26" ht="15.75" customHeight="1">
      <c r="A26" s="27">
        <v>24.0</v>
      </c>
      <c r="B26" s="28">
        <f t="shared" si="3"/>
        <v>122.43</v>
      </c>
      <c r="C26" s="27">
        <f>SUMIFS(CloudBed!P:P,CloudBed!U:U,"Money Box",CloudBed!R:R,A26,CloudBed!S:S,$B$1)</f>
        <v>4</v>
      </c>
      <c r="D26" s="27">
        <f>SUMIFS(CloudBed!V:V,CloudBed!AA:AA,"Money Box",CloudBed!X:X,A26,CloudBed!Y:Y,$B$1)</f>
        <v>93.5</v>
      </c>
      <c r="E26" s="27">
        <f>SUMIFS(FF!E:E,FF!B:B,A26,FF!C:C,$B$1,FF!F:F,"FF")</f>
        <v>0</v>
      </c>
      <c r="F26" s="27">
        <f>sumifs(Extra!H:H,Extra!B:B,A26,Extra!C:C,$B$1,Extra!I:I,"Money Box")</f>
        <v>53.5</v>
      </c>
      <c r="G26" s="27">
        <f>SUMIFS(Dados!N:N,Dados!F:F,A26,Dados!G:G,$B$1,Dados!D:D,"Money Box")</f>
        <v>0</v>
      </c>
      <c r="H26" s="28">
        <f t="shared" si="1"/>
        <v>273.43</v>
      </c>
      <c r="J26" s="28">
        <f t="shared" si="2"/>
        <v>273.43</v>
      </c>
    </row>
    <row r="27" ht="15.75" customHeight="1">
      <c r="A27" s="27">
        <v>25.0</v>
      </c>
      <c r="B27" s="28">
        <f t="shared" si="3"/>
        <v>273.43</v>
      </c>
      <c r="C27" s="27">
        <f>SUMIFS(CloudBed!P:P,CloudBed!U:U,"Money Box",CloudBed!R:R,A27,CloudBed!S:S,$B$1)</f>
        <v>12</v>
      </c>
      <c r="D27" s="27">
        <f>SUMIFS(CloudBed!V:V,CloudBed!AA:AA,"Money Box",CloudBed!X:X,A27,CloudBed!Y:Y,$B$1)</f>
        <v>229.5</v>
      </c>
      <c r="E27" s="27">
        <f>SUMIFS(FF!E:E,FF!B:B,A27,FF!C:C,$B$1,FF!F:F,"FF")</f>
        <v>0</v>
      </c>
      <c r="F27" s="27">
        <f>sumifs(Extra!H:H,Extra!B:B,A27,Extra!C:C,$B$1,Extra!I:I,"Money Box")</f>
        <v>4</v>
      </c>
      <c r="G27" s="27">
        <f>SUMIFS(Dados!N:N,Dados!F:F,A27,Dados!G:G,$B$1,Dados!D:D,"Money Box")</f>
        <v>500</v>
      </c>
      <c r="H27" s="28">
        <f t="shared" si="1"/>
        <v>18.93</v>
      </c>
      <c r="J27" s="28">
        <f t="shared" si="2"/>
        <v>18.93</v>
      </c>
    </row>
    <row r="28" ht="15.75" customHeight="1">
      <c r="A28" s="27">
        <v>26.0</v>
      </c>
      <c r="B28" s="28">
        <f t="shared" si="3"/>
        <v>18.93</v>
      </c>
      <c r="C28" s="27">
        <f>SUMIFS(CloudBed!P:P,CloudBed!U:U,"Money Box",CloudBed!R:R,A28,CloudBed!S:S,$B$1)</f>
        <v>12</v>
      </c>
      <c r="D28" s="27">
        <f>SUMIFS(CloudBed!V:V,CloudBed!AA:AA,"Money Box",CloudBed!X:X,A28,CloudBed!Y:Y,$B$1)</f>
        <v>229.5</v>
      </c>
      <c r="E28" s="27">
        <f>SUMIFS(FF!E:E,FF!B:B,A28,FF!C:C,$B$1,FF!F:F,"FF")</f>
        <v>90</v>
      </c>
      <c r="F28" s="27">
        <f>sumifs(Extra!H:H,Extra!B:B,A28,Extra!C:C,$B$1,Extra!I:I,"Money Box")</f>
        <v>12</v>
      </c>
      <c r="G28" s="27">
        <f>SUMIFS(Dados!N:N,Dados!F:F,A28,Dados!G:G,$B$1,Dados!D:D,"Money Box")</f>
        <v>0</v>
      </c>
      <c r="H28" s="28">
        <f t="shared" si="1"/>
        <v>362.43</v>
      </c>
      <c r="J28" s="28">
        <f t="shared" si="2"/>
        <v>362.43</v>
      </c>
    </row>
    <row r="29" ht="15.75" customHeight="1">
      <c r="A29" s="27">
        <v>27.0</v>
      </c>
      <c r="B29" s="28">
        <f t="shared" si="3"/>
        <v>362.43</v>
      </c>
      <c r="C29" s="27">
        <f>SUMIFS(CloudBed!P:P,CloudBed!U:U,"Money Box",CloudBed!R:R,A29,CloudBed!S:S,$B$1)</f>
        <v>4</v>
      </c>
      <c r="D29" s="27">
        <f>SUMIFS(CloudBed!V:V,CloudBed!AA:AA,"Money Box",CloudBed!X:X,A29,CloudBed!Y:Y,$B$1)</f>
        <v>76.5</v>
      </c>
      <c r="E29" s="27">
        <f>SUMIFS(FF!E:E,FF!B:B,A29,FF!C:C,$B$1,FF!F:F,"FF")</f>
        <v>139.5</v>
      </c>
      <c r="F29" s="27">
        <f>sumifs(Extra!H:H,Extra!B:B,A29,Extra!C:C,$B$1,Extra!I:I,"Money Box")</f>
        <v>8</v>
      </c>
      <c r="G29" s="27">
        <f>SUMIFS(Dados!N:N,Dados!F:F,A29,Dados!G:G,$B$1,Dados!D:D,"Money Box")</f>
        <v>500</v>
      </c>
      <c r="H29" s="28">
        <f t="shared" si="1"/>
        <v>90.43</v>
      </c>
      <c r="J29" s="28">
        <f t="shared" si="2"/>
        <v>90.43</v>
      </c>
    </row>
    <row r="30" ht="15.75" customHeight="1">
      <c r="A30" s="27">
        <v>28.0</v>
      </c>
      <c r="B30" s="28">
        <f t="shared" si="3"/>
        <v>90.43</v>
      </c>
      <c r="C30" s="27">
        <f>SUMIFS(CloudBed!P:P,CloudBed!U:U,"Money Box",CloudBed!R:R,A30,CloudBed!S:S,$B$1)</f>
        <v>2</v>
      </c>
      <c r="D30" s="27">
        <f>SUMIFS(CloudBed!V:V,CloudBed!AA:AA,"Money Box",CloudBed!X:X,A30,CloudBed!Y:Y,$B$1)</f>
        <v>38.25</v>
      </c>
      <c r="E30" s="27">
        <f>SUMIFS(FF!E:E,FF!B:B,A30,FF!C:C,$B$1,FF!F:F,"FF")</f>
        <v>160</v>
      </c>
      <c r="F30" s="27">
        <f>sumifs(Extra!H:H,Extra!B:B,A30,Extra!C:C,$B$1,Extra!I:I,"Money Box")</f>
        <v>4</v>
      </c>
      <c r="G30" s="27">
        <f>SUMIFS(Dados!N:N,Dados!F:F,A30,Dados!G:G,$B$1,Dados!D:D,"Money Box")</f>
        <v>17.38</v>
      </c>
      <c r="H30" s="28">
        <f t="shared" si="1"/>
        <v>277.3</v>
      </c>
      <c r="J30" s="28">
        <f t="shared" si="2"/>
        <v>277.3</v>
      </c>
    </row>
    <row r="31" ht="15.75" customHeight="1">
      <c r="A31" s="27">
        <v>29.0</v>
      </c>
      <c r="B31" s="28">
        <f t="shared" si="3"/>
        <v>277.3</v>
      </c>
      <c r="C31" s="27">
        <f>SUMIFS(CloudBed!P:P,CloudBed!U:U,"Money Box",CloudBed!R:R,A31,CloudBed!S:S,$B$1)</f>
        <v>10</v>
      </c>
      <c r="D31" s="27">
        <f>SUMIFS(CloudBed!V:V,CloudBed!AA:AA,"Money Box",CloudBed!X:X,A31,CloudBed!Y:Y,$B$1)</f>
        <v>242.25</v>
      </c>
      <c r="E31" s="27">
        <f>SUMIFS(FF!E:E,FF!B:B,A31,FF!C:C,$B$1,FF!F:F,"FF")</f>
        <v>30</v>
      </c>
      <c r="F31" s="27">
        <f>sumifs(Extra!H:H,Extra!B:B,A31,Extra!C:C,$B$1,Extra!I:I,"Money Box")</f>
        <v>0</v>
      </c>
      <c r="G31" s="27">
        <f>SUMIFS(Dados!N:N,Dados!F:F,A31,Dados!G:G,$B$1,Dados!D:D,"Money Box")</f>
        <v>504.38</v>
      </c>
      <c r="H31" s="28">
        <f t="shared" si="1"/>
        <v>55.17</v>
      </c>
      <c r="I31" s="27">
        <v>359.44</v>
      </c>
      <c r="J31" s="28">
        <f t="shared" si="2"/>
        <v>-304.27</v>
      </c>
    </row>
    <row r="32" ht="15.75" customHeight="1">
      <c r="A32" s="27">
        <v>30.0</v>
      </c>
      <c r="B32" s="28">
        <f t="shared" si="3"/>
        <v>55.17</v>
      </c>
      <c r="C32" s="27">
        <f>SUMIFS(CloudBed!P:P,CloudBed!U:U,"Money Box",CloudBed!R:R,A32,CloudBed!S:S,$B$1)</f>
        <v>2</v>
      </c>
      <c r="D32" s="27">
        <f>SUMIFS(CloudBed!V:V,CloudBed!AA:AA,"Money Box",CloudBed!X:X,A32,CloudBed!Y:Y,$B$1)</f>
        <v>46.75</v>
      </c>
      <c r="E32" s="27">
        <f>SUMIFS(FF!E:E,FF!B:B,A32,FF!C:C,$B$1,FF!F:F,"FF")</f>
        <v>0</v>
      </c>
      <c r="F32" s="27">
        <f>sumifs(Extra!H:H,Extra!B:B,A32,Extra!C:C,$B$1,Extra!I:I,"Money Box")</f>
        <v>18</v>
      </c>
      <c r="G32" s="27">
        <f>SUMIFS(Dados!N:N,Dados!F:F,A32,Dados!G:G,$B$1,Dados!D:D,"Money Box")</f>
        <v>0</v>
      </c>
      <c r="H32" s="28">
        <f t="shared" si="1"/>
        <v>121.92</v>
      </c>
      <c r="I32" s="27">
        <v>315.69</v>
      </c>
      <c r="J32" s="28">
        <f t="shared" si="2"/>
        <v>-193.77</v>
      </c>
    </row>
    <row r="33" ht="15.75" customHeight="1">
      <c r="A33" s="27">
        <v>31.0</v>
      </c>
      <c r="B33" s="28">
        <f t="shared" si="3"/>
        <v>121.92</v>
      </c>
      <c r="C33" s="27">
        <f>SUMIFS(CloudBed!P:P,CloudBed!U:U,"Money Box",CloudBed!R:R,A33,CloudBed!S:S,$B$1)</f>
        <v>6</v>
      </c>
      <c r="D33" s="27">
        <f>SUMIFS(CloudBed!V:V,CloudBed!AA:AA,"Money Box",CloudBed!X:X,A33,CloudBed!Y:Y,$B$1)</f>
        <v>131.75</v>
      </c>
      <c r="E33" s="27">
        <f>SUMIFS(FF!E:E,FF!B:B,A33,FF!C:C,$B$1,FF!F:F,"FF")</f>
        <v>1581.09</v>
      </c>
      <c r="F33" s="27">
        <f>sumifs(Extra!H:H,Extra!B:B,A33,Extra!C:C,$B$1,Extra!I:I,"Money Box")</f>
        <v>442</v>
      </c>
      <c r="G33" s="27">
        <f>SUMIFS(Dados!N:N,Dados!F:F,A33,Dados!G:G,$B$1,Dados!D:D,"Money Box")</f>
        <v>1850.09</v>
      </c>
      <c r="H33" s="28">
        <f t="shared" si="1"/>
        <v>432.67</v>
      </c>
      <c r="I33" s="28">
        <f>'Monthly cash flow'!I34</f>
        <v>433.54</v>
      </c>
      <c r="J33" s="28">
        <f t="shared" si="2"/>
        <v>-0.87</v>
      </c>
    </row>
    <row r="34" ht="15.75" customHeight="1">
      <c r="A34" s="27" t="s">
        <v>6</v>
      </c>
      <c r="B34" s="28">
        <f>B3</f>
        <v>309.35</v>
      </c>
      <c r="C34" s="27">
        <f t="shared" ref="C34:G34" si="4">SUM(C3:C33)</f>
        <v>300</v>
      </c>
      <c r="D34" s="27">
        <f t="shared" si="4"/>
        <v>6608.75</v>
      </c>
      <c r="E34" s="27">
        <f t="shared" si="4"/>
        <v>5502.66</v>
      </c>
      <c r="F34" s="27">
        <f t="shared" si="4"/>
        <v>1326</v>
      </c>
      <c r="G34" s="27">
        <f t="shared" si="4"/>
        <v>13614.09</v>
      </c>
      <c r="H34" s="28">
        <f t="shared" si="1"/>
        <v>432.67</v>
      </c>
      <c r="I34" s="28">
        <f>I33</f>
        <v>433.54</v>
      </c>
      <c r="J34" s="28">
        <f t="shared" si="2"/>
        <v>-0.87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</cols>
  <sheetData>
    <row r="1">
      <c r="A1" s="27" t="s">
        <v>219</v>
      </c>
      <c r="B1" s="27">
        <v>5.0</v>
      </c>
      <c r="C1" s="27"/>
      <c r="D1" s="27"/>
      <c r="E1" s="27"/>
      <c r="F1" s="27"/>
      <c r="G1" s="27"/>
      <c r="H1" s="27"/>
    </row>
    <row r="2">
      <c r="A2" s="27" t="s">
        <v>223</v>
      </c>
      <c r="B2" s="27" t="s">
        <v>224</v>
      </c>
      <c r="C2" s="27" t="s">
        <v>225</v>
      </c>
      <c r="D2" s="27" t="s">
        <v>226</v>
      </c>
      <c r="E2" s="27" t="s">
        <v>87</v>
      </c>
      <c r="F2" s="27" t="s">
        <v>110</v>
      </c>
      <c r="G2" s="27" t="s">
        <v>227</v>
      </c>
      <c r="H2" s="27" t="s">
        <v>228</v>
      </c>
      <c r="I2" s="27" t="s">
        <v>229</v>
      </c>
      <c r="J2" s="27" t="s">
        <v>88</v>
      </c>
    </row>
    <row r="3">
      <c r="A3" s="27">
        <v>1.0</v>
      </c>
      <c r="B3" s="18">
        <v>80.0</v>
      </c>
      <c r="C3" s="27">
        <f>SUMIFS(CloudBed!P:P,CloudBed!U:U,"Money Box",CloudBed!R:R,A3,CloudBed!S:S,$B$1)</f>
        <v>0</v>
      </c>
      <c r="D3" s="27">
        <f>SUMIFS(CloudBed!V:V,CloudBed!AA:AA,"Money Box",CloudBed!X:X,A3,CloudBed!Y:Y,$B$1)</f>
        <v>0</v>
      </c>
      <c r="E3" s="27">
        <f>SUMIFS(FF!E:E,FF!B:B,A3,FF!C:C,$B$1,FF!F:F,"FF")</f>
        <v>40</v>
      </c>
      <c r="F3" s="27">
        <f>sumifs(Extra!H:H,Extra!B:B,A3,Extra!C:C,$B$1,Extra!I:I,"MoneyBox")</f>
        <v>0</v>
      </c>
      <c r="G3" s="27">
        <f>SUMIFS(Dados!N:N,Dados!F:F,A3,Dados!G:G,$B$1,Dados!D:D,"MoneyBox")</f>
        <v>0</v>
      </c>
      <c r="H3" s="28">
        <f t="shared" ref="H3:H34" si="1">B3+D3+C3+F3+E3-G3</f>
        <v>120</v>
      </c>
      <c r="I3" s="27">
        <v>124.0</v>
      </c>
      <c r="J3" s="28">
        <f t="shared" ref="J3:J34" si="2">H3-I3</f>
        <v>-4</v>
      </c>
    </row>
    <row r="4">
      <c r="A4" s="27">
        <v>2.0</v>
      </c>
      <c r="B4" s="28">
        <f t="shared" ref="B4:B33" si="3">H3</f>
        <v>120</v>
      </c>
      <c r="C4" s="27">
        <f>SUMIFS(CloudBed!P:P,CloudBed!U:U,"Money Box",CloudBed!R:R,A4,CloudBed!S:S,$B$1)</f>
        <v>6</v>
      </c>
      <c r="D4" s="27">
        <f>SUMIFS(CloudBed!V:V,CloudBed!AA:AA,"Money Box",CloudBed!X:X,A4,CloudBed!Y:Y,$B$1)</f>
        <v>161</v>
      </c>
      <c r="E4" s="27">
        <f>SUMIFS(FF!E:E,FF!B:B,A4,FF!C:C,$B$1,FF!F:F,"FF")</f>
        <v>45</v>
      </c>
      <c r="F4" s="27">
        <f>sumifs(Extra!H:H,Extra!B:B,A4,Extra!C:C,$B$1,Extra!I:I,"MoneyBox")</f>
        <v>0</v>
      </c>
      <c r="G4" s="27">
        <f>SUMIFS(Dados!N:N,Dados!F:F,A4,Dados!G:G,$B$1,Dados!D:D,"MoneyBox")</f>
        <v>0</v>
      </c>
      <c r="H4" s="28">
        <f t="shared" si="1"/>
        <v>332</v>
      </c>
      <c r="I4" s="27">
        <v>364.0</v>
      </c>
      <c r="J4" s="28">
        <f t="shared" si="2"/>
        <v>-32</v>
      </c>
    </row>
    <row r="5">
      <c r="A5" s="27">
        <v>3.0</v>
      </c>
      <c r="B5" s="28">
        <f t="shared" si="3"/>
        <v>332</v>
      </c>
      <c r="C5" s="27">
        <f>SUMIFS(CloudBed!P:P,CloudBed!U:U,"Money Box",CloudBed!R:R,A5,CloudBed!S:S,$B$1)</f>
        <v>4</v>
      </c>
      <c r="D5" s="27">
        <f>SUMIFS(CloudBed!V:V,CloudBed!AA:AA,"Money Box",CloudBed!X:X,A5,CloudBed!Y:Y,$B$1)</f>
        <v>40.25</v>
      </c>
      <c r="E5" s="27">
        <f>SUMIFS(FF!E:E,FF!B:B,A5,FF!C:C,$B$1,FF!F:F,"FF")</f>
        <v>0</v>
      </c>
      <c r="F5" s="27">
        <f>sumifs(Extra!H:H,Extra!B:B,A5,Extra!C:C,$B$1,Extra!I:I,"MoneyBox")</f>
        <v>0</v>
      </c>
      <c r="G5" s="27">
        <f>SUMIFS(Dados!N:N,Dados!F:F,A5,Dados!G:G,$B$1,Dados!D:D,"MoneyBox")</f>
        <v>0</v>
      </c>
      <c r="H5" s="28">
        <f t="shared" si="1"/>
        <v>376.25</v>
      </c>
      <c r="I5" s="27">
        <v>436.5</v>
      </c>
      <c r="J5" s="28">
        <f t="shared" si="2"/>
        <v>-60.25</v>
      </c>
    </row>
    <row r="6">
      <c r="A6" s="27">
        <v>4.0</v>
      </c>
      <c r="B6" s="28">
        <f t="shared" si="3"/>
        <v>376.25</v>
      </c>
      <c r="C6" s="27">
        <f>SUMIFS(CloudBed!P:P,CloudBed!U:U,"Money Box",CloudBed!R:R,A6,CloudBed!S:S,$B$1)</f>
        <v>8</v>
      </c>
      <c r="D6" s="27">
        <f>SUMIFS(CloudBed!V:V,CloudBed!AA:AA,"Money Box",CloudBed!X:X,A6,CloudBed!Y:Y,$B$1)</f>
        <v>0</v>
      </c>
      <c r="E6" s="27">
        <f>SUMIFS(FF!E:E,FF!B:B,A6,FF!C:C,$B$1,FF!F:F,"FF")</f>
        <v>0</v>
      </c>
      <c r="F6" s="27">
        <f>sumifs(Extra!H:H,Extra!B:B,A6,Extra!C:C,$B$1,Extra!I:I,"MoneyBox")</f>
        <v>0</v>
      </c>
      <c r="G6" s="27">
        <f>SUMIFS(Dados!N:N,Dados!F:F,A6,Dados!G:G,$B$1,Dados!D:D,"MoneyBox")</f>
        <v>0</v>
      </c>
      <c r="H6" s="28">
        <f t="shared" si="1"/>
        <v>384.25</v>
      </c>
      <c r="J6" s="28">
        <f t="shared" si="2"/>
        <v>384.25</v>
      </c>
    </row>
    <row r="7">
      <c r="A7" s="27">
        <v>5.0</v>
      </c>
      <c r="B7" s="28">
        <f t="shared" si="3"/>
        <v>384.25</v>
      </c>
      <c r="C7" s="27">
        <f>SUMIFS(CloudBed!P:P,CloudBed!U:U,"Money Box",CloudBed!R:R,A7,CloudBed!S:S,$B$1)</f>
        <v>10</v>
      </c>
      <c r="D7" s="27">
        <f>SUMIFS(CloudBed!V:V,CloudBed!AA:AA,"Money Box",CloudBed!X:X,A7,CloudBed!Y:Y,$B$1)</f>
        <v>0</v>
      </c>
      <c r="E7" s="27">
        <f>SUMIFS(FF!E:E,FF!B:B,A7,FF!C:C,$B$1,FF!F:F,"FF")</f>
        <v>0</v>
      </c>
      <c r="F7" s="27">
        <f>sumifs(Extra!H:H,Extra!B:B,A7,Extra!C:C,$B$1,Extra!I:I,"MoneyBox")</f>
        <v>0</v>
      </c>
      <c r="G7" s="27">
        <f>SUMIFS(Dados!N:N,Dados!F:F,A7,Dados!G:G,$B$1,Dados!D:D,"MoneyBox")</f>
        <v>0</v>
      </c>
      <c r="H7" s="28">
        <f t="shared" si="1"/>
        <v>394.25</v>
      </c>
      <c r="I7" s="27">
        <v>478.3</v>
      </c>
      <c r="J7" s="28">
        <f t="shared" si="2"/>
        <v>-84.05</v>
      </c>
    </row>
    <row r="8">
      <c r="A8" s="27">
        <v>6.0</v>
      </c>
      <c r="B8" s="28">
        <f t="shared" si="3"/>
        <v>394.25</v>
      </c>
      <c r="C8" s="27">
        <f>SUMIFS(CloudBed!P:P,CloudBed!U:U,"Money Box",CloudBed!R:R,A8,CloudBed!S:S,$B$1)</f>
        <v>2</v>
      </c>
      <c r="D8" s="27">
        <f>SUMIFS(CloudBed!V:V,CloudBed!AA:AA,"Money Box",CloudBed!X:X,A8,CloudBed!Y:Y,$B$1)</f>
        <v>161</v>
      </c>
      <c r="E8" s="27">
        <f>SUMIFS(FF!E:E,FF!B:B,A8,FF!C:C,$B$1,FF!F:F,"FF")</f>
        <v>45</v>
      </c>
      <c r="F8" s="27">
        <f>sumifs(Extra!H:H,Extra!B:B,A8,Extra!C:C,$B$1,Extra!I:I,"MoneyBox")</f>
        <v>0</v>
      </c>
      <c r="G8" s="27">
        <f>SUMIFS(Dados!N:N,Dados!F:F,A8,Dados!G:G,$B$1,Dados!D:D,"MoneyBox")</f>
        <v>0</v>
      </c>
      <c r="H8" s="28">
        <f t="shared" si="1"/>
        <v>602.25</v>
      </c>
      <c r="I8" s="27">
        <v>680.3</v>
      </c>
      <c r="J8" s="28">
        <f t="shared" si="2"/>
        <v>-78.05</v>
      </c>
    </row>
    <row r="9">
      <c r="A9" s="27">
        <v>7.0</v>
      </c>
      <c r="B9" s="28">
        <f t="shared" si="3"/>
        <v>602.25</v>
      </c>
      <c r="C9" s="27">
        <f>SUMIFS(CloudBed!P:P,CloudBed!U:U,"Money Box",CloudBed!R:R,A9,CloudBed!S:S,$B$1)</f>
        <v>0</v>
      </c>
      <c r="D9" s="27">
        <f>SUMIFS(CloudBed!V:V,CloudBed!AA:AA,"Money Box",CloudBed!X:X,A9,CloudBed!Y:Y,$B$1)</f>
        <v>0</v>
      </c>
      <c r="E9" s="27">
        <f>SUMIFS(FF!E:E,FF!B:B,A9,FF!C:C,$B$1,FF!F:F,"FF")</f>
        <v>0</v>
      </c>
      <c r="F9" s="27">
        <f>sumifs(Extra!H:H,Extra!B:B,A9,Extra!C:C,$B$1,Extra!I:I,"MoneyBox")</f>
        <v>0</v>
      </c>
      <c r="G9" s="27">
        <f>SUMIFS(Dados!N:N,Dados!F:F,A9,Dados!G:G,$B$1,Dados!D:D,"MoneyBox")</f>
        <v>0</v>
      </c>
      <c r="H9" s="28">
        <f t="shared" si="1"/>
        <v>602.25</v>
      </c>
      <c r="I9" s="27">
        <v>306.55</v>
      </c>
      <c r="J9" s="28">
        <f t="shared" si="2"/>
        <v>295.7</v>
      </c>
    </row>
    <row r="10">
      <c r="A10" s="27">
        <v>8.0</v>
      </c>
      <c r="B10" s="28">
        <f t="shared" si="3"/>
        <v>602.25</v>
      </c>
      <c r="C10" s="27">
        <f>SUMIFS(CloudBed!P:P,CloudBed!U:U,"Money Box",CloudBed!R:R,A10,CloudBed!S:S,$B$1)</f>
        <v>2</v>
      </c>
      <c r="D10" s="27">
        <f>SUMIFS(CloudBed!V:V,CloudBed!AA:AA,"Money Box",CloudBed!X:X,A10,CloudBed!Y:Y,$B$1)</f>
        <v>40.25</v>
      </c>
      <c r="E10" s="27">
        <f>SUMIFS(FF!E:E,FF!B:B,A10,FF!C:C,$B$1,FF!F:F,"FF")</f>
        <v>0</v>
      </c>
      <c r="F10" s="27">
        <f>sumifs(Extra!H:H,Extra!B:B,A10,Extra!C:C,$B$1,Extra!I:I,"MoneyBox")</f>
        <v>0</v>
      </c>
      <c r="G10" s="27">
        <f>SUMIFS(Dados!N:N,Dados!F:F,A10,Dados!G:G,$B$1,Dados!D:D,"MoneyBox")</f>
        <v>0</v>
      </c>
      <c r="H10" s="28">
        <f t="shared" si="1"/>
        <v>644.5</v>
      </c>
      <c r="I10" s="27">
        <v>242.05</v>
      </c>
      <c r="J10" s="28">
        <f t="shared" si="2"/>
        <v>402.45</v>
      </c>
    </row>
    <row r="11">
      <c r="A11" s="27">
        <v>9.0</v>
      </c>
      <c r="B11" s="28">
        <f t="shared" si="3"/>
        <v>644.5</v>
      </c>
      <c r="C11" s="27">
        <f>SUMIFS(CloudBed!P:P,CloudBed!U:U,"Money Box",CloudBed!R:R,A11,CloudBed!S:S,$B$1)</f>
        <v>4</v>
      </c>
      <c r="D11" s="27">
        <f>SUMIFS(CloudBed!V:V,CloudBed!AA:AA,"Money Box",CloudBed!X:X,A11,CloudBed!Y:Y,$B$1)</f>
        <v>0</v>
      </c>
      <c r="E11" s="27">
        <f>SUMIFS(FF!E:E,FF!B:B,A11,FF!C:C,$B$1,FF!F:F,"FF")</f>
        <v>0</v>
      </c>
      <c r="F11" s="27">
        <f>sumifs(Extra!H:H,Extra!B:B,A11,Extra!C:C,$B$1,Extra!I:I,"MoneyBox")</f>
        <v>0</v>
      </c>
      <c r="G11" s="27">
        <f>SUMIFS(Dados!N:N,Dados!F:F,A11,Dados!G:G,$B$1,Dados!D:D,"MoneyBox")</f>
        <v>0</v>
      </c>
      <c r="H11" s="28">
        <f t="shared" si="1"/>
        <v>648.5</v>
      </c>
      <c r="I11" s="27">
        <v>168.05</v>
      </c>
      <c r="J11" s="28">
        <f t="shared" si="2"/>
        <v>480.45</v>
      </c>
    </row>
    <row r="12">
      <c r="A12" s="27">
        <v>10.0</v>
      </c>
      <c r="B12" s="28">
        <f t="shared" si="3"/>
        <v>648.5</v>
      </c>
      <c r="C12" s="27">
        <f>SUMIFS(CloudBed!P:P,CloudBed!U:U,"Money Box",CloudBed!R:R,A12,CloudBed!S:S,$B$1)</f>
        <v>10</v>
      </c>
      <c r="D12" s="27">
        <f>SUMIFS(CloudBed!V:V,CloudBed!AA:AA,"Money Box",CloudBed!X:X,A12,CloudBed!Y:Y,$B$1)</f>
        <v>0</v>
      </c>
      <c r="E12" s="27">
        <f>SUMIFS(FF!E:E,FF!B:B,A12,FF!C:C,$B$1,FF!F:F,"FF")</f>
        <v>0</v>
      </c>
      <c r="F12" s="27">
        <f>sumifs(Extra!H:H,Extra!B:B,A12,Extra!C:C,$B$1,Extra!I:I,"MoneyBox")</f>
        <v>0</v>
      </c>
      <c r="G12" s="27">
        <f>SUMIFS(Dados!N:N,Dados!F:F,A12,Dados!G:G,$B$1,Dados!D:D,"MoneyBox")</f>
        <v>0</v>
      </c>
      <c r="H12" s="28">
        <f t="shared" si="1"/>
        <v>658.5</v>
      </c>
      <c r="I12" s="27">
        <v>183.05</v>
      </c>
      <c r="J12" s="28">
        <f t="shared" si="2"/>
        <v>475.45</v>
      </c>
    </row>
    <row r="13">
      <c r="A13" s="27">
        <v>11.0</v>
      </c>
      <c r="B13" s="28">
        <f t="shared" si="3"/>
        <v>658.5</v>
      </c>
      <c r="C13" s="27">
        <f>SUMIFS(CloudBed!P:P,CloudBed!U:U,"Money Box",CloudBed!R:R,A13,CloudBed!S:S,$B$1)</f>
        <v>2</v>
      </c>
      <c r="D13" s="27">
        <f>SUMIFS(CloudBed!V:V,CloudBed!AA:AA,"Money Box",CloudBed!X:X,A13,CloudBed!Y:Y,$B$1)</f>
        <v>80.5</v>
      </c>
      <c r="E13" s="27">
        <f>SUMIFS(FF!E:E,FF!B:B,A13,FF!C:C,$B$1,FF!F:F,"FF")</f>
        <v>0</v>
      </c>
      <c r="F13" s="27">
        <f>sumifs(Extra!H:H,Extra!B:B,A13,Extra!C:C,$B$1,Extra!I:I,"MoneyBox")</f>
        <v>0</v>
      </c>
      <c r="G13" s="27">
        <f>SUMIFS(Dados!N:N,Dados!F:F,A13,Dados!G:G,$B$1,Dados!D:D,"MoneyBox")</f>
        <v>0</v>
      </c>
      <c r="H13" s="28">
        <f t="shared" si="1"/>
        <v>741</v>
      </c>
      <c r="I13" s="27">
        <v>260.08</v>
      </c>
      <c r="J13" s="28">
        <f t="shared" si="2"/>
        <v>480.92</v>
      </c>
    </row>
    <row r="14">
      <c r="A14" s="27">
        <v>12.0</v>
      </c>
      <c r="B14" s="28">
        <f t="shared" si="3"/>
        <v>741</v>
      </c>
      <c r="C14" s="27">
        <f>SUMIFS(CloudBed!P:P,CloudBed!U:U,"Money Box",CloudBed!R:R,A14,CloudBed!S:S,$B$1)</f>
        <v>12</v>
      </c>
      <c r="D14" s="27">
        <f>SUMIFS(CloudBed!V:V,CloudBed!AA:AA,"Money Box",CloudBed!X:X,A14,CloudBed!Y:Y,$B$1)</f>
        <v>72</v>
      </c>
      <c r="E14" s="27">
        <f>SUMIFS(FF!E:E,FF!B:B,A14,FF!C:C,$B$1,FF!F:F,"FF")</f>
        <v>0</v>
      </c>
      <c r="F14" s="27">
        <f>sumifs(Extra!H:H,Extra!B:B,A14,Extra!C:C,$B$1,Extra!I:I,"MoneyBox")</f>
        <v>0</v>
      </c>
      <c r="G14" s="27">
        <f>SUMIFS(Dados!N:N,Dados!F:F,A14,Dados!G:G,$B$1,Dados!D:D,"MoneyBox")</f>
        <v>0</v>
      </c>
      <c r="H14" s="28">
        <f t="shared" si="1"/>
        <v>825</v>
      </c>
      <c r="I14" s="27">
        <v>341.0</v>
      </c>
      <c r="J14" s="28">
        <f t="shared" si="2"/>
        <v>484</v>
      </c>
    </row>
    <row r="15">
      <c r="A15" s="27">
        <v>13.0</v>
      </c>
      <c r="B15" s="28">
        <f t="shared" si="3"/>
        <v>825</v>
      </c>
      <c r="C15" s="27">
        <f>SUMIFS(CloudBed!P:P,CloudBed!U:U,"Money Box",CloudBed!R:R,A15,CloudBed!S:S,$B$1)</f>
        <v>4</v>
      </c>
      <c r="D15" s="27">
        <f>SUMIFS(CloudBed!V:V,CloudBed!AA:AA,"Money Box",CloudBed!X:X,A15,CloudBed!Y:Y,$B$1)</f>
        <v>76.5</v>
      </c>
      <c r="E15" s="27">
        <f>SUMIFS(FF!E:E,FF!B:B,A15,FF!C:C,$B$1,FF!F:F,"FF")</f>
        <v>0</v>
      </c>
      <c r="F15" s="27">
        <f>sumifs(Extra!H:H,Extra!B:B,A15,Extra!C:C,$B$1,Extra!I:I,"MoneyBox")</f>
        <v>0</v>
      </c>
      <c r="G15" s="27">
        <f>SUMIFS(Dados!N:N,Dados!F:F,A15,Dados!G:G,$B$1,Dados!D:D,"MoneyBox")</f>
        <v>0</v>
      </c>
      <c r="H15" s="28">
        <f t="shared" si="1"/>
        <v>905.5</v>
      </c>
      <c r="I15" s="27">
        <v>430.6</v>
      </c>
      <c r="J15" s="28">
        <f t="shared" si="2"/>
        <v>474.9</v>
      </c>
    </row>
    <row r="16">
      <c r="A16" s="27">
        <v>14.0</v>
      </c>
      <c r="B16" s="28">
        <f t="shared" si="3"/>
        <v>905.5</v>
      </c>
      <c r="C16" s="27">
        <f>SUMIFS(CloudBed!P:P,CloudBed!U:U,"Money Box",CloudBed!R:R,A16,CloudBed!S:S,$B$1)</f>
        <v>8</v>
      </c>
      <c r="D16" s="27">
        <f>SUMIFS(CloudBed!V:V,CloudBed!AA:AA,"Money Box",CloudBed!X:X,A16,CloudBed!Y:Y,$B$1)</f>
        <v>0</v>
      </c>
      <c r="E16" s="27">
        <f>SUMIFS(FF!E:E,FF!B:B,A16,FF!C:C,$B$1,FF!F:F,"FF")</f>
        <v>0</v>
      </c>
      <c r="F16" s="27">
        <f>sumifs(Extra!H:H,Extra!B:B,A16,Extra!C:C,$B$1,Extra!I:I,"MoneyBox")</f>
        <v>0</v>
      </c>
      <c r="G16" s="27">
        <f>SUMIFS(Dados!N:N,Dados!F:F,A16,Dados!G:G,$B$1,Dados!D:D,"MoneyBox")</f>
        <v>0</v>
      </c>
      <c r="H16" s="28">
        <f t="shared" si="1"/>
        <v>913.5</v>
      </c>
      <c r="I16" s="27">
        <v>410.69</v>
      </c>
      <c r="J16" s="28">
        <f t="shared" si="2"/>
        <v>502.81</v>
      </c>
    </row>
    <row r="17">
      <c r="A17" s="27">
        <v>15.0</v>
      </c>
      <c r="B17" s="28">
        <f t="shared" si="3"/>
        <v>913.5</v>
      </c>
      <c r="C17" s="27">
        <f>SUMIFS(CloudBed!P:P,CloudBed!U:U,"Money Box",CloudBed!R:R,A17,CloudBed!S:S,$B$1)</f>
        <v>0</v>
      </c>
      <c r="D17" s="27">
        <f>SUMIFS(CloudBed!V:V,CloudBed!AA:AA,"Money Box",CloudBed!X:X,A17,CloudBed!Y:Y,$B$1)</f>
        <v>0</v>
      </c>
      <c r="E17" s="27">
        <f>SUMIFS(FF!E:E,FF!B:B,A17,FF!C:C,$B$1,FF!F:F,"FF")</f>
        <v>40</v>
      </c>
      <c r="F17" s="27">
        <f>sumifs(Extra!H:H,Extra!B:B,A17,Extra!C:C,$B$1,Extra!I:I,"MoneyBox")</f>
        <v>0</v>
      </c>
      <c r="G17" s="27">
        <f>SUMIFS(Dados!N:N,Dados!F:F,A17,Dados!G:G,$B$1,Dados!D:D,"MoneyBox")</f>
        <v>0</v>
      </c>
      <c r="H17" s="28">
        <f t="shared" si="1"/>
        <v>953.5</v>
      </c>
      <c r="I17" s="27">
        <v>451.4</v>
      </c>
      <c r="J17" s="28">
        <f t="shared" si="2"/>
        <v>502.1</v>
      </c>
    </row>
    <row r="18">
      <c r="A18" s="27">
        <v>16.0</v>
      </c>
      <c r="B18" s="28">
        <f t="shared" si="3"/>
        <v>953.5</v>
      </c>
      <c r="C18" s="27">
        <f>SUMIFS(CloudBed!P:P,CloudBed!U:U,"Money Box",CloudBed!R:R,A18,CloudBed!S:S,$B$1)</f>
        <v>6</v>
      </c>
      <c r="D18" s="27">
        <f>SUMIFS(CloudBed!V:V,CloudBed!AA:AA,"Money Box",CloudBed!X:X,A18,CloudBed!Y:Y,$B$1)</f>
        <v>106.25</v>
      </c>
      <c r="E18" s="27">
        <f>SUMIFS(FF!E:E,FF!B:B,A18,FF!C:C,$B$1,FF!F:F,"FF")</f>
        <v>35</v>
      </c>
      <c r="F18" s="27">
        <f>sumifs(Extra!H:H,Extra!B:B,A18,Extra!C:C,$B$1,Extra!I:I,"MoneyBox")</f>
        <v>0</v>
      </c>
      <c r="G18" s="27">
        <f>SUMIFS(Dados!N:N,Dados!F:F,A18,Dados!G:G,$B$1,Dados!D:D,"MoneyBox")</f>
        <v>0</v>
      </c>
      <c r="H18" s="28">
        <f t="shared" si="1"/>
        <v>1100.75</v>
      </c>
      <c r="I18" s="27">
        <v>119.66</v>
      </c>
      <c r="J18" s="28">
        <f t="shared" si="2"/>
        <v>981.09</v>
      </c>
    </row>
    <row r="19">
      <c r="A19" s="27">
        <v>17.0</v>
      </c>
      <c r="B19" s="28">
        <f t="shared" si="3"/>
        <v>1100.75</v>
      </c>
      <c r="C19" s="27">
        <f>SUMIFS(CloudBed!P:P,CloudBed!U:U,"Money Box",CloudBed!R:R,A19,CloudBed!S:S,$B$1)</f>
        <v>16</v>
      </c>
      <c r="D19" s="27">
        <f>SUMIFS(CloudBed!V:V,CloudBed!AA:AA,"Money Box",CloudBed!X:X,A19,CloudBed!Y:Y,$B$1)</f>
        <v>153</v>
      </c>
      <c r="E19" s="27">
        <f>SUMIFS(FF!E:E,FF!B:B,A19,FF!C:C,$B$1,FF!F:F,"FF")</f>
        <v>35</v>
      </c>
      <c r="F19" s="27">
        <f>sumifs(Extra!H:H,Extra!B:B,A19,Extra!C:C,$B$1,Extra!I:I,"MoneyBox")</f>
        <v>0</v>
      </c>
      <c r="G19" s="27">
        <f>SUMIFS(Dados!N:N,Dados!F:F,A19,Dados!G:G,$B$1,Dados!D:D,"MoneyBox")</f>
        <v>0</v>
      </c>
      <c r="H19" s="28">
        <f t="shared" si="1"/>
        <v>1304.75</v>
      </c>
      <c r="I19" s="27">
        <v>380.65</v>
      </c>
      <c r="J19" s="28">
        <f t="shared" si="2"/>
        <v>924.1</v>
      </c>
    </row>
    <row r="20">
      <c r="A20" s="27">
        <v>18.0</v>
      </c>
      <c r="B20" s="28">
        <f t="shared" si="3"/>
        <v>1304.75</v>
      </c>
      <c r="C20" s="27">
        <f>SUMIFS(CloudBed!P:P,CloudBed!U:U,"Money Box",CloudBed!R:R,A20,CloudBed!S:S,$B$1)</f>
        <v>8</v>
      </c>
      <c r="D20" s="27">
        <f>SUMIFS(CloudBed!V:V,CloudBed!AA:AA,"Money Box",CloudBed!X:X,A20,CloudBed!Y:Y,$B$1)</f>
        <v>34</v>
      </c>
      <c r="E20" s="27">
        <f>SUMIFS(FF!E:E,FF!B:B,A20,FF!C:C,$B$1,FF!F:F,"FF")</f>
        <v>35</v>
      </c>
      <c r="F20" s="27">
        <f>sumifs(Extra!H:H,Extra!B:B,A20,Extra!C:C,$B$1,Extra!I:I,"MoneyBox")</f>
        <v>0</v>
      </c>
      <c r="G20" s="27">
        <f>SUMIFS(Dados!N:N,Dados!F:F,A20,Dados!G:G,$B$1,Dados!D:D,"MoneyBox")</f>
        <v>0</v>
      </c>
      <c r="H20" s="28">
        <f t="shared" si="1"/>
        <v>1381.75</v>
      </c>
      <c r="I20" s="27">
        <v>455.55</v>
      </c>
      <c r="J20" s="28">
        <f t="shared" si="2"/>
        <v>926.2</v>
      </c>
    </row>
    <row r="21" ht="15.75" customHeight="1">
      <c r="A21" s="27">
        <v>19.0</v>
      </c>
      <c r="B21" s="28">
        <f t="shared" si="3"/>
        <v>1381.75</v>
      </c>
      <c r="C21" s="27">
        <f>SUMIFS(CloudBed!P:P,CloudBed!U:U,"Money Box",CloudBed!R:R,A21,CloudBed!S:S,$B$1)</f>
        <v>0</v>
      </c>
      <c r="D21" s="27">
        <f>SUMIFS(CloudBed!V:V,CloudBed!AA:AA,"Money Box",CloudBed!X:X,A21,CloudBed!Y:Y,$B$1)</f>
        <v>0</v>
      </c>
      <c r="E21" s="27">
        <f>SUMIFS(FF!E:E,FF!B:B,A21,FF!C:C,$B$1,FF!F:F,"FF")</f>
        <v>70</v>
      </c>
      <c r="F21" s="27">
        <f>sumifs(Extra!H:H,Extra!B:B,A21,Extra!C:C,$B$1,Extra!I:I,"MoneyBox")</f>
        <v>0</v>
      </c>
      <c r="G21" s="27">
        <f>SUMIFS(Dados!N:N,Dados!F:F,A21,Dados!G:G,$B$1,Dados!D:D,"MoneyBox")</f>
        <v>0</v>
      </c>
      <c r="H21" s="28">
        <f t="shared" si="1"/>
        <v>1451.75</v>
      </c>
      <c r="I21" s="27">
        <v>548.19</v>
      </c>
      <c r="J21" s="28">
        <f t="shared" si="2"/>
        <v>903.56</v>
      </c>
    </row>
    <row r="22" ht="15.75" customHeight="1">
      <c r="A22" s="27">
        <v>20.0</v>
      </c>
      <c r="B22" s="28">
        <f t="shared" si="3"/>
        <v>1451.75</v>
      </c>
      <c r="C22" s="27">
        <f>SUMIFS(CloudBed!P:P,CloudBed!U:U,"Money Box",CloudBed!R:R,A22,CloudBed!S:S,$B$1)</f>
        <v>4</v>
      </c>
      <c r="D22" s="27">
        <f>SUMIFS(CloudBed!V:V,CloudBed!AA:AA,"Money Box",CloudBed!X:X,A22,CloudBed!Y:Y,$B$1)</f>
        <v>38.25</v>
      </c>
      <c r="E22" s="27">
        <f>SUMIFS(FF!E:E,FF!B:B,A22,FF!C:C,$B$1,FF!F:F,"FF")</f>
        <v>0</v>
      </c>
      <c r="F22" s="27">
        <f>sumifs(Extra!H:H,Extra!B:B,A22,Extra!C:C,$B$1,Extra!I:I,"MoneyBox")</f>
        <v>0</v>
      </c>
      <c r="G22" s="27">
        <f>SUMIFS(Dados!N:N,Dados!F:F,A22,Dados!G:G,$B$1,Dados!D:D,"MoneyBox")</f>
        <v>0</v>
      </c>
      <c r="H22" s="28">
        <f t="shared" si="1"/>
        <v>1494</v>
      </c>
      <c r="I22" s="27">
        <v>592.5</v>
      </c>
      <c r="J22" s="28">
        <f t="shared" si="2"/>
        <v>901.5</v>
      </c>
    </row>
    <row r="23" ht="15.75" customHeight="1">
      <c r="A23" s="27">
        <v>21.0</v>
      </c>
      <c r="B23" s="28">
        <f t="shared" si="3"/>
        <v>1494</v>
      </c>
      <c r="C23" s="27">
        <f>SUMIFS(CloudBed!P:P,CloudBed!U:U,"Money Box",CloudBed!R:R,A23,CloudBed!S:S,$B$1)</f>
        <v>2</v>
      </c>
      <c r="D23" s="27">
        <f>SUMIFS(CloudBed!V:V,CloudBed!AA:AA,"Money Box",CloudBed!X:X,A23,CloudBed!Y:Y,$B$1)</f>
        <v>38.25</v>
      </c>
      <c r="E23" s="27">
        <f>SUMIFS(FF!E:E,FF!B:B,A23,FF!C:C,$B$1,FF!F:F,"FF")</f>
        <v>0</v>
      </c>
      <c r="F23" s="27">
        <f>sumifs(Extra!H:H,Extra!B:B,A23,Extra!C:C,$B$1,Extra!I:I,"MoneyBox")</f>
        <v>0</v>
      </c>
      <c r="G23" s="27">
        <f>SUMIFS(Dados!N:N,Dados!F:F,A23,Dados!G:G,$B$1,Dados!D:D,"MoneyBox")</f>
        <v>0</v>
      </c>
      <c r="H23" s="28">
        <f t="shared" si="1"/>
        <v>1534.25</v>
      </c>
      <c r="I23" s="27">
        <v>605.72</v>
      </c>
      <c r="J23" s="28">
        <f t="shared" si="2"/>
        <v>928.53</v>
      </c>
    </row>
    <row r="24" ht="15.75" customHeight="1">
      <c r="A24" s="27">
        <v>22.0</v>
      </c>
      <c r="B24" s="28">
        <f t="shared" si="3"/>
        <v>1534.25</v>
      </c>
      <c r="C24" s="27">
        <f>SUMIFS(CloudBed!P:P,CloudBed!U:U,"Money Box",CloudBed!R:R,A24,CloudBed!S:S,$B$1)</f>
        <v>0</v>
      </c>
      <c r="D24" s="27">
        <f>SUMIFS(CloudBed!V:V,CloudBed!AA:AA,"Money Box",CloudBed!X:X,A24,CloudBed!Y:Y,$B$1)</f>
        <v>0</v>
      </c>
      <c r="E24" s="27">
        <f>SUMIFS(FF!E:E,FF!B:B,A24,FF!C:C,$B$1,FF!F:F,"FF")</f>
        <v>95</v>
      </c>
      <c r="F24" s="27">
        <f>sumifs(Extra!H:H,Extra!B:B,A24,Extra!C:C,$B$1,Extra!I:I,"MoneyBox")</f>
        <v>0</v>
      </c>
      <c r="G24" s="27">
        <f>SUMIFS(Dados!N:N,Dados!F:F,A24,Dados!G:G,$B$1,Dados!D:D,"MoneyBox")</f>
        <v>0</v>
      </c>
      <c r="H24" s="28">
        <f t="shared" si="1"/>
        <v>1629.25</v>
      </c>
      <c r="I24" s="27">
        <v>154.92</v>
      </c>
      <c r="J24" s="28">
        <f t="shared" si="2"/>
        <v>1474.33</v>
      </c>
    </row>
    <row r="25" ht="15.75" customHeight="1">
      <c r="A25" s="27">
        <v>23.0</v>
      </c>
      <c r="B25" s="28">
        <f t="shared" si="3"/>
        <v>1629.25</v>
      </c>
      <c r="C25" s="27">
        <f>SUMIFS(CloudBed!P:P,CloudBed!U:U,"Money Box",CloudBed!R:R,A25,CloudBed!S:S,$B$1)</f>
        <v>2</v>
      </c>
      <c r="D25" s="27">
        <f>SUMIFS(CloudBed!V:V,CloudBed!AA:AA,"Money Box",CloudBed!X:X,A25,CloudBed!Y:Y,$B$1)</f>
        <v>38.25</v>
      </c>
      <c r="E25" s="27">
        <f>SUMIFS(FF!E:E,FF!B:B,A25,FF!C:C,$B$1,FF!F:F,"FF")</f>
        <v>35</v>
      </c>
      <c r="F25" s="27">
        <f>sumifs(Extra!H:H,Extra!B:B,A25,Extra!C:C,$B$1,Extra!I:I,"MoneyBox")</f>
        <v>0</v>
      </c>
      <c r="G25" s="27">
        <f>SUMIFS(Dados!N:N,Dados!F:F,A25,Dados!G:G,$B$1,Dados!D:D,"MoneyBox")</f>
        <v>0</v>
      </c>
      <c r="H25" s="28">
        <f t="shared" si="1"/>
        <v>1704.5</v>
      </c>
      <c r="I25" s="27">
        <v>228.0</v>
      </c>
      <c r="J25" s="28">
        <f t="shared" si="2"/>
        <v>1476.5</v>
      </c>
    </row>
    <row r="26" ht="15.75" customHeight="1">
      <c r="A26" s="27">
        <v>24.0</v>
      </c>
      <c r="B26" s="28">
        <f t="shared" si="3"/>
        <v>1704.5</v>
      </c>
      <c r="C26" s="27">
        <f>SUMIFS(CloudBed!P:P,CloudBed!U:U,"Money Box",CloudBed!R:R,A26,CloudBed!S:S,$B$1)</f>
        <v>2</v>
      </c>
      <c r="D26" s="27">
        <f>SUMIFS(CloudBed!V:V,CloudBed!AA:AA,"Money Box",CloudBed!X:X,A26,CloudBed!Y:Y,$B$1)</f>
        <v>29.75</v>
      </c>
      <c r="E26" s="27">
        <f>SUMIFS(FF!E:E,FF!B:B,A26,FF!C:C,$B$1,FF!F:F,"FF")</f>
        <v>0</v>
      </c>
      <c r="F26" s="27">
        <f>sumifs(Extra!H:H,Extra!B:B,A26,Extra!C:C,$B$1,Extra!I:I,"MoneyBox")</f>
        <v>0</v>
      </c>
      <c r="G26" s="27">
        <f>SUMIFS(Dados!N:N,Dados!F:F,A26,Dados!G:G,$B$1,Dados!D:D,"MoneyBox")</f>
        <v>0</v>
      </c>
      <c r="H26" s="28">
        <f t="shared" si="1"/>
        <v>1736.25</v>
      </c>
      <c r="I26" s="27">
        <v>266.62</v>
      </c>
      <c r="J26" s="28">
        <f t="shared" si="2"/>
        <v>1469.63</v>
      </c>
    </row>
    <row r="27" ht="15.75" customHeight="1">
      <c r="A27" s="27">
        <v>25.0</v>
      </c>
      <c r="B27" s="28">
        <f t="shared" si="3"/>
        <v>1736.25</v>
      </c>
      <c r="C27" s="27">
        <f>SUMIFS(CloudBed!P:P,CloudBed!U:U,"Money Box",CloudBed!R:R,A27,CloudBed!S:S,$B$1)</f>
        <v>10</v>
      </c>
      <c r="D27" s="27">
        <f>SUMIFS(CloudBed!V:V,CloudBed!AA:AA,"Money Box",CloudBed!X:X,A27,CloudBed!Y:Y,$B$1)</f>
        <v>0</v>
      </c>
      <c r="E27" s="27">
        <f>SUMIFS(FF!E:E,FF!B:B,A27,FF!C:C,$B$1,FF!F:F,"FF")</f>
        <v>0</v>
      </c>
      <c r="F27" s="27">
        <f>sumifs(Extra!H:H,Extra!B:B,A27,Extra!C:C,$B$1,Extra!I:I,"MoneyBox")</f>
        <v>0</v>
      </c>
      <c r="G27" s="27">
        <f>SUMIFS(Dados!N:N,Dados!F:F,A27,Dados!G:G,$B$1,Dados!D:D,"MoneyBox")</f>
        <v>0</v>
      </c>
      <c r="H27" s="28">
        <f t="shared" si="1"/>
        <v>1746.25</v>
      </c>
      <c r="I27" s="27">
        <v>289.67</v>
      </c>
      <c r="J27" s="28">
        <f t="shared" si="2"/>
        <v>1456.58</v>
      </c>
    </row>
    <row r="28" ht="15.75" customHeight="1">
      <c r="A28" s="27">
        <v>26.0</v>
      </c>
      <c r="B28" s="28">
        <f t="shared" si="3"/>
        <v>1746.25</v>
      </c>
      <c r="C28" s="27">
        <f>SUMIFS(CloudBed!P:P,CloudBed!U:U,"Money Box",CloudBed!R:R,A28,CloudBed!S:S,$B$1)</f>
        <v>0</v>
      </c>
      <c r="D28" s="27">
        <f>SUMIFS(CloudBed!V:V,CloudBed!AA:AA,"Money Box",CloudBed!X:X,A28,CloudBed!Y:Y,$B$1)</f>
        <v>0</v>
      </c>
      <c r="E28" s="27">
        <f>SUMIFS(FF!E:E,FF!B:B,A28,FF!C:C,$B$1,FF!F:F,"FF")</f>
        <v>126</v>
      </c>
      <c r="F28" s="27">
        <f>sumifs(Extra!H:H,Extra!B:B,A28,Extra!C:C,$B$1,Extra!I:I,"MoneyBox")</f>
        <v>0</v>
      </c>
      <c r="G28" s="27">
        <f>SUMIFS(Dados!N:N,Dados!F:F,A28,Dados!G:G,$B$1,Dados!D:D,"MoneyBox")</f>
        <v>0</v>
      </c>
      <c r="H28" s="28">
        <f t="shared" si="1"/>
        <v>1872.25</v>
      </c>
      <c r="I28" s="27">
        <v>339.0</v>
      </c>
      <c r="J28" s="28">
        <f t="shared" si="2"/>
        <v>1533.25</v>
      </c>
    </row>
    <row r="29" ht="15.75" customHeight="1">
      <c r="A29" s="27">
        <v>27.0</v>
      </c>
      <c r="B29" s="28">
        <f t="shared" si="3"/>
        <v>1872.25</v>
      </c>
      <c r="C29" s="27">
        <f>SUMIFS(CloudBed!P:P,CloudBed!U:U,"Money Box",CloudBed!R:R,A29,CloudBed!S:S,$B$1)</f>
        <v>8</v>
      </c>
      <c r="D29" s="27">
        <f>SUMIFS(CloudBed!V:V,CloudBed!AA:AA,"Money Box",CloudBed!X:X,A29,CloudBed!Y:Y,$B$1)</f>
        <v>0</v>
      </c>
      <c r="E29" s="27">
        <f>SUMIFS(FF!E:E,FF!B:B,A29,FF!C:C,$B$1,FF!F:F,"FF")</f>
        <v>0</v>
      </c>
      <c r="F29" s="27">
        <f>sumifs(Extra!H:H,Extra!B:B,A29,Extra!C:C,$B$1,Extra!I:I,"MoneyBox")</f>
        <v>0</v>
      </c>
      <c r="G29" s="27">
        <f>SUMIFS(Dados!N:N,Dados!F:F,A29,Dados!G:G,$B$1,Dados!D:D,"MoneyBox")</f>
        <v>0</v>
      </c>
      <c r="H29" s="28">
        <f t="shared" si="1"/>
        <v>1880.25</v>
      </c>
      <c r="I29" s="27">
        <v>388.0</v>
      </c>
      <c r="J29" s="28">
        <f t="shared" si="2"/>
        <v>1492.25</v>
      </c>
    </row>
    <row r="30" ht="15.75" customHeight="1">
      <c r="A30" s="27">
        <v>28.0</v>
      </c>
      <c r="B30" s="28">
        <f t="shared" si="3"/>
        <v>1880.25</v>
      </c>
      <c r="C30" s="27">
        <f>SUMIFS(CloudBed!P:P,CloudBed!U:U,"Money Box",CloudBed!R:R,A30,CloudBed!S:S,$B$1)</f>
        <v>44</v>
      </c>
      <c r="D30" s="27">
        <f>SUMIFS(CloudBed!V:V,CloudBed!AA:AA,"Money Box",CloudBed!X:X,A30,CloudBed!Y:Y,$B$1)</f>
        <v>306</v>
      </c>
      <c r="E30" s="27">
        <f>SUMIFS(FF!E:E,FF!B:B,A30,FF!C:C,$B$1,FF!F:F,"FF")</f>
        <v>0</v>
      </c>
      <c r="F30" s="27">
        <f>sumifs(Extra!H:H,Extra!B:B,A30,Extra!C:C,$B$1,Extra!I:I,"MoneyBox")</f>
        <v>0</v>
      </c>
      <c r="G30" s="27">
        <f>SUMIFS(Dados!N:N,Dados!F:F,A30,Dados!G:G,$B$1,Dados!D:D,"MoneyBox")</f>
        <v>0</v>
      </c>
      <c r="H30" s="28">
        <f t="shared" si="1"/>
        <v>2230.25</v>
      </c>
      <c r="I30" s="27">
        <v>299.72</v>
      </c>
      <c r="J30" s="28">
        <f t="shared" si="2"/>
        <v>1930.53</v>
      </c>
    </row>
    <row r="31" ht="15.75" customHeight="1">
      <c r="A31" s="27">
        <v>29.0</v>
      </c>
      <c r="B31" s="28">
        <f t="shared" si="3"/>
        <v>2230.25</v>
      </c>
      <c r="C31" s="27">
        <f>SUMIFS(CloudBed!P:P,CloudBed!U:U,"Money Box",CloudBed!R:R,A31,CloudBed!S:S,$B$1)</f>
        <v>0</v>
      </c>
      <c r="D31" s="27">
        <f>SUMIFS(CloudBed!V:V,CloudBed!AA:AA,"Money Box",CloudBed!X:X,A31,CloudBed!Y:Y,$B$1)</f>
        <v>0</v>
      </c>
      <c r="E31" s="27">
        <f>SUMIFS(FF!E:E,FF!B:B,A31,FF!C:C,$B$1,FF!F:F,"FF")</f>
        <v>0</v>
      </c>
      <c r="F31" s="27">
        <f>sumifs(Extra!H:H,Extra!B:B,A31,Extra!C:C,$B$1,Extra!I:I,"MoneyBox")</f>
        <v>0</v>
      </c>
      <c r="G31" s="27">
        <f>SUMIFS(Dados!N:N,Dados!F:F,A31,Dados!G:G,$B$1,Dados!D:D,"MoneyBox")</f>
        <v>0</v>
      </c>
      <c r="H31" s="28">
        <f t="shared" si="1"/>
        <v>2230.25</v>
      </c>
      <c r="I31" s="27">
        <v>276.0</v>
      </c>
      <c r="J31" s="28">
        <f t="shared" si="2"/>
        <v>1954.25</v>
      </c>
    </row>
    <row r="32" ht="15.75" customHeight="1">
      <c r="A32" s="27">
        <v>30.0</v>
      </c>
      <c r="B32" s="28">
        <f t="shared" si="3"/>
        <v>2230.25</v>
      </c>
      <c r="C32" s="27">
        <f>SUMIFS(CloudBed!P:P,CloudBed!U:U,"Money Box",CloudBed!R:R,A32,CloudBed!S:S,$B$1)</f>
        <v>2</v>
      </c>
      <c r="D32" s="27">
        <f>SUMIFS(CloudBed!V:V,CloudBed!AA:AA,"Money Box",CloudBed!X:X,A32,CloudBed!Y:Y,$B$1)</f>
        <v>38.25</v>
      </c>
      <c r="E32" s="27">
        <f>SUMIFS(FF!E:E,FF!B:B,A32,FF!C:C,$B$1,FF!F:F,"FF")</f>
        <v>0</v>
      </c>
      <c r="F32" s="27">
        <f>sumifs(Extra!H:H,Extra!B:B,A32,Extra!C:C,$B$1,Extra!I:I,"MoneyBox")</f>
        <v>0</v>
      </c>
      <c r="G32" s="27">
        <f>SUMIFS(Dados!N:N,Dados!F:F,A32,Dados!G:G,$B$1,Dados!D:D,"MoneyBox")</f>
        <v>0</v>
      </c>
      <c r="H32" s="28">
        <f t="shared" si="1"/>
        <v>2270.5</v>
      </c>
      <c r="I32" s="27">
        <v>288.92</v>
      </c>
      <c r="J32" s="28">
        <f t="shared" si="2"/>
        <v>1981.58</v>
      </c>
    </row>
    <row r="33" ht="15.75" customHeight="1">
      <c r="A33" s="27">
        <v>31.0</v>
      </c>
      <c r="B33" s="28">
        <f t="shared" si="3"/>
        <v>2270.5</v>
      </c>
      <c r="C33" s="27">
        <f>SUMIFS(CloudBed!P:P,CloudBed!U:U,"Money Box",CloudBed!R:R,A33,CloudBed!S:S,$B$1)</f>
        <v>0</v>
      </c>
      <c r="D33" s="27">
        <f>SUMIFS(CloudBed!V:V,CloudBed!AA:AA,"Money Box",CloudBed!X:X,A33,CloudBed!Y:Y,$B$1)</f>
        <v>0</v>
      </c>
      <c r="E33" s="27">
        <f>SUMIFS(FF!E:E,FF!B:B,A33,FF!C:C,$B$1,FF!F:F,"FF")</f>
        <v>70</v>
      </c>
      <c r="F33" s="27">
        <f>sumifs(Extra!H:H,Extra!B:B,A33,Extra!C:C,$B$1,Extra!I:I,"MoneyBox")</f>
        <v>0</v>
      </c>
      <c r="G33" s="27">
        <f>SUMIFS(Dados!N:N,Dados!F:F,A33,Dados!G:G,$B$1,Dados!D:D,"MoneyBox")</f>
        <v>0</v>
      </c>
      <c r="H33" s="28">
        <f t="shared" si="1"/>
        <v>2340.5</v>
      </c>
      <c r="I33" s="27">
        <v>369.42</v>
      </c>
      <c r="J33" s="28">
        <f t="shared" si="2"/>
        <v>1971.08</v>
      </c>
    </row>
    <row r="34" ht="15.75" customHeight="1">
      <c r="A34" s="27" t="s">
        <v>6</v>
      </c>
      <c r="B34" s="28">
        <f>B3</f>
        <v>80</v>
      </c>
      <c r="C34" s="27">
        <f t="shared" ref="C34:G34" si="4">SUM(C3:C33)</f>
        <v>176</v>
      </c>
      <c r="D34" s="27">
        <f t="shared" si="4"/>
        <v>1413.5</v>
      </c>
      <c r="E34" s="27">
        <f t="shared" si="4"/>
        <v>671</v>
      </c>
      <c r="F34" s="27">
        <f t="shared" si="4"/>
        <v>0</v>
      </c>
      <c r="G34" s="27">
        <f t="shared" si="4"/>
        <v>0</v>
      </c>
      <c r="H34" s="28">
        <f t="shared" si="1"/>
        <v>2340.5</v>
      </c>
      <c r="I34" s="18">
        <v>369.42</v>
      </c>
      <c r="J34" s="28">
        <f t="shared" si="2"/>
        <v>1971.08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</cols>
  <sheetData>
    <row r="1">
      <c r="A1" s="27" t="s">
        <v>219</v>
      </c>
      <c r="B1" s="27">
        <v>6.0</v>
      </c>
      <c r="C1" s="27"/>
      <c r="D1" s="27"/>
      <c r="E1" s="27"/>
      <c r="F1" s="27"/>
      <c r="G1" s="27"/>
      <c r="H1" s="27"/>
    </row>
    <row r="2">
      <c r="A2" s="27" t="s">
        <v>223</v>
      </c>
      <c r="B2" s="27" t="s">
        <v>224</v>
      </c>
      <c r="C2" s="27" t="s">
        <v>225</v>
      </c>
      <c r="D2" s="27" t="s">
        <v>226</v>
      </c>
      <c r="E2" s="27" t="s">
        <v>87</v>
      </c>
      <c r="F2" s="27" t="s">
        <v>110</v>
      </c>
      <c r="G2" s="27" t="s">
        <v>227</v>
      </c>
      <c r="H2" s="27" t="s">
        <v>228</v>
      </c>
      <c r="I2" s="27" t="s">
        <v>229</v>
      </c>
      <c r="J2" s="27" t="s">
        <v>88</v>
      </c>
    </row>
    <row r="3">
      <c r="A3" s="27">
        <v>1.0</v>
      </c>
      <c r="B3" s="18">
        <f>'Daily cash flow 05-2026'!H34</f>
        <v>2340.5</v>
      </c>
      <c r="C3" s="27">
        <f>SUMIFS(CloudBed!P:P,CloudBed!U:U,"Money Box",CloudBed!R:R,A3,CloudBed!S:S,$B$1)</f>
        <v>78</v>
      </c>
      <c r="D3" s="27">
        <f>SUMIFS(CloudBed!V:V,CloudBed!AA:AA,"Money Box",CloudBed!X:X,A3,CloudBed!Y:Y,$B$1)</f>
        <v>0</v>
      </c>
      <c r="E3" s="27">
        <f>SUMIFS(FF!E:E,FF!B:B,A3,FF!C:C,$B$1,FF!F:F,"FF")</f>
        <v>70</v>
      </c>
      <c r="F3" s="27">
        <f>sumifs(Extra!H:H,Extra!B:B,A3,Extra!C:C,$B$1,Extra!I:I,"MoneyBox")</f>
        <v>0</v>
      </c>
      <c r="G3" s="27">
        <f>SUMIFS(Dados!N:N,Dados!F:F,A3,Dados!G:G,$B$1,Dados!D:D,"MoneyBox")</f>
        <v>0</v>
      </c>
      <c r="H3" s="28">
        <f t="shared" ref="H3:H34" si="1">B3+D3+C3+F3+E3-G3</f>
        <v>2488.5</v>
      </c>
      <c r="I3" s="27">
        <v>647.17</v>
      </c>
      <c r="J3" s="28">
        <f t="shared" ref="J3:J34" si="2">H3-I3</f>
        <v>1841.33</v>
      </c>
    </row>
    <row r="4">
      <c r="A4" s="27">
        <v>2.0</v>
      </c>
      <c r="B4" s="28">
        <f t="shared" ref="B4:B33" si="3">H3</f>
        <v>2488.5</v>
      </c>
      <c r="C4" s="27">
        <f>SUMIFS(CloudBed!P:P,CloudBed!U:U,"Money Box",CloudBed!R:R,A4,CloudBed!S:S,$B$1)</f>
        <v>10</v>
      </c>
      <c r="D4" s="27">
        <f>SUMIFS(CloudBed!V:V,CloudBed!AA:AA,"Money Box",CloudBed!X:X,A4,CloudBed!Y:Y,$B$1)</f>
        <v>153</v>
      </c>
      <c r="E4" s="27">
        <f>SUMIFS(FF!E:E,FF!B:B,A4,FF!C:C,$B$1,FF!F:F,"FF")</f>
        <v>0</v>
      </c>
      <c r="F4" s="27">
        <f>sumifs(Extra!H:H,Extra!B:B,A4,Extra!C:C,$B$1,Extra!I:I,"MoneyBox")</f>
        <v>0</v>
      </c>
      <c r="G4" s="27">
        <f>SUMIFS(Dados!N:N,Dados!F:F,A4,Dados!G:G,$B$1,Dados!D:D,"MoneyBox")</f>
        <v>0</v>
      </c>
      <c r="H4" s="28">
        <f t="shared" si="1"/>
        <v>2651.5</v>
      </c>
      <c r="I4" s="27">
        <v>724.52</v>
      </c>
      <c r="J4" s="28">
        <f t="shared" si="2"/>
        <v>1926.98</v>
      </c>
    </row>
    <row r="5">
      <c r="A5" s="27">
        <v>3.0</v>
      </c>
      <c r="B5" s="28">
        <f t="shared" si="3"/>
        <v>2651.5</v>
      </c>
      <c r="C5" s="27">
        <f>SUMIFS(CloudBed!P:P,CloudBed!U:U,"Money Box",CloudBed!R:R,A5,CloudBed!S:S,$B$1)</f>
        <v>4</v>
      </c>
      <c r="D5" s="27">
        <f>SUMIFS(CloudBed!V:V,CloudBed!AA:AA,"Money Box",CloudBed!X:X,A5,CloudBed!Y:Y,$B$1)</f>
        <v>54.4</v>
      </c>
      <c r="E5" s="27">
        <f>SUMIFS(FF!E:E,FF!B:B,A5,FF!C:C,$B$1,FF!F:F,"FF")</f>
        <v>97.5</v>
      </c>
      <c r="F5" s="27">
        <f>sumifs(Extra!H:H,Extra!B:B,A5,Extra!C:C,$B$1,Extra!I:I,"MoneyBox")</f>
        <v>0</v>
      </c>
      <c r="G5" s="27">
        <f>SUMIFS(Dados!N:N,Dados!F:F,A5,Dados!G:G,$B$1,Dados!D:D,"MoneyBox")</f>
        <v>0</v>
      </c>
      <c r="H5" s="28">
        <f t="shared" si="1"/>
        <v>2807.4</v>
      </c>
      <c r="I5" s="27">
        <v>835.12</v>
      </c>
      <c r="J5" s="28">
        <f t="shared" si="2"/>
        <v>1972.28</v>
      </c>
    </row>
    <row r="6">
      <c r="A6" s="27">
        <v>4.0</v>
      </c>
      <c r="B6" s="28">
        <f t="shared" si="3"/>
        <v>2807.4</v>
      </c>
      <c r="C6" s="27">
        <f>SUMIFS(CloudBed!P:P,CloudBed!U:U,"Money Box",CloudBed!R:R,A6,CloudBed!S:S,$B$1)</f>
        <v>12</v>
      </c>
      <c r="D6" s="27">
        <f>SUMIFS(CloudBed!V:V,CloudBed!AA:AA,"Money Box",CloudBed!X:X,A6,CloudBed!Y:Y,$B$1)</f>
        <v>184.45</v>
      </c>
      <c r="E6" s="27">
        <f>SUMIFS(FF!E:E,FF!B:B,A6,FF!C:C,$B$1,FF!F:F,"FF")</f>
        <v>96</v>
      </c>
      <c r="F6" s="27">
        <f>sumifs(Extra!H:H,Extra!B:B,A6,Extra!C:C,$B$1,Extra!I:I,"MoneyBox")</f>
        <v>0</v>
      </c>
      <c r="G6" s="27">
        <f>SUMIFS(Dados!N:N,Dados!F:F,A6,Dados!G:G,$B$1,Dados!D:D,"MoneyBox")</f>
        <v>0</v>
      </c>
      <c r="H6" s="28">
        <f t="shared" si="1"/>
        <v>3099.85</v>
      </c>
      <c r="I6" s="27">
        <v>341.57</v>
      </c>
      <c r="J6" s="28">
        <f t="shared" si="2"/>
        <v>2758.28</v>
      </c>
    </row>
    <row r="7">
      <c r="A7" s="27">
        <v>5.0</v>
      </c>
      <c r="B7" s="28">
        <f t="shared" si="3"/>
        <v>3099.85</v>
      </c>
      <c r="C7" s="27">
        <f>SUMIFS(CloudBed!P:P,CloudBed!U:U,"Money Box",CloudBed!R:R,A7,CloudBed!S:S,$B$1)</f>
        <v>0</v>
      </c>
      <c r="D7" s="27">
        <f>SUMIFS(CloudBed!V:V,CloudBed!AA:AA,"Money Box",CloudBed!X:X,A7,CloudBed!Y:Y,$B$1)</f>
        <v>0</v>
      </c>
      <c r="E7" s="27">
        <f>SUMIFS(FF!E:E,FF!B:B,A7,FF!C:C,$B$1,FF!F:F,"FF")</f>
        <v>34</v>
      </c>
      <c r="F7" s="27">
        <f>sumifs(Extra!H:H,Extra!B:B,A7,Extra!C:C,$B$1,Extra!I:I,"MoneyBox")</f>
        <v>0</v>
      </c>
      <c r="G7" s="27">
        <f>SUMIFS(Dados!N:N,Dados!F:F,A7,Dados!G:G,$B$1,Dados!D:D,"MoneyBox")</f>
        <v>0</v>
      </c>
      <c r="H7" s="28">
        <f t="shared" si="1"/>
        <v>3133.85</v>
      </c>
      <c r="I7" s="27">
        <v>388.52</v>
      </c>
      <c r="J7" s="28">
        <f t="shared" si="2"/>
        <v>2745.33</v>
      </c>
    </row>
    <row r="8">
      <c r="A8" s="27">
        <v>6.0</v>
      </c>
      <c r="B8" s="28">
        <f t="shared" si="3"/>
        <v>3133.85</v>
      </c>
      <c r="C8" s="27">
        <f>SUMIFS(CloudBed!P:P,CloudBed!U:U,"Money Box",CloudBed!R:R,A8,CloudBed!S:S,$B$1)</f>
        <v>8</v>
      </c>
      <c r="D8" s="27">
        <f>SUMIFS(CloudBed!V:V,CloudBed!AA:AA,"Money Box",CloudBed!X:X,A8,CloudBed!Y:Y,$B$1)</f>
        <v>144.2</v>
      </c>
      <c r="E8" s="27">
        <f>SUMIFS(FF!E:E,FF!B:B,A8,FF!C:C,$B$1,FF!F:F,"FF")</f>
        <v>0</v>
      </c>
      <c r="F8" s="27">
        <f>sumifs(Extra!H:H,Extra!B:B,A8,Extra!C:C,$B$1,Extra!I:I,"MoneyBox")</f>
        <v>0</v>
      </c>
      <c r="G8" s="27">
        <f>SUMIFS(Dados!N:N,Dados!F:F,A8,Dados!G:G,$B$1,Dados!D:D,"MoneyBox")</f>
        <v>0</v>
      </c>
      <c r="H8" s="28">
        <f t="shared" si="1"/>
        <v>3286.05</v>
      </c>
      <c r="I8" s="27">
        <v>525.72</v>
      </c>
      <c r="J8" s="28">
        <f t="shared" si="2"/>
        <v>2760.33</v>
      </c>
    </row>
    <row r="9">
      <c r="A9" s="27">
        <v>7.0</v>
      </c>
      <c r="B9" s="28">
        <f t="shared" si="3"/>
        <v>3286.05</v>
      </c>
      <c r="C9" s="27">
        <f>SUMIFS(CloudBed!P:P,CloudBed!U:U,"Money Box",CloudBed!R:R,A9,CloudBed!S:S,$B$1)</f>
        <v>6</v>
      </c>
      <c r="D9" s="27">
        <f>SUMIFS(CloudBed!V:V,CloudBed!AA:AA,"Money Box",CloudBed!X:X,A9,CloudBed!Y:Y,$B$1)</f>
        <v>89.25</v>
      </c>
      <c r="E9" s="27">
        <f>SUMIFS(FF!E:E,FF!B:B,A9,FF!C:C,$B$1,FF!F:F,"FF")</f>
        <v>0</v>
      </c>
      <c r="F9" s="27">
        <f>sumifs(Extra!H:H,Extra!B:B,A9,Extra!C:C,$B$1,Extra!I:I,"MoneyBox")</f>
        <v>0</v>
      </c>
      <c r="G9" s="27">
        <f>SUMIFS(Dados!N:N,Dados!F:F,A9,Dados!G:G,$B$1,Dados!D:D,"MoneyBox")</f>
        <v>0</v>
      </c>
      <c r="H9" s="28">
        <f t="shared" si="1"/>
        <v>3381.3</v>
      </c>
      <c r="I9" s="27">
        <v>136.9</v>
      </c>
      <c r="J9" s="28">
        <f t="shared" si="2"/>
        <v>3244.4</v>
      </c>
    </row>
    <row r="10">
      <c r="A10" s="27">
        <v>8.0</v>
      </c>
      <c r="B10" s="28">
        <f t="shared" si="3"/>
        <v>3381.3</v>
      </c>
      <c r="C10" s="27">
        <f>SUMIFS(CloudBed!P:P,CloudBed!U:U,"Money Box",CloudBed!R:R,A10,CloudBed!S:S,$B$1)</f>
        <v>4</v>
      </c>
      <c r="D10" s="27">
        <f>SUMIFS(CloudBed!V:V,CloudBed!AA:AA,"Money Box",CloudBed!X:X,A10,CloudBed!Y:Y,$B$1)</f>
        <v>73.95</v>
      </c>
      <c r="E10" s="27">
        <f>SUMIFS(FF!E:E,FF!B:B,A10,FF!C:C,$B$1,FF!F:F,"FF")</f>
        <v>0</v>
      </c>
      <c r="F10" s="27">
        <f>sumifs(Extra!H:H,Extra!B:B,A10,Extra!C:C,$B$1,Extra!I:I,"MoneyBox")</f>
        <v>0</v>
      </c>
      <c r="G10" s="27">
        <f>SUMIFS(Dados!N:N,Dados!F:F,A10,Dados!G:G,$B$1,Dados!D:D,"MoneyBox")</f>
        <v>0</v>
      </c>
      <c r="H10" s="28">
        <f t="shared" si="1"/>
        <v>3459.25</v>
      </c>
      <c r="I10" s="27">
        <v>395.15</v>
      </c>
      <c r="J10" s="28">
        <f t="shared" si="2"/>
        <v>3064.1</v>
      </c>
    </row>
    <row r="11">
      <c r="A11" s="27">
        <v>9.0</v>
      </c>
      <c r="B11" s="28">
        <f t="shared" si="3"/>
        <v>3459.25</v>
      </c>
      <c r="C11" s="27">
        <f>SUMIFS(CloudBed!P:P,CloudBed!U:U,"Money Box",CloudBed!R:R,A11,CloudBed!S:S,$B$1)</f>
        <v>20</v>
      </c>
      <c r="D11" s="27">
        <f>SUMIFS(CloudBed!V:V,CloudBed!AA:AA,"Money Box",CloudBed!X:X,A11,CloudBed!Y:Y,$B$1)</f>
        <v>348.5</v>
      </c>
      <c r="E11" s="27">
        <f>SUMIFS(FF!E:E,FF!B:B,A11,FF!C:C,$B$1,FF!F:F,"FF")</f>
        <v>0</v>
      </c>
      <c r="F11" s="27">
        <f>sumifs(Extra!H:H,Extra!B:B,A11,Extra!C:C,$B$1,Extra!I:I,"MoneyBox")</f>
        <v>0</v>
      </c>
      <c r="G11" s="27">
        <f>SUMIFS(Dados!N:N,Dados!F:F,A11,Dados!G:G,$B$1,Dados!D:D,"MoneyBox")</f>
        <v>0</v>
      </c>
      <c r="H11" s="28">
        <f t="shared" si="1"/>
        <v>3827.75</v>
      </c>
      <c r="I11" s="27">
        <v>657.0</v>
      </c>
      <c r="J11" s="28">
        <f t="shared" si="2"/>
        <v>3170.75</v>
      </c>
    </row>
    <row r="12">
      <c r="A12" s="27">
        <v>10.0</v>
      </c>
      <c r="B12" s="28">
        <f t="shared" si="3"/>
        <v>3827.75</v>
      </c>
      <c r="C12" s="27">
        <f>SUMIFS(CloudBed!P:P,CloudBed!U:U,"Money Box",CloudBed!R:R,A12,CloudBed!S:S,$B$1)</f>
        <v>0</v>
      </c>
      <c r="D12" s="27">
        <f>SUMIFS(CloudBed!V:V,CloudBed!AA:AA,"Money Box",CloudBed!X:X,A12,CloudBed!Y:Y,$B$1)</f>
        <v>0</v>
      </c>
      <c r="E12" s="27">
        <f>SUMIFS(FF!E:E,FF!B:B,A12,FF!C:C,$B$1,FF!F:F,"FF")</f>
        <v>0</v>
      </c>
      <c r="F12" s="27">
        <f>sumifs(Extra!H:H,Extra!B:B,A12,Extra!C:C,$B$1,Extra!I:I,"MoneyBox")</f>
        <v>0</v>
      </c>
      <c r="G12" s="27">
        <f>SUMIFS(Dados!N:N,Dados!F:F,A12,Dados!G:G,$B$1,Dados!D:D,"MoneyBox")</f>
        <v>0</v>
      </c>
      <c r="H12" s="28">
        <f t="shared" si="1"/>
        <v>3827.75</v>
      </c>
      <c r="I12" s="27">
        <v>646.0</v>
      </c>
      <c r="J12" s="28">
        <f t="shared" si="2"/>
        <v>3181.75</v>
      </c>
    </row>
    <row r="13">
      <c r="A13" s="27">
        <v>11.0</v>
      </c>
      <c r="B13" s="28">
        <f t="shared" si="3"/>
        <v>3827.75</v>
      </c>
      <c r="C13" s="27">
        <f>SUMIFS(CloudBed!P:P,CloudBed!U:U,"Money Box",CloudBed!R:R,A13,CloudBed!S:S,$B$1)</f>
        <v>2</v>
      </c>
      <c r="D13" s="27">
        <f>SUMIFS(CloudBed!V:V,CloudBed!AA:AA,"Money Box",CloudBed!X:X,A13,CloudBed!Y:Y,$B$1)</f>
        <v>38.25</v>
      </c>
      <c r="E13" s="27">
        <f>SUMIFS(FF!E:E,FF!B:B,A13,FF!C:C,$B$1,FF!F:F,"FF")</f>
        <v>129</v>
      </c>
      <c r="F13" s="27">
        <f>sumifs(Extra!H:H,Extra!B:B,A13,Extra!C:C,$B$1,Extra!I:I,"MoneyBox")</f>
        <v>0</v>
      </c>
      <c r="G13" s="27">
        <f>SUMIFS(Dados!N:N,Dados!F:F,A13,Dados!G:G,$B$1,Dados!D:D,"MoneyBox")</f>
        <v>0</v>
      </c>
      <c r="H13" s="28">
        <f t="shared" si="1"/>
        <v>3997</v>
      </c>
      <c r="I13" s="27">
        <v>375.0</v>
      </c>
      <c r="J13" s="28">
        <f t="shared" si="2"/>
        <v>3622</v>
      </c>
    </row>
    <row r="14">
      <c r="A14" s="27">
        <v>12.0</v>
      </c>
      <c r="B14" s="28">
        <f t="shared" si="3"/>
        <v>3997</v>
      </c>
      <c r="C14" s="27">
        <f>SUMIFS(CloudBed!P:P,CloudBed!U:U,"Money Box",CloudBed!R:R,A14,CloudBed!S:S,$B$1)</f>
        <v>0</v>
      </c>
      <c r="D14" s="27">
        <f>SUMIFS(CloudBed!V:V,CloudBed!AA:AA,"Money Box",CloudBed!X:X,A14,CloudBed!Y:Y,$B$1)</f>
        <v>0</v>
      </c>
      <c r="E14" s="27">
        <f>SUMIFS(FF!E:E,FF!B:B,A14,FF!C:C,$B$1,FF!F:F,"FF")</f>
        <v>0</v>
      </c>
      <c r="F14" s="27">
        <f>sumifs(Extra!H:H,Extra!B:B,A14,Extra!C:C,$B$1,Extra!I:I,"MoneyBox")</f>
        <v>0</v>
      </c>
      <c r="G14" s="27">
        <f>SUMIFS(Dados!N:N,Dados!F:F,A14,Dados!G:G,$B$1,Dados!D:D,"MoneyBox")</f>
        <v>0</v>
      </c>
      <c r="H14" s="28">
        <f t="shared" si="1"/>
        <v>3997</v>
      </c>
      <c r="I14" s="27">
        <v>389.62</v>
      </c>
      <c r="J14" s="28">
        <f t="shared" si="2"/>
        <v>3607.38</v>
      </c>
    </row>
    <row r="15">
      <c r="A15" s="27">
        <v>13.0</v>
      </c>
      <c r="B15" s="28">
        <f t="shared" si="3"/>
        <v>3997</v>
      </c>
      <c r="C15" s="27">
        <f>SUMIFS(CloudBed!P:P,CloudBed!U:U,"Money Box",CloudBed!R:R,A15,CloudBed!S:S,$B$1)</f>
        <v>12</v>
      </c>
      <c r="D15" s="27">
        <f>SUMIFS(CloudBed!V:V,CloudBed!AA:AA,"Money Box",CloudBed!X:X,A15,CloudBed!Y:Y,$B$1)</f>
        <v>229.5</v>
      </c>
      <c r="E15" s="27">
        <f>SUMIFS(FF!E:E,FF!B:B,A15,FF!C:C,$B$1,FF!F:F,"FF")</f>
        <v>0</v>
      </c>
      <c r="F15" s="27">
        <f>sumifs(Extra!H:H,Extra!B:B,A15,Extra!C:C,$B$1,Extra!I:I,"MoneyBox")</f>
        <v>0</v>
      </c>
      <c r="G15" s="27">
        <f>SUMIFS(Dados!N:N,Dados!F:F,A15,Dados!G:G,$B$1,Dados!D:D,"MoneyBox")</f>
        <v>0</v>
      </c>
      <c r="H15" s="28">
        <f t="shared" si="1"/>
        <v>4238.5</v>
      </c>
      <c r="I15" s="27">
        <v>573.97</v>
      </c>
      <c r="J15" s="28">
        <f t="shared" si="2"/>
        <v>3664.53</v>
      </c>
    </row>
    <row r="16">
      <c r="A16" s="27">
        <v>14.0</v>
      </c>
      <c r="B16" s="28">
        <f t="shared" si="3"/>
        <v>4238.5</v>
      </c>
      <c r="C16" s="27">
        <f>SUMIFS(CloudBed!P:P,CloudBed!U:U,"Money Box",CloudBed!R:R,A16,CloudBed!S:S,$B$1)</f>
        <v>14</v>
      </c>
      <c r="D16" s="27">
        <f>SUMIFS(CloudBed!V:V,CloudBed!AA:AA,"Money Box",CloudBed!X:X,A16,CloudBed!Y:Y,$B$1)</f>
        <v>233.75</v>
      </c>
      <c r="E16" s="27">
        <f>SUMIFS(FF!E:E,FF!B:B,A16,FF!C:C,$B$1,FF!F:F,"FF")</f>
        <v>35</v>
      </c>
      <c r="F16" s="27">
        <f>sumifs(Extra!H:H,Extra!B:B,A16,Extra!C:C,$B$1,Extra!I:I,"MoneyBox")</f>
        <v>0</v>
      </c>
      <c r="G16" s="27">
        <f>SUMIFS(Dados!N:N,Dados!F:F,A16,Dados!G:G,$B$1,Dados!D:D,"MoneyBox")</f>
        <v>0</v>
      </c>
      <c r="H16" s="28">
        <f t="shared" si="1"/>
        <v>4521.25</v>
      </c>
      <c r="I16" s="27">
        <v>377.72</v>
      </c>
      <c r="J16" s="28">
        <f t="shared" si="2"/>
        <v>4143.53</v>
      </c>
    </row>
    <row r="17">
      <c r="A17" s="27">
        <v>15.0</v>
      </c>
      <c r="B17" s="28">
        <f t="shared" si="3"/>
        <v>4521.25</v>
      </c>
      <c r="C17" s="27">
        <f>SUMIFS(CloudBed!P:P,CloudBed!U:U,"Money Box",CloudBed!R:R,A17,CloudBed!S:S,$B$1)</f>
        <v>0</v>
      </c>
      <c r="D17" s="27">
        <f>SUMIFS(CloudBed!V:V,CloudBed!AA:AA,"Money Box",CloudBed!X:X,A17,CloudBed!Y:Y,$B$1)</f>
        <v>0</v>
      </c>
      <c r="E17" s="27">
        <f>SUMIFS(FF!E:E,FF!B:B,A17,FF!C:C,$B$1,FF!F:F,"FF")</f>
        <v>0</v>
      </c>
      <c r="F17" s="27">
        <f>sumifs(Extra!H:H,Extra!B:B,A17,Extra!C:C,$B$1,Extra!I:I,"MoneyBox")</f>
        <v>0</v>
      </c>
      <c r="G17" s="27">
        <f>SUMIFS(Dados!N:N,Dados!F:F,A17,Dados!G:G,$B$1,Dados!D:D,"MoneyBox")</f>
        <v>0</v>
      </c>
      <c r="H17" s="28">
        <f t="shared" si="1"/>
        <v>4521.25</v>
      </c>
      <c r="I17" s="27">
        <v>389.72</v>
      </c>
      <c r="J17" s="28">
        <f t="shared" si="2"/>
        <v>4131.53</v>
      </c>
    </row>
    <row r="18">
      <c r="A18" s="27">
        <v>16.0</v>
      </c>
      <c r="B18" s="28">
        <f t="shared" si="3"/>
        <v>4521.25</v>
      </c>
      <c r="C18" s="27">
        <f>SUMIFS(CloudBed!P:P,CloudBed!U:U,"Money Box",CloudBed!R:R,A18,CloudBed!S:S,$B$1)</f>
        <v>6</v>
      </c>
      <c r="D18" s="27">
        <f>SUMIFS(CloudBed!V:V,CloudBed!AA:AA,"Money Box",CloudBed!X:X,A18,CloudBed!Y:Y,$B$1)</f>
        <v>114.75</v>
      </c>
      <c r="E18" s="27">
        <f>SUMIFS(FF!E:E,FF!B:B,A18,FF!C:C,$B$1,FF!F:F,"FF")</f>
        <v>0</v>
      </c>
      <c r="F18" s="27">
        <f>sumifs(Extra!H:H,Extra!B:B,A18,Extra!C:C,$B$1,Extra!I:I,"MoneyBox")</f>
        <v>0</v>
      </c>
      <c r="G18" s="27">
        <f>SUMIFS(Dados!N:N,Dados!F:F,A18,Dados!G:G,$B$1,Dados!D:D,"MoneyBox")</f>
        <v>0</v>
      </c>
      <c r="H18" s="28">
        <f t="shared" si="1"/>
        <v>4642</v>
      </c>
      <c r="I18" s="27">
        <v>503.2</v>
      </c>
      <c r="J18" s="28">
        <f t="shared" si="2"/>
        <v>4138.8</v>
      </c>
    </row>
    <row r="19">
      <c r="A19" s="27">
        <v>17.0</v>
      </c>
      <c r="B19" s="28">
        <f t="shared" si="3"/>
        <v>4642</v>
      </c>
      <c r="C19" s="27">
        <f>SUMIFS(CloudBed!P:P,CloudBed!U:U,"Money Box",CloudBed!R:R,A19,CloudBed!S:S,$B$1)</f>
        <v>4</v>
      </c>
      <c r="D19" s="27">
        <f>SUMIFS(CloudBed!V:V,CloudBed!AA:AA,"Money Box",CloudBed!X:X,A19,CloudBed!Y:Y,$B$1)</f>
        <v>59.5</v>
      </c>
      <c r="E19" s="27">
        <f>SUMIFS(FF!E:E,FF!B:B,A19,FF!C:C,$B$1,FF!F:F,"FF")</f>
        <v>35</v>
      </c>
      <c r="F19" s="27">
        <f>sumifs(Extra!H:H,Extra!B:B,A19,Extra!C:C,$B$1,Extra!I:I,"MoneyBox")</f>
        <v>0</v>
      </c>
      <c r="G19" s="27">
        <f>SUMIFS(Dados!N:N,Dados!F:F,A19,Dados!G:G,$B$1,Dados!D:D,"MoneyBox")</f>
        <v>0</v>
      </c>
      <c r="H19" s="28">
        <f t="shared" si="1"/>
        <v>4740.5</v>
      </c>
      <c r="I19" s="27">
        <v>702.45</v>
      </c>
      <c r="J19" s="28">
        <f t="shared" si="2"/>
        <v>4038.05</v>
      </c>
    </row>
    <row r="20">
      <c r="A20" s="27">
        <v>18.0</v>
      </c>
      <c r="B20" s="28">
        <f t="shared" si="3"/>
        <v>4740.5</v>
      </c>
      <c r="C20" s="27">
        <f>SUMIFS(CloudBed!P:P,CloudBed!U:U,"Money Box",CloudBed!R:R,A20,CloudBed!S:S,$B$1)</f>
        <v>4</v>
      </c>
      <c r="D20" s="27">
        <f>SUMIFS(CloudBed!V:V,CloudBed!AA:AA,"Money Box",CloudBed!X:X,A20,CloudBed!Y:Y,$B$1)</f>
        <v>76.5</v>
      </c>
      <c r="E20" s="27">
        <f>SUMIFS(FF!E:E,FF!B:B,A20,FF!C:C,$B$1,FF!F:F,"FF")</f>
        <v>148.5</v>
      </c>
      <c r="F20" s="27">
        <f>sumifs(Extra!H:H,Extra!B:B,A20,Extra!C:C,$B$1,Extra!I:I,"MoneyBox")</f>
        <v>0</v>
      </c>
      <c r="G20" s="27">
        <f>SUMIFS(Dados!N:N,Dados!F:F,A20,Dados!G:G,$B$1,Dados!D:D,"MoneyBox")</f>
        <v>0</v>
      </c>
      <c r="H20" s="28">
        <f t="shared" si="1"/>
        <v>4969.5</v>
      </c>
      <c r="I20" s="27">
        <v>886.95</v>
      </c>
      <c r="J20" s="28">
        <f t="shared" si="2"/>
        <v>4082.55</v>
      </c>
    </row>
    <row r="21" ht="15.75" customHeight="1">
      <c r="A21" s="27">
        <v>19.0</v>
      </c>
      <c r="B21" s="28">
        <f t="shared" si="3"/>
        <v>4969.5</v>
      </c>
      <c r="C21" s="27">
        <f>SUMIFS(CloudBed!P:P,CloudBed!U:U,"Money Box",CloudBed!R:R,A21,CloudBed!S:S,$B$1)</f>
        <v>0</v>
      </c>
      <c r="D21" s="27">
        <f>SUMIFS(CloudBed!V:V,CloudBed!AA:AA,"Money Box",CloudBed!X:X,A21,CloudBed!Y:Y,$B$1)</f>
        <v>0</v>
      </c>
      <c r="E21" s="27">
        <f>SUMIFS(FF!E:E,FF!B:B,A21,FF!C:C,$B$1,FF!F:F,"FF")</f>
        <v>100</v>
      </c>
      <c r="F21" s="27">
        <f>sumifs(Extra!H:H,Extra!B:B,A21,Extra!C:C,$B$1,Extra!I:I,"MoneyBox")</f>
        <v>0</v>
      </c>
      <c r="G21" s="27">
        <f>SUMIFS(Dados!N:N,Dados!F:F,A21,Dados!G:G,$B$1,Dados!D:D,"MoneyBox")</f>
        <v>0</v>
      </c>
      <c r="H21" s="28">
        <f t="shared" si="1"/>
        <v>5069.5</v>
      </c>
      <c r="I21" s="27">
        <v>118.95</v>
      </c>
      <c r="J21" s="28">
        <f t="shared" si="2"/>
        <v>4950.55</v>
      </c>
    </row>
    <row r="22" ht="15.75" customHeight="1">
      <c r="A22" s="27">
        <v>20.0</v>
      </c>
      <c r="B22" s="28">
        <f t="shared" si="3"/>
        <v>5069.5</v>
      </c>
      <c r="C22" s="27">
        <f>SUMIFS(CloudBed!P:P,CloudBed!U:U,"Money Box",CloudBed!R:R,A22,CloudBed!S:S,$B$1)</f>
        <v>12</v>
      </c>
      <c r="D22" s="27">
        <f>SUMIFS(CloudBed!V:V,CloudBed!AA:AA,"Money Box",CloudBed!X:X,A22,CloudBed!Y:Y,$B$1)</f>
        <v>209.7</v>
      </c>
      <c r="E22" s="27">
        <f>SUMIFS(FF!E:E,FF!B:B,A22,FF!C:C,$B$1,FF!F:F,"FF")</f>
        <v>45</v>
      </c>
      <c r="F22" s="27">
        <f>sumifs(Extra!H:H,Extra!B:B,A22,Extra!C:C,$B$1,Extra!I:I,"MoneyBox")</f>
        <v>0</v>
      </c>
      <c r="G22" s="27">
        <f>SUMIFS(Dados!N:N,Dados!F:F,A22,Dados!G:G,$B$1,Dados!D:D,"MoneyBox")</f>
        <v>0</v>
      </c>
      <c r="H22" s="28">
        <f t="shared" si="1"/>
        <v>5336.2</v>
      </c>
      <c r="I22" s="27">
        <v>103.27</v>
      </c>
      <c r="J22" s="28">
        <f t="shared" si="2"/>
        <v>5232.93</v>
      </c>
    </row>
    <row r="23" ht="15.75" customHeight="1">
      <c r="A23" s="27">
        <v>21.0</v>
      </c>
      <c r="B23" s="28">
        <f t="shared" si="3"/>
        <v>5336.2</v>
      </c>
      <c r="C23" s="27">
        <f>SUMIFS(CloudBed!P:P,CloudBed!U:U,"Money Box",CloudBed!R:R,A23,CloudBed!S:S,$B$1)</f>
        <v>0</v>
      </c>
      <c r="D23" s="27">
        <f>SUMIFS(CloudBed!V:V,CloudBed!AA:AA,"Money Box",CloudBed!X:X,A23,CloudBed!Y:Y,$B$1)</f>
        <v>0</v>
      </c>
      <c r="E23" s="27">
        <f>SUMIFS(FF!E:E,FF!B:B,A23,FF!C:C,$B$1,FF!F:F,"FF")</f>
        <v>35</v>
      </c>
      <c r="F23" s="27">
        <f>sumifs(Extra!H:H,Extra!B:B,A23,Extra!C:C,$B$1,Extra!I:I,"MoneyBox")</f>
        <v>0</v>
      </c>
      <c r="G23" s="27">
        <f>SUMIFS(Dados!N:N,Dados!F:F,A23,Dados!G:G,$B$1,Dados!D:D,"MoneyBox")</f>
        <v>0</v>
      </c>
      <c r="H23" s="28">
        <f t="shared" si="1"/>
        <v>5371.2</v>
      </c>
      <c r="I23" s="27">
        <v>145.27</v>
      </c>
      <c r="J23" s="28">
        <f t="shared" si="2"/>
        <v>5225.93</v>
      </c>
    </row>
    <row r="24" ht="15.75" customHeight="1">
      <c r="A24" s="27">
        <v>22.0</v>
      </c>
      <c r="B24" s="28">
        <f t="shared" si="3"/>
        <v>5371.2</v>
      </c>
      <c r="C24" s="27">
        <f>SUMIFS(CloudBed!P:P,CloudBed!U:U,"Money Box",CloudBed!R:R,A24,CloudBed!S:S,$B$1)</f>
        <v>0</v>
      </c>
      <c r="D24" s="27">
        <f>SUMIFS(CloudBed!V:V,CloudBed!AA:AA,"Money Box",CloudBed!X:X,A24,CloudBed!Y:Y,$B$1)</f>
        <v>0</v>
      </c>
      <c r="E24" s="27">
        <f>SUMIFS(FF!E:E,FF!B:B,A24,FF!C:C,$B$1,FF!F:F,"FF")</f>
        <v>0</v>
      </c>
      <c r="F24" s="27">
        <f>sumifs(Extra!H:H,Extra!B:B,A24,Extra!C:C,$B$1,Extra!I:I,"MoneyBox")</f>
        <v>0</v>
      </c>
      <c r="G24" s="27">
        <f>SUMIFS(Dados!N:N,Dados!F:F,A24,Dados!G:G,$B$1,Dados!D:D,"MoneyBox")</f>
        <v>0</v>
      </c>
      <c r="H24" s="28">
        <f t="shared" si="1"/>
        <v>5371.2</v>
      </c>
      <c r="I24" s="27">
        <v>182.06</v>
      </c>
      <c r="J24" s="28">
        <f t="shared" si="2"/>
        <v>5189.14</v>
      </c>
    </row>
    <row r="25" ht="15.75" customHeight="1">
      <c r="A25" s="27">
        <v>23.0</v>
      </c>
      <c r="B25" s="28">
        <f t="shared" si="3"/>
        <v>5371.2</v>
      </c>
      <c r="C25" s="27">
        <f>SUMIFS(CloudBed!P:P,CloudBed!U:U,"Money Box",CloudBed!R:R,A25,CloudBed!S:S,$B$1)</f>
        <v>4</v>
      </c>
      <c r="D25" s="27">
        <f>SUMIFS(CloudBed!V:V,CloudBed!AA:AA,"Money Box",CloudBed!X:X,A25,CloudBed!Y:Y,$B$1)</f>
        <v>76.5</v>
      </c>
      <c r="E25" s="27">
        <f>SUMIFS(FF!E:E,FF!B:B,A25,FF!C:C,$B$1,FF!F:F,"FF")</f>
        <v>70</v>
      </c>
      <c r="F25" s="27">
        <f>sumifs(Extra!H:H,Extra!B:B,A25,Extra!C:C,$B$1,Extra!I:I,"MoneyBox")</f>
        <v>0</v>
      </c>
      <c r="G25" s="27">
        <f>SUMIFS(Dados!N:N,Dados!F:F,A25,Dados!G:G,$B$1,Dados!D:D,"MoneyBox")</f>
        <v>0</v>
      </c>
      <c r="H25" s="28">
        <f t="shared" si="1"/>
        <v>5521.7</v>
      </c>
      <c r="I25" s="27">
        <v>285.81</v>
      </c>
      <c r="J25" s="28">
        <f t="shared" si="2"/>
        <v>5235.89</v>
      </c>
    </row>
    <row r="26" ht="15.75" customHeight="1">
      <c r="A26" s="27">
        <v>24.0</v>
      </c>
      <c r="B26" s="28">
        <f t="shared" si="3"/>
        <v>5521.7</v>
      </c>
      <c r="C26" s="27">
        <f>SUMIFS(CloudBed!P:P,CloudBed!U:U,"Money Box",CloudBed!R:R,A26,CloudBed!S:S,$B$1)</f>
        <v>12</v>
      </c>
      <c r="D26" s="27">
        <f>SUMIFS(CloudBed!V:V,CloudBed!AA:AA,"Money Box",CloudBed!X:X,A26,CloudBed!Y:Y,$B$1)</f>
        <v>229.5</v>
      </c>
      <c r="E26" s="27">
        <f>SUMIFS(FF!E:E,FF!B:B,A26,FF!C:C,$B$1,FF!F:F,"FF")</f>
        <v>0</v>
      </c>
      <c r="F26" s="27">
        <f>sumifs(Extra!H:H,Extra!B:B,A26,Extra!C:C,$B$1,Extra!I:I,"MoneyBox")</f>
        <v>0</v>
      </c>
      <c r="G26" s="27">
        <f>SUMIFS(Dados!N:N,Dados!F:F,A26,Dados!G:G,$B$1,Dados!D:D,"MoneyBox")</f>
        <v>0</v>
      </c>
      <c r="H26" s="28">
        <f t="shared" si="1"/>
        <v>5763.2</v>
      </c>
      <c r="I26" s="27">
        <v>501.31</v>
      </c>
      <c r="J26" s="28">
        <f t="shared" si="2"/>
        <v>5261.89</v>
      </c>
    </row>
    <row r="27" ht="15.75" customHeight="1">
      <c r="A27" s="27">
        <v>25.0</v>
      </c>
      <c r="B27" s="28">
        <f t="shared" si="3"/>
        <v>5763.2</v>
      </c>
      <c r="C27" s="27">
        <f>SUMIFS(CloudBed!P:P,CloudBed!U:U,"Money Box",CloudBed!R:R,A27,CloudBed!S:S,$B$1)</f>
        <v>12</v>
      </c>
      <c r="D27" s="27">
        <f>SUMIFS(CloudBed!V:V,CloudBed!AA:AA,"Money Box",CloudBed!X:X,A27,CloudBed!Y:Y,$B$1)</f>
        <v>178.5</v>
      </c>
      <c r="E27" s="27">
        <f>SUMIFS(FF!E:E,FF!B:B,A27,FF!C:C,$B$1,FF!F:F,"FF")</f>
        <v>35</v>
      </c>
      <c r="F27" s="27">
        <f>sumifs(Extra!H:H,Extra!B:B,A27,Extra!C:C,$B$1,Extra!I:I,"MoneyBox")</f>
        <v>0</v>
      </c>
      <c r="G27" s="27">
        <f>SUMIFS(Dados!N:N,Dados!F:F,A27,Dados!G:G,$B$1,Dados!D:D,"MoneyBox")</f>
        <v>0</v>
      </c>
      <c r="H27" s="28">
        <f t="shared" si="1"/>
        <v>5988.7</v>
      </c>
      <c r="I27" s="27">
        <v>172.54</v>
      </c>
      <c r="J27" s="28">
        <f t="shared" si="2"/>
        <v>5816.16</v>
      </c>
    </row>
    <row r="28" ht="15.75" customHeight="1">
      <c r="A28" s="27">
        <v>26.0</v>
      </c>
      <c r="B28" s="28">
        <f t="shared" si="3"/>
        <v>5988.7</v>
      </c>
      <c r="C28" s="27">
        <f>SUMIFS(CloudBed!P:P,CloudBed!U:U,"Money Box",CloudBed!R:R,A28,CloudBed!S:S,$B$1)</f>
        <v>2</v>
      </c>
      <c r="D28" s="27">
        <f>SUMIFS(CloudBed!V:V,CloudBed!AA:AA,"Money Box",CloudBed!X:X,A28,CloudBed!Y:Y,$B$1)</f>
        <v>38.25</v>
      </c>
      <c r="E28" s="27">
        <f>SUMIFS(FF!E:E,FF!B:B,A28,FF!C:C,$B$1,FF!F:F,"FF")</f>
        <v>40</v>
      </c>
      <c r="F28" s="27">
        <f>sumifs(Extra!H:H,Extra!B:B,A28,Extra!C:C,$B$1,Extra!I:I,"MoneyBox")</f>
        <v>0</v>
      </c>
      <c r="G28" s="27">
        <f>SUMIFS(Dados!N:N,Dados!F:F,A28,Dados!G:G,$B$1,Dados!D:D,"MoneyBox")</f>
        <v>0</v>
      </c>
      <c r="H28" s="28">
        <f t="shared" si="1"/>
        <v>6068.95</v>
      </c>
      <c r="I28" s="27">
        <v>302.84</v>
      </c>
      <c r="J28" s="28">
        <f t="shared" si="2"/>
        <v>5766.11</v>
      </c>
    </row>
    <row r="29" ht="15.75" customHeight="1">
      <c r="A29" s="27">
        <v>27.0</v>
      </c>
      <c r="B29" s="28">
        <f t="shared" si="3"/>
        <v>6068.95</v>
      </c>
      <c r="C29" s="27">
        <f>SUMIFS(CloudBed!P:P,CloudBed!U:U,"Money Box",CloudBed!R:R,A29,CloudBed!S:S,$B$1)</f>
        <v>8</v>
      </c>
      <c r="D29" s="27">
        <f>SUMIFS(CloudBed!V:V,CloudBed!AA:AA,"Money Box",CloudBed!X:X,A29,CloudBed!Y:Y,$B$1)</f>
        <v>119</v>
      </c>
      <c r="E29" s="27">
        <f>SUMIFS(FF!E:E,FF!B:B,A29,FF!C:C,$B$1,FF!F:F,"FF")</f>
        <v>35</v>
      </c>
      <c r="F29" s="27">
        <f>sumifs(Extra!H:H,Extra!B:B,A29,Extra!C:C,$B$1,Extra!I:I,"MoneyBox")</f>
        <v>0</v>
      </c>
      <c r="G29" s="27">
        <f>SUMIFS(Dados!N:N,Dados!F:F,A29,Dados!G:G,$B$1,Dados!D:D,"MoneyBox")</f>
        <v>0</v>
      </c>
      <c r="H29" s="28">
        <f t="shared" si="1"/>
        <v>6230.95</v>
      </c>
      <c r="I29" s="27">
        <v>466.0</v>
      </c>
      <c r="J29" s="28">
        <f t="shared" si="2"/>
        <v>5764.95</v>
      </c>
    </row>
    <row r="30" ht="15.75" customHeight="1">
      <c r="A30" s="27">
        <v>28.0</v>
      </c>
      <c r="B30" s="28">
        <f t="shared" si="3"/>
        <v>6230.95</v>
      </c>
      <c r="C30" s="27">
        <f>SUMIFS(CloudBed!P:P,CloudBed!U:U,"Money Box",CloudBed!R:R,A30,CloudBed!S:S,$B$1)</f>
        <v>0</v>
      </c>
      <c r="D30" s="27">
        <f>SUMIFS(CloudBed!V:V,CloudBed!AA:AA,"Money Box",CloudBed!X:X,A30,CloudBed!Y:Y,$B$1)</f>
        <v>0</v>
      </c>
      <c r="E30" s="27">
        <f>SUMIFS(FF!E:E,FF!B:B,A30,FF!C:C,$B$1,FF!F:F,"FF")</f>
        <v>55</v>
      </c>
      <c r="F30" s="27">
        <f>sumifs(Extra!H:H,Extra!B:B,A30,Extra!C:C,$B$1,Extra!I:I,"MoneyBox")</f>
        <v>0</v>
      </c>
      <c r="G30" s="27">
        <f>SUMIFS(Dados!N:N,Dados!F:F,A30,Dados!G:G,$B$1,Dados!D:D,"MoneyBox")</f>
        <v>0</v>
      </c>
      <c r="H30" s="28">
        <f t="shared" si="1"/>
        <v>6285.95</v>
      </c>
      <c r="I30" s="27">
        <v>108.34</v>
      </c>
      <c r="J30" s="28">
        <f t="shared" si="2"/>
        <v>6177.61</v>
      </c>
    </row>
    <row r="31" ht="15.75" customHeight="1">
      <c r="A31" s="27">
        <v>29.0</v>
      </c>
      <c r="B31" s="28">
        <f t="shared" si="3"/>
        <v>6285.95</v>
      </c>
      <c r="C31" s="27">
        <f>SUMIFS(CloudBed!P:P,CloudBed!U:U,"Money Box",CloudBed!R:R,A31,CloudBed!S:S,$B$1)</f>
        <v>30</v>
      </c>
      <c r="D31" s="27">
        <f>SUMIFS(CloudBed!V:V,CloudBed!AA:AA,"Money Box",CloudBed!X:X,A31,CloudBed!Y:Y,$B$1)</f>
        <v>565.25</v>
      </c>
      <c r="E31" s="27">
        <f>SUMIFS(FF!E:E,FF!B:B,A31,FF!C:C,$B$1,FF!F:F,"FF")</f>
        <v>25</v>
      </c>
      <c r="F31" s="27">
        <f>sumifs(Extra!H:H,Extra!B:B,A31,Extra!C:C,$B$1,Extra!I:I,"MoneyBox")</f>
        <v>0</v>
      </c>
      <c r="G31" s="27">
        <f>SUMIFS(Dados!N:N,Dados!F:F,A31,Dados!G:G,$B$1,Dados!D:D,"MoneyBox")</f>
        <v>0</v>
      </c>
      <c r="H31" s="28">
        <f t="shared" si="1"/>
        <v>6906.2</v>
      </c>
      <c r="I31" s="27">
        <v>205.0</v>
      </c>
      <c r="J31" s="28">
        <f t="shared" si="2"/>
        <v>6701.2</v>
      </c>
    </row>
    <row r="32" ht="15.75" customHeight="1">
      <c r="A32" s="27">
        <v>30.0</v>
      </c>
      <c r="B32" s="28">
        <f t="shared" si="3"/>
        <v>6906.2</v>
      </c>
      <c r="C32" s="27">
        <f>SUMIFS(CloudBed!P:P,CloudBed!U:U,"Money Box",CloudBed!R:R,A32,CloudBed!S:S,$B$1)</f>
        <v>12</v>
      </c>
      <c r="D32" s="27">
        <f>SUMIFS(CloudBed!V:V,CloudBed!AA:AA,"Money Box",CloudBed!X:X,A32,CloudBed!Y:Y,$B$1)</f>
        <v>76.5</v>
      </c>
      <c r="E32" s="27">
        <f>SUMIFS(FF!E:E,FF!B:B,A32,FF!C:C,$B$1,FF!F:F,"FF")</f>
        <v>35</v>
      </c>
      <c r="F32" s="27">
        <f>sumifs(Extra!H:H,Extra!B:B,A32,Extra!C:C,$B$1,Extra!I:I,"MoneyBox")</f>
        <v>0</v>
      </c>
      <c r="G32" s="27">
        <f>SUMIFS(Dados!N:N,Dados!F:F,A32,Dados!G:G,$B$1,Dados!D:D,"MoneyBox")</f>
        <v>0</v>
      </c>
      <c r="H32" s="28">
        <f t="shared" si="1"/>
        <v>7029.7</v>
      </c>
      <c r="I32" s="27">
        <v>340.6</v>
      </c>
      <c r="J32" s="28">
        <f t="shared" si="2"/>
        <v>6689.1</v>
      </c>
    </row>
    <row r="33" ht="15.75" customHeight="1">
      <c r="A33" s="27">
        <v>31.0</v>
      </c>
      <c r="B33" s="28">
        <f t="shared" si="3"/>
        <v>7029.7</v>
      </c>
      <c r="C33" s="27">
        <f>SUMIFS(CloudBed!P:P,CloudBed!U:U,"Money Box",CloudBed!R:R,A33,CloudBed!S:S,$B$1)</f>
        <v>0</v>
      </c>
      <c r="D33" s="27">
        <f>SUMIFS(CloudBed!V:V,CloudBed!AA:AA,"Money Box",CloudBed!X:X,A33,CloudBed!Y:Y,$B$1)</f>
        <v>0</v>
      </c>
      <c r="E33" s="27">
        <f>SUMIFS(FF!E:E,FF!B:B,A33,FF!C:C,$B$1,FF!F:F,"FF")</f>
        <v>0</v>
      </c>
      <c r="F33" s="27">
        <f>sumifs(Extra!H:H,Extra!B:B,A33,Extra!C:C,$B$1,Extra!I:I,"MoneyBox")</f>
        <v>0</v>
      </c>
      <c r="G33" s="27">
        <f>SUMIFS(Dados!N:N,Dados!F:F,A33,Dados!G:G,$B$1,Dados!D:D,"MoneyBox")</f>
        <v>0</v>
      </c>
      <c r="H33" s="28">
        <f t="shared" si="1"/>
        <v>7029.7</v>
      </c>
      <c r="I33" s="27">
        <v>340.6</v>
      </c>
      <c r="J33" s="28">
        <f t="shared" si="2"/>
        <v>6689.1</v>
      </c>
    </row>
    <row r="34" ht="15.75" customHeight="1">
      <c r="A34" s="27" t="s">
        <v>6</v>
      </c>
      <c r="B34" s="28">
        <f>B3</f>
        <v>2340.5</v>
      </c>
      <c r="C34" s="27">
        <f t="shared" ref="C34:G34" si="4">SUM(C3:C33)</f>
        <v>276</v>
      </c>
      <c r="D34" s="27">
        <f t="shared" si="4"/>
        <v>3293.2</v>
      </c>
      <c r="E34" s="27">
        <f t="shared" si="4"/>
        <v>1120</v>
      </c>
      <c r="F34" s="27">
        <f t="shared" si="4"/>
        <v>0</v>
      </c>
      <c r="G34" s="27">
        <f t="shared" si="4"/>
        <v>0</v>
      </c>
      <c r="H34" s="28">
        <f t="shared" si="1"/>
        <v>7029.7</v>
      </c>
      <c r="I34" s="150">
        <v>340.6</v>
      </c>
      <c r="J34" s="28">
        <f t="shared" si="2"/>
        <v>6689.1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20.38"/>
    <col customWidth="1" hidden="1" min="3" max="3" width="12.63"/>
    <col customWidth="1" min="4" max="4" width="12.88"/>
    <col customWidth="1" min="5" max="5" width="10.88"/>
    <col customWidth="1" min="6" max="6" width="5.0"/>
    <col customWidth="1" min="7" max="7" width="3.75"/>
    <col customWidth="1" min="8" max="8" width="7.0"/>
    <col customWidth="1" min="9" max="9" width="7.25"/>
    <col customWidth="1" min="10" max="10" width="11.38"/>
    <col customWidth="1" hidden="1" min="11" max="11" width="11.38"/>
    <col customWidth="1" min="12" max="12" width="11.38"/>
    <col customWidth="1" min="13" max="13" width="3.75"/>
    <col customWidth="1" min="14" max="14" width="10.63"/>
    <col customWidth="1" min="15" max="15" width="4.63"/>
    <col customWidth="1" min="16" max="16" width="20.25"/>
    <col customWidth="1" min="17" max="17" width="37.88"/>
    <col customWidth="1" min="18" max="19" width="18.38"/>
  </cols>
  <sheetData>
    <row r="1" ht="15.75" customHeight="1">
      <c r="A1" s="173" t="s">
        <v>67</v>
      </c>
      <c r="B1" s="174" t="s">
        <v>68</v>
      </c>
      <c r="C1" s="175"/>
      <c r="D1" s="176" t="s">
        <v>319</v>
      </c>
      <c r="E1" s="175"/>
      <c r="F1" s="177" t="s">
        <v>320</v>
      </c>
      <c r="G1" s="177" t="s">
        <v>321</v>
      </c>
      <c r="H1" s="177" t="s">
        <v>322</v>
      </c>
      <c r="I1" s="178" t="s">
        <v>321</v>
      </c>
      <c r="J1" s="178" t="s">
        <v>322</v>
      </c>
      <c r="K1" s="176" t="s">
        <v>324</v>
      </c>
      <c r="L1" s="179"/>
      <c r="M1" s="180" t="s">
        <v>325</v>
      </c>
      <c r="N1" s="181" t="s">
        <v>35</v>
      </c>
      <c r="O1" s="174"/>
      <c r="P1" s="182"/>
      <c r="Q1" s="174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</row>
    <row r="2" ht="15.75" customHeight="1">
      <c r="A2" s="74" t="s">
        <v>22</v>
      </c>
      <c r="B2" s="27" t="s">
        <v>28</v>
      </c>
      <c r="C2" s="183"/>
      <c r="D2" s="74" t="s">
        <v>2</v>
      </c>
      <c r="E2" s="184">
        <v>45945.0</v>
      </c>
      <c r="F2" s="185">
        <f t="shared" ref="F2:F651" si="1">day(E2)</f>
        <v>15</v>
      </c>
      <c r="G2" s="185">
        <f t="shared" ref="G2:G651" si="2">MONTH(E2)</f>
        <v>10</v>
      </c>
      <c r="H2" s="185">
        <f t="shared" ref="H2:H651" si="3">YEAR(E2)</f>
        <v>2025</v>
      </c>
      <c r="I2" s="186">
        <v>10.0</v>
      </c>
      <c r="J2" s="186">
        <v>2025.0</v>
      </c>
      <c r="K2" s="187"/>
      <c r="L2" s="187">
        <v>2066.4</v>
      </c>
      <c r="M2" s="27">
        <v>1.0</v>
      </c>
      <c r="N2" s="187">
        <f t="shared" ref="N2:N51" si="4">L2*M2</f>
        <v>2066.4</v>
      </c>
      <c r="O2" s="58">
        <v>1.0</v>
      </c>
      <c r="P2" s="74">
        <v>2025.0</v>
      </c>
      <c r="Q2" s="74" t="s">
        <v>326</v>
      </c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ht="15.75" customHeight="1">
      <c r="A3" s="74" t="s">
        <v>22</v>
      </c>
      <c r="B3" s="27" t="s">
        <v>28</v>
      </c>
      <c r="C3" s="183"/>
      <c r="D3" s="74" t="s">
        <v>2</v>
      </c>
      <c r="E3" s="184">
        <v>45947.0</v>
      </c>
      <c r="F3" s="185">
        <f t="shared" si="1"/>
        <v>17</v>
      </c>
      <c r="G3" s="185">
        <f t="shared" si="2"/>
        <v>10</v>
      </c>
      <c r="H3" s="185">
        <f t="shared" si="3"/>
        <v>2025</v>
      </c>
      <c r="I3" s="186">
        <v>10.0</v>
      </c>
      <c r="J3" s="186">
        <v>2025.0</v>
      </c>
      <c r="K3" s="187"/>
      <c r="L3" s="187">
        <v>233.7</v>
      </c>
      <c r="M3" s="27">
        <v>1.0</v>
      </c>
      <c r="N3" s="187">
        <f t="shared" si="4"/>
        <v>233.7</v>
      </c>
      <c r="O3" s="58">
        <v>2.0</v>
      </c>
      <c r="P3" s="74">
        <v>2025.0</v>
      </c>
      <c r="Q3" s="74" t="s">
        <v>327</v>
      </c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ht="15.75" customHeight="1">
      <c r="A4" s="74" t="s">
        <v>22</v>
      </c>
      <c r="B4" s="27" t="s">
        <v>28</v>
      </c>
      <c r="C4" s="183"/>
      <c r="D4" s="74" t="s">
        <v>5</v>
      </c>
      <c r="E4" s="184">
        <v>45962.0</v>
      </c>
      <c r="F4" s="185">
        <f t="shared" si="1"/>
        <v>1</v>
      </c>
      <c r="G4" s="185">
        <f t="shared" si="2"/>
        <v>11</v>
      </c>
      <c r="H4" s="185">
        <f t="shared" si="3"/>
        <v>2025</v>
      </c>
      <c r="I4" s="186">
        <v>11.0</v>
      </c>
      <c r="J4" s="186">
        <v>2025.0</v>
      </c>
      <c r="K4" s="187"/>
      <c r="L4" s="187">
        <v>80.0</v>
      </c>
      <c r="M4" s="27">
        <v>1.0</v>
      </c>
      <c r="N4" s="187">
        <f t="shared" si="4"/>
        <v>80</v>
      </c>
      <c r="O4" s="58">
        <v>7.0</v>
      </c>
      <c r="P4" s="74">
        <v>2025.0</v>
      </c>
      <c r="Q4" s="74" t="s">
        <v>328</v>
      </c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 ht="15.75" customHeight="1">
      <c r="A5" s="74" t="s">
        <v>22</v>
      </c>
      <c r="B5" s="27" t="s">
        <v>27</v>
      </c>
      <c r="C5" s="183"/>
      <c r="D5" s="74" t="s">
        <v>2</v>
      </c>
      <c r="E5" s="184">
        <v>45982.0</v>
      </c>
      <c r="F5" s="185">
        <f t="shared" si="1"/>
        <v>21</v>
      </c>
      <c r="G5" s="185">
        <f t="shared" si="2"/>
        <v>11</v>
      </c>
      <c r="H5" s="185">
        <f t="shared" si="3"/>
        <v>2025</v>
      </c>
      <c r="I5" s="186">
        <v>11.0</v>
      </c>
      <c r="J5" s="186">
        <v>2025.0</v>
      </c>
      <c r="K5" s="187"/>
      <c r="L5" s="187">
        <v>103.89</v>
      </c>
      <c r="M5" s="27">
        <v>1.0</v>
      </c>
      <c r="N5" s="187">
        <f t="shared" si="4"/>
        <v>103.89</v>
      </c>
      <c r="O5" s="58">
        <v>4.0</v>
      </c>
      <c r="P5" s="74">
        <v>2025.0</v>
      </c>
      <c r="Q5" s="74" t="s">
        <v>329</v>
      </c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ht="15.75" customHeight="1">
      <c r="A6" s="74" t="s">
        <v>22</v>
      </c>
      <c r="B6" s="27" t="s">
        <v>27</v>
      </c>
      <c r="C6" s="183"/>
      <c r="D6" s="74" t="s">
        <v>2</v>
      </c>
      <c r="E6" s="184">
        <v>46021.0</v>
      </c>
      <c r="F6" s="185">
        <f t="shared" si="1"/>
        <v>30</v>
      </c>
      <c r="G6" s="185">
        <f t="shared" si="2"/>
        <v>12</v>
      </c>
      <c r="H6" s="185">
        <f t="shared" si="3"/>
        <v>2025</v>
      </c>
      <c r="I6" s="186">
        <v>12.0</v>
      </c>
      <c r="J6" s="186">
        <v>2025.0</v>
      </c>
      <c r="K6" s="187"/>
      <c r="L6" s="187">
        <v>233.7</v>
      </c>
      <c r="M6" s="27">
        <v>1.0</v>
      </c>
      <c r="N6" s="187">
        <f t="shared" si="4"/>
        <v>233.7</v>
      </c>
      <c r="O6" s="58">
        <v>3.0</v>
      </c>
      <c r="P6" s="74">
        <v>2025.0</v>
      </c>
      <c r="Q6" s="74" t="s">
        <v>330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ht="15.75" customHeight="1">
      <c r="A7" s="74" t="s">
        <v>253</v>
      </c>
      <c r="B7" s="27" t="s">
        <v>272</v>
      </c>
      <c r="C7" s="183"/>
      <c r="D7" s="74" t="s">
        <v>274</v>
      </c>
      <c r="E7" s="184">
        <v>46023.0</v>
      </c>
      <c r="F7" s="185">
        <f t="shared" si="1"/>
        <v>1</v>
      </c>
      <c r="G7" s="185">
        <f t="shared" si="2"/>
        <v>1</v>
      </c>
      <c r="H7" s="185">
        <f t="shared" si="3"/>
        <v>2026</v>
      </c>
      <c r="I7" s="186">
        <v>1.0</v>
      </c>
      <c r="J7" s="186">
        <v>2026.0</v>
      </c>
      <c r="K7" s="187"/>
      <c r="L7" s="187">
        <v>10000.0</v>
      </c>
      <c r="M7" s="27">
        <v>1.0</v>
      </c>
      <c r="N7" s="187">
        <f t="shared" si="4"/>
        <v>10000</v>
      </c>
      <c r="O7" s="58">
        <v>15.0</v>
      </c>
      <c r="P7" s="74" t="s">
        <v>16</v>
      </c>
      <c r="Q7" s="74" t="s">
        <v>331</v>
      </c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 ht="15.75" customHeight="1">
      <c r="A8" s="74" t="s">
        <v>22</v>
      </c>
      <c r="B8" s="27" t="s">
        <v>27</v>
      </c>
      <c r="C8" s="183"/>
      <c r="D8" s="74" t="s">
        <v>2</v>
      </c>
      <c r="E8" s="184">
        <v>46024.0</v>
      </c>
      <c r="F8" s="185">
        <f t="shared" si="1"/>
        <v>2</v>
      </c>
      <c r="G8" s="185">
        <f t="shared" si="2"/>
        <v>1</v>
      </c>
      <c r="H8" s="185">
        <f t="shared" si="3"/>
        <v>2026</v>
      </c>
      <c r="I8" s="186">
        <v>1.0</v>
      </c>
      <c r="J8" s="186">
        <v>2026.0</v>
      </c>
      <c r="K8" s="187"/>
      <c r="L8" s="187">
        <v>131.13</v>
      </c>
      <c r="M8" s="27">
        <v>1.0</v>
      </c>
      <c r="N8" s="187">
        <f t="shared" si="4"/>
        <v>131.13</v>
      </c>
      <c r="O8" s="58">
        <v>5.0</v>
      </c>
      <c r="P8" s="74"/>
      <c r="Q8" s="74" t="s">
        <v>333</v>
      </c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ht="15.75" customHeight="1">
      <c r="A9" s="74" t="s">
        <v>334</v>
      </c>
      <c r="B9" s="27" t="s">
        <v>34</v>
      </c>
      <c r="C9" s="183"/>
      <c r="D9" s="74" t="s">
        <v>2</v>
      </c>
      <c r="E9" s="184">
        <v>46024.0</v>
      </c>
      <c r="F9" s="185">
        <f t="shared" si="1"/>
        <v>2</v>
      </c>
      <c r="G9" s="185">
        <f t="shared" si="2"/>
        <v>1</v>
      </c>
      <c r="H9" s="185">
        <f t="shared" si="3"/>
        <v>2026</v>
      </c>
      <c r="I9" s="186">
        <v>1.0</v>
      </c>
      <c r="J9" s="186">
        <v>2026.0</v>
      </c>
      <c r="K9" s="187"/>
      <c r="L9" s="187">
        <v>268.99</v>
      </c>
      <c r="M9" s="27">
        <v>1.0</v>
      </c>
      <c r="N9" s="187">
        <f t="shared" si="4"/>
        <v>268.99</v>
      </c>
      <c r="O9" s="58"/>
      <c r="P9" s="74"/>
      <c r="Q9" s="74" t="s">
        <v>335</v>
      </c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ht="15.75" customHeight="1">
      <c r="A10" s="74" t="s">
        <v>334</v>
      </c>
      <c r="B10" s="27" t="s">
        <v>34</v>
      </c>
      <c r="C10" s="183"/>
      <c r="D10" s="74" t="s">
        <v>2</v>
      </c>
      <c r="E10" s="184">
        <v>46024.0</v>
      </c>
      <c r="F10" s="185">
        <f t="shared" si="1"/>
        <v>2</v>
      </c>
      <c r="G10" s="185">
        <f t="shared" si="2"/>
        <v>1</v>
      </c>
      <c r="H10" s="185">
        <f t="shared" si="3"/>
        <v>2026</v>
      </c>
      <c r="I10" s="186">
        <v>1.0</v>
      </c>
      <c r="J10" s="186">
        <v>2026.0</v>
      </c>
      <c r="K10" s="187"/>
      <c r="L10" s="187">
        <v>90.0</v>
      </c>
      <c r="M10" s="27">
        <v>1.0</v>
      </c>
      <c r="N10" s="187">
        <f t="shared" si="4"/>
        <v>90</v>
      </c>
      <c r="O10" s="58"/>
      <c r="P10" s="74"/>
      <c r="Q10" s="74" t="s">
        <v>336</v>
      </c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ht="15.75" customHeight="1">
      <c r="A11" s="74" t="s">
        <v>167</v>
      </c>
      <c r="B11" s="27" t="s">
        <v>32</v>
      </c>
      <c r="C11" s="183"/>
      <c r="D11" s="74" t="s">
        <v>2</v>
      </c>
      <c r="E11" s="184">
        <v>46024.0</v>
      </c>
      <c r="F11" s="185">
        <f t="shared" si="1"/>
        <v>2</v>
      </c>
      <c r="G11" s="185">
        <f t="shared" si="2"/>
        <v>1</v>
      </c>
      <c r="H11" s="185">
        <f t="shared" si="3"/>
        <v>2026</v>
      </c>
      <c r="I11" s="186">
        <v>12.0</v>
      </c>
      <c r="J11" s="186">
        <v>2025.0</v>
      </c>
      <c r="K11" s="187"/>
      <c r="L11" s="187">
        <v>115.0</v>
      </c>
      <c r="M11" s="27">
        <v>1.0</v>
      </c>
      <c r="N11" s="187">
        <f t="shared" si="4"/>
        <v>115</v>
      </c>
      <c r="O11" s="58">
        <v>12.0</v>
      </c>
      <c r="P11" s="74"/>
      <c r="Q11" s="74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ht="15.75" customHeight="1">
      <c r="A12" s="74" t="s">
        <v>334</v>
      </c>
      <c r="B12" s="27" t="s">
        <v>34</v>
      </c>
      <c r="C12" s="183"/>
      <c r="D12" s="74" t="s">
        <v>2</v>
      </c>
      <c r="E12" s="184">
        <v>46024.0</v>
      </c>
      <c r="F12" s="185">
        <f t="shared" si="1"/>
        <v>2</v>
      </c>
      <c r="G12" s="185">
        <f t="shared" si="2"/>
        <v>1</v>
      </c>
      <c r="H12" s="185">
        <f t="shared" si="3"/>
        <v>2026</v>
      </c>
      <c r="I12" s="186">
        <v>1.0</v>
      </c>
      <c r="J12" s="186">
        <v>2026.0</v>
      </c>
      <c r="K12" s="187"/>
      <c r="L12" s="187">
        <v>65.89</v>
      </c>
      <c r="M12" s="27">
        <v>1.0</v>
      </c>
      <c r="N12" s="187">
        <f t="shared" si="4"/>
        <v>65.89</v>
      </c>
      <c r="O12" s="58"/>
      <c r="P12" s="74"/>
      <c r="Q12" s="74" t="s">
        <v>337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ht="15.75" customHeight="1">
      <c r="A13" s="74" t="s">
        <v>334</v>
      </c>
      <c r="B13" s="27" t="s">
        <v>34</v>
      </c>
      <c r="C13" s="183"/>
      <c r="D13" s="74" t="s">
        <v>2</v>
      </c>
      <c r="E13" s="184">
        <v>46024.0</v>
      </c>
      <c r="F13" s="185">
        <f t="shared" si="1"/>
        <v>2</v>
      </c>
      <c r="G13" s="185">
        <f t="shared" si="2"/>
        <v>1</v>
      </c>
      <c r="H13" s="185">
        <f t="shared" si="3"/>
        <v>2026</v>
      </c>
      <c r="I13" s="186">
        <v>1.0</v>
      </c>
      <c r="J13" s="186">
        <v>2026.0</v>
      </c>
      <c r="K13" s="187"/>
      <c r="L13" s="187">
        <v>42.0</v>
      </c>
      <c r="M13" s="27">
        <v>1.0</v>
      </c>
      <c r="N13" s="187">
        <f t="shared" si="4"/>
        <v>42</v>
      </c>
      <c r="O13" s="58"/>
      <c r="P13" s="74"/>
      <c r="Q13" s="74" t="s">
        <v>338</v>
      </c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ht="15.75" customHeight="1">
      <c r="A14" s="74" t="s">
        <v>167</v>
      </c>
      <c r="B14" s="27" t="s">
        <v>37</v>
      </c>
      <c r="C14" s="183"/>
      <c r="D14" s="74" t="s">
        <v>2</v>
      </c>
      <c r="E14" s="184">
        <v>46024.0</v>
      </c>
      <c r="F14" s="185">
        <f t="shared" si="1"/>
        <v>2</v>
      </c>
      <c r="G14" s="185">
        <f t="shared" si="2"/>
        <v>1</v>
      </c>
      <c r="H14" s="185">
        <f t="shared" si="3"/>
        <v>2026</v>
      </c>
      <c r="I14" s="186">
        <v>12.0</v>
      </c>
      <c r="J14" s="186">
        <v>2025.0</v>
      </c>
      <c r="K14" s="187"/>
      <c r="L14" s="187">
        <v>61.8</v>
      </c>
      <c r="M14" s="27">
        <v>1.0</v>
      </c>
      <c r="N14" s="187">
        <f t="shared" si="4"/>
        <v>61.8</v>
      </c>
      <c r="O14" s="58"/>
      <c r="P14" s="74"/>
      <c r="Q14" s="74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ht="15.75" customHeight="1">
      <c r="A15" s="74" t="s">
        <v>334</v>
      </c>
      <c r="B15" s="27" t="s">
        <v>34</v>
      </c>
      <c r="C15" s="183"/>
      <c r="D15" s="74" t="s">
        <v>2</v>
      </c>
      <c r="E15" s="184">
        <v>46024.0</v>
      </c>
      <c r="F15" s="185">
        <f t="shared" si="1"/>
        <v>2</v>
      </c>
      <c r="G15" s="185">
        <f t="shared" si="2"/>
        <v>1</v>
      </c>
      <c r="H15" s="185">
        <f t="shared" si="3"/>
        <v>2026</v>
      </c>
      <c r="I15" s="186">
        <v>1.0</v>
      </c>
      <c r="J15" s="186">
        <v>2026.0</v>
      </c>
      <c r="K15" s="187"/>
      <c r="L15" s="187">
        <v>15.0</v>
      </c>
      <c r="M15" s="27">
        <v>1.0</v>
      </c>
      <c r="N15" s="187">
        <f t="shared" si="4"/>
        <v>15</v>
      </c>
      <c r="O15" s="58"/>
      <c r="P15" s="74"/>
      <c r="Q15" s="74" t="s">
        <v>339</v>
      </c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ht="15.75" customHeight="1">
      <c r="A16" s="74" t="s">
        <v>334</v>
      </c>
      <c r="B16" s="27" t="s">
        <v>34</v>
      </c>
      <c r="C16" s="183"/>
      <c r="D16" s="74" t="s">
        <v>2</v>
      </c>
      <c r="E16" s="184">
        <v>46024.0</v>
      </c>
      <c r="F16" s="185">
        <f t="shared" si="1"/>
        <v>2</v>
      </c>
      <c r="G16" s="185">
        <f t="shared" si="2"/>
        <v>1</v>
      </c>
      <c r="H16" s="185">
        <f t="shared" si="3"/>
        <v>2026</v>
      </c>
      <c r="I16" s="186">
        <v>1.0</v>
      </c>
      <c r="J16" s="186">
        <v>2026.0</v>
      </c>
      <c r="K16" s="187"/>
      <c r="L16" s="187">
        <v>10.16</v>
      </c>
      <c r="M16" s="27">
        <v>1.0</v>
      </c>
      <c r="N16" s="187">
        <f t="shared" si="4"/>
        <v>10.16</v>
      </c>
      <c r="O16" s="58"/>
      <c r="P16" s="74"/>
      <c r="Q16" s="74" t="s">
        <v>340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ht="15.75" customHeight="1">
      <c r="A17" s="74" t="s">
        <v>334</v>
      </c>
      <c r="B17" s="27" t="s">
        <v>34</v>
      </c>
      <c r="C17" s="183"/>
      <c r="D17" s="74" t="s">
        <v>2</v>
      </c>
      <c r="E17" s="184">
        <v>46027.0</v>
      </c>
      <c r="F17" s="185">
        <f t="shared" si="1"/>
        <v>5</v>
      </c>
      <c r="G17" s="185">
        <f t="shared" si="2"/>
        <v>1</v>
      </c>
      <c r="H17" s="185">
        <f t="shared" si="3"/>
        <v>2026</v>
      </c>
      <c r="I17" s="186">
        <v>1.0</v>
      </c>
      <c r="J17" s="186">
        <v>2026.0</v>
      </c>
      <c r="K17" s="187"/>
      <c r="L17" s="187">
        <v>100.0</v>
      </c>
      <c r="M17" s="27">
        <v>1.0</v>
      </c>
      <c r="N17" s="187">
        <f t="shared" si="4"/>
        <v>100</v>
      </c>
      <c r="O17" s="58"/>
      <c r="P17" s="74"/>
      <c r="Q17" s="74" t="s">
        <v>341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ht="15.75" customHeight="1">
      <c r="A18" s="74" t="s">
        <v>22</v>
      </c>
      <c r="B18" s="27" t="s">
        <v>342</v>
      </c>
      <c r="C18" s="183"/>
      <c r="D18" s="74" t="s">
        <v>5</v>
      </c>
      <c r="E18" s="184">
        <v>46029.0</v>
      </c>
      <c r="F18" s="185">
        <f t="shared" si="1"/>
        <v>7</v>
      </c>
      <c r="G18" s="185">
        <f t="shared" si="2"/>
        <v>1</v>
      </c>
      <c r="H18" s="185">
        <f t="shared" si="3"/>
        <v>2026</v>
      </c>
      <c r="I18" s="186">
        <v>1.0</v>
      </c>
      <c r="J18" s="186">
        <v>2026.0</v>
      </c>
      <c r="K18" s="187"/>
      <c r="L18" s="187">
        <v>75.4</v>
      </c>
      <c r="M18" s="27">
        <v>1.0</v>
      </c>
      <c r="N18" s="187">
        <f t="shared" si="4"/>
        <v>75.4</v>
      </c>
      <c r="O18" s="58">
        <v>12.0</v>
      </c>
      <c r="P18" s="74" t="s">
        <v>16</v>
      </c>
      <c r="Q18" s="74" t="s">
        <v>343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ht="15.75" customHeight="1">
      <c r="A19" s="74" t="s">
        <v>22</v>
      </c>
      <c r="B19" s="27" t="s">
        <v>27</v>
      </c>
      <c r="C19" s="183"/>
      <c r="D19" s="74" t="s">
        <v>5</v>
      </c>
      <c r="E19" s="184">
        <v>46029.0</v>
      </c>
      <c r="F19" s="185">
        <f t="shared" si="1"/>
        <v>7</v>
      </c>
      <c r="G19" s="185">
        <f t="shared" si="2"/>
        <v>1</v>
      </c>
      <c r="H19" s="185">
        <f t="shared" si="3"/>
        <v>2026</v>
      </c>
      <c r="I19" s="186">
        <v>1.0</v>
      </c>
      <c r="J19" s="186">
        <v>2026.0</v>
      </c>
      <c r="K19" s="187"/>
      <c r="L19" s="187">
        <v>25.98</v>
      </c>
      <c r="M19" s="27">
        <v>1.0</v>
      </c>
      <c r="N19" s="187">
        <f t="shared" si="4"/>
        <v>25.98</v>
      </c>
      <c r="O19" s="58">
        <v>14.0</v>
      </c>
      <c r="P19" s="74" t="s">
        <v>16</v>
      </c>
      <c r="Q19" s="74" t="s">
        <v>344</v>
      </c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ht="15.75" customHeight="1">
      <c r="A20" s="74" t="s">
        <v>22</v>
      </c>
      <c r="B20" s="27" t="s">
        <v>27</v>
      </c>
      <c r="C20" s="183"/>
      <c r="D20" s="74" t="s">
        <v>5</v>
      </c>
      <c r="E20" s="184">
        <v>46030.0</v>
      </c>
      <c r="F20" s="185">
        <f t="shared" si="1"/>
        <v>8</v>
      </c>
      <c r="G20" s="185">
        <f t="shared" si="2"/>
        <v>1</v>
      </c>
      <c r="H20" s="185">
        <f t="shared" si="3"/>
        <v>2026</v>
      </c>
      <c r="I20" s="186">
        <v>1.0</v>
      </c>
      <c r="J20" s="186">
        <v>2026.0</v>
      </c>
      <c r="K20" s="187"/>
      <c r="L20" s="187">
        <v>4.8</v>
      </c>
      <c r="M20" s="27">
        <v>1.0</v>
      </c>
      <c r="N20" s="187">
        <f t="shared" si="4"/>
        <v>4.8</v>
      </c>
      <c r="O20" s="58">
        <v>13.0</v>
      </c>
      <c r="P20" s="74" t="s">
        <v>16</v>
      </c>
      <c r="Q20" s="74" t="s">
        <v>345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ht="15.75" customHeight="1">
      <c r="A21" s="74" t="s">
        <v>22</v>
      </c>
      <c r="B21" s="27" t="s">
        <v>342</v>
      </c>
      <c r="C21" s="183"/>
      <c r="D21" s="74" t="s">
        <v>5</v>
      </c>
      <c r="E21" s="184">
        <v>46032.0</v>
      </c>
      <c r="F21" s="185">
        <f t="shared" si="1"/>
        <v>10</v>
      </c>
      <c r="G21" s="185">
        <f t="shared" si="2"/>
        <v>1</v>
      </c>
      <c r="H21" s="185">
        <f t="shared" si="3"/>
        <v>2026</v>
      </c>
      <c r="I21" s="186">
        <v>1.0</v>
      </c>
      <c r="J21" s="186">
        <v>2026.0</v>
      </c>
      <c r="K21" s="187"/>
      <c r="L21" s="187">
        <v>100.0</v>
      </c>
      <c r="M21" s="27">
        <v>1.0</v>
      </c>
      <c r="N21" s="187">
        <f t="shared" si="4"/>
        <v>100</v>
      </c>
      <c r="O21" s="58">
        <v>11.0</v>
      </c>
      <c r="P21" s="74" t="s">
        <v>16</v>
      </c>
      <c r="Q21" s="74" t="s">
        <v>347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ht="15.75" customHeight="1">
      <c r="A22" s="74" t="s">
        <v>22</v>
      </c>
      <c r="B22" s="27" t="s">
        <v>342</v>
      </c>
      <c r="C22" s="183"/>
      <c r="D22" s="74" t="s">
        <v>5</v>
      </c>
      <c r="E22" s="184">
        <v>46032.0</v>
      </c>
      <c r="F22" s="185">
        <f t="shared" si="1"/>
        <v>10</v>
      </c>
      <c r="G22" s="185">
        <f t="shared" si="2"/>
        <v>1</v>
      </c>
      <c r="H22" s="185">
        <f t="shared" si="3"/>
        <v>2026</v>
      </c>
      <c r="I22" s="186">
        <v>1.0</v>
      </c>
      <c r="J22" s="186">
        <v>2026.0</v>
      </c>
      <c r="K22" s="187"/>
      <c r="L22" s="187">
        <v>90.0</v>
      </c>
      <c r="M22" s="27">
        <v>1.0</v>
      </c>
      <c r="N22" s="187">
        <f t="shared" si="4"/>
        <v>90</v>
      </c>
      <c r="O22" s="58">
        <v>10.0</v>
      </c>
      <c r="P22" s="74" t="s">
        <v>16</v>
      </c>
      <c r="Q22" s="74" t="s">
        <v>348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ht="15.75" customHeight="1">
      <c r="A23" s="74" t="s">
        <v>22</v>
      </c>
      <c r="B23" s="27" t="s">
        <v>25</v>
      </c>
      <c r="C23" s="183"/>
      <c r="D23" s="74" t="s">
        <v>2</v>
      </c>
      <c r="E23" s="184">
        <v>46033.0</v>
      </c>
      <c r="F23" s="185">
        <f t="shared" si="1"/>
        <v>11</v>
      </c>
      <c r="G23" s="185">
        <f t="shared" si="2"/>
        <v>1</v>
      </c>
      <c r="H23" s="185">
        <f t="shared" si="3"/>
        <v>2026</v>
      </c>
      <c r="I23" s="186">
        <v>1.0</v>
      </c>
      <c r="J23" s="186">
        <v>2026.0</v>
      </c>
      <c r="K23" s="187"/>
      <c r="L23" s="187">
        <v>149.35</v>
      </c>
      <c r="M23" s="27">
        <v>1.0</v>
      </c>
      <c r="N23" s="187">
        <f t="shared" si="4"/>
        <v>149.35</v>
      </c>
      <c r="O23" s="58">
        <v>6.0</v>
      </c>
      <c r="P23" s="74"/>
      <c r="Q23" s="74" t="s">
        <v>349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ht="15.75" customHeight="1">
      <c r="A24" s="74" t="s">
        <v>22</v>
      </c>
      <c r="B24" s="27" t="s">
        <v>24</v>
      </c>
      <c r="C24" s="183"/>
      <c r="D24" s="74" t="s">
        <v>5</v>
      </c>
      <c r="E24" s="184">
        <v>46033.0</v>
      </c>
      <c r="F24" s="185">
        <f t="shared" si="1"/>
        <v>11</v>
      </c>
      <c r="G24" s="185">
        <f t="shared" si="2"/>
        <v>1</v>
      </c>
      <c r="H24" s="185">
        <f t="shared" si="3"/>
        <v>2026</v>
      </c>
      <c r="I24" s="186">
        <v>1.0</v>
      </c>
      <c r="J24" s="186">
        <v>2026.0</v>
      </c>
      <c r="K24" s="187"/>
      <c r="L24" s="187">
        <v>100.0</v>
      </c>
      <c r="M24" s="27">
        <v>1.0</v>
      </c>
      <c r="N24" s="187">
        <f t="shared" si="4"/>
        <v>100</v>
      </c>
      <c r="O24" s="58">
        <v>8.0</v>
      </c>
      <c r="P24" s="74" t="s">
        <v>16</v>
      </c>
      <c r="Q24" s="74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ht="15.75" customHeight="1">
      <c r="A25" s="74" t="s">
        <v>22</v>
      </c>
      <c r="B25" s="27" t="s">
        <v>24</v>
      </c>
      <c r="C25" s="183"/>
      <c r="D25" s="74" t="s">
        <v>5</v>
      </c>
      <c r="E25" s="184">
        <v>46033.0</v>
      </c>
      <c r="F25" s="185">
        <f t="shared" si="1"/>
        <v>11</v>
      </c>
      <c r="G25" s="185">
        <f t="shared" si="2"/>
        <v>1</v>
      </c>
      <c r="H25" s="185">
        <f t="shared" si="3"/>
        <v>2026</v>
      </c>
      <c r="I25" s="186">
        <v>1.0</v>
      </c>
      <c r="J25" s="186">
        <v>2026.0</v>
      </c>
      <c r="K25" s="187"/>
      <c r="L25" s="187">
        <v>60.0</v>
      </c>
      <c r="M25" s="27">
        <v>1.0</v>
      </c>
      <c r="N25" s="187">
        <f t="shared" si="4"/>
        <v>60</v>
      </c>
      <c r="O25" s="58">
        <v>9.0</v>
      </c>
      <c r="P25" s="74" t="s">
        <v>16</v>
      </c>
      <c r="Q25" s="74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 ht="15.75" customHeight="1">
      <c r="A26" s="74" t="s">
        <v>334</v>
      </c>
      <c r="B26" s="27" t="s">
        <v>34</v>
      </c>
      <c r="C26" s="183"/>
      <c r="D26" s="74" t="s">
        <v>2</v>
      </c>
      <c r="E26" s="184">
        <v>46033.0</v>
      </c>
      <c r="F26" s="185">
        <f t="shared" si="1"/>
        <v>11</v>
      </c>
      <c r="G26" s="185">
        <f t="shared" si="2"/>
        <v>1</v>
      </c>
      <c r="H26" s="185">
        <f t="shared" si="3"/>
        <v>2026</v>
      </c>
      <c r="I26" s="186">
        <v>1.0</v>
      </c>
      <c r="J26" s="186">
        <v>2026.0</v>
      </c>
      <c r="K26" s="187"/>
      <c r="L26" s="187">
        <v>62.35</v>
      </c>
      <c r="M26" s="27">
        <v>1.0</v>
      </c>
      <c r="N26" s="187">
        <f t="shared" si="4"/>
        <v>62.35</v>
      </c>
      <c r="O26" s="58"/>
      <c r="P26" s="74"/>
      <c r="Q26" s="74" t="s">
        <v>350</v>
      </c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ht="15.75" customHeight="1">
      <c r="A27" s="74" t="s">
        <v>160</v>
      </c>
      <c r="B27" s="27" t="s">
        <v>39</v>
      </c>
      <c r="C27" s="183"/>
      <c r="D27" s="74" t="s">
        <v>2</v>
      </c>
      <c r="E27" s="184">
        <v>46033.0</v>
      </c>
      <c r="F27" s="185">
        <f t="shared" si="1"/>
        <v>11</v>
      </c>
      <c r="G27" s="185">
        <f t="shared" si="2"/>
        <v>1</v>
      </c>
      <c r="H27" s="185">
        <f t="shared" si="3"/>
        <v>2026</v>
      </c>
      <c r="I27" s="186">
        <v>1.0</v>
      </c>
      <c r="J27" s="186">
        <v>2026.0</v>
      </c>
      <c r="K27" s="187"/>
      <c r="L27" s="187">
        <v>88.59</v>
      </c>
      <c r="M27" s="27">
        <v>1.0</v>
      </c>
      <c r="N27" s="187">
        <f t="shared" si="4"/>
        <v>88.59</v>
      </c>
      <c r="O27" s="58"/>
      <c r="P27" s="74"/>
      <c r="Q27" s="74" t="s">
        <v>351</v>
      </c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 ht="15.75" customHeight="1">
      <c r="A28" s="74" t="s">
        <v>334</v>
      </c>
      <c r="B28" s="27" t="s">
        <v>34</v>
      </c>
      <c r="C28" s="183"/>
      <c r="D28" s="74" t="s">
        <v>2</v>
      </c>
      <c r="E28" s="184">
        <v>46033.0</v>
      </c>
      <c r="F28" s="185">
        <f t="shared" si="1"/>
        <v>11</v>
      </c>
      <c r="G28" s="185">
        <f t="shared" si="2"/>
        <v>1</v>
      </c>
      <c r="H28" s="185">
        <f t="shared" si="3"/>
        <v>2026</v>
      </c>
      <c r="I28" s="186">
        <v>1.0</v>
      </c>
      <c r="J28" s="186">
        <v>2026.0</v>
      </c>
      <c r="K28" s="187"/>
      <c r="L28" s="187">
        <v>28.24</v>
      </c>
      <c r="M28" s="27">
        <v>1.0</v>
      </c>
      <c r="N28" s="187">
        <f t="shared" si="4"/>
        <v>28.24</v>
      </c>
      <c r="O28" s="58"/>
      <c r="P28" s="74"/>
      <c r="Q28" s="74" t="s">
        <v>352</v>
      </c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</row>
    <row r="29" ht="15.75" customHeight="1">
      <c r="A29" s="74" t="s">
        <v>136</v>
      </c>
      <c r="B29" s="27" t="s">
        <v>38</v>
      </c>
      <c r="C29" s="183"/>
      <c r="D29" s="74" t="s">
        <v>2</v>
      </c>
      <c r="E29" s="184">
        <v>46033.0</v>
      </c>
      <c r="F29" s="185">
        <f t="shared" si="1"/>
        <v>11</v>
      </c>
      <c r="G29" s="185">
        <f t="shared" si="2"/>
        <v>1</v>
      </c>
      <c r="H29" s="185">
        <f t="shared" si="3"/>
        <v>2026</v>
      </c>
      <c r="I29" s="186">
        <v>1.0</v>
      </c>
      <c r="J29" s="186">
        <v>2026.0</v>
      </c>
      <c r="K29" s="187"/>
      <c r="L29" s="187">
        <f>4.99+0.2</f>
        <v>5.19</v>
      </c>
      <c r="M29" s="27">
        <v>1.0</v>
      </c>
      <c r="N29" s="187">
        <f t="shared" si="4"/>
        <v>5.19</v>
      </c>
      <c r="O29" s="58"/>
      <c r="P29" s="74"/>
      <c r="Q29" s="74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</row>
    <row r="30" ht="15.75" customHeight="1">
      <c r="A30" s="74" t="s">
        <v>22</v>
      </c>
      <c r="B30" s="27" t="s">
        <v>27</v>
      </c>
      <c r="C30" s="183"/>
      <c r="D30" s="74" t="s">
        <v>2</v>
      </c>
      <c r="E30" s="184">
        <v>46034.0</v>
      </c>
      <c r="F30" s="185">
        <f t="shared" si="1"/>
        <v>12</v>
      </c>
      <c r="G30" s="185">
        <f t="shared" si="2"/>
        <v>1</v>
      </c>
      <c r="H30" s="185">
        <f t="shared" si="3"/>
        <v>2026</v>
      </c>
      <c r="I30" s="186">
        <v>1.0</v>
      </c>
      <c r="J30" s="186">
        <v>2026.0</v>
      </c>
      <c r="K30" s="187"/>
      <c r="L30" s="187">
        <v>2829.0</v>
      </c>
      <c r="M30" s="27">
        <v>1.0</v>
      </c>
      <c r="N30" s="187">
        <f t="shared" si="4"/>
        <v>2829</v>
      </c>
      <c r="O30" s="58"/>
      <c r="P30" s="74"/>
      <c r="Q30" s="74" t="s">
        <v>353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</row>
    <row r="31" ht="15.75" customHeight="1">
      <c r="A31" s="74" t="s">
        <v>22</v>
      </c>
      <c r="B31" s="27" t="s">
        <v>342</v>
      </c>
      <c r="C31" s="183"/>
      <c r="D31" s="74" t="s">
        <v>5</v>
      </c>
      <c r="E31" s="184">
        <v>46034.0</v>
      </c>
      <c r="F31" s="185">
        <f t="shared" si="1"/>
        <v>12</v>
      </c>
      <c r="G31" s="185">
        <f t="shared" si="2"/>
        <v>1</v>
      </c>
      <c r="H31" s="185">
        <f t="shared" si="3"/>
        <v>2026</v>
      </c>
      <c r="I31" s="186">
        <v>1.0</v>
      </c>
      <c r="J31" s="186">
        <v>2026.0</v>
      </c>
      <c r="K31" s="187"/>
      <c r="L31" s="187">
        <v>30.0</v>
      </c>
      <c r="M31" s="27">
        <v>1.0</v>
      </c>
      <c r="N31" s="187">
        <f t="shared" si="4"/>
        <v>30</v>
      </c>
      <c r="O31" s="58">
        <v>16.0</v>
      </c>
      <c r="P31" s="74" t="s">
        <v>16</v>
      </c>
      <c r="Q31" s="74" t="s">
        <v>355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</row>
    <row r="32" ht="15.75" customHeight="1">
      <c r="A32" s="74" t="s">
        <v>167</v>
      </c>
      <c r="B32" s="27" t="s">
        <v>40</v>
      </c>
      <c r="C32" s="183"/>
      <c r="D32" s="74" t="s">
        <v>2</v>
      </c>
      <c r="E32" s="184">
        <v>46037.0</v>
      </c>
      <c r="F32" s="185">
        <f t="shared" si="1"/>
        <v>15</v>
      </c>
      <c r="G32" s="185">
        <f t="shared" si="2"/>
        <v>1</v>
      </c>
      <c r="H32" s="185">
        <f t="shared" si="3"/>
        <v>2026</v>
      </c>
      <c r="I32" s="186">
        <v>12.0</v>
      </c>
      <c r="J32" s="186">
        <v>2025.0</v>
      </c>
      <c r="K32" s="187"/>
      <c r="L32" s="187">
        <v>122.35</v>
      </c>
      <c r="M32" s="27">
        <v>1.0</v>
      </c>
      <c r="N32" s="187">
        <f t="shared" si="4"/>
        <v>122.35</v>
      </c>
      <c r="O32" s="58"/>
      <c r="P32" s="74"/>
      <c r="Q32" s="74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 ht="15.75" customHeight="1">
      <c r="A33" s="74" t="s">
        <v>22</v>
      </c>
      <c r="B33" s="27" t="s">
        <v>27</v>
      </c>
      <c r="C33" s="183"/>
      <c r="D33" s="74" t="s">
        <v>5</v>
      </c>
      <c r="E33" s="184">
        <v>46038.0</v>
      </c>
      <c r="F33" s="185">
        <f t="shared" si="1"/>
        <v>16</v>
      </c>
      <c r="G33" s="185">
        <f t="shared" si="2"/>
        <v>1</v>
      </c>
      <c r="H33" s="185">
        <f t="shared" si="3"/>
        <v>2026</v>
      </c>
      <c r="I33" s="186">
        <v>1.0</v>
      </c>
      <c r="J33" s="186">
        <v>2026.0</v>
      </c>
      <c r="K33" s="187"/>
      <c r="L33" s="187">
        <v>225.9</v>
      </c>
      <c r="M33" s="27">
        <v>1.0</v>
      </c>
      <c r="N33" s="187">
        <f t="shared" si="4"/>
        <v>225.9</v>
      </c>
      <c r="O33" s="58">
        <v>17.0</v>
      </c>
      <c r="P33" s="74" t="s">
        <v>16</v>
      </c>
      <c r="Q33" s="74" t="s">
        <v>356</v>
      </c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 ht="15.75" customHeight="1">
      <c r="A34" s="74" t="s">
        <v>22</v>
      </c>
      <c r="B34" s="27" t="s">
        <v>342</v>
      </c>
      <c r="C34" s="183"/>
      <c r="D34" s="74" t="s">
        <v>5</v>
      </c>
      <c r="E34" s="184">
        <v>46038.0</v>
      </c>
      <c r="F34" s="185">
        <f t="shared" si="1"/>
        <v>16</v>
      </c>
      <c r="G34" s="185">
        <f t="shared" si="2"/>
        <v>1</v>
      </c>
      <c r="H34" s="185">
        <f t="shared" si="3"/>
        <v>2026</v>
      </c>
      <c r="I34" s="186">
        <v>1.0</v>
      </c>
      <c r="J34" s="186">
        <v>2026.0</v>
      </c>
      <c r="K34" s="187"/>
      <c r="L34" s="187">
        <v>100.0</v>
      </c>
      <c r="M34" s="27">
        <v>1.0</v>
      </c>
      <c r="N34" s="187">
        <f t="shared" si="4"/>
        <v>100</v>
      </c>
      <c r="O34" s="58">
        <v>18.0</v>
      </c>
      <c r="P34" s="74" t="s">
        <v>16</v>
      </c>
      <c r="Q34" s="74" t="s">
        <v>357</v>
      </c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 ht="15.75" customHeight="1">
      <c r="A35" s="74" t="s">
        <v>22</v>
      </c>
      <c r="B35" s="27" t="s">
        <v>342</v>
      </c>
      <c r="C35" s="183"/>
      <c r="D35" s="74" t="s">
        <v>5</v>
      </c>
      <c r="E35" s="184">
        <v>46038.0</v>
      </c>
      <c r="F35" s="185">
        <f t="shared" si="1"/>
        <v>16</v>
      </c>
      <c r="G35" s="185">
        <f t="shared" si="2"/>
        <v>1</v>
      </c>
      <c r="H35" s="185">
        <f t="shared" si="3"/>
        <v>2026</v>
      </c>
      <c r="I35" s="186">
        <v>1.0</v>
      </c>
      <c r="J35" s="186">
        <v>2026.0</v>
      </c>
      <c r="K35" s="187"/>
      <c r="L35" s="187">
        <v>90.0</v>
      </c>
      <c r="M35" s="27">
        <v>1.0</v>
      </c>
      <c r="N35" s="187">
        <f t="shared" si="4"/>
        <v>90</v>
      </c>
      <c r="O35" s="58">
        <v>19.0</v>
      </c>
      <c r="P35" s="74" t="s">
        <v>16</v>
      </c>
      <c r="Q35" s="74" t="s">
        <v>358</v>
      </c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ht="15.75" customHeight="1">
      <c r="A36" s="74" t="s">
        <v>22</v>
      </c>
      <c r="B36" s="27" t="s">
        <v>342</v>
      </c>
      <c r="C36" s="183"/>
      <c r="D36" s="74" t="s">
        <v>5</v>
      </c>
      <c r="E36" s="184">
        <v>46038.0</v>
      </c>
      <c r="F36" s="185">
        <f t="shared" si="1"/>
        <v>16</v>
      </c>
      <c r="G36" s="185">
        <f t="shared" si="2"/>
        <v>1</v>
      </c>
      <c r="H36" s="185">
        <f t="shared" si="3"/>
        <v>2026</v>
      </c>
      <c r="I36" s="186">
        <v>1.0</v>
      </c>
      <c r="J36" s="186">
        <v>2026.0</v>
      </c>
      <c r="K36" s="187"/>
      <c r="L36" s="187">
        <v>60.0</v>
      </c>
      <c r="M36" s="27">
        <v>1.0</v>
      </c>
      <c r="N36" s="187">
        <f t="shared" si="4"/>
        <v>60</v>
      </c>
      <c r="O36" s="58">
        <v>20.0</v>
      </c>
      <c r="P36" s="74" t="s">
        <v>16</v>
      </c>
      <c r="Q36" s="74" t="s">
        <v>359</v>
      </c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 ht="15.75" customHeight="1">
      <c r="A37" s="74" t="s">
        <v>22</v>
      </c>
      <c r="B37" s="27" t="s">
        <v>342</v>
      </c>
      <c r="C37" s="183"/>
      <c r="D37" s="74" t="s">
        <v>5</v>
      </c>
      <c r="E37" s="184">
        <v>46038.0</v>
      </c>
      <c r="F37" s="185">
        <f t="shared" si="1"/>
        <v>16</v>
      </c>
      <c r="G37" s="185">
        <f t="shared" si="2"/>
        <v>1</v>
      </c>
      <c r="H37" s="185">
        <f t="shared" si="3"/>
        <v>2026</v>
      </c>
      <c r="I37" s="186">
        <v>1.0</v>
      </c>
      <c r="J37" s="186">
        <v>2026.0</v>
      </c>
      <c r="K37" s="187"/>
      <c r="L37" s="187">
        <v>30.0</v>
      </c>
      <c r="M37" s="27">
        <v>1.0</v>
      </c>
      <c r="N37" s="187">
        <f t="shared" si="4"/>
        <v>30</v>
      </c>
      <c r="O37" s="58">
        <v>21.0</v>
      </c>
      <c r="P37" s="74" t="s">
        <v>16</v>
      </c>
      <c r="Q37" s="74" t="s">
        <v>355</v>
      </c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 ht="15.75" customHeight="1">
      <c r="A38" s="74" t="s">
        <v>22</v>
      </c>
      <c r="B38" s="27" t="s">
        <v>342</v>
      </c>
      <c r="C38" s="183"/>
      <c r="D38" s="74" t="s">
        <v>5</v>
      </c>
      <c r="E38" s="184">
        <v>46038.0</v>
      </c>
      <c r="F38" s="185">
        <f t="shared" si="1"/>
        <v>16</v>
      </c>
      <c r="G38" s="185">
        <f t="shared" si="2"/>
        <v>1</v>
      </c>
      <c r="H38" s="185">
        <f t="shared" si="3"/>
        <v>2026</v>
      </c>
      <c r="I38" s="186">
        <v>1.0</v>
      </c>
      <c r="J38" s="186">
        <v>2026.0</v>
      </c>
      <c r="K38" s="187"/>
      <c r="L38" s="187">
        <v>20.0</v>
      </c>
      <c r="M38" s="27">
        <v>1.0</v>
      </c>
      <c r="N38" s="187">
        <f t="shared" si="4"/>
        <v>20</v>
      </c>
      <c r="O38" s="58">
        <v>22.0</v>
      </c>
      <c r="P38" s="74" t="s">
        <v>16</v>
      </c>
      <c r="Q38" s="74" t="s">
        <v>355</v>
      </c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</row>
    <row r="39" ht="15.75" customHeight="1">
      <c r="A39" s="74" t="s">
        <v>22</v>
      </c>
      <c r="B39" s="27" t="s">
        <v>29</v>
      </c>
      <c r="C39" s="183"/>
      <c r="D39" s="74" t="s">
        <v>12</v>
      </c>
      <c r="E39" s="184">
        <v>46038.0</v>
      </c>
      <c r="F39" s="185">
        <f t="shared" si="1"/>
        <v>16</v>
      </c>
      <c r="G39" s="185">
        <f t="shared" si="2"/>
        <v>1</v>
      </c>
      <c r="H39" s="185">
        <f t="shared" si="3"/>
        <v>2026</v>
      </c>
      <c r="I39" s="186">
        <v>1.0</v>
      </c>
      <c r="J39" s="186">
        <v>2026.0</v>
      </c>
      <c r="K39" s="187"/>
      <c r="L39" s="187">
        <v>3.94</v>
      </c>
      <c r="M39" s="27">
        <v>1.0</v>
      </c>
      <c r="N39" s="187">
        <f t="shared" si="4"/>
        <v>3.94</v>
      </c>
      <c r="O39" s="58">
        <v>24.0</v>
      </c>
      <c r="P39" s="74"/>
      <c r="Q39" s="74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 ht="15.75" customHeight="1">
      <c r="A40" s="74" t="s">
        <v>22</v>
      </c>
      <c r="B40" s="27" t="s">
        <v>29</v>
      </c>
      <c r="C40" s="183"/>
      <c r="D40" s="74" t="s">
        <v>12</v>
      </c>
      <c r="E40" s="184">
        <v>46038.0</v>
      </c>
      <c r="F40" s="185">
        <f t="shared" si="1"/>
        <v>16</v>
      </c>
      <c r="G40" s="185">
        <f t="shared" si="2"/>
        <v>1</v>
      </c>
      <c r="H40" s="185">
        <f t="shared" si="3"/>
        <v>2026</v>
      </c>
      <c r="I40" s="186">
        <v>1.0</v>
      </c>
      <c r="J40" s="186">
        <v>2026.0</v>
      </c>
      <c r="K40" s="187"/>
      <c r="L40" s="187">
        <v>3.58</v>
      </c>
      <c r="M40" s="27">
        <v>1.0</v>
      </c>
      <c r="N40" s="187">
        <f t="shared" si="4"/>
        <v>3.58</v>
      </c>
      <c r="O40" s="58">
        <v>23.0</v>
      </c>
      <c r="P40" s="74"/>
      <c r="Q40" s="74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ht="15.75" customHeight="1">
      <c r="A41" s="74" t="s">
        <v>167</v>
      </c>
      <c r="B41" s="27" t="s">
        <v>32</v>
      </c>
      <c r="C41" s="183"/>
      <c r="D41" s="74" t="s">
        <v>2</v>
      </c>
      <c r="E41" s="184">
        <v>46040.0</v>
      </c>
      <c r="F41" s="185">
        <f t="shared" si="1"/>
        <v>18</v>
      </c>
      <c r="G41" s="185">
        <f t="shared" si="2"/>
        <v>1</v>
      </c>
      <c r="H41" s="185">
        <f t="shared" si="3"/>
        <v>2026</v>
      </c>
      <c r="I41" s="186">
        <v>1.0</v>
      </c>
      <c r="J41" s="186">
        <v>2026.0</v>
      </c>
      <c r="K41" s="187"/>
      <c r="L41" s="187">
        <v>700.0</v>
      </c>
      <c r="M41" s="27">
        <v>1.0</v>
      </c>
      <c r="N41" s="187">
        <f t="shared" si="4"/>
        <v>700</v>
      </c>
      <c r="O41" s="58"/>
      <c r="P41" s="74"/>
      <c r="Q41" s="74" t="s">
        <v>360</v>
      </c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 ht="15.75" customHeight="1">
      <c r="A42" s="74" t="s">
        <v>334</v>
      </c>
      <c r="B42" s="27" t="s">
        <v>34</v>
      </c>
      <c r="C42" s="183"/>
      <c r="D42" s="74" t="s">
        <v>2</v>
      </c>
      <c r="E42" s="184">
        <v>46040.0</v>
      </c>
      <c r="F42" s="185">
        <f t="shared" si="1"/>
        <v>18</v>
      </c>
      <c r="G42" s="185">
        <f t="shared" si="2"/>
        <v>1</v>
      </c>
      <c r="H42" s="185">
        <f t="shared" si="3"/>
        <v>2026</v>
      </c>
      <c r="I42" s="186">
        <v>1.0</v>
      </c>
      <c r="J42" s="186">
        <v>2026.0</v>
      </c>
      <c r="K42" s="187"/>
      <c r="L42" s="187">
        <v>-75.98</v>
      </c>
      <c r="M42" s="27">
        <v>1.0</v>
      </c>
      <c r="N42" s="187">
        <f t="shared" si="4"/>
        <v>-75.98</v>
      </c>
      <c r="O42" s="58"/>
      <c r="P42" s="74"/>
      <c r="Q42" s="74" t="s">
        <v>361</v>
      </c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 ht="15.75" customHeight="1">
      <c r="A43" s="74" t="s">
        <v>22</v>
      </c>
      <c r="B43" s="27" t="s">
        <v>342</v>
      </c>
      <c r="C43" s="183"/>
      <c r="D43" s="74" t="s">
        <v>5</v>
      </c>
      <c r="E43" s="184">
        <v>46041.0</v>
      </c>
      <c r="F43" s="185">
        <f t="shared" si="1"/>
        <v>19</v>
      </c>
      <c r="G43" s="185">
        <f t="shared" si="2"/>
        <v>1</v>
      </c>
      <c r="H43" s="185">
        <f t="shared" si="3"/>
        <v>2026</v>
      </c>
      <c r="I43" s="186">
        <v>1.0</v>
      </c>
      <c r="J43" s="186">
        <v>2026.0</v>
      </c>
      <c r="K43" s="187"/>
      <c r="L43" s="187">
        <v>100.0</v>
      </c>
      <c r="M43" s="27">
        <v>1.0</v>
      </c>
      <c r="N43" s="187">
        <f t="shared" si="4"/>
        <v>100</v>
      </c>
      <c r="O43" s="58">
        <v>29.0</v>
      </c>
      <c r="P43" s="74" t="s">
        <v>16</v>
      </c>
      <c r="Q43" s="74" t="s">
        <v>363</v>
      </c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 ht="15.75" customHeight="1">
      <c r="A44" s="74" t="s">
        <v>22</v>
      </c>
      <c r="B44" s="27" t="s">
        <v>342</v>
      </c>
      <c r="C44" s="183"/>
      <c r="D44" s="74" t="s">
        <v>5</v>
      </c>
      <c r="E44" s="184">
        <v>46042.0</v>
      </c>
      <c r="F44" s="185">
        <f t="shared" si="1"/>
        <v>20</v>
      </c>
      <c r="G44" s="185">
        <f t="shared" si="2"/>
        <v>1</v>
      </c>
      <c r="H44" s="185">
        <f t="shared" si="3"/>
        <v>2026</v>
      </c>
      <c r="I44" s="186">
        <v>1.0</v>
      </c>
      <c r="J44" s="186">
        <v>2026.0</v>
      </c>
      <c r="K44" s="187"/>
      <c r="L44" s="187">
        <v>2000.0</v>
      </c>
      <c r="M44" s="27">
        <v>1.0</v>
      </c>
      <c r="N44" s="187">
        <f t="shared" si="4"/>
        <v>2000</v>
      </c>
      <c r="O44" s="58">
        <v>26.0</v>
      </c>
      <c r="P44" s="74" t="s">
        <v>16</v>
      </c>
      <c r="Q44" s="74" t="s">
        <v>364</v>
      </c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</row>
    <row r="45" ht="15.75" customHeight="1">
      <c r="A45" s="74" t="s">
        <v>22</v>
      </c>
      <c r="B45" s="27" t="s">
        <v>27</v>
      </c>
      <c r="C45" s="183"/>
      <c r="D45" s="74" t="s">
        <v>2</v>
      </c>
      <c r="E45" s="184">
        <v>46042.0</v>
      </c>
      <c r="F45" s="185">
        <f t="shared" si="1"/>
        <v>20</v>
      </c>
      <c r="G45" s="185">
        <f t="shared" si="2"/>
        <v>1</v>
      </c>
      <c r="H45" s="185">
        <f t="shared" si="3"/>
        <v>2026</v>
      </c>
      <c r="I45" s="186">
        <v>1.0</v>
      </c>
      <c r="J45" s="186">
        <v>2026.0</v>
      </c>
      <c r="K45" s="187"/>
      <c r="L45" s="187">
        <v>505.48</v>
      </c>
      <c r="M45" s="27">
        <v>1.0</v>
      </c>
      <c r="N45" s="187">
        <f t="shared" si="4"/>
        <v>505.48</v>
      </c>
      <c r="O45" s="58">
        <v>31.0</v>
      </c>
      <c r="P45" s="74"/>
      <c r="Q45" s="74" t="s">
        <v>365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</row>
    <row r="46" ht="15.75" customHeight="1">
      <c r="A46" s="74" t="s">
        <v>22</v>
      </c>
      <c r="B46" s="27" t="s">
        <v>27</v>
      </c>
      <c r="C46" s="183"/>
      <c r="D46" s="74" t="s">
        <v>5</v>
      </c>
      <c r="E46" s="184">
        <v>46042.0</v>
      </c>
      <c r="F46" s="185">
        <f t="shared" si="1"/>
        <v>20</v>
      </c>
      <c r="G46" s="185">
        <f t="shared" si="2"/>
        <v>1</v>
      </c>
      <c r="H46" s="185">
        <f t="shared" si="3"/>
        <v>2026</v>
      </c>
      <c r="I46" s="186">
        <v>1.0</v>
      </c>
      <c r="J46" s="186">
        <v>2026.0</v>
      </c>
      <c r="K46" s="187"/>
      <c r="L46" s="187">
        <v>500.0</v>
      </c>
      <c r="M46" s="27">
        <v>1.0</v>
      </c>
      <c r="N46" s="187">
        <f t="shared" si="4"/>
        <v>500</v>
      </c>
      <c r="O46" s="58">
        <v>25.0</v>
      </c>
      <c r="P46" s="74" t="s">
        <v>16</v>
      </c>
      <c r="Q46" s="74" t="s">
        <v>366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ht="15.75" customHeight="1">
      <c r="A47" s="74" t="s">
        <v>22</v>
      </c>
      <c r="B47" s="27" t="s">
        <v>27</v>
      </c>
      <c r="C47" s="183"/>
      <c r="D47" s="74" t="s">
        <v>5</v>
      </c>
      <c r="E47" s="184">
        <v>46042.0</v>
      </c>
      <c r="F47" s="185">
        <f t="shared" si="1"/>
        <v>20</v>
      </c>
      <c r="G47" s="185">
        <f t="shared" si="2"/>
        <v>1</v>
      </c>
      <c r="H47" s="185">
        <f t="shared" si="3"/>
        <v>2026</v>
      </c>
      <c r="I47" s="186">
        <v>1.0</v>
      </c>
      <c r="J47" s="186">
        <v>2026.0</v>
      </c>
      <c r="K47" s="187"/>
      <c r="L47" s="187">
        <v>56.34</v>
      </c>
      <c r="M47" s="27">
        <v>1.0</v>
      </c>
      <c r="N47" s="187">
        <f t="shared" si="4"/>
        <v>56.34</v>
      </c>
      <c r="O47" s="58">
        <v>30.0</v>
      </c>
      <c r="P47" s="74" t="s">
        <v>16</v>
      </c>
      <c r="Q47" s="74" t="s">
        <v>367</v>
      </c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 ht="15.75" customHeight="1">
      <c r="A48" s="74" t="s">
        <v>22</v>
      </c>
      <c r="B48" s="27" t="s">
        <v>25</v>
      </c>
      <c r="C48" s="183"/>
      <c r="D48" s="74" t="s">
        <v>2</v>
      </c>
      <c r="E48" s="184">
        <v>46043.0</v>
      </c>
      <c r="F48" s="185">
        <f t="shared" si="1"/>
        <v>21</v>
      </c>
      <c r="G48" s="185">
        <f t="shared" si="2"/>
        <v>1</v>
      </c>
      <c r="H48" s="185">
        <f t="shared" si="3"/>
        <v>2026</v>
      </c>
      <c r="I48" s="186">
        <v>1.0</v>
      </c>
      <c r="J48" s="186">
        <v>2026.0</v>
      </c>
      <c r="K48" s="187"/>
      <c r="L48" s="187">
        <v>150.0</v>
      </c>
      <c r="M48" s="27">
        <v>1.0</v>
      </c>
      <c r="N48" s="187">
        <f t="shared" si="4"/>
        <v>150</v>
      </c>
      <c r="O48" s="58">
        <v>27.0</v>
      </c>
      <c r="P48" s="74"/>
      <c r="Q48" s="74" t="s">
        <v>368</v>
      </c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 ht="15.75" customHeight="1">
      <c r="A49" s="74" t="s">
        <v>22</v>
      </c>
      <c r="B49" s="27" t="s">
        <v>25</v>
      </c>
      <c r="C49" s="183"/>
      <c r="D49" s="74" t="s">
        <v>2</v>
      </c>
      <c r="E49" s="184">
        <v>46048.0</v>
      </c>
      <c r="F49" s="185">
        <f t="shared" si="1"/>
        <v>26</v>
      </c>
      <c r="G49" s="185">
        <f t="shared" si="2"/>
        <v>1</v>
      </c>
      <c r="H49" s="185">
        <f t="shared" si="3"/>
        <v>2026</v>
      </c>
      <c r="I49" s="186">
        <v>1.0</v>
      </c>
      <c r="J49" s="186">
        <v>2026.0</v>
      </c>
      <c r="K49" s="187"/>
      <c r="L49" s="187">
        <v>-150.0</v>
      </c>
      <c r="M49" s="27">
        <v>1.0</v>
      </c>
      <c r="N49" s="187">
        <f t="shared" si="4"/>
        <v>-150</v>
      </c>
      <c r="O49" s="58"/>
      <c r="P49" s="74"/>
      <c r="Q49" s="74" t="s">
        <v>369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ht="15.75" customHeight="1">
      <c r="A50" s="74" t="s">
        <v>167</v>
      </c>
      <c r="B50" s="27" t="s">
        <v>41</v>
      </c>
      <c r="C50" s="183"/>
      <c r="D50" s="74" t="s">
        <v>2</v>
      </c>
      <c r="E50" s="184">
        <v>46048.0</v>
      </c>
      <c r="F50" s="185">
        <f t="shared" si="1"/>
        <v>26</v>
      </c>
      <c r="G50" s="185">
        <f t="shared" si="2"/>
        <v>1</v>
      </c>
      <c r="H50" s="185">
        <f t="shared" si="3"/>
        <v>2026</v>
      </c>
      <c r="I50" s="186">
        <v>1.0</v>
      </c>
      <c r="J50" s="186">
        <v>2026.0</v>
      </c>
      <c r="K50" s="187"/>
      <c r="L50" s="187">
        <v>88.87</v>
      </c>
      <c r="M50" s="27">
        <v>1.0</v>
      </c>
      <c r="N50" s="187">
        <f t="shared" si="4"/>
        <v>88.87</v>
      </c>
      <c r="O50" s="58"/>
      <c r="P50" s="74"/>
      <c r="Q50" s="74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  <row r="51" ht="15.75" customHeight="1">
      <c r="A51" s="74" t="s">
        <v>160</v>
      </c>
      <c r="B51" s="27" t="s">
        <v>42</v>
      </c>
      <c r="C51" s="183"/>
      <c r="D51" s="74" t="s">
        <v>2</v>
      </c>
      <c r="E51" s="184">
        <v>46052.0</v>
      </c>
      <c r="F51" s="185">
        <f t="shared" si="1"/>
        <v>30</v>
      </c>
      <c r="G51" s="185">
        <f t="shared" si="2"/>
        <v>1</v>
      </c>
      <c r="H51" s="185">
        <f t="shared" si="3"/>
        <v>2026</v>
      </c>
      <c r="I51" s="186">
        <v>1.0</v>
      </c>
      <c r="J51" s="186">
        <v>2026.0</v>
      </c>
      <c r="K51" s="187"/>
      <c r="L51" s="187">
        <v>369.0</v>
      </c>
      <c r="M51" s="27">
        <v>1.0</v>
      </c>
      <c r="N51" s="187">
        <f t="shared" si="4"/>
        <v>369</v>
      </c>
      <c r="O51" s="58"/>
      <c r="P51" s="74"/>
      <c r="Q51" s="74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</row>
    <row r="52" ht="15.75" customHeight="1">
      <c r="A52" s="74" t="s">
        <v>334</v>
      </c>
      <c r="B52" s="27" t="s">
        <v>34</v>
      </c>
      <c r="C52" s="183"/>
      <c r="D52" s="74" t="s">
        <v>12</v>
      </c>
      <c r="E52" s="184">
        <v>46053.0</v>
      </c>
      <c r="F52" s="185">
        <f t="shared" si="1"/>
        <v>31</v>
      </c>
      <c r="G52" s="185">
        <f t="shared" si="2"/>
        <v>1</v>
      </c>
      <c r="H52" s="185">
        <f t="shared" si="3"/>
        <v>2026</v>
      </c>
      <c r="I52" s="186">
        <f t="shared" ref="I52:J52" si="5">G52</f>
        <v>1</v>
      </c>
      <c r="J52" s="186">
        <f t="shared" si="5"/>
        <v>2026</v>
      </c>
      <c r="K52" s="187"/>
      <c r="L52" s="187">
        <v>1154.68</v>
      </c>
      <c r="M52" s="27">
        <v>1.0</v>
      </c>
      <c r="N52" s="187">
        <f>M52*L52</f>
        <v>1154.68</v>
      </c>
      <c r="O52" s="58"/>
      <c r="P52" s="74"/>
      <c r="Q52" s="74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 ht="15.75" customHeight="1">
      <c r="A53" s="74" t="s">
        <v>334</v>
      </c>
      <c r="B53" s="27" t="s">
        <v>34</v>
      </c>
      <c r="C53" s="183"/>
      <c r="D53" s="74" t="s">
        <v>2</v>
      </c>
      <c r="E53" s="184">
        <v>46053.0</v>
      </c>
      <c r="F53" s="185">
        <f t="shared" si="1"/>
        <v>31</v>
      </c>
      <c r="G53" s="185">
        <f t="shared" si="2"/>
        <v>1</v>
      </c>
      <c r="H53" s="185">
        <f t="shared" si="3"/>
        <v>2026</v>
      </c>
      <c r="I53" s="186">
        <v>1.0</v>
      </c>
      <c r="J53" s="186">
        <v>2026.0</v>
      </c>
      <c r="K53" s="187"/>
      <c r="L53" s="187">
        <v>9.9</v>
      </c>
      <c r="M53" s="27">
        <v>1.0</v>
      </c>
      <c r="N53" s="187">
        <f t="shared" ref="N53:N129" si="6">L53*M53</f>
        <v>9.9</v>
      </c>
      <c r="O53" s="58"/>
      <c r="P53" s="74"/>
      <c r="Q53" s="74" t="s">
        <v>370</v>
      </c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</row>
    <row r="54" ht="15.75" customHeight="1">
      <c r="A54" s="74" t="s">
        <v>22</v>
      </c>
      <c r="B54" s="27" t="s">
        <v>27</v>
      </c>
      <c r="C54" s="183"/>
      <c r="D54" s="74" t="s">
        <v>2</v>
      </c>
      <c r="E54" s="184">
        <v>46055.0</v>
      </c>
      <c r="F54" s="185">
        <f t="shared" si="1"/>
        <v>2</v>
      </c>
      <c r="G54" s="185">
        <f t="shared" si="2"/>
        <v>2</v>
      </c>
      <c r="H54" s="185">
        <f t="shared" si="3"/>
        <v>2026</v>
      </c>
      <c r="I54" s="186">
        <v>1.0</v>
      </c>
      <c r="J54" s="186">
        <v>2026.0</v>
      </c>
      <c r="K54" s="187"/>
      <c r="L54" s="187">
        <v>3700.0</v>
      </c>
      <c r="M54" s="27">
        <v>1.0</v>
      </c>
      <c r="N54" s="187">
        <f t="shared" si="6"/>
        <v>3700</v>
      </c>
      <c r="O54" s="58">
        <v>32.0</v>
      </c>
      <c r="P54" s="74"/>
      <c r="Q54" s="74" t="s">
        <v>372</v>
      </c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</row>
    <row r="55" ht="15.75" customHeight="1">
      <c r="A55" s="74" t="s">
        <v>22</v>
      </c>
      <c r="B55" s="27" t="s">
        <v>25</v>
      </c>
      <c r="C55" s="183"/>
      <c r="D55" s="74" t="s">
        <v>2</v>
      </c>
      <c r="E55" s="184">
        <v>46055.0</v>
      </c>
      <c r="F55" s="185">
        <f t="shared" si="1"/>
        <v>2</v>
      </c>
      <c r="G55" s="185">
        <f t="shared" si="2"/>
        <v>2</v>
      </c>
      <c r="H55" s="185">
        <f t="shared" si="3"/>
        <v>2026</v>
      </c>
      <c r="I55" s="186">
        <v>1.0</v>
      </c>
      <c r="J55" s="186">
        <v>2026.0</v>
      </c>
      <c r="K55" s="187"/>
      <c r="L55" s="187">
        <v>580.0</v>
      </c>
      <c r="M55" s="27">
        <v>1.0</v>
      </c>
      <c r="N55" s="187">
        <f t="shared" si="6"/>
        <v>580</v>
      </c>
      <c r="O55" s="58">
        <v>28.0</v>
      </c>
      <c r="P55" s="74"/>
      <c r="Q55" s="74" t="s">
        <v>373</v>
      </c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 ht="15.75" customHeight="1">
      <c r="A56" s="74" t="s">
        <v>167</v>
      </c>
      <c r="B56" s="27" t="s">
        <v>37</v>
      </c>
      <c r="C56" s="183"/>
      <c r="D56" s="74" t="s">
        <v>2</v>
      </c>
      <c r="E56" s="184">
        <v>46055.0</v>
      </c>
      <c r="F56" s="185">
        <f t="shared" si="1"/>
        <v>2</v>
      </c>
      <c r="G56" s="185">
        <f t="shared" si="2"/>
        <v>2</v>
      </c>
      <c r="H56" s="185">
        <f t="shared" si="3"/>
        <v>2026</v>
      </c>
      <c r="I56" s="186">
        <v>1.0</v>
      </c>
      <c r="J56" s="186">
        <v>2026.0</v>
      </c>
      <c r="K56" s="187"/>
      <c r="L56" s="187">
        <v>66.44</v>
      </c>
      <c r="M56" s="27">
        <v>1.0</v>
      </c>
      <c r="N56" s="187">
        <f t="shared" si="6"/>
        <v>66.44</v>
      </c>
      <c r="O56" s="58"/>
      <c r="P56" s="74"/>
      <c r="Q56" s="74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</row>
    <row r="57" ht="15.75" customHeight="1">
      <c r="A57" s="74" t="s">
        <v>22</v>
      </c>
      <c r="B57" s="27" t="s">
        <v>27</v>
      </c>
      <c r="C57" s="183"/>
      <c r="D57" s="74" t="s">
        <v>2</v>
      </c>
      <c r="E57" s="184">
        <v>46056.0</v>
      </c>
      <c r="F57" s="185">
        <f t="shared" si="1"/>
        <v>3</v>
      </c>
      <c r="G57" s="185">
        <f t="shared" si="2"/>
        <v>2</v>
      </c>
      <c r="H57" s="185">
        <f t="shared" si="3"/>
        <v>2026</v>
      </c>
      <c r="I57" s="186">
        <v>2.0</v>
      </c>
      <c r="J57" s="186">
        <v>2026.0</v>
      </c>
      <c r="K57" s="187"/>
      <c r="L57" s="187">
        <v>787.5</v>
      </c>
      <c r="M57" s="27">
        <v>1.0</v>
      </c>
      <c r="N57" s="187">
        <f t="shared" si="6"/>
        <v>787.5</v>
      </c>
      <c r="O57" s="58">
        <v>35.0</v>
      </c>
      <c r="P57" s="74"/>
      <c r="Q57" s="74" t="s">
        <v>374</v>
      </c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</row>
    <row r="58" ht="15.75" customHeight="1">
      <c r="A58" s="74" t="s">
        <v>22</v>
      </c>
      <c r="B58" s="27" t="s">
        <v>25</v>
      </c>
      <c r="C58" s="183"/>
      <c r="D58" s="74" t="s">
        <v>2</v>
      </c>
      <c r="E58" s="184">
        <v>46056.0</v>
      </c>
      <c r="F58" s="185">
        <f t="shared" si="1"/>
        <v>3</v>
      </c>
      <c r="G58" s="185">
        <f t="shared" si="2"/>
        <v>2</v>
      </c>
      <c r="H58" s="185">
        <f t="shared" si="3"/>
        <v>2026</v>
      </c>
      <c r="I58" s="186">
        <v>2.0</v>
      </c>
      <c r="J58" s="186">
        <v>2026.0</v>
      </c>
      <c r="K58" s="187"/>
      <c r="L58" s="187">
        <v>301.5</v>
      </c>
      <c r="M58" s="27">
        <v>1.0</v>
      </c>
      <c r="N58" s="187">
        <f t="shared" si="6"/>
        <v>301.5</v>
      </c>
      <c r="O58" s="58">
        <v>36.0</v>
      </c>
      <c r="P58" s="74"/>
      <c r="Q58" s="74" t="s">
        <v>375</v>
      </c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 ht="15.75" customHeight="1">
      <c r="A59" s="74" t="s">
        <v>22</v>
      </c>
      <c r="B59" s="27" t="s">
        <v>27</v>
      </c>
      <c r="C59" s="183"/>
      <c r="D59" s="74" t="s">
        <v>5</v>
      </c>
      <c r="E59" s="184">
        <v>46056.0</v>
      </c>
      <c r="F59" s="185">
        <f t="shared" si="1"/>
        <v>3</v>
      </c>
      <c r="G59" s="185">
        <f t="shared" si="2"/>
        <v>2</v>
      </c>
      <c r="H59" s="185">
        <f t="shared" si="3"/>
        <v>2026</v>
      </c>
      <c r="I59" s="186">
        <v>2.0</v>
      </c>
      <c r="J59" s="186">
        <v>2026.0</v>
      </c>
      <c r="K59" s="187"/>
      <c r="L59" s="187">
        <v>7.5</v>
      </c>
      <c r="M59" s="27">
        <v>1.0</v>
      </c>
      <c r="N59" s="187">
        <f t="shared" si="6"/>
        <v>7.5</v>
      </c>
      <c r="O59" s="58">
        <v>34.0</v>
      </c>
      <c r="P59" s="74" t="s">
        <v>16</v>
      </c>
      <c r="Q59" s="74" t="s">
        <v>376</v>
      </c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</row>
    <row r="60" ht="15.75" customHeight="1">
      <c r="A60" s="74" t="s">
        <v>167</v>
      </c>
      <c r="B60" s="27" t="s">
        <v>32</v>
      </c>
      <c r="C60" s="183"/>
      <c r="D60" s="74" t="s">
        <v>2</v>
      </c>
      <c r="E60" s="184">
        <v>46056.0</v>
      </c>
      <c r="F60" s="185">
        <f t="shared" si="1"/>
        <v>3</v>
      </c>
      <c r="G60" s="185">
        <f t="shared" si="2"/>
        <v>2</v>
      </c>
      <c r="H60" s="185">
        <f t="shared" si="3"/>
        <v>2026</v>
      </c>
      <c r="I60" s="186">
        <v>1.0</v>
      </c>
      <c r="J60" s="186">
        <v>2026.0</v>
      </c>
      <c r="K60" s="187"/>
      <c r="L60" s="187">
        <v>115.0</v>
      </c>
      <c r="M60" s="27">
        <v>1.0</v>
      </c>
      <c r="N60" s="187">
        <f t="shared" si="6"/>
        <v>115</v>
      </c>
      <c r="O60" s="58"/>
      <c r="P60" s="74"/>
      <c r="Q60" s="74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</row>
    <row r="61" ht="15.75" customHeight="1">
      <c r="A61" s="74" t="s">
        <v>22</v>
      </c>
      <c r="B61" s="27" t="s">
        <v>27</v>
      </c>
      <c r="C61" s="183"/>
      <c r="D61" s="74" t="s">
        <v>2</v>
      </c>
      <c r="E61" s="184">
        <v>46057.0</v>
      </c>
      <c r="F61" s="185">
        <f t="shared" si="1"/>
        <v>4</v>
      </c>
      <c r="G61" s="185">
        <f t="shared" si="2"/>
        <v>2</v>
      </c>
      <c r="H61" s="185">
        <f t="shared" si="3"/>
        <v>2026</v>
      </c>
      <c r="I61" s="186">
        <v>2.0</v>
      </c>
      <c r="J61" s="186">
        <v>2026.0</v>
      </c>
      <c r="K61" s="187"/>
      <c r="L61" s="187">
        <v>157.35</v>
      </c>
      <c r="M61" s="27">
        <v>1.0</v>
      </c>
      <c r="N61" s="187">
        <f t="shared" si="6"/>
        <v>157.35</v>
      </c>
      <c r="O61" s="58">
        <v>41.0</v>
      </c>
      <c r="P61" s="74"/>
      <c r="Q61" s="74" t="s">
        <v>377</v>
      </c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 ht="15.75" customHeight="1">
      <c r="A62" s="74" t="s">
        <v>22</v>
      </c>
      <c r="B62" s="27" t="s">
        <v>27</v>
      </c>
      <c r="C62" s="183"/>
      <c r="D62" s="74" t="s">
        <v>2</v>
      </c>
      <c r="E62" s="184">
        <v>46057.0</v>
      </c>
      <c r="F62" s="185">
        <f t="shared" si="1"/>
        <v>4</v>
      </c>
      <c r="G62" s="185">
        <f t="shared" si="2"/>
        <v>2</v>
      </c>
      <c r="H62" s="185">
        <f t="shared" si="3"/>
        <v>2026</v>
      </c>
      <c r="I62" s="186">
        <v>2.0</v>
      </c>
      <c r="J62" s="186">
        <v>2026.0</v>
      </c>
      <c r="K62" s="187"/>
      <c r="L62" s="187">
        <v>47.23</v>
      </c>
      <c r="M62" s="27">
        <v>1.0</v>
      </c>
      <c r="N62" s="187">
        <f t="shared" si="6"/>
        <v>47.23</v>
      </c>
      <c r="O62" s="58">
        <v>33.0</v>
      </c>
      <c r="P62" s="74"/>
      <c r="Q62" s="74" t="s">
        <v>378</v>
      </c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</row>
    <row r="63" ht="15.75" customHeight="1">
      <c r="A63" s="74" t="s">
        <v>22</v>
      </c>
      <c r="B63" s="27" t="s">
        <v>27</v>
      </c>
      <c r="C63" s="183"/>
      <c r="D63" s="74" t="s">
        <v>2</v>
      </c>
      <c r="E63" s="184">
        <v>46057.0</v>
      </c>
      <c r="F63" s="185">
        <f t="shared" si="1"/>
        <v>4</v>
      </c>
      <c r="G63" s="185">
        <f t="shared" si="2"/>
        <v>2</v>
      </c>
      <c r="H63" s="185">
        <f t="shared" si="3"/>
        <v>2026</v>
      </c>
      <c r="I63" s="186">
        <v>2.0</v>
      </c>
      <c r="J63" s="186">
        <v>2026.0</v>
      </c>
      <c r="K63" s="187"/>
      <c r="L63" s="187">
        <v>1.76</v>
      </c>
      <c r="M63" s="27">
        <v>1.0</v>
      </c>
      <c r="N63" s="187">
        <f t="shared" si="6"/>
        <v>1.76</v>
      </c>
      <c r="O63" s="58">
        <v>37.0</v>
      </c>
      <c r="P63" s="74"/>
      <c r="Q63" s="74" t="s">
        <v>377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</row>
    <row r="64" ht="15.75" customHeight="1">
      <c r="A64" s="74" t="s">
        <v>22</v>
      </c>
      <c r="B64" s="27" t="s">
        <v>24</v>
      </c>
      <c r="C64" s="183"/>
      <c r="D64" s="74" t="s">
        <v>5</v>
      </c>
      <c r="E64" s="184">
        <v>46058.0</v>
      </c>
      <c r="F64" s="185">
        <f t="shared" si="1"/>
        <v>5</v>
      </c>
      <c r="G64" s="185">
        <f t="shared" si="2"/>
        <v>2</v>
      </c>
      <c r="H64" s="185">
        <f t="shared" si="3"/>
        <v>2026</v>
      </c>
      <c r="I64" s="186">
        <v>2.0</v>
      </c>
      <c r="J64" s="186">
        <v>2026.0</v>
      </c>
      <c r="K64" s="187"/>
      <c r="L64" s="187">
        <v>100.0</v>
      </c>
      <c r="M64" s="27">
        <v>1.0</v>
      </c>
      <c r="N64" s="187">
        <f t="shared" si="6"/>
        <v>100</v>
      </c>
      <c r="O64" s="58">
        <v>47.0</v>
      </c>
      <c r="P64" s="74" t="s">
        <v>16</v>
      </c>
      <c r="Q64" s="74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</row>
    <row r="65" ht="15.75" customHeight="1">
      <c r="A65" s="74" t="s">
        <v>22</v>
      </c>
      <c r="B65" s="27" t="s">
        <v>27</v>
      </c>
      <c r="C65" s="183"/>
      <c r="D65" s="74" t="s">
        <v>2</v>
      </c>
      <c r="E65" s="184">
        <v>46058.0</v>
      </c>
      <c r="F65" s="185">
        <f t="shared" si="1"/>
        <v>5</v>
      </c>
      <c r="G65" s="185">
        <f t="shared" si="2"/>
        <v>2</v>
      </c>
      <c r="H65" s="185">
        <f t="shared" si="3"/>
        <v>2026</v>
      </c>
      <c r="I65" s="186">
        <v>2.0</v>
      </c>
      <c r="J65" s="186">
        <v>2026.0</v>
      </c>
      <c r="K65" s="187"/>
      <c r="L65" s="187">
        <v>36.95</v>
      </c>
      <c r="M65" s="27">
        <v>1.0</v>
      </c>
      <c r="N65" s="187">
        <f t="shared" si="6"/>
        <v>36.95</v>
      </c>
      <c r="O65" s="58">
        <v>39.0</v>
      </c>
      <c r="P65" s="74"/>
      <c r="Q65" s="74" t="s">
        <v>379</v>
      </c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</row>
    <row r="66" ht="15.75" customHeight="1">
      <c r="A66" s="74" t="s">
        <v>22</v>
      </c>
      <c r="B66" s="27" t="s">
        <v>342</v>
      </c>
      <c r="C66" s="183"/>
      <c r="D66" s="74" t="s">
        <v>5</v>
      </c>
      <c r="E66" s="184">
        <v>46058.0</v>
      </c>
      <c r="F66" s="185">
        <f t="shared" si="1"/>
        <v>5</v>
      </c>
      <c r="G66" s="185">
        <f t="shared" si="2"/>
        <v>2</v>
      </c>
      <c r="H66" s="185">
        <f t="shared" si="3"/>
        <v>2026</v>
      </c>
      <c r="I66" s="186">
        <v>2.0</v>
      </c>
      <c r="J66" s="186">
        <v>2026.0</v>
      </c>
      <c r="K66" s="187"/>
      <c r="L66" s="187">
        <v>30.0</v>
      </c>
      <c r="M66" s="27">
        <v>1.0</v>
      </c>
      <c r="N66" s="187">
        <f t="shared" si="6"/>
        <v>30</v>
      </c>
      <c r="O66" s="58">
        <v>51.0</v>
      </c>
      <c r="P66" s="74" t="s">
        <v>16</v>
      </c>
      <c r="Q66" s="74" t="s">
        <v>381</v>
      </c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</row>
    <row r="67" ht="15.75" customHeight="1">
      <c r="A67" s="74" t="s">
        <v>22</v>
      </c>
      <c r="B67" s="27" t="s">
        <v>342</v>
      </c>
      <c r="C67" s="183"/>
      <c r="D67" s="74" t="s">
        <v>5</v>
      </c>
      <c r="E67" s="184">
        <v>46059.0</v>
      </c>
      <c r="F67" s="185">
        <f t="shared" si="1"/>
        <v>6</v>
      </c>
      <c r="G67" s="185">
        <f t="shared" si="2"/>
        <v>2</v>
      </c>
      <c r="H67" s="185">
        <f t="shared" si="3"/>
        <v>2026</v>
      </c>
      <c r="I67" s="186">
        <v>2.0</v>
      </c>
      <c r="J67" s="186">
        <v>2026.0</v>
      </c>
      <c r="K67" s="187"/>
      <c r="L67" s="187">
        <v>2600.0</v>
      </c>
      <c r="M67" s="27">
        <v>1.0</v>
      </c>
      <c r="N67" s="187">
        <f t="shared" si="6"/>
        <v>2600</v>
      </c>
      <c r="O67" s="58">
        <v>50.0</v>
      </c>
      <c r="P67" s="74" t="s">
        <v>16</v>
      </c>
      <c r="Q67" s="74" t="s">
        <v>382</v>
      </c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</row>
    <row r="68" ht="15.75" customHeight="1">
      <c r="A68" s="74" t="s">
        <v>22</v>
      </c>
      <c r="B68" s="27" t="s">
        <v>27</v>
      </c>
      <c r="C68" s="183"/>
      <c r="D68" s="74" t="s">
        <v>2</v>
      </c>
      <c r="E68" s="184">
        <v>46059.0</v>
      </c>
      <c r="F68" s="185">
        <f t="shared" si="1"/>
        <v>6</v>
      </c>
      <c r="G68" s="185">
        <f t="shared" si="2"/>
        <v>2</v>
      </c>
      <c r="H68" s="185">
        <f t="shared" si="3"/>
        <v>2026</v>
      </c>
      <c r="I68" s="186">
        <v>2.0</v>
      </c>
      <c r="J68" s="186">
        <v>2026.0</v>
      </c>
      <c r="K68" s="187"/>
      <c r="L68" s="187">
        <v>762.05</v>
      </c>
      <c r="M68" s="27">
        <v>1.0</v>
      </c>
      <c r="N68" s="187">
        <f t="shared" si="6"/>
        <v>762.05</v>
      </c>
      <c r="O68" s="58">
        <v>43.0</v>
      </c>
      <c r="P68" s="74"/>
      <c r="Q68" s="74" t="s">
        <v>377</v>
      </c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</row>
    <row r="69" ht="15.75" customHeight="1">
      <c r="A69" s="74" t="s">
        <v>22</v>
      </c>
      <c r="B69" s="27" t="s">
        <v>27</v>
      </c>
      <c r="C69" s="183"/>
      <c r="D69" s="74" t="s">
        <v>2</v>
      </c>
      <c r="E69" s="184">
        <v>46059.0</v>
      </c>
      <c r="F69" s="185">
        <f t="shared" si="1"/>
        <v>6</v>
      </c>
      <c r="G69" s="185">
        <f t="shared" si="2"/>
        <v>2</v>
      </c>
      <c r="H69" s="185">
        <f t="shared" si="3"/>
        <v>2026</v>
      </c>
      <c r="I69" s="186">
        <v>2.0</v>
      </c>
      <c r="J69" s="186">
        <v>2026.0</v>
      </c>
      <c r="K69" s="187"/>
      <c r="L69" s="187">
        <v>400.5</v>
      </c>
      <c r="M69" s="27">
        <v>1.0</v>
      </c>
      <c r="N69" s="187">
        <f t="shared" si="6"/>
        <v>400.5</v>
      </c>
      <c r="O69" s="58">
        <v>42.0</v>
      </c>
      <c r="P69" s="74"/>
      <c r="Q69" s="74" t="s">
        <v>383</v>
      </c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</row>
    <row r="70" ht="15.75" customHeight="1">
      <c r="A70" s="74" t="s">
        <v>22</v>
      </c>
      <c r="B70" s="27" t="s">
        <v>342</v>
      </c>
      <c r="C70" s="183"/>
      <c r="D70" s="74" t="s">
        <v>5</v>
      </c>
      <c r="E70" s="184">
        <v>46059.0</v>
      </c>
      <c r="F70" s="185">
        <f t="shared" si="1"/>
        <v>6</v>
      </c>
      <c r="G70" s="185">
        <f t="shared" si="2"/>
        <v>2</v>
      </c>
      <c r="H70" s="185">
        <f t="shared" si="3"/>
        <v>2026</v>
      </c>
      <c r="I70" s="186">
        <v>2.0</v>
      </c>
      <c r="J70" s="186">
        <v>2026.0</v>
      </c>
      <c r="K70" s="187"/>
      <c r="L70" s="187">
        <v>300.0</v>
      </c>
      <c r="M70" s="27">
        <v>1.0</v>
      </c>
      <c r="N70" s="187">
        <f t="shared" si="6"/>
        <v>300</v>
      </c>
      <c r="O70" s="58">
        <v>48.0</v>
      </c>
      <c r="P70" s="74" t="s">
        <v>16</v>
      </c>
      <c r="Q70" s="74" t="s">
        <v>358</v>
      </c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 ht="15.75" customHeight="1">
      <c r="A71" s="74" t="s">
        <v>22</v>
      </c>
      <c r="B71" s="27" t="s">
        <v>342</v>
      </c>
      <c r="C71" s="183"/>
      <c r="D71" s="74" t="s">
        <v>5</v>
      </c>
      <c r="E71" s="184">
        <v>46059.0</v>
      </c>
      <c r="F71" s="185">
        <f t="shared" si="1"/>
        <v>6</v>
      </c>
      <c r="G71" s="185">
        <f t="shared" si="2"/>
        <v>2</v>
      </c>
      <c r="H71" s="185">
        <f t="shared" si="3"/>
        <v>2026</v>
      </c>
      <c r="I71" s="186">
        <v>2.0</v>
      </c>
      <c r="J71" s="186">
        <v>2026.0</v>
      </c>
      <c r="K71" s="187"/>
      <c r="L71" s="187">
        <v>100.0</v>
      </c>
      <c r="M71" s="27">
        <v>1.0</v>
      </c>
      <c r="N71" s="187">
        <f t="shared" si="6"/>
        <v>100</v>
      </c>
      <c r="O71" s="58">
        <v>49.0</v>
      </c>
      <c r="P71" s="74" t="s">
        <v>16</v>
      </c>
      <c r="Q71" s="74" t="s">
        <v>357</v>
      </c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</row>
    <row r="72" ht="15.75" customHeight="1">
      <c r="A72" s="74" t="s">
        <v>22</v>
      </c>
      <c r="B72" s="27" t="s">
        <v>27</v>
      </c>
      <c r="C72" s="183"/>
      <c r="D72" s="74" t="s">
        <v>5</v>
      </c>
      <c r="E72" s="184">
        <v>46059.0</v>
      </c>
      <c r="F72" s="185">
        <f t="shared" si="1"/>
        <v>6</v>
      </c>
      <c r="G72" s="185">
        <f t="shared" si="2"/>
        <v>2</v>
      </c>
      <c r="H72" s="185">
        <f t="shared" si="3"/>
        <v>2026</v>
      </c>
      <c r="I72" s="186">
        <v>2.0</v>
      </c>
      <c r="J72" s="186">
        <v>2026.0</v>
      </c>
      <c r="K72" s="187"/>
      <c r="L72" s="187">
        <v>9.5</v>
      </c>
      <c r="M72" s="27">
        <v>1.0</v>
      </c>
      <c r="N72" s="187">
        <f t="shared" si="6"/>
        <v>9.5</v>
      </c>
      <c r="O72" s="58">
        <v>38.0</v>
      </c>
      <c r="P72" s="74" t="s">
        <v>16</v>
      </c>
      <c r="Q72" s="74" t="s">
        <v>384</v>
      </c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</row>
    <row r="73" ht="15.75" customHeight="1">
      <c r="A73" s="74" t="s">
        <v>136</v>
      </c>
      <c r="B73" s="27" t="s">
        <v>38</v>
      </c>
      <c r="C73" s="183"/>
      <c r="D73" s="74" t="s">
        <v>2</v>
      </c>
      <c r="E73" s="184">
        <v>46059.0</v>
      </c>
      <c r="F73" s="185">
        <f t="shared" si="1"/>
        <v>6</v>
      </c>
      <c r="G73" s="185">
        <f t="shared" si="2"/>
        <v>2</v>
      </c>
      <c r="H73" s="185">
        <f t="shared" si="3"/>
        <v>2026</v>
      </c>
      <c r="I73" s="186">
        <v>2.0</v>
      </c>
      <c r="J73" s="186">
        <v>2026.0</v>
      </c>
      <c r="K73" s="187"/>
      <c r="L73" s="187">
        <f>7.99+0.32</f>
        <v>8.31</v>
      </c>
      <c r="M73" s="27">
        <v>1.0</v>
      </c>
      <c r="N73" s="187">
        <f t="shared" si="6"/>
        <v>8.31</v>
      </c>
      <c r="O73" s="58"/>
      <c r="P73" s="74"/>
      <c r="Q73" s="74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 ht="15.75" customHeight="1">
      <c r="A74" s="74" t="s">
        <v>22</v>
      </c>
      <c r="B74" s="27" t="s">
        <v>27</v>
      </c>
      <c r="C74" s="183"/>
      <c r="D74" s="74" t="s">
        <v>5</v>
      </c>
      <c r="E74" s="184">
        <v>46062.0</v>
      </c>
      <c r="F74" s="185">
        <f t="shared" si="1"/>
        <v>9</v>
      </c>
      <c r="G74" s="185">
        <f t="shared" si="2"/>
        <v>2</v>
      </c>
      <c r="H74" s="185">
        <f t="shared" si="3"/>
        <v>2026</v>
      </c>
      <c r="I74" s="186">
        <v>2.0</v>
      </c>
      <c r="J74" s="186">
        <v>2026.0</v>
      </c>
      <c r="K74" s="187"/>
      <c r="L74" s="187">
        <v>50.0</v>
      </c>
      <c r="M74" s="27">
        <v>1.0</v>
      </c>
      <c r="N74" s="187">
        <f t="shared" si="6"/>
        <v>50</v>
      </c>
      <c r="O74" s="58">
        <v>53.0</v>
      </c>
      <c r="P74" s="74" t="s">
        <v>16</v>
      </c>
      <c r="Q74" s="74" t="s">
        <v>385</v>
      </c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 ht="15.75" customHeight="1">
      <c r="A75" s="74" t="s">
        <v>334</v>
      </c>
      <c r="B75" s="27" t="s">
        <v>34</v>
      </c>
      <c r="C75" s="183"/>
      <c r="D75" s="74" t="s">
        <v>2</v>
      </c>
      <c r="E75" s="184">
        <v>46062.0</v>
      </c>
      <c r="F75" s="185">
        <f t="shared" si="1"/>
        <v>9</v>
      </c>
      <c r="G75" s="185">
        <f t="shared" si="2"/>
        <v>2</v>
      </c>
      <c r="H75" s="185">
        <f t="shared" si="3"/>
        <v>2026</v>
      </c>
      <c r="I75" s="186">
        <v>2.0</v>
      </c>
      <c r="J75" s="186">
        <v>2026.0</v>
      </c>
      <c r="K75" s="187"/>
      <c r="L75" s="187">
        <v>29.4</v>
      </c>
      <c r="M75" s="27">
        <v>1.0</v>
      </c>
      <c r="N75" s="187">
        <f t="shared" si="6"/>
        <v>29.4</v>
      </c>
      <c r="O75" s="58"/>
      <c r="P75" s="74"/>
      <c r="Q75" s="74" t="s">
        <v>386</v>
      </c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 ht="15.75" customHeight="1">
      <c r="A76" s="74" t="s">
        <v>334</v>
      </c>
      <c r="B76" s="27" t="s">
        <v>43</v>
      </c>
      <c r="C76" s="183"/>
      <c r="D76" s="74" t="s">
        <v>2</v>
      </c>
      <c r="E76" s="184">
        <v>46062.0</v>
      </c>
      <c r="F76" s="185">
        <f t="shared" si="1"/>
        <v>9</v>
      </c>
      <c r="G76" s="185">
        <f t="shared" si="2"/>
        <v>2</v>
      </c>
      <c r="H76" s="185">
        <f t="shared" si="3"/>
        <v>2026</v>
      </c>
      <c r="I76" s="186">
        <v>2.0</v>
      </c>
      <c r="J76" s="186">
        <v>2026.0</v>
      </c>
      <c r="K76" s="187"/>
      <c r="L76" s="187">
        <v>5000.0</v>
      </c>
      <c r="M76" s="27">
        <v>1.0</v>
      </c>
      <c r="N76" s="187">
        <f t="shared" si="6"/>
        <v>5000</v>
      </c>
      <c r="O76" s="58"/>
      <c r="P76" s="74"/>
      <c r="Q76" s="74" t="s">
        <v>388</v>
      </c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</row>
    <row r="77" ht="15.75" customHeight="1">
      <c r="A77" s="74" t="s">
        <v>22</v>
      </c>
      <c r="B77" s="27" t="s">
        <v>25</v>
      </c>
      <c r="C77" s="183"/>
      <c r="D77" s="74" t="s">
        <v>2</v>
      </c>
      <c r="E77" s="184">
        <v>46063.0</v>
      </c>
      <c r="F77" s="185">
        <f t="shared" si="1"/>
        <v>10</v>
      </c>
      <c r="G77" s="185">
        <f t="shared" si="2"/>
        <v>2</v>
      </c>
      <c r="H77" s="185">
        <f t="shared" si="3"/>
        <v>2026</v>
      </c>
      <c r="I77" s="186">
        <v>2.0</v>
      </c>
      <c r="J77" s="186">
        <v>2026.0</v>
      </c>
      <c r="K77" s="187"/>
      <c r="L77" s="187">
        <v>61.74</v>
      </c>
      <c r="M77" s="27">
        <v>1.0</v>
      </c>
      <c r="N77" s="187">
        <f t="shared" si="6"/>
        <v>61.74</v>
      </c>
      <c r="O77" s="58">
        <v>44.0</v>
      </c>
      <c r="P77" s="74"/>
      <c r="Q77" s="74" t="s">
        <v>389</v>
      </c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 ht="15.75" customHeight="1">
      <c r="A78" s="74" t="s">
        <v>334</v>
      </c>
      <c r="B78" s="27" t="s">
        <v>43</v>
      </c>
      <c r="C78" s="183"/>
      <c r="D78" s="74" t="s">
        <v>2</v>
      </c>
      <c r="E78" s="184">
        <v>46063.0</v>
      </c>
      <c r="F78" s="185">
        <f t="shared" si="1"/>
        <v>10</v>
      </c>
      <c r="G78" s="185">
        <f t="shared" si="2"/>
        <v>2</v>
      </c>
      <c r="H78" s="185">
        <f t="shared" si="3"/>
        <v>2026</v>
      </c>
      <c r="I78" s="186">
        <v>2.0</v>
      </c>
      <c r="J78" s="186">
        <v>2026.0</v>
      </c>
      <c r="K78" s="187"/>
      <c r="L78" s="187">
        <v>5000.0</v>
      </c>
      <c r="M78" s="27">
        <v>1.0</v>
      </c>
      <c r="N78" s="187">
        <f t="shared" si="6"/>
        <v>5000</v>
      </c>
      <c r="O78" s="58"/>
      <c r="P78" s="74"/>
      <c r="Q78" s="74" t="s">
        <v>390</v>
      </c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 ht="15.75" customHeight="1">
      <c r="A79" s="74" t="s">
        <v>22</v>
      </c>
      <c r="B79" s="27" t="s">
        <v>27</v>
      </c>
      <c r="C79" s="183"/>
      <c r="D79" s="74" t="s">
        <v>2</v>
      </c>
      <c r="E79" s="184">
        <v>46064.0</v>
      </c>
      <c r="F79" s="185">
        <f t="shared" si="1"/>
        <v>11</v>
      </c>
      <c r="G79" s="185">
        <f t="shared" si="2"/>
        <v>2</v>
      </c>
      <c r="H79" s="185">
        <f t="shared" si="3"/>
        <v>2026</v>
      </c>
      <c r="I79" s="186">
        <v>2.0</v>
      </c>
      <c r="J79" s="186">
        <v>2026.0</v>
      </c>
      <c r="K79" s="187"/>
      <c r="L79" s="187">
        <v>461.0</v>
      </c>
      <c r="M79" s="27">
        <v>1.0</v>
      </c>
      <c r="N79" s="187">
        <f t="shared" si="6"/>
        <v>461</v>
      </c>
      <c r="O79" s="58">
        <v>45.0</v>
      </c>
      <c r="P79" s="74"/>
      <c r="Q79" s="74" t="s">
        <v>391</v>
      </c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</row>
    <row r="80" ht="15.75" customHeight="1">
      <c r="A80" s="74" t="s">
        <v>334</v>
      </c>
      <c r="B80" s="27" t="s">
        <v>43</v>
      </c>
      <c r="C80" s="183"/>
      <c r="D80" s="74" t="s">
        <v>2</v>
      </c>
      <c r="E80" s="184">
        <v>46064.0</v>
      </c>
      <c r="F80" s="185">
        <f t="shared" si="1"/>
        <v>11</v>
      </c>
      <c r="G80" s="185">
        <f t="shared" si="2"/>
        <v>2</v>
      </c>
      <c r="H80" s="185">
        <f t="shared" si="3"/>
        <v>2026</v>
      </c>
      <c r="I80" s="186">
        <v>2.0</v>
      </c>
      <c r="J80" s="186">
        <v>2026.0</v>
      </c>
      <c r="K80" s="187"/>
      <c r="L80" s="187">
        <v>5000.0</v>
      </c>
      <c r="M80" s="27">
        <v>1.0</v>
      </c>
      <c r="N80" s="187">
        <f t="shared" si="6"/>
        <v>5000</v>
      </c>
      <c r="O80" s="58"/>
      <c r="P80" s="74"/>
      <c r="Q80" s="74" t="s">
        <v>392</v>
      </c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</row>
    <row r="81" ht="15.75" customHeight="1">
      <c r="A81" s="74" t="s">
        <v>22</v>
      </c>
      <c r="B81" s="27" t="s">
        <v>27</v>
      </c>
      <c r="C81" s="183"/>
      <c r="D81" s="74" t="s">
        <v>2</v>
      </c>
      <c r="E81" s="184">
        <v>46065.0</v>
      </c>
      <c r="F81" s="185">
        <f t="shared" si="1"/>
        <v>12</v>
      </c>
      <c r="G81" s="185">
        <f t="shared" si="2"/>
        <v>2</v>
      </c>
      <c r="H81" s="185">
        <f t="shared" si="3"/>
        <v>2026</v>
      </c>
      <c r="I81" s="186">
        <v>2.0</v>
      </c>
      <c r="J81" s="186">
        <v>2026.0</v>
      </c>
      <c r="K81" s="187"/>
      <c r="L81" s="187">
        <v>1881.9</v>
      </c>
      <c r="M81" s="27">
        <v>1.0</v>
      </c>
      <c r="N81" s="187">
        <f t="shared" si="6"/>
        <v>1881.9</v>
      </c>
      <c r="O81" s="58">
        <v>40.0</v>
      </c>
      <c r="P81" s="74"/>
      <c r="Q81" s="74" t="s">
        <v>393</v>
      </c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 ht="15.75" customHeight="1">
      <c r="A82" s="74" t="s">
        <v>22</v>
      </c>
      <c r="B82" s="27" t="s">
        <v>28</v>
      </c>
      <c r="C82" s="183"/>
      <c r="D82" s="74" t="s">
        <v>2</v>
      </c>
      <c r="E82" s="184">
        <v>46065.0</v>
      </c>
      <c r="F82" s="185">
        <f t="shared" si="1"/>
        <v>12</v>
      </c>
      <c r="G82" s="185">
        <f t="shared" si="2"/>
        <v>2</v>
      </c>
      <c r="H82" s="185">
        <f t="shared" si="3"/>
        <v>2026</v>
      </c>
      <c r="I82" s="186">
        <v>2.0</v>
      </c>
      <c r="J82" s="186">
        <v>2026.0</v>
      </c>
      <c r="K82" s="187"/>
      <c r="L82" s="187">
        <v>1687.56</v>
      </c>
      <c r="M82" s="27">
        <v>1.0</v>
      </c>
      <c r="N82" s="187">
        <f t="shared" si="6"/>
        <v>1687.56</v>
      </c>
      <c r="O82" s="58">
        <v>52.0</v>
      </c>
      <c r="P82" s="74"/>
      <c r="Q82" s="74" t="s">
        <v>394</v>
      </c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 ht="15.75" customHeight="1">
      <c r="A83" s="74" t="s">
        <v>22</v>
      </c>
      <c r="B83" s="27" t="s">
        <v>27</v>
      </c>
      <c r="C83" s="183"/>
      <c r="D83" s="74" t="s">
        <v>2</v>
      </c>
      <c r="E83" s="184">
        <v>46065.0</v>
      </c>
      <c r="F83" s="185">
        <f t="shared" si="1"/>
        <v>12</v>
      </c>
      <c r="G83" s="185">
        <f t="shared" si="2"/>
        <v>2</v>
      </c>
      <c r="H83" s="185">
        <f t="shared" si="3"/>
        <v>2026</v>
      </c>
      <c r="I83" s="186">
        <v>2.0</v>
      </c>
      <c r="J83" s="186">
        <v>2026.0</v>
      </c>
      <c r="K83" s="187"/>
      <c r="L83" s="187">
        <v>309.43</v>
      </c>
      <c r="M83" s="27">
        <v>1.0</v>
      </c>
      <c r="N83" s="187">
        <f t="shared" si="6"/>
        <v>309.43</v>
      </c>
      <c r="O83" s="58">
        <v>46.0</v>
      </c>
      <c r="P83" s="74"/>
      <c r="Q83" s="74" t="s">
        <v>377</v>
      </c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 ht="15.75" customHeight="1">
      <c r="A84" s="74" t="s">
        <v>22</v>
      </c>
      <c r="B84" s="27" t="s">
        <v>27</v>
      </c>
      <c r="C84" s="183"/>
      <c r="D84" s="74" t="s">
        <v>2</v>
      </c>
      <c r="E84" s="184">
        <v>46066.0</v>
      </c>
      <c r="F84" s="185">
        <f t="shared" si="1"/>
        <v>13</v>
      </c>
      <c r="G84" s="185">
        <f t="shared" si="2"/>
        <v>2</v>
      </c>
      <c r="H84" s="185">
        <f t="shared" si="3"/>
        <v>2026</v>
      </c>
      <c r="I84" s="186">
        <v>2.0</v>
      </c>
      <c r="J84" s="186">
        <v>2026.0</v>
      </c>
      <c r="K84" s="187"/>
      <c r="L84" s="187">
        <v>25.49</v>
      </c>
      <c r="M84" s="27">
        <v>1.0</v>
      </c>
      <c r="N84" s="187">
        <f t="shared" si="6"/>
        <v>25.49</v>
      </c>
      <c r="O84" s="58">
        <v>60.0</v>
      </c>
      <c r="P84" s="74"/>
      <c r="Q84" s="74" t="s">
        <v>395</v>
      </c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 ht="15.75" customHeight="1">
      <c r="A85" s="74" t="s">
        <v>167</v>
      </c>
      <c r="B85" s="27" t="s">
        <v>40</v>
      </c>
      <c r="C85" s="183"/>
      <c r="D85" s="74" t="s">
        <v>2</v>
      </c>
      <c r="E85" s="184">
        <v>46066.0</v>
      </c>
      <c r="F85" s="185">
        <f t="shared" si="1"/>
        <v>13</v>
      </c>
      <c r="G85" s="185">
        <f t="shared" si="2"/>
        <v>2</v>
      </c>
      <c r="H85" s="185">
        <f t="shared" si="3"/>
        <v>2026</v>
      </c>
      <c r="I85" s="186">
        <v>1.0</v>
      </c>
      <c r="J85" s="186">
        <v>2026.0</v>
      </c>
      <c r="K85" s="187"/>
      <c r="L85" s="187">
        <v>158.61</v>
      </c>
      <c r="M85" s="27">
        <v>1.0</v>
      </c>
      <c r="N85" s="187">
        <f t="shared" si="6"/>
        <v>158.61</v>
      </c>
      <c r="O85" s="58"/>
      <c r="P85" s="74"/>
      <c r="Q85" s="74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</row>
    <row r="86" ht="15.75" customHeight="1">
      <c r="A86" s="74" t="s">
        <v>160</v>
      </c>
      <c r="B86" s="27" t="s">
        <v>39</v>
      </c>
      <c r="C86" s="183"/>
      <c r="D86" s="74" t="s">
        <v>2</v>
      </c>
      <c r="E86" s="184">
        <v>46066.0</v>
      </c>
      <c r="F86" s="185">
        <f t="shared" si="1"/>
        <v>13</v>
      </c>
      <c r="G86" s="185">
        <f t="shared" si="2"/>
        <v>2</v>
      </c>
      <c r="H86" s="185">
        <f t="shared" si="3"/>
        <v>2026</v>
      </c>
      <c r="I86" s="186">
        <v>2.0</v>
      </c>
      <c r="J86" s="186">
        <v>2026.0</v>
      </c>
      <c r="K86" s="187"/>
      <c r="L86" s="187">
        <v>88.59</v>
      </c>
      <c r="M86" s="27">
        <v>1.0</v>
      </c>
      <c r="N86" s="187">
        <f t="shared" si="6"/>
        <v>88.59</v>
      </c>
      <c r="O86" s="58"/>
      <c r="P86" s="74"/>
      <c r="Q86" s="74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</row>
    <row r="87" ht="15.75" customHeight="1">
      <c r="A87" s="74" t="s">
        <v>22</v>
      </c>
      <c r="B87" s="27" t="s">
        <v>27</v>
      </c>
      <c r="C87" s="183"/>
      <c r="D87" s="74" t="s">
        <v>5</v>
      </c>
      <c r="E87" s="184">
        <v>46067.0</v>
      </c>
      <c r="F87" s="185">
        <f t="shared" si="1"/>
        <v>14</v>
      </c>
      <c r="G87" s="185">
        <f t="shared" si="2"/>
        <v>2</v>
      </c>
      <c r="H87" s="185">
        <f t="shared" si="3"/>
        <v>2026</v>
      </c>
      <c r="I87" s="186">
        <v>2.0</v>
      </c>
      <c r="J87" s="186">
        <v>2026.0</v>
      </c>
      <c r="K87" s="187"/>
      <c r="L87" s="187">
        <v>350.0</v>
      </c>
      <c r="M87" s="27">
        <v>1.0</v>
      </c>
      <c r="N87" s="187">
        <f t="shared" si="6"/>
        <v>350</v>
      </c>
      <c r="O87" s="58">
        <v>61.0</v>
      </c>
      <c r="P87" s="74" t="s">
        <v>16</v>
      </c>
      <c r="Q87" s="74" t="s">
        <v>397</v>
      </c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</row>
    <row r="88" ht="15.75" customHeight="1">
      <c r="A88" s="74" t="s">
        <v>22</v>
      </c>
      <c r="B88" s="27" t="s">
        <v>342</v>
      </c>
      <c r="C88" s="183"/>
      <c r="D88" s="74" t="s">
        <v>5</v>
      </c>
      <c r="E88" s="184">
        <v>46067.0</v>
      </c>
      <c r="F88" s="185">
        <f t="shared" si="1"/>
        <v>14</v>
      </c>
      <c r="G88" s="185">
        <f t="shared" si="2"/>
        <v>2</v>
      </c>
      <c r="H88" s="185">
        <f t="shared" si="3"/>
        <v>2026</v>
      </c>
      <c r="I88" s="186">
        <v>2.0</v>
      </c>
      <c r="J88" s="186">
        <v>2026.0</v>
      </c>
      <c r="K88" s="187"/>
      <c r="L88" s="187">
        <v>200.0</v>
      </c>
      <c r="M88" s="27">
        <v>1.0</v>
      </c>
      <c r="N88" s="187">
        <f t="shared" si="6"/>
        <v>200</v>
      </c>
      <c r="O88" s="58">
        <v>58.0</v>
      </c>
      <c r="P88" s="74" t="s">
        <v>16</v>
      </c>
      <c r="Q88" s="74" t="s">
        <v>358</v>
      </c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</row>
    <row r="89" ht="15.75" customHeight="1">
      <c r="A89" s="74" t="s">
        <v>22</v>
      </c>
      <c r="B89" s="27" t="s">
        <v>342</v>
      </c>
      <c r="C89" s="183"/>
      <c r="D89" s="74" t="s">
        <v>5</v>
      </c>
      <c r="E89" s="184">
        <v>46067.0</v>
      </c>
      <c r="F89" s="185">
        <f t="shared" si="1"/>
        <v>14</v>
      </c>
      <c r="G89" s="185">
        <f t="shared" si="2"/>
        <v>2</v>
      </c>
      <c r="H89" s="185">
        <f t="shared" si="3"/>
        <v>2026</v>
      </c>
      <c r="I89" s="186">
        <v>2.0</v>
      </c>
      <c r="J89" s="186">
        <v>2026.0</v>
      </c>
      <c r="K89" s="187"/>
      <c r="L89" s="187">
        <v>160.0</v>
      </c>
      <c r="M89" s="27">
        <v>1.0</v>
      </c>
      <c r="N89" s="187">
        <f t="shared" si="6"/>
        <v>160</v>
      </c>
      <c r="O89" s="58">
        <v>59.0</v>
      </c>
      <c r="P89" s="74" t="s">
        <v>16</v>
      </c>
      <c r="Q89" s="74" t="s">
        <v>357</v>
      </c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</row>
    <row r="90" ht="15.75" customHeight="1">
      <c r="A90" s="74" t="s">
        <v>22</v>
      </c>
      <c r="B90" s="27" t="s">
        <v>27</v>
      </c>
      <c r="C90" s="183"/>
      <c r="D90" s="74" t="s">
        <v>2</v>
      </c>
      <c r="E90" s="184">
        <v>46069.0</v>
      </c>
      <c r="F90" s="185">
        <f t="shared" si="1"/>
        <v>16</v>
      </c>
      <c r="G90" s="185">
        <f t="shared" si="2"/>
        <v>2</v>
      </c>
      <c r="H90" s="185">
        <f t="shared" si="3"/>
        <v>2026</v>
      </c>
      <c r="I90" s="186">
        <v>2.0</v>
      </c>
      <c r="J90" s="186">
        <v>2026.0</v>
      </c>
      <c r="K90" s="187"/>
      <c r="L90" s="187">
        <v>102.57</v>
      </c>
      <c r="M90" s="27">
        <v>1.0</v>
      </c>
      <c r="N90" s="187">
        <f t="shared" si="6"/>
        <v>102.57</v>
      </c>
      <c r="O90" s="58">
        <v>62.0</v>
      </c>
      <c r="P90" s="74"/>
      <c r="Q90" s="74" t="s">
        <v>398</v>
      </c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</row>
    <row r="91" ht="15.75" customHeight="1">
      <c r="A91" s="74" t="s">
        <v>22</v>
      </c>
      <c r="B91" s="27" t="s">
        <v>25</v>
      </c>
      <c r="C91" s="183"/>
      <c r="D91" s="74" t="s">
        <v>2</v>
      </c>
      <c r="E91" s="184">
        <v>46069.0</v>
      </c>
      <c r="F91" s="185">
        <f t="shared" si="1"/>
        <v>16</v>
      </c>
      <c r="G91" s="185">
        <f t="shared" si="2"/>
        <v>2</v>
      </c>
      <c r="H91" s="185">
        <f t="shared" si="3"/>
        <v>2026</v>
      </c>
      <c r="I91" s="186">
        <v>2.0</v>
      </c>
      <c r="J91" s="186">
        <v>2026.0</v>
      </c>
      <c r="K91" s="187"/>
      <c r="L91" s="187">
        <v>77.3</v>
      </c>
      <c r="M91" s="27">
        <v>1.0</v>
      </c>
      <c r="N91" s="187">
        <f t="shared" si="6"/>
        <v>77.3</v>
      </c>
      <c r="O91" s="58">
        <v>82.0</v>
      </c>
      <c r="P91" s="74"/>
      <c r="Q91" s="74" t="s">
        <v>399</v>
      </c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</row>
    <row r="92" ht="15.75" customHeight="1">
      <c r="A92" s="74" t="s">
        <v>22</v>
      </c>
      <c r="B92" s="27" t="s">
        <v>24</v>
      </c>
      <c r="C92" s="183"/>
      <c r="D92" s="74" t="s">
        <v>2</v>
      </c>
      <c r="E92" s="184">
        <v>46069.0</v>
      </c>
      <c r="F92" s="185">
        <f t="shared" si="1"/>
        <v>16</v>
      </c>
      <c r="G92" s="185">
        <f t="shared" si="2"/>
        <v>2</v>
      </c>
      <c r="H92" s="185">
        <f t="shared" si="3"/>
        <v>2026</v>
      </c>
      <c r="I92" s="186">
        <v>2.0</v>
      </c>
      <c r="J92" s="186">
        <v>2026.0</v>
      </c>
      <c r="K92" s="187"/>
      <c r="L92" s="187">
        <v>17.0</v>
      </c>
      <c r="M92" s="27">
        <v>1.0</v>
      </c>
      <c r="N92" s="187">
        <f t="shared" si="6"/>
        <v>17</v>
      </c>
      <c r="O92" s="58">
        <v>77.0</v>
      </c>
      <c r="P92" s="74"/>
      <c r="Q92" s="74" t="s">
        <v>400</v>
      </c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</row>
    <row r="93" ht="15.75" customHeight="1">
      <c r="A93" s="74" t="s">
        <v>334</v>
      </c>
      <c r="B93" s="27" t="s">
        <v>34</v>
      </c>
      <c r="C93" s="183"/>
      <c r="D93" s="74" t="s">
        <v>2</v>
      </c>
      <c r="E93" s="184">
        <v>46069.0</v>
      </c>
      <c r="F93" s="185">
        <f t="shared" si="1"/>
        <v>16</v>
      </c>
      <c r="G93" s="185">
        <f t="shared" si="2"/>
        <v>2</v>
      </c>
      <c r="H93" s="185">
        <f t="shared" si="3"/>
        <v>2026</v>
      </c>
      <c r="I93" s="186">
        <v>2.0</v>
      </c>
      <c r="J93" s="186">
        <v>2026.0</v>
      </c>
      <c r="K93" s="187"/>
      <c r="L93" s="187">
        <v>90.0</v>
      </c>
      <c r="M93" s="27">
        <v>1.0</v>
      </c>
      <c r="N93" s="187">
        <f t="shared" si="6"/>
        <v>90</v>
      </c>
      <c r="O93" s="58"/>
      <c r="P93" s="74"/>
      <c r="Q93" s="74" t="s">
        <v>401</v>
      </c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</row>
    <row r="94" ht="15.75" customHeight="1">
      <c r="A94" s="74" t="s">
        <v>22</v>
      </c>
      <c r="B94" s="27" t="s">
        <v>27</v>
      </c>
      <c r="C94" s="183"/>
      <c r="D94" s="74" t="s">
        <v>5</v>
      </c>
      <c r="E94" s="184">
        <v>46072.0</v>
      </c>
      <c r="F94" s="185">
        <f t="shared" si="1"/>
        <v>19</v>
      </c>
      <c r="G94" s="185">
        <f t="shared" si="2"/>
        <v>2</v>
      </c>
      <c r="H94" s="185">
        <f t="shared" si="3"/>
        <v>2026</v>
      </c>
      <c r="I94" s="186">
        <v>2.0</v>
      </c>
      <c r="J94" s="186">
        <v>2026.0</v>
      </c>
      <c r="K94" s="187"/>
      <c r="L94" s="187">
        <v>520.0</v>
      </c>
      <c r="M94" s="27">
        <v>1.0</v>
      </c>
      <c r="N94" s="187">
        <f t="shared" si="6"/>
        <v>520</v>
      </c>
      <c r="O94" s="58">
        <v>66.0</v>
      </c>
      <c r="P94" s="74" t="s">
        <v>16</v>
      </c>
      <c r="Q94" s="74" t="s">
        <v>402</v>
      </c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</row>
    <row r="95" ht="15.75" customHeight="1">
      <c r="A95" s="74" t="s">
        <v>22</v>
      </c>
      <c r="B95" s="27" t="s">
        <v>27</v>
      </c>
      <c r="C95" s="183"/>
      <c r="D95" s="74" t="s">
        <v>2</v>
      </c>
      <c r="E95" s="184">
        <v>46072.0</v>
      </c>
      <c r="F95" s="185">
        <f t="shared" si="1"/>
        <v>19</v>
      </c>
      <c r="G95" s="185">
        <f t="shared" si="2"/>
        <v>2</v>
      </c>
      <c r="H95" s="185">
        <f t="shared" si="3"/>
        <v>2026</v>
      </c>
      <c r="I95" s="186">
        <v>2.0</v>
      </c>
      <c r="J95" s="186">
        <v>2026.0</v>
      </c>
      <c r="K95" s="187"/>
      <c r="L95" s="187">
        <v>132.8</v>
      </c>
      <c r="M95" s="27">
        <v>1.0</v>
      </c>
      <c r="N95" s="187">
        <f t="shared" si="6"/>
        <v>132.8</v>
      </c>
      <c r="O95" s="58">
        <v>74.0</v>
      </c>
      <c r="P95" s="74"/>
      <c r="Q95" s="74" t="s">
        <v>403</v>
      </c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</row>
    <row r="96" ht="15.75" customHeight="1">
      <c r="A96" s="74" t="s">
        <v>22</v>
      </c>
      <c r="B96" s="27" t="s">
        <v>27</v>
      </c>
      <c r="C96" s="183"/>
      <c r="D96" s="74" t="s">
        <v>2</v>
      </c>
      <c r="E96" s="184">
        <v>46072.0</v>
      </c>
      <c r="F96" s="185">
        <f t="shared" si="1"/>
        <v>19</v>
      </c>
      <c r="G96" s="185">
        <f t="shared" si="2"/>
        <v>2</v>
      </c>
      <c r="H96" s="185">
        <f t="shared" si="3"/>
        <v>2026</v>
      </c>
      <c r="I96" s="186">
        <v>2.0</v>
      </c>
      <c r="J96" s="186">
        <v>2026.0</v>
      </c>
      <c r="K96" s="187"/>
      <c r="L96" s="187">
        <v>20.11</v>
      </c>
      <c r="M96" s="27">
        <v>1.0</v>
      </c>
      <c r="N96" s="187">
        <f t="shared" si="6"/>
        <v>20.11</v>
      </c>
      <c r="O96" s="58">
        <v>75.0</v>
      </c>
      <c r="P96" s="74"/>
      <c r="Q96" s="74" t="s">
        <v>377</v>
      </c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</row>
    <row r="97" ht="15.75" customHeight="1">
      <c r="A97" s="74" t="s">
        <v>22</v>
      </c>
      <c r="B97" s="27" t="s">
        <v>25</v>
      </c>
      <c r="C97" s="183"/>
      <c r="D97" s="74" t="s">
        <v>5</v>
      </c>
      <c r="E97" s="184">
        <v>46073.0</v>
      </c>
      <c r="F97" s="185">
        <f t="shared" si="1"/>
        <v>20</v>
      </c>
      <c r="G97" s="185">
        <f t="shared" si="2"/>
        <v>2</v>
      </c>
      <c r="H97" s="185">
        <f t="shared" si="3"/>
        <v>2026</v>
      </c>
      <c r="I97" s="186">
        <v>2.0</v>
      </c>
      <c r="J97" s="186">
        <v>2026.0</v>
      </c>
      <c r="K97" s="187"/>
      <c r="L97" s="187">
        <v>7000.0</v>
      </c>
      <c r="M97" s="27">
        <v>1.0</v>
      </c>
      <c r="N97" s="187">
        <f t="shared" si="6"/>
        <v>7000</v>
      </c>
      <c r="O97" s="58">
        <v>56.0</v>
      </c>
      <c r="P97" s="74" t="s">
        <v>17</v>
      </c>
      <c r="Q97" s="74" t="s">
        <v>405</v>
      </c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</row>
    <row r="98" ht="15.75" customHeight="1">
      <c r="A98" s="74" t="s">
        <v>22</v>
      </c>
      <c r="B98" s="27" t="s">
        <v>27</v>
      </c>
      <c r="C98" s="183"/>
      <c r="D98" s="74" t="s">
        <v>5</v>
      </c>
      <c r="E98" s="184">
        <v>46073.0</v>
      </c>
      <c r="F98" s="185">
        <f t="shared" si="1"/>
        <v>20</v>
      </c>
      <c r="G98" s="185">
        <f t="shared" si="2"/>
        <v>2</v>
      </c>
      <c r="H98" s="185">
        <f t="shared" si="3"/>
        <v>2026</v>
      </c>
      <c r="I98" s="186">
        <v>2.0</v>
      </c>
      <c r="J98" s="186">
        <v>2026.0</v>
      </c>
      <c r="K98" s="187"/>
      <c r="L98" s="187">
        <v>113.6</v>
      </c>
      <c r="M98" s="27">
        <v>1.0</v>
      </c>
      <c r="N98" s="187">
        <f t="shared" si="6"/>
        <v>113.6</v>
      </c>
      <c r="O98" s="58">
        <v>65.0</v>
      </c>
      <c r="P98" s="74" t="s">
        <v>16</v>
      </c>
      <c r="Q98" s="74" t="s">
        <v>406</v>
      </c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</row>
    <row r="99" ht="15.75" customHeight="1">
      <c r="A99" s="74" t="s">
        <v>22</v>
      </c>
      <c r="B99" s="27" t="s">
        <v>27</v>
      </c>
      <c r="C99" s="183"/>
      <c r="D99" s="74" t="s">
        <v>2</v>
      </c>
      <c r="E99" s="184">
        <v>46073.0</v>
      </c>
      <c r="F99" s="185">
        <f t="shared" si="1"/>
        <v>20</v>
      </c>
      <c r="G99" s="185">
        <f t="shared" si="2"/>
        <v>2</v>
      </c>
      <c r="H99" s="185">
        <f t="shared" si="3"/>
        <v>2026</v>
      </c>
      <c r="I99" s="186">
        <v>2.0</v>
      </c>
      <c r="J99" s="186">
        <v>2026.0</v>
      </c>
      <c r="K99" s="187"/>
      <c r="L99" s="187">
        <v>109.76</v>
      </c>
      <c r="M99" s="27">
        <v>1.0</v>
      </c>
      <c r="N99" s="187">
        <f t="shared" si="6"/>
        <v>109.76</v>
      </c>
      <c r="O99" s="58">
        <v>84.0</v>
      </c>
      <c r="P99" s="74"/>
      <c r="Q99" s="74" t="s">
        <v>407</v>
      </c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</row>
    <row r="100" ht="15.75" customHeight="1">
      <c r="A100" s="74" t="s">
        <v>22</v>
      </c>
      <c r="B100" s="27" t="s">
        <v>27</v>
      </c>
      <c r="C100" s="183"/>
      <c r="D100" s="74" t="s">
        <v>5</v>
      </c>
      <c r="E100" s="184">
        <v>46073.0</v>
      </c>
      <c r="F100" s="185">
        <f t="shared" si="1"/>
        <v>20</v>
      </c>
      <c r="G100" s="185">
        <f t="shared" si="2"/>
        <v>2</v>
      </c>
      <c r="H100" s="185">
        <f t="shared" si="3"/>
        <v>2026</v>
      </c>
      <c r="I100" s="186">
        <v>2.0</v>
      </c>
      <c r="J100" s="186">
        <v>2026.0</v>
      </c>
      <c r="K100" s="187"/>
      <c r="L100" s="187">
        <v>97.9</v>
      </c>
      <c r="M100" s="27">
        <v>1.0</v>
      </c>
      <c r="N100" s="187">
        <f t="shared" si="6"/>
        <v>97.9</v>
      </c>
      <c r="O100" s="58">
        <v>64.0</v>
      </c>
      <c r="P100" s="74" t="s">
        <v>16</v>
      </c>
      <c r="Q100" s="74" t="s">
        <v>406</v>
      </c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</row>
    <row r="101" ht="15.75" customHeight="1">
      <c r="A101" s="74" t="s">
        <v>22</v>
      </c>
      <c r="B101" s="27" t="s">
        <v>29</v>
      </c>
      <c r="C101" s="183"/>
      <c r="D101" s="74" t="s">
        <v>2</v>
      </c>
      <c r="E101" s="184">
        <v>46073.0</v>
      </c>
      <c r="F101" s="185">
        <f t="shared" si="1"/>
        <v>20</v>
      </c>
      <c r="G101" s="185">
        <f t="shared" si="2"/>
        <v>2</v>
      </c>
      <c r="H101" s="185">
        <f t="shared" si="3"/>
        <v>2026</v>
      </c>
      <c r="I101" s="186">
        <v>2.0</v>
      </c>
      <c r="J101" s="186">
        <v>2026.0</v>
      </c>
      <c r="K101" s="187"/>
      <c r="L101" s="187">
        <v>76.15</v>
      </c>
      <c r="M101" s="27">
        <v>1.0</v>
      </c>
      <c r="N101" s="187">
        <f t="shared" si="6"/>
        <v>76.15</v>
      </c>
      <c r="O101" s="58">
        <v>69.0</v>
      </c>
      <c r="P101" s="74"/>
      <c r="Q101" s="74" t="s">
        <v>408</v>
      </c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</row>
    <row r="102" ht="15.75" customHeight="1">
      <c r="A102" s="74" t="s">
        <v>22</v>
      </c>
      <c r="B102" s="27" t="s">
        <v>29</v>
      </c>
      <c r="C102" s="183"/>
      <c r="D102" s="74" t="s">
        <v>2</v>
      </c>
      <c r="E102" s="184">
        <v>46073.0</v>
      </c>
      <c r="F102" s="185">
        <f t="shared" si="1"/>
        <v>20</v>
      </c>
      <c r="G102" s="185">
        <f t="shared" si="2"/>
        <v>2</v>
      </c>
      <c r="H102" s="185">
        <f t="shared" si="3"/>
        <v>2026</v>
      </c>
      <c r="I102" s="186">
        <v>2.0</v>
      </c>
      <c r="J102" s="186">
        <v>2026.0</v>
      </c>
      <c r="K102" s="187"/>
      <c r="L102" s="187">
        <v>60.88</v>
      </c>
      <c r="M102" s="27">
        <v>1.0</v>
      </c>
      <c r="N102" s="187">
        <f t="shared" si="6"/>
        <v>60.88</v>
      </c>
      <c r="O102" s="58">
        <v>73.0</v>
      </c>
      <c r="P102" s="74"/>
      <c r="Q102" s="74" t="s">
        <v>409</v>
      </c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</row>
    <row r="103" ht="15.75" customHeight="1">
      <c r="A103" s="74" t="s">
        <v>22</v>
      </c>
      <c r="B103" s="27" t="s">
        <v>27</v>
      </c>
      <c r="C103" s="183"/>
      <c r="D103" s="74" t="s">
        <v>2</v>
      </c>
      <c r="E103" s="184">
        <v>46073.0</v>
      </c>
      <c r="F103" s="185">
        <f t="shared" si="1"/>
        <v>20</v>
      </c>
      <c r="G103" s="185">
        <f t="shared" si="2"/>
        <v>2</v>
      </c>
      <c r="H103" s="185">
        <f t="shared" si="3"/>
        <v>2026</v>
      </c>
      <c r="I103" s="186">
        <v>2.0</v>
      </c>
      <c r="J103" s="186">
        <v>2026.0</v>
      </c>
      <c r="K103" s="187"/>
      <c r="L103" s="187">
        <v>51.56</v>
      </c>
      <c r="M103" s="27">
        <v>1.0</v>
      </c>
      <c r="N103" s="187">
        <f t="shared" si="6"/>
        <v>51.56</v>
      </c>
      <c r="O103" s="58">
        <v>63.0</v>
      </c>
      <c r="P103" s="74"/>
      <c r="Q103" s="74" t="s">
        <v>377</v>
      </c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</row>
    <row r="104" ht="15.75" customHeight="1">
      <c r="A104" s="74" t="s">
        <v>22</v>
      </c>
      <c r="B104" s="27" t="s">
        <v>29</v>
      </c>
      <c r="C104" s="183"/>
      <c r="D104" s="74" t="s">
        <v>2</v>
      </c>
      <c r="E104" s="184">
        <v>46073.0</v>
      </c>
      <c r="F104" s="185">
        <f t="shared" si="1"/>
        <v>20</v>
      </c>
      <c r="G104" s="185">
        <f t="shared" si="2"/>
        <v>2</v>
      </c>
      <c r="H104" s="185">
        <f t="shared" si="3"/>
        <v>2026</v>
      </c>
      <c r="I104" s="186">
        <v>2.0</v>
      </c>
      <c r="J104" s="186">
        <v>2026.0</v>
      </c>
      <c r="K104" s="187"/>
      <c r="L104" s="187">
        <v>50.0</v>
      </c>
      <c r="M104" s="27">
        <v>1.0</v>
      </c>
      <c r="N104" s="187">
        <f t="shared" si="6"/>
        <v>50</v>
      </c>
      <c r="O104" s="58">
        <v>72.0</v>
      </c>
      <c r="P104" s="74"/>
      <c r="Q104" s="74" t="s">
        <v>409</v>
      </c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</row>
    <row r="105" ht="15.75" customHeight="1">
      <c r="A105" s="74" t="s">
        <v>22</v>
      </c>
      <c r="B105" s="27" t="s">
        <v>24</v>
      </c>
      <c r="C105" s="183"/>
      <c r="D105" s="74" t="s">
        <v>5</v>
      </c>
      <c r="E105" s="184">
        <v>46073.0</v>
      </c>
      <c r="F105" s="185">
        <f t="shared" si="1"/>
        <v>20</v>
      </c>
      <c r="G105" s="185">
        <f t="shared" si="2"/>
        <v>2</v>
      </c>
      <c r="H105" s="185">
        <f t="shared" si="3"/>
        <v>2026</v>
      </c>
      <c r="I105" s="186">
        <v>2.0</v>
      </c>
      <c r="J105" s="186">
        <v>2026.0</v>
      </c>
      <c r="K105" s="187"/>
      <c r="L105" s="187">
        <v>38.5</v>
      </c>
      <c r="M105" s="27">
        <v>1.0</v>
      </c>
      <c r="N105" s="187">
        <f t="shared" si="6"/>
        <v>38.5</v>
      </c>
      <c r="O105" s="58">
        <v>57.0</v>
      </c>
      <c r="P105" s="74" t="s">
        <v>16</v>
      </c>
      <c r="Q105" s="74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</row>
    <row r="106" ht="15.75" customHeight="1">
      <c r="A106" s="74" t="s">
        <v>22</v>
      </c>
      <c r="B106" s="27" t="s">
        <v>29</v>
      </c>
      <c r="C106" s="183"/>
      <c r="D106" s="74" t="s">
        <v>2</v>
      </c>
      <c r="E106" s="184">
        <v>46073.0</v>
      </c>
      <c r="F106" s="185">
        <f t="shared" si="1"/>
        <v>20</v>
      </c>
      <c r="G106" s="185">
        <f t="shared" si="2"/>
        <v>2</v>
      </c>
      <c r="H106" s="185">
        <f t="shared" si="3"/>
        <v>2026</v>
      </c>
      <c r="I106" s="186">
        <v>2.0</v>
      </c>
      <c r="J106" s="186">
        <v>2026.0</v>
      </c>
      <c r="K106" s="187"/>
      <c r="L106" s="187">
        <v>28.95</v>
      </c>
      <c r="M106" s="27">
        <v>1.0</v>
      </c>
      <c r="N106" s="187">
        <f t="shared" si="6"/>
        <v>28.95</v>
      </c>
      <c r="O106" s="58">
        <v>68.0</v>
      </c>
      <c r="P106" s="74"/>
      <c r="Q106" s="74" t="s">
        <v>409</v>
      </c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</row>
    <row r="107" ht="15.75" customHeight="1">
      <c r="A107" s="74" t="s">
        <v>22</v>
      </c>
      <c r="B107" s="27" t="s">
        <v>29</v>
      </c>
      <c r="C107" s="183"/>
      <c r="D107" s="74" t="s">
        <v>2</v>
      </c>
      <c r="E107" s="184">
        <v>46073.0</v>
      </c>
      <c r="F107" s="185">
        <f t="shared" si="1"/>
        <v>20</v>
      </c>
      <c r="G107" s="185">
        <f t="shared" si="2"/>
        <v>2</v>
      </c>
      <c r="H107" s="185">
        <f t="shared" si="3"/>
        <v>2026</v>
      </c>
      <c r="I107" s="186">
        <v>2.0</v>
      </c>
      <c r="J107" s="186">
        <v>2026.0</v>
      </c>
      <c r="K107" s="187"/>
      <c r="L107" s="187">
        <v>28.25</v>
      </c>
      <c r="M107" s="27">
        <v>1.0</v>
      </c>
      <c r="N107" s="187">
        <f t="shared" si="6"/>
        <v>28.25</v>
      </c>
      <c r="O107" s="58">
        <v>78.0</v>
      </c>
      <c r="P107" s="74"/>
      <c r="Q107" s="74" t="s">
        <v>411</v>
      </c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</row>
    <row r="108" ht="15.75" customHeight="1">
      <c r="A108" s="74" t="s">
        <v>22</v>
      </c>
      <c r="B108" s="27" t="s">
        <v>29</v>
      </c>
      <c r="C108" s="183"/>
      <c r="D108" s="74" t="s">
        <v>2</v>
      </c>
      <c r="E108" s="184">
        <v>46073.0</v>
      </c>
      <c r="F108" s="185">
        <f t="shared" si="1"/>
        <v>20</v>
      </c>
      <c r="G108" s="185">
        <f t="shared" si="2"/>
        <v>2</v>
      </c>
      <c r="H108" s="185">
        <f t="shared" si="3"/>
        <v>2026</v>
      </c>
      <c r="I108" s="186">
        <v>2.0</v>
      </c>
      <c r="J108" s="186">
        <v>2026.0</v>
      </c>
      <c r="K108" s="187"/>
      <c r="L108" s="187">
        <v>28.25</v>
      </c>
      <c r="M108" s="27">
        <v>1.0</v>
      </c>
      <c r="N108" s="187">
        <f t="shared" si="6"/>
        <v>28.25</v>
      </c>
      <c r="O108" s="58">
        <v>80.0</v>
      </c>
      <c r="P108" s="74"/>
      <c r="Q108" s="74" t="s">
        <v>411</v>
      </c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</row>
    <row r="109" ht="15.75" customHeight="1">
      <c r="A109" s="74" t="s">
        <v>22</v>
      </c>
      <c r="B109" s="27" t="s">
        <v>29</v>
      </c>
      <c r="C109" s="183"/>
      <c r="D109" s="74" t="s">
        <v>2</v>
      </c>
      <c r="E109" s="184">
        <v>46073.0</v>
      </c>
      <c r="F109" s="185">
        <f t="shared" si="1"/>
        <v>20</v>
      </c>
      <c r="G109" s="185">
        <f t="shared" si="2"/>
        <v>2</v>
      </c>
      <c r="H109" s="185">
        <f t="shared" si="3"/>
        <v>2026</v>
      </c>
      <c r="I109" s="186">
        <v>2.0</v>
      </c>
      <c r="J109" s="186">
        <v>2026.0</v>
      </c>
      <c r="K109" s="187"/>
      <c r="L109" s="187">
        <v>15.0</v>
      </c>
      <c r="M109" s="27">
        <v>1.0</v>
      </c>
      <c r="N109" s="187">
        <f t="shared" si="6"/>
        <v>15</v>
      </c>
      <c r="O109" s="58">
        <v>71.0</v>
      </c>
      <c r="P109" s="74"/>
      <c r="Q109" s="74" t="s">
        <v>409</v>
      </c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</row>
    <row r="110" ht="15.75" customHeight="1">
      <c r="A110" s="74" t="s">
        <v>22</v>
      </c>
      <c r="B110" s="27" t="s">
        <v>29</v>
      </c>
      <c r="C110" s="183"/>
      <c r="D110" s="74" t="s">
        <v>2</v>
      </c>
      <c r="E110" s="184">
        <v>46073.0</v>
      </c>
      <c r="F110" s="185">
        <f t="shared" si="1"/>
        <v>20</v>
      </c>
      <c r="G110" s="185">
        <f t="shared" si="2"/>
        <v>2</v>
      </c>
      <c r="H110" s="185">
        <f t="shared" si="3"/>
        <v>2026</v>
      </c>
      <c r="I110" s="186">
        <v>2.0</v>
      </c>
      <c r="J110" s="186">
        <v>2026.0</v>
      </c>
      <c r="K110" s="187"/>
      <c r="L110" s="187">
        <v>11.95</v>
      </c>
      <c r="M110" s="27">
        <v>1.0</v>
      </c>
      <c r="N110" s="187">
        <f t="shared" si="6"/>
        <v>11.95</v>
      </c>
      <c r="O110" s="58">
        <v>67.0</v>
      </c>
      <c r="P110" s="74"/>
      <c r="Q110" s="74" t="s">
        <v>411</v>
      </c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</row>
    <row r="111" ht="15.75" customHeight="1">
      <c r="A111" s="74" t="s">
        <v>22</v>
      </c>
      <c r="B111" s="27" t="s">
        <v>29</v>
      </c>
      <c r="C111" s="183"/>
      <c r="D111" s="74" t="s">
        <v>2</v>
      </c>
      <c r="E111" s="184">
        <v>46073.0</v>
      </c>
      <c r="F111" s="185">
        <f t="shared" si="1"/>
        <v>20</v>
      </c>
      <c r="G111" s="185">
        <f t="shared" si="2"/>
        <v>2</v>
      </c>
      <c r="H111" s="185">
        <f t="shared" si="3"/>
        <v>2026</v>
      </c>
      <c r="I111" s="186">
        <v>2.0</v>
      </c>
      <c r="J111" s="186">
        <v>2026.0</v>
      </c>
      <c r="K111" s="187"/>
      <c r="L111" s="187">
        <v>10.29</v>
      </c>
      <c r="M111" s="27">
        <v>1.0</v>
      </c>
      <c r="N111" s="187">
        <f t="shared" si="6"/>
        <v>10.29</v>
      </c>
      <c r="O111" s="58">
        <v>81.0</v>
      </c>
      <c r="P111" s="74"/>
      <c r="Q111" s="74" t="s">
        <v>411</v>
      </c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</row>
    <row r="112" ht="15.75" customHeight="1">
      <c r="A112" s="74" t="s">
        <v>22</v>
      </c>
      <c r="B112" s="27" t="s">
        <v>29</v>
      </c>
      <c r="C112" s="183"/>
      <c r="D112" s="74" t="s">
        <v>2</v>
      </c>
      <c r="E112" s="184">
        <v>46073.0</v>
      </c>
      <c r="F112" s="185">
        <f t="shared" si="1"/>
        <v>20</v>
      </c>
      <c r="G112" s="185">
        <f t="shared" si="2"/>
        <v>2</v>
      </c>
      <c r="H112" s="185">
        <f t="shared" si="3"/>
        <v>2026</v>
      </c>
      <c r="I112" s="186">
        <v>2.0</v>
      </c>
      <c r="J112" s="186">
        <v>2026.0</v>
      </c>
      <c r="K112" s="187"/>
      <c r="L112" s="187">
        <v>9.94</v>
      </c>
      <c r="M112" s="27">
        <v>1.0</v>
      </c>
      <c r="N112" s="187">
        <f t="shared" si="6"/>
        <v>9.94</v>
      </c>
      <c r="O112" s="58">
        <v>70.0</v>
      </c>
      <c r="P112" s="74"/>
      <c r="Q112" s="74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</row>
    <row r="113" ht="15.75" customHeight="1">
      <c r="A113" s="74" t="s">
        <v>22</v>
      </c>
      <c r="B113" s="27" t="s">
        <v>29</v>
      </c>
      <c r="C113" s="183"/>
      <c r="D113" s="74" t="s">
        <v>2</v>
      </c>
      <c r="E113" s="184">
        <v>46073.0</v>
      </c>
      <c r="F113" s="185">
        <f t="shared" si="1"/>
        <v>20</v>
      </c>
      <c r="G113" s="185">
        <f t="shared" si="2"/>
        <v>2</v>
      </c>
      <c r="H113" s="185">
        <f t="shared" si="3"/>
        <v>2026</v>
      </c>
      <c r="I113" s="186">
        <v>2.0</v>
      </c>
      <c r="J113" s="186">
        <v>2026.0</v>
      </c>
      <c r="K113" s="187"/>
      <c r="L113" s="187">
        <v>1.3</v>
      </c>
      <c r="M113" s="27">
        <v>1.0</v>
      </c>
      <c r="N113" s="187">
        <f t="shared" si="6"/>
        <v>1.3</v>
      </c>
      <c r="O113" s="58">
        <v>79.0</v>
      </c>
      <c r="P113" s="74"/>
      <c r="Q113" s="74" t="s">
        <v>411</v>
      </c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</row>
    <row r="114" ht="15.75" customHeight="1">
      <c r="A114" s="74" t="s">
        <v>156</v>
      </c>
      <c r="B114" s="27" t="s">
        <v>44</v>
      </c>
      <c r="C114" s="183"/>
      <c r="D114" s="74" t="s">
        <v>2</v>
      </c>
      <c r="E114" s="184">
        <v>46073.0</v>
      </c>
      <c r="F114" s="185">
        <f t="shared" si="1"/>
        <v>20</v>
      </c>
      <c r="G114" s="185">
        <f t="shared" si="2"/>
        <v>2</v>
      </c>
      <c r="H114" s="185">
        <f t="shared" si="3"/>
        <v>2026</v>
      </c>
      <c r="I114" s="186">
        <v>1.0</v>
      </c>
      <c r="J114" s="186">
        <v>2026.0</v>
      </c>
      <c r="K114" s="187"/>
      <c r="L114" s="187">
        <v>188.1</v>
      </c>
      <c r="M114" s="27">
        <v>1.0</v>
      </c>
      <c r="N114" s="187">
        <f t="shared" si="6"/>
        <v>188.1</v>
      </c>
      <c r="O114" s="58"/>
      <c r="P114" s="74"/>
      <c r="Q114" s="74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</row>
    <row r="115" ht="15.75" customHeight="1">
      <c r="A115" s="74" t="s">
        <v>22</v>
      </c>
      <c r="B115" s="27" t="s">
        <v>342</v>
      </c>
      <c r="C115" s="183"/>
      <c r="D115" s="74" t="s">
        <v>5</v>
      </c>
      <c r="E115" s="184">
        <v>46074.0</v>
      </c>
      <c r="F115" s="185">
        <f t="shared" si="1"/>
        <v>21</v>
      </c>
      <c r="G115" s="185">
        <f t="shared" si="2"/>
        <v>2</v>
      </c>
      <c r="H115" s="185">
        <f t="shared" si="3"/>
        <v>2026</v>
      </c>
      <c r="I115" s="186">
        <v>2.0</v>
      </c>
      <c r="J115" s="186">
        <v>2026.0</v>
      </c>
      <c r="K115" s="187"/>
      <c r="L115" s="187">
        <v>240.0</v>
      </c>
      <c r="M115" s="27">
        <v>1.0</v>
      </c>
      <c r="N115" s="187">
        <f t="shared" si="6"/>
        <v>240</v>
      </c>
      <c r="O115" s="58">
        <v>54.0</v>
      </c>
      <c r="P115" s="74" t="s">
        <v>16</v>
      </c>
      <c r="Q115" s="74" t="s">
        <v>412</v>
      </c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</row>
    <row r="116" ht="15.75" customHeight="1">
      <c r="A116" s="74" t="s">
        <v>22</v>
      </c>
      <c r="B116" s="27" t="s">
        <v>342</v>
      </c>
      <c r="C116" s="183"/>
      <c r="D116" s="74" t="s">
        <v>5</v>
      </c>
      <c r="E116" s="184">
        <v>46074.0</v>
      </c>
      <c r="F116" s="185">
        <f t="shared" si="1"/>
        <v>21</v>
      </c>
      <c r="G116" s="185">
        <f t="shared" si="2"/>
        <v>2</v>
      </c>
      <c r="H116" s="185">
        <f t="shared" si="3"/>
        <v>2026</v>
      </c>
      <c r="I116" s="186">
        <v>2.0</v>
      </c>
      <c r="J116" s="186">
        <v>2026.0</v>
      </c>
      <c r="K116" s="187"/>
      <c r="L116" s="187">
        <v>130.0</v>
      </c>
      <c r="M116" s="27">
        <v>1.0</v>
      </c>
      <c r="N116" s="187">
        <f t="shared" si="6"/>
        <v>130</v>
      </c>
      <c r="O116" s="58">
        <v>55.0</v>
      </c>
      <c r="P116" s="74" t="s">
        <v>16</v>
      </c>
      <c r="Q116" s="74" t="s">
        <v>357</v>
      </c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</row>
    <row r="117" ht="15.75" customHeight="1">
      <c r="A117" s="74" t="s">
        <v>22</v>
      </c>
      <c r="B117" s="27" t="s">
        <v>27</v>
      </c>
      <c r="C117" s="183"/>
      <c r="D117" s="74" t="s">
        <v>2</v>
      </c>
      <c r="E117" s="184">
        <v>46074.0</v>
      </c>
      <c r="F117" s="185">
        <f t="shared" si="1"/>
        <v>21</v>
      </c>
      <c r="G117" s="185">
        <f t="shared" si="2"/>
        <v>2</v>
      </c>
      <c r="H117" s="185">
        <f t="shared" si="3"/>
        <v>2026</v>
      </c>
      <c r="I117" s="186">
        <v>2.0</v>
      </c>
      <c r="J117" s="186">
        <v>2026.0</v>
      </c>
      <c r="K117" s="187"/>
      <c r="L117" s="187">
        <v>21.07</v>
      </c>
      <c r="M117" s="27">
        <v>1.0</v>
      </c>
      <c r="N117" s="187">
        <f t="shared" si="6"/>
        <v>21.07</v>
      </c>
      <c r="O117" s="58">
        <v>76.0</v>
      </c>
      <c r="P117" s="74"/>
      <c r="Q117" s="74" t="s">
        <v>377</v>
      </c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</row>
    <row r="118" ht="15.75" customHeight="1">
      <c r="A118" s="74" t="s">
        <v>253</v>
      </c>
      <c r="B118" s="27" t="s">
        <v>272</v>
      </c>
      <c r="C118" s="183"/>
      <c r="D118" s="74" t="s">
        <v>274</v>
      </c>
      <c r="E118" s="184">
        <v>46075.0</v>
      </c>
      <c r="F118" s="185">
        <f t="shared" si="1"/>
        <v>22</v>
      </c>
      <c r="G118" s="185">
        <f t="shared" si="2"/>
        <v>2</v>
      </c>
      <c r="H118" s="185">
        <f t="shared" si="3"/>
        <v>2026</v>
      </c>
      <c r="I118" s="186">
        <v>2.0</v>
      </c>
      <c r="J118" s="186">
        <v>2026.0</v>
      </c>
      <c r="K118" s="187"/>
      <c r="L118" s="187">
        <v>10000.0</v>
      </c>
      <c r="M118" s="27">
        <v>1.0</v>
      </c>
      <c r="N118" s="187">
        <f t="shared" si="6"/>
        <v>10000</v>
      </c>
      <c r="O118" s="58"/>
      <c r="P118" s="74" t="s">
        <v>17</v>
      </c>
      <c r="Q118" s="74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</row>
    <row r="119" ht="15.75" customHeight="1">
      <c r="A119" s="74" t="s">
        <v>156</v>
      </c>
      <c r="B119" s="27" t="s">
        <v>45</v>
      </c>
      <c r="C119" s="183"/>
      <c r="D119" s="74" t="s">
        <v>2</v>
      </c>
      <c r="E119" s="184">
        <v>46075.0</v>
      </c>
      <c r="F119" s="185">
        <f t="shared" si="1"/>
        <v>22</v>
      </c>
      <c r="G119" s="185">
        <f t="shared" si="2"/>
        <v>2</v>
      </c>
      <c r="H119" s="185">
        <f t="shared" si="3"/>
        <v>2026</v>
      </c>
      <c r="I119" s="186">
        <v>1.0</v>
      </c>
      <c r="J119" s="186">
        <v>2026.0</v>
      </c>
      <c r="K119" s="187"/>
      <c r="L119" s="187">
        <v>224.05</v>
      </c>
      <c r="M119" s="27">
        <v>1.0</v>
      </c>
      <c r="N119" s="187">
        <f t="shared" si="6"/>
        <v>224.05</v>
      </c>
      <c r="O119" s="58"/>
      <c r="P119" s="74"/>
      <c r="Q119" s="74" t="s">
        <v>414</v>
      </c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 ht="15.75" customHeight="1">
      <c r="A120" s="74" t="s">
        <v>22</v>
      </c>
      <c r="B120" s="27" t="s">
        <v>24</v>
      </c>
      <c r="C120" s="183"/>
      <c r="D120" s="74" t="s">
        <v>5</v>
      </c>
      <c r="E120" s="184">
        <v>46075.0</v>
      </c>
      <c r="F120" s="185">
        <f t="shared" si="1"/>
        <v>22</v>
      </c>
      <c r="G120" s="185">
        <f t="shared" si="2"/>
        <v>2</v>
      </c>
      <c r="H120" s="185">
        <f t="shared" si="3"/>
        <v>2026</v>
      </c>
      <c r="I120" s="186">
        <v>2.0</v>
      </c>
      <c r="J120" s="186">
        <v>2026.0</v>
      </c>
      <c r="K120" s="187"/>
      <c r="L120" s="187">
        <v>100.0</v>
      </c>
      <c r="M120" s="27">
        <v>1.0</v>
      </c>
      <c r="N120" s="187">
        <f t="shared" si="6"/>
        <v>100</v>
      </c>
      <c r="O120" s="58">
        <v>85.0</v>
      </c>
      <c r="P120" s="74" t="s">
        <v>16</v>
      </c>
      <c r="Q120" s="74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 ht="15.75" customHeight="1">
      <c r="A121" s="74" t="s">
        <v>22</v>
      </c>
      <c r="B121" s="27" t="s">
        <v>29</v>
      </c>
      <c r="C121" s="183"/>
      <c r="D121" s="74" t="s">
        <v>5</v>
      </c>
      <c r="E121" s="184">
        <v>46075.0</v>
      </c>
      <c r="F121" s="185">
        <f t="shared" si="1"/>
        <v>22</v>
      </c>
      <c r="G121" s="185">
        <f t="shared" si="2"/>
        <v>2</v>
      </c>
      <c r="H121" s="185">
        <f t="shared" si="3"/>
        <v>2026</v>
      </c>
      <c r="I121" s="186">
        <v>2.0</v>
      </c>
      <c r="J121" s="186">
        <v>2026.0</v>
      </c>
      <c r="K121" s="187"/>
      <c r="L121" s="187">
        <v>50.0</v>
      </c>
      <c r="M121" s="27">
        <v>1.0</v>
      </c>
      <c r="N121" s="187">
        <f t="shared" si="6"/>
        <v>50</v>
      </c>
      <c r="O121" s="58">
        <v>86.0</v>
      </c>
      <c r="P121" s="74" t="s">
        <v>16</v>
      </c>
      <c r="Q121" s="74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</row>
    <row r="122" ht="15.75" customHeight="1">
      <c r="A122" s="74" t="s">
        <v>22</v>
      </c>
      <c r="B122" s="27" t="s">
        <v>27</v>
      </c>
      <c r="C122" s="183"/>
      <c r="D122" s="74" t="s">
        <v>2</v>
      </c>
      <c r="E122" s="184">
        <v>46076.0</v>
      </c>
      <c r="F122" s="185">
        <f t="shared" si="1"/>
        <v>23</v>
      </c>
      <c r="G122" s="185">
        <f t="shared" si="2"/>
        <v>2</v>
      </c>
      <c r="H122" s="185">
        <f t="shared" si="3"/>
        <v>2026</v>
      </c>
      <c r="I122" s="186">
        <v>2.0</v>
      </c>
      <c r="J122" s="186">
        <v>2026.0</v>
      </c>
      <c r="K122" s="187"/>
      <c r="L122" s="187">
        <v>52.9</v>
      </c>
      <c r="M122" s="27">
        <v>1.0</v>
      </c>
      <c r="N122" s="187">
        <f t="shared" si="6"/>
        <v>52.9</v>
      </c>
      <c r="O122" s="58">
        <v>83.0</v>
      </c>
      <c r="P122" s="74"/>
      <c r="Q122" s="74" t="s">
        <v>415</v>
      </c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</row>
    <row r="123" ht="15.75" customHeight="1">
      <c r="A123" s="74" t="s">
        <v>22</v>
      </c>
      <c r="B123" s="27" t="s">
        <v>27</v>
      </c>
      <c r="C123" s="183"/>
      <c r="D123" s="74" t="s">
        <v>5</v>
      </c>
      <c r="E123" s="184">
        <v>46077.0</v>
      </c>
      <c r="F123" s="185">
        <f t="shared" si="1"/>
        <v>24</v>
      </c>
      <c r="G123" s="185">
        <f t="shared" si="2"/>
        <v>2</v>
      </c>
      <c r="H123" s="185">
        <f t="shared" si="3"/>
        <v>2026</v>
      </c>
      <c r="I123" s="186">
        <v>2.0</v>
      </c>
      <c r="J123" s="186">
        <v>2026.0</v>
      </c>
      <c r="K123" s="187"/>
      <c r="L123" s="187">
        <v>550.0</v>
      </c>
      <c r="M123" s="27">
        <v>1.0</v>
      </c>
      <c r="N123" s="187">
        <f t="shared" si="6"/>
        <v>550</v>
      </c>
      <c r="O123" s="58">
        <v>90.0</v>
      </c>
      <c r="P123" s="74" t="s">
        <v>16</v>
      </c>
      <c r="Q123" s="74" t="s">
        <v>416</v>
      </c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</row>
    <row r="124" ht="15.75" customHeight="1">
      <c r="A124" s="74" t="s">
        <v>22</v>
      </c>
      <c r="B124" s="27" t="s">
        <v>27</v>
      </c>
      <c r="C124" s="183"/>
      <c r="D124" s="74" t="s">
        <v>5</v>
      </c>
      <c r="E124" s="184">
        <v>46077.0</v>
      </c>
      <c r="F124" s="185">
        <f t="shared" si="1"/>
        <v>24</v>
      </c>
      <c r="G124" s="185">
        <f t="shared" si="2"/>
        <v>2</v>
      </c>
      <c r="H124" s="185">
        <f t="shared" si="3"/>
        <v>2026</v>
      </c>
      <c r="I124" s="186">
        <v>2.0</v>
      </c>
      <c r="J124" s="186">
        <v>2026.0</v>
      </c>
      <c r="K124" s="187"/>
      <c r="L124" s="187">
        <v>300.0</v>
      </c>
      <c r="M124" s="27">
        <v>1.0</v>
      </c>
      <c r="N124" s="187">
        <f t="shared" si="6"/>
        <v>300</v>
      </c>
      <c r="O124" s="58">
        <v>91.0</v>
      </c>
      <c r="P124" s="74" t="s">
        <v>16</v>
      </c>
      <c r="Q124" s="74" t="s">
        <v>417</v>
      </c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</row>
    <row r="125" ht="15.75" customHeight="1">
      <c r="A125" s="74" t="s">
        <v>22</v>
      </c>
      <c r="B125" s="27" t="s">
        <v>29</v>
      </c>
      <c r="C125" s="183"/>
      <c r="D125" s="74" t="s">
        <v>2</v>
      </c>
      <c r="E125" s="184">
        <v>46077.0</v>
      </c>
      <c r="F125" s="185">
        <f t="shared" si="1"/>
        <v>24</v>
      </c>
      <c r="G125" s="185">
        <f t="shared" si="2"/>
        <v>2</v>
      </c>
      <c r="H125" s="185">
        <f t="shared" si="3"/>
        <v>2026</v>
      </c>
      <c r="I125" s="186">
        <v>2.0</v>
      </c>
      <c r="J125" s="186">
        <v>2026.0</v>
      </c>
      <c r="K125" s="187"/>
      <c r="L125" s="187">
        <v>12.95</v>
      </c>
      <c r="M125" s="27">
        <v>1.0</v>
      </c>
      <c r="N125" s="187">
        <f t="shared" si="6"/>
        <v>12.95</v>
      </c>
      <c r="O125" s="58">
        <v>89.0</v>
      </c>
      <c r="P125" s="74"/>
      <c r="Q125" s="74" t="s">
        <v>411</v>
      </c>
      <c r="R125" s="27"/>
      <c r="S125" s="27"/>
      <c r="T125" s="27"/>
      <c r="U125" s="27"/>
      <c r="V125" s="27"/>
      <c r="W125" s="27">
        <v>500000.0</v>
      </c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</row>
    <row r="126" ht="15.75" customHeight="1">
      <c r="A126" s="74" t="s">
        <v>167</v>
      </c>
      <c r="B126" s="27" t="s">
        <v>41</v>
      </c>
      <c r="C126" s="183"/>
      <c r="D126" s="74" t="s">
        <v>2</v>
      </c>
      <c r="E126" s="184">
        <v>46078.0</v>
      </c>
      <c r="F126" s="185">
        <f t="shared" si="1"/>
        <v>25</v>
      </c>
      <c r="G126" s="185">
        <f t="shared" si="2"/>
        <v>2</v>
      </c>
      <c r="H126" s="185">
        <f t="shared" si="3"/>
        <v>2026</v>
      </c>
      <c r="I126" s="186">
        <v>2.0</v>
      </c>
      <c r="J126" s="186">
        <v>2026.0</v>
      </c>
      <c r="K126" s="187"/>
      <c r="L126" s="187">
        <v>93.33</v>
      </c>
      <c r="M126" s="27">
        <v>1.0</v>
      </c>
      <c r="N126" s="187">
        <f t="shared" si="6"/>
        <v>93.33</v>
      </c>
      <c r="O126" s="58"/>
      <c r="P126" s="74"/>
      <c r="Q126" s="74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 ht="15.75" customHeight="1">
      <c r="A127" s="74" t="s">
        <v>22</v>
      </c>
      <c r="B127" s="27" t="s">
        <v>342</v>
      </c>
      <c r="C127" s="183"/>
      <c r="D127" s="74" t="s">
        <v>5</v>
      </c>
      <c r="E127" s="184">
        <v>46079.0</v>
      </c>
      <c r="F127" s="185">
        <f t="shared" si="1"/>
        <v>26</v>
      </c>
      <c r="G127" s="185">
        <f t="shared" si="2"/>
        <v>2</v>
      </c>
      <c r="H127" s="185">
        <f t="shared" si="3"/>
        <v>2026</v>
      </c>
      <c r="I127" s="186">
        <v>2.0</v>
      </c>
      <c r="J127" s="186">
        <v>2026.0</v>
      </c>
      <c r="K127" s="187"/>
      <c r="L127" s="187">
        <v>2600.0</v>
      </c>
      <c r="M127" s="27">
        <v>1.0</v>
      </c>
      <c r="N127" s="187">
        <f t="shared" si="6"/>
        <v>2600</v>
      </c>
      <c r="O127" s="58">
        <v>87.0</v>
      </c>
      <c r="P127" s="74" t="s">
        <v>17</v>
      </c>
      <c r="Q127" s="74" t="s">
        <v>419</v>
      </c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</row>
    <row r="128" ht="15.75" customHeight="1">
      <c r="A128" s="74" t="s">
        <v>22</v>
      </c>
      <c r="B128" s="27" t="s">
        <v>28</v>
      </c>
      <c r="C128" s="183"/>
      <c r="D128" s="74" t="s">
        <v>5</v>
      </c>
      <c r="E128" s="184">
        <v>46079.0</v>
      </c>
      <c r="F128" s="185">
        <f t="shared" si="1"/>
        <v>26</v>
      </c>
      <c r="G128" s="185">
        <f t="shared" si="2"/>
        <v>2</v>
      </c>
      <c r="H128" s="185">
        <f t="shared" si="3"/>
        <v>2026</v>
      </c>
      <c r="I128" s="186">
        <v>2.0</v>
      </c>
      <c r="J128" s="186">
        <v>2026.0</v>
      </c>
      <c r="K128" s="187"/>
      <c r="L128" s="187">
        <v>15.0</v>
      </c>
      <c r="M128" s="27">
        <v>1.0</v>
      </c>
      <c r="N128" s="187">
        <f t="shared" si="6"/>
        <v>15</v>
      </c>
      <c r="O128" s="58">
        <v>88.0</v>
      </c>
      <c r="P128" s="74" t="s">
        <v>17</v>
      </c>
      <c r="Q128" s="74" t="s">
        <v>420</v>
      </c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</row>
    <row r="129" ht="15.75" customHeight="1">
      <c r="A129" s="74" t="s">
        <v>253</v>
      </c>
      <c r="B129" s="27" t="s">
        <v>272</v>
      </c>
      <c r="C129" s="183"/>
      <c r="D129" s="74" t="s">
        <v>274</v>
      </c>
      <c r="E129" s="184">
        <v>46081.0</v>
      </c>
      <c r="F129" s="185">
        <f t="shared" si="1"/>
        <v>28</v>
      </c>
      <c r="G129" s="185">
        <f t="shared" si="2"/>
        <v>2</v>
      </c>
      <c r="H129" s="185">
        <f t="shared" si="3"/>
        <v>2026</v>
      </c>
      <c r="I129" s="186">
        <v>2.0</v>
      </c>
      <c r="J129" s="186">
        <v>2026.0</v>
      </c>
      <c r="K129" s="187"/>
      <c r="L129" s="187">
        <v>10000.0</v>
      </c>
      <c r="M129" s="27">
        <v>1.0</v>
      </c>
      <c r="N129" s="187">
        <f t="shared" si="6"/>
        <v>10000</v>
      </c>
      <c r="O129" s="58"/>
      <c r="P129" s="74" t="s">
        <v>18</v>
      </c>
      <c r="Q129" s="74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</row>
    <row r="130" ht="15.75" customHeight="1">
      <c r="A130" s="74" t="s">
        <v>334</v>
      </c>
      <c r="B130" s="27" t="s">
        <v>34</v>
      </c>
      <c r="C130" s="183"/>
      <c r="D130" s="74" t="s">
        <v>12</v>
      </c>
      <c r="E130" s="184">
        <v>46081.0</v>
      </c>
      <c r="F130" s="185">
        <f t="shared" si="1"/>
        <v>28</v>
      </c>
      <c r="G130" s="185">
        <f t="shared" si="2"/>
        <v>2</v>
      </c>
      <c r="H130" s="185">
        <f t="shared" si="3"/>
        <v>2026</v>
      </c>
      <c r="I130" s="186">
        <f t="shared" ref="I130:J130" si="7">G130</f>
        <v>2</v>
      </c>
      <c r="J130" s="186">
        <f t="shared" si="7"/>
        <v>2026</v>
      </c>
      <c r="K130" s="187"/>
      <c r="L130" s="187">
        <v>1272.0</v>
      </c>
      <c r="M130" s="27">
        <v>1.0</v>
      </c>
      <c r="N130" s="187">
        <f>M130*L130</f>
        <v>1272</v>
      </c>
      <c r="O130" s="58"/>
      <c r="P130" s="74"/>
      <c r="Q130" s="74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</row>
    <row r="131" ht="15.75" customHeight="1">
      <c r="A131" s="74" t="s">
        <v>22</v>
      </c>
      <c r="B131" s="27" t="s">
        <v>342</v>
      </c>
      <c r="C131" s="183"/>
      <c r="D131" s="74" t="s">
        <v>5</v>
      </c>
      <c r="E131" s="184">
        <v>46081.0</v>
      </c>
      <c r="F131" s="185">
        <f t="shared" si="1"/>
        <v>28</v>
      </c>
      <c r="G131" s="185">
        <f t="shared" si="2"/>
        <v>2</v>
      </c>
      <c r="H131" s="185">
        <f t="shared" si="3"/>
        <v>2026</v>
      </c>
      <c r="I131" s="186">
        <v>2.0</v>
      </c>
      <c r="J131" s="186">
        <v>2026.0</v>
      </c>
      <c r="K131" s="187"/>
      <c r="L131" s="187">
        <v>800.0</v>
      </c>
      <c r="M131" s="27">
        <v>1.0</v>
      </c>
      <c r="N131" s="187">
        <f t="shared" ref="N131:N227" si="8">L131*M131</f>
        <v>800</v>
      </c>
      <c r="O131" s="58">
        <v>95.0</v>
      </c>
      <c r="P131" s="74" t="s">
        <v>18</v>
      </c>
      <c r="Q131" s="74" t="s">
        <v>421</v>
      </c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</row>
    <row r="132" ht="15.75" customHeight="1">
      <c r="A132" s="74" t="s">
        <v>22</v>
      </c>
      <c r="B132" s="27" t="s">
        <v>342</v>
      </c>
      <c r="C132" s="183"/>
      <c r="D132" s="74" t="s">
        <v>5</v>
      </c>
      <c r="E132" s="184">
        <v>46081.0</v>
      </c>
      <c r="F132" s="185">
        <f t="shared" si="1"/>
        <v>28</v>
      </c>
      <c r="G132" s="185">
        <f t="shared" si="2"/>
        <v>2</v>
      </c>
      <c r="H132" s="185">
        <f t="shared" si="3"/>
        <v>2026</v>
      </c>
      <c r="I132" s="186">
        <v>2.0</v>
      </c>
      <c r="J132" s="186">
        <v>2026.0</v>
      </c>
      <c r="K132" s="187"/>
      <c r="L132" s="187">
        <v>560.0</v>
      </c>
      <c r="M132" s="27">
        <v>1.0</v>
      </c>
      <c r="N132" s="187">
        <f t="shared" si="8"/>
        <v>560</v>
      </c>
      <c r="O132" s="58">
        <v>96.0</v>
      </c>
      <c r="P132" s="74" t="s">
        <v>18</v>
      </c>
      <c r="Q132" s="74" t="s">
        <v>358</v>
      </c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</row>
    <row r="133" ht="15.75" customHeight="1">
      <c r="A133" s="74" t="s">
        <v>22</v>
      </c>
      <c r="B133" s="27" t="s">
        <v>342</v>
      </c>
      <c r="C133" s="183"/>
      <c r="D133" s="74" t="s">
        <v>5</v>
      </c>
      <c r="E133" s="184">
        <v>46081.0</v>
      </c>
      <c r="F133" s="185">
        <f t="shared" si="1"/>
        <v>28</v>
      </c>
      <c r="G133" s="185">
        <f t="shared" si="2"/>
        <v>2</v>
      </c>
      <c r="H133" s="185">
        <f t="shared" si="3"/>
        <v>2026</v>
      </c>
      <c r="I133" s="186">
        <v>2.0</v>
      </c>
      <c r="J133" s="186">
        <v>2026.0</v>
      </c>
      <c r="K133" s="187"/>
      <c r="L133" s="187">
        <v>200.0</v>
      </c>
      <c r="M133" s="27">
        <v>1.0</v>
      </c>
      <c r="N133" s="187">
        <f t="shared" si="8"/>
        <v>200</v>
      </c>
      <c r="O133" s="58">
        <v>94.0</v>
      </c>
      <c r="P133" s="74" t="s">
        <v>18</v>
      </c>
      <c r="Q133" s="74" t="s">
        <v>422</v>
      </c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</row>
    <row r="134" ht="15.75" customHeight="1">
      <c r="A134" s="74" t="s">
        <v>22</v>
      </c>
      <c r="B134" s="27" t="s">
        <v>342</v>
      </c>
      <c r="C134" s="183"/>
      <c r="D134" s="74" t="s">
        <v>5</v>
      </c>
      <c r="E134" s="184">
        <v>46081.0</v>
      </c>
      <c r="F134" s="185">
        <f t="shared" si="1"/>
        <v>28</v>
      </c>
      <c r="G134" s="185">
        <f t="shared" si="2"/>
        <v>2</v>
      </c>
      <c r="H134" s="185">
        <f t="shared" si="3"/>
        <v>2026</v>
      </c>
      <c r="I134" s="186">
        <v>2.0</v>
      </c>
      <c r="J134" s="186">
        <v>2026.0</v>
      </c>
      <c r="K134" s="187"/>
      <c r="L134" s="187">
        <v>150.0</v>
      </c>
      <c r="M134" s="27">
        <v>1.0</v>
      </c>
      <c r="N134" s="187">
        <f t="shared" si="8"/>
        <v>150</v>
      </c>
      <c r="O134" s="58">
        <v>93.0</v>
      </c>
      <c r="P134" s="74" t="s">
        <v>16</v>
      </c>
      <c r="Q134" s="74" t="s">
        <v>357</v>
      </c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</row>
    <row r="135" ht="15.75" customHeight="1">
      <c r="A135" s="74" t="s">
        <v>22</v>
      </c>
      <c r="B135" s="27" t="s">
        <v>342</v>
      </c>
      <c r="C135" s="183"/>
      <c r="D135" s="74" t="s">
        <v>5</v>
      </c>
      <c r="E135" s="184">
        <v>46083.0</v>
      </c>
      <c r="F135" s="185">
        <f t="shared" si="1"/>
        <v>2</v>
      </c>
      <c r="G135" s="185">
        <f t="shared" si="2"/>
        <v>3</v>
      </c>
      <c r="H135" s="185">
        <f t="shared" si="3"/>
        <v>2026</v>
      </c>
      <c r="I135" s="186">
        <v>3.0</v>
      </c>
      <c r="J135" s="186">
        <v>2026.0</v>
      </c>
      <c r="K135" s="187"/>
      <c r="L135" s="187">
        <v>250.0</v>
      </c>
      <c r="M135" s="27">
        <v>1.0</v>
      </c>
      <c r="N135" s="187">
        <f t="shared" si="8"/>
        <v>250</v>
      </c>
      <c r="O135" s="58">
        <v>104.0</v>
      </c>
      <c r="P135" s="74" t="s">
        <v>18</v>
      </c>
      <c r="Q135" s="74" t="s">
        <v>358</v>
      </c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</row>
    <row r="136" ht="15.75" customHeight="1">
      <c r="A136" s="74" t="s">
        <v>22</v>
      </c>
      <c r="B136" s="27" t="s">
        <v>342</v>
      </c>
      <c r="C136" s="183"/>
      <c r="D136" s="74" t="s">
        <v>5</v>
      </c>
      <c r="E136" s="184">
        <v>46083.0</v>
      </c>
      <c r="F136" s="185">
        <f t="shared" si="1"/>
        <v>2</v>
      </c>
      <c r="G136" s="185">
        <f t="shared" si="2"/>
        <v>3</v>
      </c>
      <c r="H136" s="185">
        <f t="shared" si="3"/>
        <v>2026</v>
      </c>
      <c r="I136" s="186">
        <v>3.0</v>
      </c>
      <c r="J136" s="186">
        <v>2026.0</v>
      </c>
      <c r="K136" s="187"/>
      <c r="L136" s="187">
        <v>200.0</v>
      </c>
      <c r="M136" s="27">
        <v>1.0</v>
      </c>
      <c r="N136" s="187">
        <f t="shared" si="8"/>
        <v>200</v>
      </c>
      <c r="O136" s="58">
        <v>105.0</v>
      </c>
      <c r="P136" s="74" t="s">
        <v>18</v>
      </c>
      <c r="Q136" s="74" t="s">
        <v>422</v>
      </c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</row>
    <row r="137" ht="15.75" customHeight="1">
      <c r="A137" s="74" t="s">
        <v>22</v>
      </c>
      <c r="B137" s="27" t="s">
        <v>342</v>
      </c>
      <c r="C137" s="183"/>
      <c r="D137" s="74" t="s">
        <v>2</v>
      </c>
      <c r="E137" s="184">
        <v>46083.0</v>
      </c>
      <c r="F137" s="185">
        <f t="shared" si="1"/>
        <v>2</v>
      </c>
      <c r="G137" s="185">
        <f t="shared" si="2"/>
        <v>3</v>
      </c>
      <c r="H137" s="185">
        <f t="shared" si="3"/>
        <v>2026</v>
      </c>
      <c r="I137" s="186">
        <v>3.0</v>
      </c>
      <c r="J137" s="186">
        <v>2026.0</v>
      </c>
      <c r="K137" s="187"/>
      <c r="L137" s="187">
        <v>130.13</v>
      </c>
      <c r="M137" s="27">
        <v>1.0</v>
      </c>
      <c r="N137" s="187">
        <f t="shared" si="8"/>
        <v>130.13</v>
      </c>
      <c r="O137" s="58">
        <v>92.0</v>
      </c>
      <c r="P137" s="74"/>
      <c r="Q137" s="74" t="s">
        <v>423</v>
      </c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</row>
    <row r="138" ht="15.75" customHeight="1">
      <c r="A138" s="74" t="s">
        <v>22</v>
      </c>
      <c r="B138" s="27" t="s">
        <v>24</v>
      </c>
      <c r="C138" s="183"/>
      <c r="D138" s="74" t="s">
        <v>2</v>
      </c>
      <c r="E138" s="184">
        <v>46083.0</v>
      </c>
      <c r="F138" s="185">
        <f t="shared" si="1"/>
        <v>2</v>
      </c>
      <c r="G138" s="185">
        <f t="shared" si="2"/>
        <v>3</v>
      </c>
      <c r="H138" s="185">
        <f t="shared" si="3"/>
        <v>2026</v>
      </c>
      <c r="I138" s="186">
        <v>3.0</v>
      </c>
      <c r="J138" s="186">
        <v>2026.0</v>
      </c>
      <c r="K138" s="187"/>
      <c r="L138" s="187">
        <v>43.1</v>
      </c>
      <c r="M138" s="27">
        <v>1.0</v>
      </c>
      <c r="N138" s="187">
        <f t="shared" si="8"/>
        <v>43.1</v>
      </c>
      <c r="O138" s="58">
        <v>97.0</v>
      </c>
      <c r="P138" s="74"/>
      <c r="Q138" s="74" t="s">
        <v>425</v>
      </c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</row>
    <row r="139" ht="15.75" customHeight="1">
      <c r="A139" s="74" t="s">
        <v>167</v>
      </c>
      <c r="B139" s="27" t="s">
        <v>37</v>
      </c>
      <c r="C139" s="183"/>
      <c r="D139" s="74" t="s">
        <v>2</v>
      </c>
      <c r="E139" s="184">
        <v>46083.0</v>
      </c>
      <c r="F139" s="185">
        <f t="shared" si="1"/>
        <v>2</v>
      </c>
      <c r="G139" s="185">
        <f t="shared" si="2"/>
        <v>3</v>
      </c>
      <c r="H139" s="185">
        <f t="shared" si="3"/>
        <v>2026</v>
      </c>
      <c r="I139" s="186">
        <v>2.0</v>
      </c>
      <c r="J139" s="186">
        <v>2026.0</v>
      </c>
      <c r="K139" s="187"/>
      <c r="L139" s="187">
        <v>67.84</v>
      </c>
      <c r="M139" s="27">
        <v>1.0</v>
      </c>
      <c r="N139" s="187">
        <f t="shared" si="8"/>
        <v>67.84</v>
      </c>
      <c r="O139" s="58"/>
      <c r="P139" s="74"/>
      <c r="Q139" s="74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</row>
    <row r="140" ht="15.75" customHeight="1">
      <c r="A140" s="74" t="s">
        <v>22</v>
      </c>
      <c r="B140" s="27" t="s">
        <v>27</v>
      </c>
      <c r="C140" s="183"/>
      <c r="D140" s="74" t="s">
        <v>5</v>
      </c>
      <c r="E140" s="184">
        <v>46084.0</v>
      </c>
      <c r="F140" s="185">
        <f t="shared" si="1"/>
        <v>3</v>
      </c>
      <c r="G140" s="185">
        <f t="shared" si="2"/>
        <v>3</v>
      </c>
      <c r="H140" s="185">
        <f t="shared" si="3"/>
        <v>2026</v>
      </c>
      <c r="I140" s="186">
        <v>3.0</v>
      </c>
      <c r="J140" s="186">
        <v>2026.0</v>
      </c>
      <c r="K140" s="187"/>
      <c r="L140" s="187">
        <v>160.0</v>
      </c>
      <c r="M140" s="27">
        <v>1.0</v>
      </c>
      <c r="N140" s="187">
        <f t="shared" si="8"/>
        <v>160</v>
      </c>
      <c r="O140" s="58">
        <v>99.0</v>
      </c>
      <c r="P140" s="74" t="s">
        <v>17</v>
      </c>
      <c r="Q140" s="74" t="s">
        <v>426</v>
      </c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</row>
    <row r="141" ht="15.75" customHeight="1">
      <c r="A141" s="74" t="s">
        <v>22</v>
      </c>
      <c r="B141" s="27" t="s">
        <v>27</v>
      </c>
      <c r="C141" s="183"/>
      <c r="D141" s="74" t="s">
        <v>2</v>
      </c>
      <c r="E141" s="184">
        <v>46085.0</v>
      </c>
      <c r="F141" s="185">
        <f t="shared" si="1"/>
        <v>4</v>
      </c>
      <c r="G141" s="185">
        <f t="shared" si="2"/>
        <v>3</v>
      </c>
      <c r="H141" s="185">
        <f t="shared" si="3"/>
        <v>2026</v>
      </c>
      <c r="I141" s="186">
        <v>3.0</v>
      </c>
      <c r="J141" s="186">
        <v>2026.0</v>
      </c>
      <c r="K141" s="187"/>
      <c r="L141" s="187">
        <v>60.78</v>
      </c>
      <c r="M141" s="27">
        <v>1.0</v>
      </c>
      <c r="N141" s="187">
        <f t="shared" si="8"/>
        <v>60.78</v>
      </c>
      <c r="O141" s="58">
        <v>108.0</v>
      </c>
      <c r="P141" s="74"/>
      <c r="Q141" s="74" t="s">
        <v>427</v>
      </c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</row>
    <row r="142" ht="15.75" customHeight="1">
      <c r="A142" s="74" t="s">
        <v>334</v>
      </c>
      <c r="B142" s="27" t="s">
        <v>34</v>
      </c>
      <c r="C142" s="183"/>
      <c r="D142" s="74" t="s">
        <v>2</v>
      </c>
      <c r="E142" s="184">
        <v>46085.0</v>
      </c>
      <c r="F142" s="185">
        <f t="shared" si="1"/>
        <v>4</v>
      </c>
      <c r="G142" s="185">
        <f t="shared" si="2"/>
        <v>3</v>
      </c>
      <c r="H142" s="185">
        <f t="shared" si="3"/>
        <v>2026</v>
      </c>
      <c r="I142" s="186">
        <v>3.0</v>
      </c>
      <c r="J142" s="186">
        <v>2026.0</v>
      </c>
      <c r="K142" s="187"/>
      <c r="L142" s="187">
        <v>42.3</v>
      </c>
      <c r="M142" s="27">
        <v>1.0</v>
      </c>
      <c r="N142" s="187">
        <f t="shared" si="8"/>
        <v>42.3</v>
      </c>
      <c r="O142" s="58"/>
      <c r="P142" s="74"/>
      <c r="Q142" s="74" t="s">
        <v>428</v>
      </c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</row>
    <row r="143" ht="15.75" customHeight="1">
      <c r="A143" s="74" t="s">
        <v>334</v>
      </c>
      <c r="B143" s="27" t="s">
        <v>34</v>
      </c>
      <c r="C143" s="183"/>
      <c r="D143" s="74" t="s">
        <v>2</v>
      </c>
      <c r="E143" s="184">
        <v>46086.0</v>
      </c>
      <c r="F143" s="185">
        <f t="shared" si="1"/>
        <v>5</v>
      </c>
      <c r="G143" s="185">
        <f t="shared" si="2"/>
        <v>3</v>
      </c>
      <c r="H143" s="185">
        <f t="shared" si="3"/>
        <v>2026</v>
      </c>
      <c r="I143" s="186">
        <v>3.0</v>
      </c>
      <c r="J143" s="186">
        <v>2026.0</v>
      </c>
      <c r="K143" s="187"/>
      <c r="L143" s="187">
        <v>334.95</v>
      </c>
      <c r="M143" s="27">
        <v>1.0</v>
      </c>
      <c r="N143" s="187">
        <f t="shared" si="8"/>
        <v>334.95</v>
      </c>
      <c r="O143" s="58"/>
      <c r="P143" s="74"/>
      <c r="Q143" s="74" t="s">
        <v>429</v>
      </c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</row>
    <row r="144" ht="15.75" customHeight="1">
      <c r="A144" s="74" t="s">
        <v>334</v>
      </c>
      <c r="B144" s="27" t="s">
        <v>34</v>
      </c>
      <c r="C144" s="183"/>
      <c r="D144" s="74" t="s">
        <v>2</v>
      </c>
      <c r="E144" s="184">
        <v>46086.0</v>
      </c>
      <c r="F144" s="185">
        <f t="shared" si="1"/>
        <v>5</v>
      </c>
      <c r="G144" s="185">
        <f t="shared" si="2"/>
        <v>3</v>
      </c>
      <c r="H144" s="185">
        <f t="shared" si="3"/>
        <v>2026</v>
      </c>
      <c r="I144" s="186">
        <v>3.0</v>
      </c>
      <c r="J144" s="186">
        <v>2026.0</v>
      </c>
      <c r="K144" s="187"/>
      <c r="L144" s="187">
        <v>175.0</v>
      </c>
      <c r="M144" s="27">
        <v>1.0</v>
      </c>
      <c r="N144" s="187">
        <f t="shared" si="8"/>
        <v>175</v>
      </c>
      <c r="O144" s="58"/>
      <c r="P144" s="74"/>
      <c r="Q144" s="74" t="s">
        <v>430</v>
      </c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</row>
    <row r="145" ht="15.75" customHeight="1">
      <c r="A145" s="74" t="s">
        <v>22</v>
      </c>
      <c r="B145" s="27" t="s">
        <v>27</v>
      </c>
      <c r="C145" s="183"/>
      <c r="D145" s="74" t="s">
        <v>2</v>
      </c>
      <c r="E145" s="184">
        <v>46086.0</v>
      </c>
      <c r="F145" s="185">
        <f t="shared" si="1"/>
        <v>5</v>
      </c>
      <c r="G145" s="185">
        <f t="shared" si="2"/>
        <v>3</v>
      </c>
      <c r="H145" s="185">
        <f t="shared" si="3"/>
        <v>2026</v>
      </c>
      <c r="I145" s="186">
        <v>3.0</v>
      </c>
      <c r="J145" s="186">
        <v>2026.0</v>
      </c>
      <c r="K145" s="187"/>
      <c r="L145" s="187">
        <v>383.3</v>
      </c>
      <c r="M145" s="27">
        <v>1.0</v>
      </c>
      <c r="N145" s="187">
        <f t="shared" si="8"/>
        <v>383.3</v>
      </c>
      <c r="O145" s="58">
        <v>100.0</v>
      </c>
      <c r="P145" s="74"/>
      <c r="Q145" s="74" t="s">
        <v>431</v>
      </c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</row>
    <row r="146" ht="15.75" customHeight="1">
      <c r="A146" s="74" t="s">
        <v>22</v>
      </c>
      <c r="B146" s="27" t="s">
        <v>27</v>
      </c>
      <c r="C146" s="183"/>
      <c r="D146" s="74" t="s">
        <v>2</v>
      </c>
      <c r="E146" s="184">
        <v>46086.0</v>
      </c>
      <c r="F146" s="185">
        <f t="shared" si="1"/>
        <v>5</v>
      </c>
      <c r="G146" s="185">
        <f t="shared" si="2"/>
        <v>3</v>
      </c>
      <c r="H146" s="185">
        <f t="shared" si="3"/>
        <v>2026</v>
      </c>
      <c r="I146" s="186">
        <v>3.0</v>
      </c>
      <c r="J146" s="186">
        <v>2026.0</v>
      </c>
      <c r="K146" s="187"/>
      <c r="L146" s="187">
        <v>4.37</v>
      </c>
      <c r="M146" s="27">
        <v>1.0</v>
      </c>
      <c r="N146" s="187">
        <f t="shared" si="8"/>
        <v>4.37</v>
      </c>
      <c r="O146" s="58">
        <v>107.0</v>
      </c>
      <c r="P146" s="74"/>
      <c r="Q146" s="74" t="s">
        <v>432</v>
      </c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</row>
    <row r="147" ht="15.75" customHeight="1">
      <c r="A147" s="74" t="s">
        <v>334</v>
      </c>
      <c r="B147" s="27" t="s">
        <v>34</v>
      </c>
      <c r="C147" s="183"/>
      <c r="D147" s="74" t="s">
        <v>2</v>
      </c>
      <c r="E147" s="184">
        <v>46086.0</v>
      </c>
      <c r="F147" s="185">
        <f t="shared" si="1"/>
        <v>5</v>
      </c>
      <c r="G147" s="185">
        <f t="shared" si="2"/>
        <v>3</v>
      </c>
      <c r="H147" s="185">
        <f t="shared" si="3"/>
        <v>2026</v>
      </c>
      <c r="I147" s="186">
        <v>3.0</v>
      </c>
      <c r="J147" s="186">
        <v>2026.0</v>
      </c>
      <c r="K147" s="187"/>
      <c r="L147" s="187">
        <v>19.99</v>
      </c>
      <c r="M147" s="27">
        <v>1.0</v>
      </c>
      <c r="N147" s="187">
        <f t="shared" si="8"/>
        <v>19.99</v>
      </c>
      <c r="O147" s="58"/>
      <c r="P147" s="74"/>
      <c r="Q147" s="74" t="s">
        <v>433</v>
      </c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 ht="15.75" customHeight="1">
      <c r="A148" s="74" t="s">
        <v>22</v>
      </c>
      <c r="B148" s="27" t="s">
        <v>25</v>
      </c>
      <c r="C148" s="183"/>
      <c r="D148" s="74" t="s">
        <v>2</v>
      </c>
      <c r="E148" s="184">
        <v>46087.0</v>
      </c>
      <c r="F148" s="185">
        <f t="shared" si="1"/>
        <v>6</v>
      </c>
      <c r="G148" s="185">
        <f t="shared" si="2"/>
        <v>3</v>
      </c>
      <c r="H148" s="185">
        <f t="shared" si="3"/>
        <v>2026</v>
      </c>
      <c r="I148" s="186">
        <v>3.0</v>
      </c>
      <c r="J148" s="186">
        <v>2026.0</v>
      </c>
      <c r="K148" s="187"/>
      <c r="L148" s="187">
        <v>927.5</v>
      </c>
      <c r="M148" s="27">
        <v>1.0</v>
      </c>
      <c r="N148" s="187">
        <f t="shared" si="8"/>
        <v>927.5</v>
      </c>
      <c r="O148" s="58">
        <v>114.0</v>
      </c>
      <c r="P148" s="74"/>
      <c r="Q148" s="74" t="s">
        <v>434</v>
      </c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</row>
    <row r="149" ht="15.75" customHeight="1">
      <c r="A149" s="74" t="s">
        <v>136</v>
      </c>
      <c r="B149" s="27" t="s">
        <v>38</v>
      </c>
      <c r="C149" s="183"/>
      <c r="D149" s="74" t="s">
        <v>2</v>
      </c>
      <c r="E149" s="184">
        <v>46087.0</v>
      </c>
      <c r="F149" s="185">
        <f t="shared" si="1"/>
        <v>6</v>
      </c>
      <c r="G149" s="185">
        <f t="shared" si="2"/>
        <v>3</v>
      </c>
      <c r="H149" s="185">
        <f t="shared" si="3"/>
        <v>2026</v>
      </c>
      <c r="I149" s="186">
        <v>3.0</v>
      </c>
      <c r="J149" s="186">
        <v>2026.0</v>
      </c>
      <c r="K149" s="187"/>
      <c r="L149" s="187">
        <f>4.99+0.2</f>
        <v>5.19</v>
      </c>
      <c r="M149" s="27">
        <v>1.0</v>
      </c>
      <c r="N149" s="187">
        <f t="shared" si="8"/>
        <v>5.19</v>
      </c>
      <c r="O149" s="58"/>
      <c r="P149" s="74"/>
      <c r="Q149" s="74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</row>
    <row r="150" ht="15.75" customHeight="1">
      <c r="A150" s="74" t="s">
        <v>22</v>
      </c>
      <c r="B150" s="27" t="s">
        <v>342</v>
      </c>
      <c r="C150" s="183"/>
      <c r="D150" s="74" t="s">
        <v>2</v>
      </c>
      <c r="E150" s="184">
        <v>46088.0</v>
      </c>
      <c r="F150" s="185">
        <f t="shared" si="1"/>
        <v>7</v>
      </c>
      <c r="G150" s="185">
        <f t="shared" si="2"/>
        <v>3</v>
      </c>
      <c r="H150" s="185">
        <f t="shared" si="3"/>
        <v>2026</v>
      </c>
      <c r="I150" s="186">
        <v>3.0</v>
      </c>
      <c r="J150" s="186">
        <v>2026.0</v>
      </c>
      <c r="K150" s="187"/>
      <c r="L150" s="187">
        <v>500.0</v>
      </c>
      <c r="M150" s="27">
        <v>1.0</v>
      </c>
      <c r="N150" s="187">
        <f t="shared" si="8"/>
        <v>500</v>
      </c>
      <c r="O150" s="58">
        <v>102.0</v>
      </c>
      <c r="P150" s="74"/>
      <c r="Q150" s="74" t="s">
        <v>436</v>
      </c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</row>
    <row r="151" ht="15.75" customHeight="1">
      <c r="A151" s="74" t="s">
        <v>22</v>
      </c>
      <c r="B151" s="27" t="s">
        <v>342</v>
      </c>
      <c r="C151" s="183"/>
      <c r="D151" s="74" t="s">
        <v>5</v>
      </c>
      <c r="E151" s="184">
        <v>46088.0</v>
      </c>
      <c r="F151" s="185">
        <f t="shared" si="1"/>
        <v>7</v>
      </c>
      <c r="G151" s="185">
        <f t="shared" si="2"/>
        <v>3</v>
      </c>
      <c r="H151" s="185">
        <f t="shared" si="3"/>
        <v>2026</v>
      </c>
      <c r="I151" s="186">
        <v>3.0</v>
      </c>
      <c r="J151" s="186">
        <v>2026.0</v>
      </c>
      <c r="K151" s="187"/>
      <c r="L151" s="187">
        <v>500.0</v>
      </c>
      <c r="M151" s="27">
        <v>1.0</v>
      </c>
      <c r="N151" s="187">
        <f t="shared" si="8"/>
        <v>500</v>
      </c>
      <c r="O151" s="58">
        <v>103.0</v>
      </c>
      <c r="P151" s="74" t="s">
        <v>18</v>
      </c>
      <c r="Q151" s="74" t="s">
        <v>438</v>
      </c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</row>
    <row r="152" ht="15.75" customHeight="1">
      <c r="A152" s="74" t="s">
        <v>22</v>
      </c>
      <c r="B152" s="27" t="s">
        <v>27</v>
      </c>
      <c r="C152" s="183"/>
      <c r="D152" s="74" t="s">
        <v>5</v>
      </c>
      <c r="E152" s="184">
        <v>46088.0</v>
      </c>
      <c r="F152" s="185">
        <f t="shared" si="1"/>
        <v>7</v>
      </c>
      <c r="G152" s="185">
        <f t="shared" si="2"/>
        <v>3</v>
      </c>
      <c r="H152" s="185">
        <f t="shared" si="3"/>
        <v>2026</v>
      </c>
      <c r="I152" s="186">
        <v>3.0</v>
      </c>
      <c r="J152" s="186">
        <v>2026.0</v>
      </c>
      <c r="K152" s="187"/>
      <c r="L152" s="187">
        <v>72.21</v>
      </c>
      <c r="M152" s="27">
        <v>1.0</v>
      </c>
      <c r="N152" s="187">
        <f t="shared" si="8"/>
        <v>72.21</v>
      </c>
      <c r="O152" s="58">
        <v>101.0</v>
      </c>
      <c r="P152" s="74" t="s">
        <v>16</v>
      </c>
      <c r="Q152" s="74" t="s">
        <v>439</v>
      </c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</row>
    <row r="153" ht="15.75" customHeight="1">
      <c r="A153" s="74" t="s">
        <v>22</v>
      </c>
      <c r="B153" s="27" t="s">
        <v>27</v>
      </c>
      <c r="C153" s="183"/>
      <c r="D153" s="74" t="s">
        <v>2</v>
      </c>
      <c r="E153" s="184">
        <v>46088.0</v>
      </c>
      <c r="F153" s="185">
        <f t="shared" si="1"/>
        <v>7</v>
      </c>
      <c r="G153" s="185">
        <f t="shared" si="2"/>
        <v>3</v>
      </c>
      <c r="H153" s="185">
        <f t="shared" si="3"/>
        <v>2026</v>
      </c>
      <c r="I153" s="186">
        <v>3.0</v>
      </c>
      <c r="J153" s="186">
        <v>2026.0</v>
      </c>
      <c r="K153" s="187"/>
      <c r="L153" s="187">
        <f>33.16+1</f>
        <v>34.16</v>
      </c>
      <c r="M153" s="27">
        <v>1.0</v>
      </c>
      <c r="N153" s="187">
        <f t="shared" si="8"/>
        <v>34.16</v>
      </c>
      <c r="O153" s="58">
        <v>113.0</v>
      </c>
      <c r="P153" s="74"/>
      <c r="Q153" s="74" t="s">
        <v>440</v>
      </c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</row>
    <row r="154" ht="15.75" customHeight="1">
      <c r="A154" s="74" t="s">
        <v>22</v>
      </c>
      <c r="B154" s="27" t="s">
        <v>27</v>
      </c>
      <c r="C154" s="183"/>
      <c r="D154" s="74" t="s">
        <v>2</v>
      </c>
      <c r="E154" s="184">
        <v>46088.0</v>
      </c>
      <c r="F154" s="185">
        <f t="shared" si="1"/>
        <v>7</v>
      </c>
      <c r="G154" s="185">
        <f t="shared" si="2"/>
        <v>3</v>
      </c>
      <c r="H154" s="185">
        <f t="shared" si="3"/>
        <v>2026</v>
      </c>
      <c r="I154" s="186">
        <v>3.0</v>
      </c>
      <c r="J154" s="186">
        <v>2026.0</v>
      </c>
      <c r="K154" s="187"/>
      <c r="L154" s="187">
        <v>29.52</v>
      </c>
      <c r="M154" s="27">
        <v>1.0</v>
      </c>
      <c r="N154" s="187">
        <f t="shared" si="8"/>
        <v>29.52</v>
      </c>
      <c r="O154" s="58">
        <v>109.0</v>
      </c>
      <c r="P154" s="74"/>
      <c r="Q154" s="74" t="s">
        <v>441</v>
      </c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</row>
    <row r="155" ht="15.75" customHeight="1">
      <c r="A155" s="74" t="s">
        <v>22</v>
      </c>
      <c r="B155" s="27" t="s">
        <v>27</v>
      </c>
      <c r="C155" s="183"/>
      <c r="D155" s="74" t="s">
        <v>2</v>
      </c>
      <c r="E155" s="184">
        <v>46088.0</v>
      </c>
      <c r="F155" s="185">
        <f t="shared" si="1"/>
        <v>7</v>
      </c>
      <c r="G155" s="185">
        <f t="shared" si="2"/>
        <v>3</v>
      </c>
      <c r="H155" s="185">
        <f t="shared" si="3"/>
        <v>2026</v>
      </c>
      <c r="I155" s="186">
        <v>3.0</v>
      </c>
      <c r="J155" s="186">
        <v>2026.0</v>
      </c>
      <c r="K155" s="187"/>
      <c r="L155" s="187">
        <v>9.29</v>
      </c>
      <c r="M155" s="27">
        <v>1.0</v>
      </c>
      <c r="N155" s="187">
        <f t="shared" si="8"/>
        <v>9.29</v>
      </c>
      <c r="O155" s="58">
        <v>111.0</v>
      </c>
      <c r="P155" s="74"/>
      <c r="Q155" s="74" t="s">
        <v>442</v>
      </c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</row>
    <row r="156" ht="15.75" customHeight="1">
      <c r="A156" s="74" t="s">
        <v>160</v>
      </c>
      <c r="B156" s="27" t="s">
        <v>39</v>
      </c>
      <c r="C156" s="183"/>
      <c r="D156" s="74" t="s">
        <v>2</v>
      </c>
      <c r="E156" s="184">
        <v>46090.0</v>
      </c>
      <c r="F156" s="185">
        <f t="shared" si="1"/>
        <v>9</v>
      </c>
      <c r="G156" s="185">
        <f t="shared" si="2"/>
        <v>3</v>
      </c>
      <c r="H156" s="185">
        <f t="shared" si="3"/>
        <v>2026</v>
      </c>
      <c r="I156" s="186">
        <v>3.0</v>
      </c>
      <c r="J156" s="186">
        <v>2026.0</v>
      </c>
      <c r="K156" s="187"/>
      <c r="L156" s="187">
        <v>191.97</v>
      </c>
      <c r="M156" s="27">
        <v>1.0</v>
      </c>
      <c r="N156" s="187">
        <f t="shared" si="8"/>
        <v>191.97</v>
      </c>
      <c r="O156" s="58"/>
      <c r="P156" s="74"/>
      <c r="Q156" s="74" t="s">
        <v>443</v>
      </c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</row>
    <row r="157" ht="15.75" customHeight="1">
      <c r="A157" s="74" t="s">
        <v>22</v>
      </c>
      <c r="B157" s="27" t="s">
        <v>27</v>
      </c>
      <c r="C157" s="183"/>
      <c r="D157" s="74" t="s">
        <v>2</v>
      </c>
      <c r="E157" s="184">
        <v>46090.0</v>
      </c>
      <c r="F157" s="185">
        <f t="shared" si="1"/>
        <v>9</v>
      </c>
      <c r="G157" s="185">
        <f t="shared" si="2"/>
        <v>3</v>
      </c>
      <c r="H157" s="185">
        <f t="shared" si="3"/>
        <v>2026</v>
      </c>
      <c r="I157" s="186">
        <v>3.0</v>
      </c>
      <c r="J157" s="186">
        <v>2026.0</v>
      </c>
      <c r="K157" s="187"/>
      <c r="L157" s="187">
        <v>9.9</v>
      </c>
      <c r="M157" s="27">
        <v>1.0</v>
      </c>
      <c r="N157" s="187">
        <f t="shared" si="8"/>
        <v>9.9</v>
      </c>
      <c r="O157" s="58">
        <v>112.0</v>
      </c>
      <c r="P157" s="74"/>
      <c r="Q157" s="74" t="s">
        <v>442</v>
      </c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</row>
    <row r="158" ht="15.75" customHeight="1">
      <c r="A158" s="74" t="s">
        <v>160</v>
      </c>
      <c r="B158" s="27" t="s">
        <v>39</v>
      </c>
      <c r="C158" s="183"/>
      <c r="D158" s="74" t="s">
        <v>2</v>
      </c>
      <c r="E158" s="184">
        <v>46090.0</v>
      </c>
      <c r="F158" s="185">
        <f t="shared" si="1"/>
        <v>9</v>
      </c>
      <c r="G158" s="185">
        <f t="shared" si="2"/>
        <v>3</v>
      </c>
      <c r="H158" s="185">
        <f t="shared" si="3"/>
        <v>2026</v>
      </c>
      <c r="I158" s="186">
        <v>3.0</v>
      </c>
      <c r="J158" s="186">
        <v>2026.0</v>
      </c>
      <c r="K158" s="187"/>
      <c r="L158" s="187">
        <v>65.0</v>
      </c>
      <c r="M158" s="27">
        <v>1.0</v>
      </c>
      <c r="N158" s="187">
        <f t="shared" si="8"/>
        <v>65</v>
      </c>
      <c r="O158" s="58"/>
      <c r="P158" s="74"/>
      <c r="Q158" s="74" t="s">
        <v>444</v>
      </c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</row>
    <row r="159" ht="15.75" customHeight="1">
      <c r="A159" s="74" t="s">
        <v>22</v>
      </c>
      <c r="B159" s="27" t="s">
        <v>27</v>
      </c>
      <c r="C159" s="183"/>
      <c r="D159" s="74" t="s">
        <v>5</v>
      </c>
      <c r="E159" s="184">
        <v>46091.0</v>
      </c>
      <c r="F159" s="185">
        <f t="shared" si="1"/>
        <v>10</v>
      </c>
      <c r="G159" s="185">
        <f t="shared" si="2"/>
        <v>3</v>
      </c>
      <c r="H159" s="185">
        <f t="shared" si="3"/>
        <v>2026</v>
      </c>
      <c r="I159" s="186">
        <v>3.0</v>
      </c>
      <c r="J159" s="186">
        <v>2026.0</v>
      </c>
      <c r="K159" s="187"/>
      <c r="L159" s="187">
        <v>43.6</v>
      </c>
      <c r="M159" s="27">
        <v>1.0</v>
      </c>
      <c r="N159" s="187">
        <f t="shared" si="8"/>
        <v>43.6</v>
      </c>
      <c r="O159" s="58">
        <v>110.0</v>
      </c>
      <c r="P159" s="74" t="s">
        <v>16</v>
      </c>
      <c r="Q159" s="74" t="s">
        <v>445</v>
      </c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</row>
    <row r="160" ht="15.75" customHeight="1">
      <c r="A160" s="74" t="s">
        <v>334</v>
      </c>
      <c r="B160" s="27" t="s">
        <v>34</v>
      </c>
      <c r="C160" s="183"/>
      <c r="D160" s="74" t="s">
        <v>2</v>
      </c>
      <c r="E160" s="184">
        <v>46091.0</v>
      </c>
      <c r="F160" s="185">
        <f t="shared" si="1"/>
        <v>10</v>
      </c>
      <c r="G160" s="185">
        <f t="shared" si="2"/>
        <v>3</v>
      </c>
      <c r="H160" s="185">
        <f t="shared" si="3"/>
        <v>2026</v>
      </c>
      <c r="I160" s="186">
        <v>3.0</v>
      </c>
      <c r="J160" s="186">
        <v>2026.0</v>
      </c>
      <c r="K160" s="187"/>
      <c r="L160" s="187">
        <v>3.79</v>
      </c>
      <c r="M160" s="27">
        <v>1.0</v>
      </c>
      <c r="N160" s="187">
        <f t="shared" si="8"/>
        <v>3.79</v>
      </c>
      <c r="O160" s="58"/>
      <c r="P160" s="74"/>
      <c r="Q160" s="74" t="s">
        <v>446</v>
      </c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</row>
    <row r="161" ht="15.75" customHeight="1">
      <c r="A161" s="74" t="s">
        <v>334</v>
      </c>
      <c r="B161" s="27" t="s">
        <v>34</v>
      </c>
      <c r="C161" s="183"/>
      <c r="D161" s="74" t="s">
        <v>2</v>
      </c>
      <c r="E161" s="184">
        <v>46092.0</v>
      </c>
      <c r="F161" s="185">
        <f t="shared" si="1"/>
        <v>11</v>
      </c>
      <c r="G161" s="185">
        <f t="shared" si="2"/>
        <v>3</v>
      </c>
      <c r="H161" s="185">
        <f t="shared" si="3"/>
        <v>2026</v>
      </c>
      <c r="I161" s="186">
        <v>3.0</v>
      </c>
      <c r="J161" s="186">
        <v>2026.0</v>
      </c>
      <c r="K161" s="187"/>
      <c r="L161" s="187">
        <v>22.99</v>
      </c>
      <c r="M161" s="27">
        <v>1.0</v>
      </c>
      <c r="N161" s="187">
        <f t="shared" si="8"/>
        <v>22.99</v>
      </c>
      <c r="O161" s="58"/>
      <c r="P161" s="74"/>
      <c r="Q161" s="74" t="s">
        <v>447</v>
      </c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</row>
    <row r="162" ht="15.75" customHeight="1">
      <c r="A162" s="74" t="s">
        <v>334</v>
      </c>
      <c r="B162" s="27" t="s">
        <v>34</v>
      </c>
      <c r="C162" s="183"/>
      <c r="D162" s="74" t="s">
        <v>2</v>
      </c>
      <c r="E162" s="184">
        <v>46093.0</v>
      </c>
      <c r="F162" s="185">
        <f t="shared" si="1"/>
        <v>12</v>
      </c>
      <c r="G162" s="185">
        <f t="shared" si="2"/>
        <v>3</v>
      </c>
      <c r="H162" s="185">
        <f t="shared" si="3"/>
        <v>2026</v>
      </c>
      <c r="I162" s="186">
        <v>3.0</v>
      </c>
      <c r="J162" s="186">
        <v>2026.0</v>
      </c>
      <c r="K162" s="187"/>
      <c r="L162" s="187">
        <v>65.0</v>
      </c>
      <c r="M162" s="27">
        <v>1.0</v>
      </c>
      <c r="N162" s="187">
        <f t="shared" si="8"/>
        <v>65</v>
      </c>
      <c r="O162" s="58"/>
      <c r="P162" s="74"/>
      <c r="Q162" s="74" t="s">
        <v>448</v>
      </c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</row>
    <row r="163" ht="15.75" customHeight="1">
      <c r="A163" s="74" t="s">
        <v>160</v>
      </c>
      <c r="B163" s="27" t="s">
        <v>39</v>
      </c>
      <c r="C163" s="183"/>
      <c r="D163" s="74" t="s">
        <v>2</v>
      </c>
      <c r="E163" s="184">
        <v>46093.0</v>
      </c>
      <c r="F163" s="185">
        <f t="shared" si="1"/>
        <v>12</v>
      </c>
      <c r="G163" s="185">
        <f t="shared" si="2"/>
        <v>3</v>
      </c>
      <c r="H163" s="185">
        <f t="shared" si="3"/>
        <v>2026</v>
      </c>
      <c r="I163" s="186">
        <v>3.0</v>
      </c>
      <c r="J163" s="186">
        <v>2026.0</v>
      </c>
      <c r="K163" s="187"/>
      <c r="L163" s="187">
        <v>88.59</v>
      </c>
      <c r="M163" s="27">
        <v>1.0</v>
      </c>
      <c r="N163" s="187">
        <f t="shared" si="8"/>
        <v>88.59</v>
      </c>
      <c r="O163" s="58"/>
      <c r="P163" s="74"/>
      <c r="Q163" s="74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</row>
    <row r="164" ht="15.75" customHeight="1">
      <c r="A164" s="74" t="s">
        <v>334</v>
      </c>
      <c r="B164" s="27" t="s">
        <v>34</v>
      </c>
      <c r="C164" s="183"/>
      <c r="D164" s="74" t="s">
        <v>2</v>
      </c>
      <c r="E164" s="184">
        <v>46094.0</v>
      </c>
      <c r="F164" s="185">
        <f t="shared" si="1"/>
        <v>13</v>
      </c>
      <c r="G164" s="185">
        <f t="shared" si="2"/>
        <v>3</v>
      </c>
      <c r="H164" s="185">
        <f t="shared" si="3"/>
        <v>2026</v>
      </c>
      <c r="I164" s="186">
        <v>3.0</v>
      </c>
      <c r="J164" s="186">
        <v>2026.0</v>
      </c>
      <c r="K164" s="187"/>
      <c r="L164" s="187">
        <v>80.0</v>
      </c>
      <c r="M164" s="27">
        <v>1.0</v>
      </c>
      <c r="N164" s="187">
        <f t="shared" si="8"/>
        <v>80</v>
      </c>
      <c r="O164" s="58"/>
      <c r="P164" s="74"/>
      <c r="Q164" s="74" t="s">
        <v>450</v>
      </c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</row>
    <row r="165" ht="15.75" customHeight="1">
      <c r="A165" s="74" t="s">
        <v>22</v>
      </c>
      <c r="B165" s="27" t="s">
        <v>342</v>
      </c>
      <c r="C165" s="183"/>
      <c r="D165" s="74" t="s">
        <v>5</v>
      </c>
      <c r="E165" s="184">
        <v>46095.0</v>
      </c>
      <c r="F165" s="185">
        <f t="shared" si="1"/>
        <v>14</v>
      </c>
      <c r="G165" s="185">
        <f t="shared" si="2"/>
        <v>3</v>
      </c>
      <c r="H165" s="185">
        <f t="shared" si="3"/>
        <v>2026</v>
      </c>
      <c r="I165" s="186">
        <v>3.0</v>
      </c>
      <c r="J165" s="186">
        <v>2026.0</v>
      </c>
      <c r="K165" s="187"/>
      <c r="L165" s="187">
        <v>600.0</v>
      </c>
      <c r="M165" s="27">
        <v>1.0</v>
      </c>
      <c r="N165" s="187">
        <f t="shared" si="8"/>
        <v>600</v>
      </c>
      <c r="O165" s="58">
        <v>119.0</v>
      </c>
      <c r="P165" s="74" t="s">
        <v>18</v>
      </c>
      <c r="Q165" s="74" t="s">
        <v>438</v>
      </c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</row>
    <row r="166" ht="15.75" customHeight="1">
      <c r="A166" s="74" t="s">
        <v>22</v>
      </c>
      <c r="B166" s="27" t="s">
        <v>342</v>
      </c>
      <c r="C166" s="183"/>
      <c r="D166" s="74" t="s">
        <v>5</v>
      </c>
      <c r="E166" s="184">
        <v>46095.0</v>
      </c>
      <c r="F166" s="185">
        <f t="shared" si="1"/>
        <v>14</v>
      </c>
      <c r="G166" s="185">
        <f t="shared" si="2"/>
        <v>3</v>
      </c>
      <c r="H166" s="185">
        <f t="shared" si="3"/>
        <v>2026</v>
      </c>
      <c r="I166" s="186">
        <v>3.0</v>
      </c>
      <c r="J166" s="186">
        <v>2026.0</v>
      </c>
      <c r="K166" s="187"/>
      <c r="L166" s="187">
        <v>200.0</v>
      </c>
      <c r="M166" s="27">
        <v>1.0</v>
      </c>
      <c r="N166" s="187">
        <f t="shared" si="8"/>
        <v>200</v>
      </c>
      <c r="O166" s="58">
        <v>118.0</v>
      </c>
      <c r="P166" s="74" t="s">
        <v>18</v>
      </c>
      <c r="Q166" s="74" t="s">
        <v>358</v>
      </c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</row>
    <row r="167" ht="15.75" customHeight="1">
      <c r="A167" s="74" t="s">
        <v>22</v>
      </c>
      <c r="B167" s="27" t="s">
        <v>24</v>
      </c>
      <c r="C167" s="183"/>
      <c r="D167" s="74" t="s">
        <v>2</v>
      </c>
      <c r="E167" s="184">
        <v>46095.0</v>
      </c>
      <c r="F167" s="185">
        <f t="shared" si="1"/>
        <v>14</v>
      </c>
      <c r="G167" s="185">
        <f t="shared" si="2"/>
        <v>3</v>
      </c>
      <c r="H167" s="185">
        <f t="shared" si="3"/>
        <v>2026</v>
      </c>
      <c r="I167" s="186">
        <v>3.0</v>
      </c>
      <c r="J167" s="186">
        <v>2026.0</v>
      </c>
      <c r="K167" s="187"/>
      <c r="L167" s="187">
        <v>36.0</v>
      </c>
      <c r="M167" s="27">
        <v>1.0</v>
      </c>
      <c r="N167" s="187">
        <f t="shared" si="8"/>
        <v>36</v>
      </c>
      <c r="O167" s="58">
        <v>115.0</v>
      </c>
      <c r="P167" s="74"/>
      <c r="Q167" s="74" t="s">
        <v>451</v>
      </c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</row>
    <row r="168" ht="15.75" customHeight="1">
      <c r="A168" s="74" t="s">
        <v>22</v>
      </c>
      <c r="B168" s="27" t="s">
        <v>24</v>
      </c>
      <c r="C168" s="183"/>
      <c r="D168" s="74" t="s">
        <v>2</v>
      </c>
      <c r="E168" s="184">
        <v>46095.0</v>
      </c>
      <c r="F168" s="185">
        <f t="shared" si="1"/>
        <v>14</v>
      </c>
      <c r="G168" s="185">
        <f t="shared" si="2"/>
        <v>3</v>
      </c>
      <c r="H168" s="185">
        <f t="shared" si="3"/>
        <v>2026</v>
      </c>
      <c r="I168" s="186">
        <v>3.0</v>
      </c>
      <c r="J168" s="186">
        <v>2026.0</v>
      </c>
      <c r="K168" s="187"/>
      <c r="L168" s="187">
        <v>24.3</v>
      </c>
      <c r="M168" s="27">
        <v>1.0</v>
      </c>
      <c r="N168" s="187">
        <f t="shared" si="8"/>
        <v>24.3</v>
      </c>
      <c r="O168" s="58">
        <v>120.0</v>
      </c>
      <c r="P168" s="74"/>
      <c r="Q168" s="74" t="s">
        <v>452</v>
      </c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</row>
    <row r="169" ht="15.75" customHeight="1">
      <c r="A169" s="74" t="s">
        <v>22</v>
      </c>
      <c r="B169" s="27" t="s">
        <v>27</v>
      </c>
      <c r="C169" s="183"/>
      <c r="D169" s="74" t="s">
        <v>2</v>
      </c>
      <c r="E169" s="184">
        <v>46095.0</v>
      </c>
      <c r="F169" s="185">
        <f t="shared" si="1"/>
        <v>14</v>
      </c>
      <c r="G169" s="185">
        <f t="shared" si="2"/>
        <v>3</v>
      </c>
      <c r="H169" s="185">
        <f t="shared" si="3"/>
        <v>2026</v>
      </c>
      <c r="I169" s="186">
        <v>3.0</v>
      </c>
      <c r="J169" s="186">
        <v>2026.0</v>
      </c>
      <c r="K169" s="187"/>
      <c r="L169" s="187">
        <v>21.55</v>
      </c>
      <c r="M169" s="27">
        <v>1.0</v>
      </c>
      <c r="N169" s="187">
        <f t="shared" si="8"/>
        <v>21.55</v>
      </c>
      <c r="O169" s="58">
        <v>116.0</v>
      </c>
      <c r="P169" s="74"/>
      <c r="Q169" s="74" t="s">
        <v>453</v>
      </c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</row>
    <row r="170" ht="15.75" customHeight="1">
      <c r="A170" s="74" t="s">
        <v>22</v>
      </c>
      <c r="B170" s="27" t="s">
        <v>24</v>
      </c>
      <c r="C170" s="183"/>
      <c r="D170" s="74" t="s">
        <v>5</v>
      </c>
      <c r="E170" s="184">
        <v>46095.0</v>
      </c>
      <c r="F170" s="185">
        <f t="shared" si="1"/>
        <v>14</v>
      </c>
      <c r="G170" s="185">
        <f t="shared" si="2"/>
        <v>3</v>
      </c>
      <c r="H170" s="185">
        <f t="shared" si="3"/>
        <v>2026</v>
      </c>
      <c r="I170" s="186">
        <v>3.0</v>
      </c>
      <c r="J170" s="186">
        <v>2026.0</v>
      </c>
      <c r="K170" s="187"/>
      <c r="L170" s="187">
        <v>20.0</v>
      </c>
      <c r="M170" s="27">
        <v>1.0</v>
      </c>
      <c r="N170" s="187">
        <f t="shared" si="8"/>
        <v>20</v>
      </c>
      <c r="O170" s="58">
        <v>117.0</v>
      </c>
      <c r="P170" s="74" t="s">
        <v>16</v>
      </c>
      <c r="Q170" s="74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</row>
    <row r="171" ht="15.75" customHeight="1">
      <c r="A171" s="74" t="s">
        <v>22</v>
      </c>
      <c r="B171" s="27" t="s">
        <v>24</v>
      </c>
      <c r="C171" s="183"/>
      <c r="D171" s="74" t="s">
        <v>5</v>
      </c>
      <c r="E171" s="184">
        <v>46095.0</v>
      </c>
      <c r="F171" s="185">
        <f t="shared" si="1"/>
        <v>14</v>
      </c>
      <c r="G171" s="185">
        <f t="shared" si="2"/>
        <v>3</v>
      </c>
      <c r="H171" s="185">
        <f t="shared" si="3"/>
        <v>2026</v>
      </c>
      <c r="I171" s="186">
        <v>3.0</v>
      </c>
      <c r="J171" s="186">
        <v>2026.0</v>
      </c>
      <c r="K171" s="187"/>
      <c r="L171" s="187">
        <v>10.0</v>
      </c>
      <c r="M171" s="27">
        <v>1.0</v>
      </c>
      <c r="N171" s="187">
        <f t="shared" si="8"/>
        <v>10</v>
      </c>
      <c r="O171" s="58">
        <v>98.0</v>
      </c>
      <c r="P171" s="74" t="s">
        <v>17</v>
      </c>
      <c r="Q171" s="74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</row>
    <row r="172" ht="15.75" customHeight="1">
      <c r="A172" s="74" t="s">
        <v>334</v>
      </c>
      <c r="B172" s="27" t="s">
        <v>34</v>
      </c>
      <c r="C172" s="183"/>
      <c r="D172" s="74" t="s">
        <v>2</v>
      </c>
      <c r="E172" s="184">
        <v>46095.0</v>
      </c>
      <c r="F172" s="185">
        <f t="shared" si="1"/>
        <v>14</v>
      </c>
      <c r="G172" s="185">
        <f t="shared" si="2"/>
        <v>3</v>
      </c>
      <c r="H172" s="185">
        <f t="shared" si="3"/>
        <v>2026</v>
      </c>
      <c r="I172" s="186">
        <v>3.0</v>
      </c>
      <c r="J172" s="186">
        <v>2026.0</v>
      </c>
      <c r="K172" s="187"/>
      <c r="L172" s="187">
        <v>31.24</v>
      </c>
      <c r="M172" s="27">
        <v>1.0</v>
      </c>
      <c r="N172" s="187">
        <f t="shared" si="8"/>
        <v>31.24</v>
      </c>
      <c r="O172" s="58"/>
      <c r="P172" s="74"/>
      <c r="Q172" s="74" t="s">
        <v>454</v>
      </c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</row>
    <row r="173" ht="15.75" customHeight="1">
      <c r="A173" s="74" t="s">
        <v>334</v>
      </c>
      <c r="B173" s="27" t="s">
        <v>34</v>
      </c>
      <c r="C173" s="183"/>
      <c r="D173" s="74" t="s">
        <v>2</v>
      </c>
      <c r="E173" s="184">
        <v>46095.0</v>
      </c>
      <c r="F173" s="185">
        <f t="shared" si="1"/>
        <v>14</v>
      </c>
      <c r="G173" s="185">
        <f t="shared" si="2"/>
        <v>3</v>
      </c>
      <c r="H173" s="185">
        <f t="shared" si="3"/>
        <v>2026</v>
      </c>
      <c r="I173" s="186">
        <v>3.0</v>
      </c>
      <c r="J173" s="186">
        <v>2026.0</v>
      </c>
      <c r="K173" s="187"/>
      <c r="L173" s="187">
        <v>15.8</v>
      </c>
      <c r="M173" s="27">
        <v>1.0</v>
      </c>
      <c r="N173" s="187">
        <f t="shared" si="8"/>
        <v>15.8</v>
      </c>
      <c r="O173" s="58"/>
      <c r="P173" s="74"/>
      <c r="Q173" s="74" t="s">
        <v>456</v>
      </c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</row>
    <row r="174" ht="15.75" customHeight="1">
      <c r="A174" s="74" t="s">
        <v>167</v>
      </c>
      <c r="B174" s="27" t="s">
        <v>40</v>
      </c>
      <c r="C174" s="183"/>
      <c r="D174" s="74" t="s">
        <v>2</v>
      </c>
      <c r="E174" s="184">
        <v>46097.0</v>
      </c>
      <c r="F174" s="185">
        <f t="shared" si="1"/>
        <v>16</v>
      </c>
      <c r="G174" s="185">
        <f t="shared" si="2"/>
        <v>3</v>
      </c>
      <c r="H174" s="185">
        <f t="shared" si="3"/>
        <v>2026</v>
      </c>
      <c r="I174" s="186">
        <v>2.0</v>
      </c>
      <c r="J174" s="186">
        <v>2026.0</v>
      </c>
      <c r="K174" s="187"/>
      <c r="L174" s="187">
        <v>219.01</v>
      </c>
      <c r="M174" s="27">
        <v>1.0</v>
      </c>
      <c r="N174" s="187">
        <f t="shared" si="8"/>
        <v>219.01</v>
      </c>
      <c r="O174" s="58"/>
      <c r="P174" s="74"/>
      <c r="Q174" s="74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</row>
    <row r="175" ht="15.75" customHeight="1">
      <c r="A175" s="74" t="s">
        <v>22</v>
      </c>
      <c r="B175" s="27" t="s">
        <v>27</v>
      </c>
      <c r="C175" s="183"/>
      <c r="D175" s="74" t="s">
        <v>2</v>
      </c>
      <c r="E175" s="184">
        <v>46097.0</v>
      </c>
      <c r="F175" s="185">
        <f t="shared" si="1"/>
        <v>16</v>
      </c>
      <c r="G175" s="185">
        <f t="shared" si="2"/>
        <v>3</v>
      </c>
      <c r="H175" s="185">
        <f t="shared" si="3"/>
        <v>2026</v>
      </c>
      <c r="I175" s="186">
        <v>3.0</v>
      </c>
      <c r="J175" s="186">
        <v>2026.0</v>
      </c>
      <c r="K175" s="187"/>
      <c r="L175" s="187">
        <v>92.96</v>
      </c>
      <c r="M175" s="27">
        <v>1.0</v>
      </c>
      <c r="N175" s="187">
        <f t="shared" si="8"/>
        <v>92.96</v>
      </c>
      <c r="O175" s="58">
        <v>133.0</v>
      </c>
      <c r="P175" s="74"/>
      <c r="Q175" s="74" t="s">
        <v>457</v>
      </c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</row>
    <row r="176" ht="15.75" customHeight="1">
      <c r="A176" s="74" t="s">
        <v>22</v>
      </c>
      <c r="B176" s="27" t="s">
        <v>27</v>
      </c>
      <c r="C176" s="183"/>
      <c r="D176" s="74" t="s">
        <v>2</v>
      </c>
      <c r="E176" s="184">
        <v>46097.0</v>
      </c>
      <c r="F176" s="185">
        <f t="shared" si="1"/>
        <v>16</v>
      </c>
      <c r="G176" s="185">
        <f t="shared" si="2"/>
        <v>3</v>
      </c>
      <c r="H176" s="185">
        <f t="shared" si="3"/>
        <v>2026</v>
      </c>
      <c r="I176" s="186">
        <v>3.0</v>
      </c>
      <c r="J176" s="186">
        <v>2026.0</v>
      </c>
      <c r="K176" s="187"/>
      <c r="L176" s="187">
        <v>6.47</v>
      </c>
      <c r="M176" s="27">
        <v>1.0</v>
      </c>
      <c r="N176" s="187">
        <f t="shared" si="8"/>
        <v>6.47</v>
      </c>
      <c r="O176" s="58">
        <v>130.0</v>
      </c>
      <c r="P176" s="74"/>
      <c r="Q176" s="74" t="s">
        <v>458</v>
      </c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</row>
    <row r="177" ht="15.75" customHeight="1">
      <c r="A177" s="74" t="s">
        <v>334</v>
      </c>
      <c r="B177" s="27" t="s">
        <v>34</v>
      </c>
      <c r="C177" s="183"/>
      <c r="D177" s="74" t="s">
        <v>2</v>
      </c>
      <c r="E177" s="184">
        <v>46097.0</v>
      </c>
      <c r="F177" s="185">
        <f t="shared" si="1"/>
        <v>16</v>
      </c>
      <c r="G177" s="185">
        <f t="shared" si="2"/>
        <v>3</v>
      </c>
      <c r="H177" s="185">
        <f t="shared" si="3"/>
        <v>2026</v>
      </c>
      <c r="I177" s="186">
        <v>3.0</v>
      </c>
      <c r="J177" s="186">
        <v>2026.0</v>
      </c>
      <c r="K177" s="187"/>
      <c r="L177" s="187">
        <v>31.71</v>
      </c>
      <c r="M177" s="27">
        <v>1.0</v>
      </c>
      <c r="N177" s="187">
        <f t="shared" si="8"/>
        <v>31.71</v>
      </c>
      <c r="O177" s="58"/>
      <c r="P177" s="74"/>
      <c r="Q177" s="74" t="s">
        <v>459</v>
      </c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</row>
    <row r="178" ht="15.75" customHeight="1">
      <c r="A178" s="74" t="s">
        <v>164</v>
      </c>
      <c r="B178" s="27" t="s">
        <v>48</v>
      </c>
      <c r="C178" s="183"/>
      <c r="D178" s="74" t="s">
        <v>2</v>
      </c>
      <c r="E178" s="184">
        <v>46097.0</v>
      </c>
      <c r="F178" s="185">
        <f t="shared" si="1"/>
        <v>16</v>
      </c>
      <c r="G178" s="185">
        <f t="shared" si="2"/>
        <v>3</v>
      </c>
      <c r="H178" s="185">
        <f t="shared" si="3"/>
        <v>2026</v>
      </c>
      <c r="I178" s="186">
        <v>3.0</v>
      </c>
      <c r="J178" s="186">
        <v>2026.0</v>
      </c>
      <c r="K178" s="187"/>
      <c r="L178" s="187">
        <v>56.0</v>
      </c>
      <c r="M178" s="27">
        <v>1.0</v>
      </c>
      <c r="N178" s="187">
        <f t="shared" si="8"/>
        <v>56</v>
      </c>
      <c r="O178" s="58"/>
      <c r="P178" s="74"/>
      <c r="Q178" s="74" t="s">
        <v>460</v>
      </c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</row>
    <row r="179" ht="15.75" customHeight="1">
      <c r="A179" s="74" t="s">
        <v>334</v>
      </c>
      <c r="B179" s="27" t="s">
        <v>34</v>
      </c>
      <c r="C179" s="183"/>
      <c r="D179" s="74" t="s">
        <v>2</v>
      </c>
      <c r="E179" s="184">
        <v>46097.0</v>
      </c>
      <c r="F179" s="185">
        <f t="shared" si="1"/>
        <v>16</v>
      </c>
      <c r="G179" s="185">
        <f t="shared" si="2"/>
        <v>3</v>
      </c>
      <c r="H179" s="185">
        <f t="shared" si="3"/>
        <v>2026</v>
      </c>
      <c r="I179" s="186">
        <v>3.0</v>
      </c>
      <c r="J179" s="186">
        <v>2026.0</v>
      </c>
      <c r="K179" s="187"/>
      <c r="L179" s="187">
        <v>20.1</v>
      </c>
      <c r="M179" s="27">
        <v>1.0</v>
      </c>
      <c r="N179" s="187">
        <f t="shared" si="8"/>
        <v>20.1</v>
      </c>
      <c r="O179" s="58"/>
      <c r="P179" s="74"/>
      <c r="Q179" s="74" t="s">
        <v>461</v>
      </c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</row>
    <row r="180" ht="15.75" customHeight="1">
      <c r="A180" s="74" t="s">
        <v>334</v>
      </c>
      <c r="B180" s="27" t="s">
        <v>34</v>
      </c>
      <c r="C180" s="183"/>
      <c r="D180" s="74" t="s">
        <v>2</v>
      </c>
      <c r="E180" s="184">
        <v>46097.0</v>
      </c>
      <c r="F180" s="185">
        <f t="shared" si="1"/>
        <v>16</v>
      </c>
      <c r="G180" s="185">
        <f t="shared" si="2"/>
        <v>3</v>
      </c>
      <c r="H180" s="185">
        <f t="shared" si="3"/>
        <v>2026</v>
      </c>
      <c r="I180" s="186">
        <v>3.0</v>
      </c>
      <c r="J180" s="186">
        <v>2026.0</v>
      </c>
      <c r="K180" s="187"/>
      <c r="L180" s="187">
        <v>17.0</v>
      </c>
      <c r="M180" s="27">
        <v>1.0</v>
      </c>
      <c r="N180" s="187">
        <f t="shared" si="8"/>
        <v>17</v>
      </c>
      <c r="O180" s="58"/>
      <c r="P180" s="74"/>
      <c r="Q180" s="74" t="s">
        <v>462</v>
      </c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</row>
    <row r="181" ht="15.75" customHeight="1">
      <c r="A181" s="74" t="s">
        <v>177</v>
      </c>
      <c r="B181" s="27" t="s">
        <v>47</v>
      </c>
      <c r="C181" s="183"/>
      <c r="D181" s="74" t="s">
        <v>2</v>
      </c>
      <c r="E181" s="184">
        <v>46097.0</v>
      </c>
      <c r="F181" s="185">
        <f t="shared" si="1"/>
        <v>16</v>
      </c>
      <c r="G181" s="185">
        <f t="shared" si="2"/>
        <v>3</v>
      </c>
      <c r="H181" s="185">
        <f t="shared" si="3"/>
        <v>2026</v>
      </c>
      <c r="I181" s="186">
        <v>3.0</v>
      </c>
      <c r="J181" s="186">
        <v>2026.0</v>
      </c>
      <c r="K181" s="187"/>
      <c r="L181" s="187">
        <v>4.94</v>
      </c>
      <c r="M181" s="27">
        <v>1.0</v>
      </c>
      <c r="N181" s="187">
        <f t="shared" si="8"/>
        <v>4.94</v>
      </c>
      <c r="O181" s="58"/>
      <c r="P181" s="74"/>
      <c r="Q181" s="74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</row>
    <row r="182" ht="15.75" customHeight="1">
      <c r="A182" s="74" t="s">
        <v>177</v>
      </c>
      <c r="B182" s="27" t="s">
        <v>47</v>
      </c>
      <c r="C182" s="183"/>
      <c r="D182" s="74" t="s">
        <v>2</v>
      </c>
      <c r="E182" s="184">
        <v>46097.0</v>
      </c>
      <c r="F182" s="185">
        <f t="shared" si="1"/>
        <v>16</v>
      </c>
      <c r="G182" s="185">
        <f t="shared" si="2"/>
        <v>3</v>
      </c>
      <c r="H182" s="185">
        <f t="shared" si="3"/>
        <v>2026</v>
      </c>
      <c r="I182" s="186">
        <v>3.0</v>
      </c>
      <c r="J182" s="186">
        <v>2026.0</v>
      </c>
      <c r="K182" s="187"/>
      <c r="L182" s="187">
        <v>3.95</v>
      </c>
      <c r="M182" s="27">
        <v>1.0</v>
      </c>
      <c r="N182" s="187">
        <f t="shared" si="8"/>
        <v>3.95</v>
      </c>
      <c r="O182" s="58"/>
      <c r="P182" s="74"/>
      <c r="Q182" s="74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</row>
    <row r="183" ht="15.75" customHeight="1">
      <c r="A183" s="74" t="s">
        <v>177</v>
      </c>
      <c r="B183" s="27" t="s">
        <v>47</v>
      </c>
      <c r="C183" s="183"/>
      <c r="D183" s="74" t="s">
        <v>2</v>
      </c>
      <c r="E183" s="184">
        <v>46097.0</v>
      </c>
      <c r="F183" s="185">
        <f t="shared" si="1"/>
        <v>16</v>
      </c>
      <c r="G183" s="185">
        <f t="shared" si="2"/>
        <v>3</v>
      </c>
      <c r="H183" s="185">
        <f t="shared" si="3"/>
        <v>2026</v>
      </c>
      <c r="I183" s="186">
        <v>3.0</v>
      </c>
      <c r="J183" s="186">
        <v>2026.0</v>
      </c>
      <c r="K183" s="187"/>
      <c r="L183" s="187">
        <v>3.93</v>
      </c>
      <c r="M183" s="27">
        <v>1.0</v>
      </c>
      <c r="N183" s="187">
        <f t="shared" si="8"/>
        <v>3.93</v>
      </c>
      <c r="O183" s="58"/>
      <c r="P183" s="74"/>
      <c r="Q183" s="74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</row>
    <row r="184" ht="15.75" customHeight="1">
      <c r="A184" s="74" t="s">
        <v>22</v>
      </c>
      <c r="B184" s="27" t="s">
        <v>27</v>
      </c>
      <c r="C184" s="183"/>
      <c r="D184" s="74" t="s">
        <v>2</v>
      </c>
      <c r="E184" s="184">
        <v>46098.0</v>
      </c>
      <c r="F184" s="185">
        <f t="shared" si="1"/>
        <v>17</v>
      </c>
      <c r="G184" s="185">
        <f t="shared" si="2"/>
        <v>3</v>
      </c>
      <c r="H184" s="185">
        <f t="shared" si="3"/>
        <v>2026</v>
      </c>
      <c r="I184" s="186">
        <v>3.0</v>
      </c>
      <c r="J184" s="186">
        <v>2026.0</v>
      </c>
      <c r="K184" s="187"/>
      <c r="L184" s="187">
        <v>127.4</v>
      </c>
      <c r="M184" s="27">
        <v>1.0</v>
      </c>
      <c r="N184" s="187">
        <f t="shared" si="8"/>
        <v>127.4</v>
      </c>
      <c r="O184" s="58">
        <v>131.0</v>
      </c>
      <c r="P184" s="74"/>
      <c r="Q184" s="74" t="s">
        <v>464</v>
      </c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</row>
    <row r="185" ht="15.75" customHeight="1">
      <c r="A185" s="74" t="s">
        <v>334</v>
      </c>
      <c r="B185" s="27" t="s">
        <v>34</v>
      </c>
      <c r="C185" s="183"/>
      <c r="D185" s="74" t="s">
        <v>2</v>
      </c>
      <c r="E185" s="184">
        <v>46098.0</v>
      </c>
      <c r="F185" s="185">
        <f t="shared" si="1"/>
        <v>17</v>
      </c>
      <c r="G185" s="185">
        <f t="shared" si="2"/>
        <v>3</v>
      </c>
      <c r="H185" s="185">
        <f t="shared" si="3"/>
        <v>2026</v>
      </c>
      <c r="I185" s="186">
        <v>3.0</v>
      </c>
      <c r="J185" s="186">
        <v>2026.0</v>
      </c>
      <c r="K185" s="187"/>
      <c r="L185" s="187">
        <v>5.0</v>
      </c>
      <c r="M185" s="27">
        <v>1.0</v>
      </c>
      <c r="N185" s="187">
        <f t="shared" si="8"/>
        <v>5</v>
      </c>
      <c r="O185" s="58"/>
      <c r="P185" s="74"/>
      <c r="Q185" s="74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</row>
    <row r="186" ht="15.75" customHeight="1">
      <c r="A186" s="74" t="s">
        <v>22</v>
      </c>
      <c r="B186" s="27" t="s">
        <v>27</v>
      </c>
      <c r="C186" s="183"/>
      <c r="D186" s="74" t="s">
        <v>5</v>
      </c>
      <c r="E186" s="184">
        <v>46099.0</v>
      </c>
      <c r="F186" s="185">
        <f t="shared" si="1"/>
        <v>18</v>
      </c>
      <c r="G186" s="185">
        <f t="shared" si="2"/>
        <v>3</v>
      </c>
      <c r="H186" s="185">
        <f t="shared" si="3"/>
        <v>2026</v>
      </c>
      <c r="I186" s="186">
        <v>3.0</v>
      </c>
      <c r="J186" s="186">
        <v>2026.0</v>
      </c>
      <c r="K186" s="187"/>
      <c r="L186" s="187">
        <v>70.0</v>
      </c>
      <c r="M186" s="27">
        <v>1.0</v>
      </c>
      <c r="N186" s="187">
        <f t="shared" si="8"/>
        <v>70</v>
      </c>
      <c r="O186" s="58">
        <v>127.0</v>
      </c>
      <c r="P186" s="74" t="s">
        <v>17</v>
      </c>
      <c r="Q186" s="74" t="s">
        <v>465</v>
      </c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</row>
    <row r="187" ht="15.75" customHeight="1">
      <c r="A187" s="74" t="s">
        <v>334</v>
      </c>
      <c r="B187" s="27" t="s">
        <v>34</v>
      </c>
      <c r="C187" s="183"/>
      <c r="D187" s="74" t="s">
        <v>2</v>
      </c>
      <c r="E187" s="184">
        <v>46099.0</v>
      </c>
      <c r="F187" s="185">
        <f t="shared" si="1"/>
        <v>18</v>
      </c>
      <c r="G187" s="185">
        <f t="shared" si="2"/>
        <v>3</v>
      </c>
      <c r="H187" s="185">
        <f t="shared" si="3"/>
        <v>2026</v>
      </c>
      <c r="I187" s="186">
        <v>3.0</v>
      </c>
      <c r="J187" s="186">
        <v>2026.0</v>
      </c>
      <c r="K187" s="187"/>
      <c r="L187" s="187">
        <v>8.74</v>
      </c>
      <c r="M187" s="27">
        <v>1.0</v>
      </c>
      <c r="N187" s="187">
        <f t="shared" si="8"/>
        <v>8.74</v>
      </c>
      <c r="O187" s="58"/>
      <c r="P187" s="74"/>
      <c r="Q187" s="74" t="s">
        <v>446</v>
      </c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</row>
    <row r="188" ht="15.75" customHeight="1">
      <c r="A188" s="74" t="s">
        <v>334</v>
      </c>
      <c r="B188" s="27" t="s">
        <v>34</v>
      </c>
      <c r="C188" s="183"/>
      <c r="D188" s="74" t="s">
        <v>2</v>
      </c>
      <c r="E188" s="184">
        <v>46099.0</v>
      </c>
      <c r="F188" s="185">
        <f t="shared" si="1"/>
        <v>18</v>
      </c>
      <c r="G188" s="185">
        <f t="shared" si="2"/>
        <v>3</v>
      </c>
      <c r="H188" s="185">
        <f t="shared" si="3"/>
        <v>2026</v>
      </c>
      <c r="I188" s="186">
        <v>3.0</v>
      </c>
      <c r="J188" s="186">
        <v>2026.0</v>
      </c>
      <c r="K188" s="187"/>
      <c r="L188" s="187">
        <v>4.5</v>
      </c>
      <c r="M188" s="27">
        <v>1.0</v>
      </c>
      <c r="N188" s="187">
        <f t="shared" si="8"/>
        <v>4.5</v>
      </c>
      <c r="O188" s="58"/>
      <c r="P188" s="74"/>
      <c r="Q188" s="74" t="s">
        <v>466</v>
      </c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</row>
    <row r="189" ht="15.75" customHeight="1">
      <c r="A189" s="74" t="s">
        <v>334</v>
      </c>
      <c r="B189" s="27" t="s">
        <v>34</v>
      </c>
      <c r="C189" s="183"/>
      <c r="D189" s="74" t="s">
        <v>2</v>
      </c>
      <c r="E189" s="184">
        <v>46099.0</v>
      </c>
      <c r="F189" s="185">
        <f t="shared" si="1"/>
        <v>18</v>
      </c>
      <c r="G189" s="185">
        <f t="shared" si="2"/>
        <v>3</v>
      </c>
      <c r="H189" s="185">
        <f t="shared" si="3"/>
        <v>2026</v>
      </c>
      <c r="I189" s="186">
        <v>3.0</v>
      </c>
      <c r="J189" s="186">
        <v>2026.0</v>
      </c>
      <c r="K189" s="187"/>
      <c r="L189" s="187">
        <v>3.0</v>
      </c>
      <c r="M189" s="27">
        <v>1.0</v>
      </c>
      <c r="N189" s="187">
        <f t="shared" si="8"/>
        <v>3</v>
      </c>
      <c r="O189" s="58"/>
      <c r="P189" s="74"/>
      <c r="Q189" s="74" t="s">
        <v>466</v>
      </c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</row>
    <row r="190" ht="15.75" customHeight="1">
      <c r="A190" s="74" t="s">
        <v>334</v>
      </c>
      <c r="B190" s="27" t="s">
        <v>34</v>
      </c>
      <c r="C190" s="183"/>
      <c r="D190" s="74" t="s">
        <v>2</v>
      </c>
      <c r="E190" s="184">
        <v>46099.0</v>
      </c>
      <c r="F190" s="185">
        <f t="shared" si="1"/>
        <v>18</v>
      </c>
      <c r="G190" s="185">
        <f t="shared" si="2"/>
        <v>3</v>
      </c>
      <c r="H190" s="185">
        <f t="shared" si="3"/>
        <v>2026</v>
      </c>
      <c r="I190" s="186">
        <v>3.0</v>
      </c>
      <c r="J190" s="186">
        <v>2026.0</v>
      </c>
      <c r="K190" s="187"/>
      <c r="L190" s="187">
        <v>3.0</v>
      </c>
      <c r="M190" s="27">
        <v>1.0</v>
      </c>
      <c r="N190" s="187">
        <f t="shared" si="8"/>
        <v>3</v>
      </c>
      <c r="O190" s="58"/>
      <c r="P190" s="74"/>
      <c r="Q190" s="74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</row>
    <row r="191" ht="15.75" customHeight="1">
      <c r="A191" s="74" t="s">
        <v>334</v>
      </c>
      <c r="B191" s="27" t="s">
        <v>34</v>
      </c>
      <c r="C191" s="183"/>
      <c r="D191" s="74" t="s">
        <v>2</v>
      </c>
      <c r="E191" s="184">
        <v>46099.0</v>
      </c>
      <c r="F191" s="185">
        <f t="shared" si="1"/>
        <v>18</v>
      </c>
      <c r="G191" s="185">
        <f t="shared" si="2"/>
        <v>3</v>
      </c>
      <c r="H191" s="185">
        <f t="shared" si="3"/>
        <v>2026</v>
      </c>
      <c r="I191" s="186">
        <v>3.0</v>
      </c>
      <c r="J191" s="186">
        <v>2026.0</v>
      </c>
      <c r="K191" s="187"/>
      <c r="L191" s="187">
        <v>1.14</v>
      </c>
      <c r="M191" s="27">
        <v>1.0</v>
      </c>
      <c r="N191" s="187">
        <f t="shared" si="8"/>
        <v>1.14</v>
      </c>
      <c r="O191" s="58"/>
      <c r="P191" s="74"/>
      <c r="Q191" s="74" t="s">
        <v>446</v>
      </c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</row>
    <row r="192" ht="15.75" customHeight="1">
      <c r="A192" s="74" t="s">
        <v>334</v>
      </c>
      <c r="B192" s="27" t="s">
        <v>34</v>
      </c>
      <c r="C192" s="183"/>
      <c r="D192" s="74" t="s">
        <v>2</v>
      </c>
      <c r="E192" s="184">
        <v>46100.0</v>
      </c>
      <c r="F192" s="185">
        <f t="shared" si="1"/>
        <v>19</v>
      </c>
      <c r="G192" s="185">
        <f t="shared" si="2"/>
        <v>3</v>
      </c>
      <c r="H192" s="185">
        <f t="shared" si="3"/>
        <v>2026</v>
      </c>
      <c r="I192" s="186">
        <v>3.0</v>
      </c>
      <c r="J192" s="186">
        <v>2026.0</v>
      </c>
      <c r="K192" s="187"/>
      <c r="L192" s="187">
        <v>29.9</v>
      </c>
      <c r="M192" s="27">
        <v>1.0</v>
      </c>
      <c r="N192" s="187">
        <f t="shared" si="8"/>
        <v>29.9</v>
      </c>
      <c r="O192" s="58"/>
      <c r="P192" s="74"/>
      <c r="Q192" s="74" t="s">
        <v>467</v>
      </c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 ht="15.75" customHeight="1">
      <c r="A193" s="74" t="s">
        <v>177</v>
      </c>
      <c r="B193" s="27" t="s">
        <v>47</v>
      </c>
      <c r="C193" s="183"/>
      <c r="D193" s="74" t="s">
        <v>2</v>
      </c>
      <c r="E193" s="184">
        <v>46100.0</v>
      </c>
      <c r="F193" s="185">
        <f t="shared" si="1"/>
        <v>19</v>
      </c>
      <c r="G193" s="185">
        <f t="shared" si="2"/>
        <v>3</v>
      </c>
      <c r="H193" s="185">
        <f t="shared" si="3"/>
        <v>2026</v>
      </c>
      <c r="I193" s="186">
        <v>3.0</v>
      </c>
      <c r="J193" s="186">
        <v>2026.0</v>
      </c>
      <c r="K193" s="187"/>
      <c r="L193" s="187">
        <v>9.95</v>
      </c>
      <c r="M193" s="27">
        <v>1.0</v>
      </c>
      <c r="N193" s="187">
        <f t="shared" si="8"/>
        <v>9.95</v>
      </c>
      <c r="O193" s="58"/>
      <c r="P193" s="74"/>
      <c r="Q193" s="74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</row>
    <row r="194" ht="15.75" customHeight="1">
      <c r="A194" s="74" t="s">
        <v>334</v>
      </c>
      <c r="B194" s="27" t="s">
        <v>34</v>
      </c>
      <c r="C194" s="183"/>
      <c r="D194" s="74" t="s">
        <v>2</v>
      </c>
      <c r="E194" s="184">
        <v>46100.0</v>
      </c>
      <c r="F194" s="185">
        <f t="shared" si="1"/>
        <v>19</v>
      </c>
      <c r="G194" s="185">
        <f t="shared" si="2"/>
        <v>3</v>
      </c>
      <c r="H194" s="185">
        <f t="shared" si="3"/>
        <v>2026</v>
      </c>
      <c r="I194" s="186">
        <v>3.0</v>
      </c>
      <c r="J194" s="186">
        <v>2026.0</v>
      </c>
      <c r="K194" s="187"/>
      <c r="L194" s="187">
        <v>5.25</v>
      </c>
      <c r="M194" s="27">
        <v>1.0</v>
      </c>
      <c r="N194" s="187">
        <f t="shared" si="8"/>
        <v>5.25</v>
      </c>
      <c r="O194" s="58"/>
      <c r="P194" s="74"/>
      <c r="Q194" s="74" t="s">
        <v>468</v>
      </c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</row>
    <row r="195" ht="15.75" customHeight="1">
      <c r="A195" s="74" t="s">
        <v>334</v>
      </c>
      <c r="B195" s="27" t="s">
        <v>34</v>
      </c>
      <c r="C195" s="183"/>
      <c r="D195" s="74" t="s">
        <v>2</v>
      </c>
      <c r="E195" s="184">
        <v>46100.0</v>
      </c>
      <c r="F195" s="185">
        <f t="shared" si="1"/>
        <v>19</v>
      </c>
      <c r="G195" s="185">
        <f t="shared" si="2"/>
        <v>3</v>
      </c>
      <c r="H195" s="185">
        <f t="shared" si="3"/>
        <v>2026</v>
      </c>
      <c r="I195" s="186">
        <v>3.0</v>
      </c>
      <c r="J195" s="186">
        <v>2026.0</v>
      </c>
      <c r="K195" s="187"/>
      <c r="L195" s="187">
        <v>2.2</v>
      </c>
      <c r="M195" s="27">
        <v>1.0</v>
      </c>
      <c r="N195" s="187">
        <f t="shared" si="8"/>
        <v>2.2</v>
      </c>
      <c r="O195" s="58"/>
      <c r="P195" s="74"/>
      <c r="Q195" s="74" t="s">
        <v>470</v>
      </c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 ht="15.75" customHeight="1">
      <c r="A196" s="74" t="s">
        <v>334</v>
      </c>
      <c r="B196" s="27" t="s">
        <v>34</v>
      </c>
      <c r="C196" s="183"/>
      <c r="D196" s="74" t="s">
        <v>2</v>
      </c>
      <c r="E196" s="184">
        <v>46101.0</v>
      </c>
      <c r="F196" s="185">
        <f t="shared" si="1"/>
        <v>20</v>
      </c>
      <c r="G196" s="185">
        <f t="shared" si="2"/>
        <v>3</v>
      </c>
      <c r="H196" s="185">
        <f t="shared" si="3"/>
        <v>2026</v>
      </c>
      <c r="I196" s="186">
        <v>3.0</v>
      </c>
      <c r="J196" s="186">
        <v>2026.0</v>
      </c>
      <c r="K196" s="187"/>
      <c r="L196" s="187">
        <v>14.95</v>
      </c>
      <c r="M196" s="27">
        <v>1.0</v>
      </c>
      <c r="N196" s="187">
        <f t="shared" si="8"/>
        <v>14.95</v>
      </c>
      <c r="O196" s="58"/>
      <c r="P196" s="74"/>
      <c r="Q196" s="74" t="s">
        <v>446</v>
      </c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</row>
    <row r="197" ht="15.75" customHeight="1">
      <c r="A197" s="74" t="s">
        <v>334</v>
      </c>
      <c r="B197" s="27" t="s">
        <v>34</v>
      </c>
      <c r="C197" s="183"/>
      <c r="D197" s="74" t="s">
        <v>2</v>
      </c>
      <c r="E197" s="184">
        <v>46101.0</v>
      </c>
      <c r="F197" s="185">
        <f t="shared" si="1"/>
        <v>20</v>
      </c>
      <c r="G197" s="185">
        <f t="shared" si="2"/>
        <v>3</v>
      </c>
      <c r="H197" s="185">
        <f t="shared" si="3"/>
        <v>2026</v>
      </c>
      <c r="I197" s="186">
        <v>3.0</v>
      </c>
      <c r="J197" s="186">
        <v>2026.0</v>
      </c>
      <c r="K197" s="187"/>
      <c r="L197" s="187">
        <v>11.99</v>
      </c>
      <c r="M197" s="27">
        <v>1.0</v>
      </c>
      <c r="N197" s="187">
        <f t="shared" si="8"/>
        <v>11.99</v>
      </c>
      <c r="O197" s="58"/>
      <c r="P197" s="74"/>
      <c r="Q197" s="74" t="s">
        <v>446</v>
      </c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</row>
    <row r="198" ht="15.75" customHeight="1">
      <c r="A198" s="74" t="s">
        <v>334</v>
      </c>
      <c r="B198" s="27" t="s">
        <v>34</v>
      </c>
      <c r="C198" s="183"/>
      <c r="D198" s="74" t="s">
        <v>2</v>
      </c>
      <c r="E198" s="184">
        <v>46101.0</v>
      </c>
      <c r="F198" s="185">
        <f t="shared" si="1"/>
        <v>20</v>
      </c>
      <c r="G198" s="185">
        <f t="shared" si="2"/>
        <v>3</v>
      </c>
      <c r="H198" s="185">
        <f t="shared" si="3"/>
        <v>2026</v>
      </c>
      <c r="I198" s="186">
        <v>3.0</v>
      </c>
      <c r="J198" s="186">
        <v>2026.0</v>
      </c>
      <c r="K198" s="187"/>
      <c r="L198" s="187">
        <v>8.51</v>
      </c>
      <c r="M198" s="27">
        <v>1.0</v>
      </c>
      <c r="N198" s="187">
        <f t="shared" si="8"/>
        <v>8.51</v>
      </c>
      <c r="O198" s="58"/>
      <c r="P198" s="74"/>
      <c r="Q198" s="74" t="s">
        <v>446</v>
      </c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</row>
    <row r="199" ht="15.75" customHeight="1">
      <c r="A199" s="74" t="s">
        <v>177</v>
      </c>
      <c r="B199" s="27" t="s">
        <v>47</v>
      </c>
      <c r="C199" s="183"/>
      <c r="D199" s="74" t="s">
        <v>2</v>
      </c>
      <c r="E199" s="184">
        <v>46101.0</v>
      </c>
      <c r="F199" s="185">
        <f t="shared" si="1"/>
        <v>20</v>
      </c>
      <c r="G199" s="185">
        <f t="shared" si="2"/>
        <v>3</v>
      </c>
      <c r="H199" s="185">
        <f t="shared" si="3"/>
        <v>2026</v>
      </c>
      <c r="I199" s="186">
        <v>3.0</v>
      </c>
      <c r="J199" s="186">
        <v>2026.0</v>
      </c>
      <c r="K199" s="187"/>
      <c r="L199" s="187">
        <v>7.94</v>
      </c>
      <c r="M199" s="27">
        <v>1.0</v>
      </c>
      <c r="N199" s="187">
        <f t="shared" si="8"/>
        <v>7.94</v>
      </c>
      <c r="O199" s="58"/>
      <c r="P199" s="74"/>
      <c r="Q199" s="74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</row>
    <row r="200" ht="15.75" customHeight="1">
      <c r="A200" s="74" t="s">
        <v>177</v>
      </c>
      <c r="B200" s="27" t="s">
        <v>47</v>
      </c>
      <c r="C200" s="183"/>
      <c r="D200" s="74" t="s">
        <v>2</v>
      </c>
      <c r="E200" s="184">
        <v>46101.0</v>
      </c>
      <c r="F200" s="185">
        <f t="shared" si="1"/>
        <v>20</v>
      </c>
      <c r="G200" s="185">
        <f t="shared" si="2"/>
        <v>3</v>
      </c>
      <c r="H200" s="185">
        <f t="shared" si="3"/>
        <v>2026</v>
      </c>
      <c r="I200" s="186">
        <v>3.0</v>
      </c>
      <c r="J200" s="186">
        <v>2026.0</v>
      </c>
      <c r="K200" s="187"/>
      <c r="L200" s="187">
        <v>3.95</v>
      </c>
      <c r="M200" s="27">
        <v>1.0</v>
      </c>
      <c r="N200" s="187">
        <f t="shared" si="8"/>
        <v>3.95</v>
      </c>
      <c r="O200" s="58"/>
      <c r="P200" s="74"/>
      <c r="Q200" s="74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</row>
    <row r="201" ht="15.75" customHeight="1">
      <c r="A201" s="74" t="s">
        <v>22</v>
      </c>
      <c r="B201" s="27" t="s">
        <v>27</v>
      </c>
      <c r="C201" s="183"/>
      <c r="D201" s="74" t="s">
        <v>5</v>
      </c>
      <c r="E201" s="184">
        <v>46102.0</v>
      </c>
      <c r="F201" s="185">
        <f t="shared" si="1"/>
        <v>21</v>
      </c>
      <c r="G201" s="185">
        <f t="shared" si="2"/>
        <v>3</v>
      </c>
      <c r="H201" s="185">
        <f t="shared" si="3"/>
        <v>2026</v>
      </c>
      <c r="I201" s="186">
        <v>3.0</v>
      </c>
      <c r="J201" s="186">
        <v>2026.0</v>
      </c>
      <c r="K201" s="187"/>
      <c r="L201" s="187">
        <v>900.0</v>
      </c>
      <c r="M201" s="27">
        <v>1.0</v>
      </c>
      <c r="N201" s="187">
        <f t="shared" si="8"/>
        <v>900</v>
      </c>
      <c r="O201" s="58">
        <v>128.0</v>
      </c>
      <c r="P201" s="74" t="s">
        <v>18</v>
      </c>
      <c r="Q201" s="74" t="s">
        <v>481</v>
      </c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</row>
    <row r="202" ht="15.75" customHeight="1">
      <c r="A202" s="74" t="s">
        <v>22</v>
      </c>
      <c r="B202" s="27" t="s">
        <v>342</v>
      </c>
      <c r="C202" s="183"/>
      <c r="D202" s="74" t="s">
        <v>5</v>
      </c>
      <c r="E202" s="184">
        <v>46102.0</v>
      </c>
      <c r="F202" s="185">
        <f t="shared" si="1"/>
        <v>21</v>
      </c>
      <c r="G202" s="185">
        <f t="shared" si="2"/>
        <v>3</v>
      </c>
      <c r="H202" s="185">
        <f t="shared" si="3"/>
        <v>2026</v>
      </c>
      <c r="I202" s="186">
        <v>3.0</v>
      </c>
      <c r="J202" s="186">
        <v>2026.0</v>
      </c>
      <c r="K202" s="187"/>
      <c r="L202" s="187">
        <v>600.0</v>
      </c>
      <c r="M202" s="27">
        <v>1.0</v>
      </c>
      <c r="N202" s="187">
        <f t="shared" si="8"/>
        <v>600</v>
      </c>
      <c r="O202" s="58">
        <v>121.0</v>
      </c>
      <c r="P202" s="74" t="s">
        <v>18</v>
      </c>
      <c r="Q202" s="74" t="s">
        <v>438</v>
      </c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</row>
    <row r="203" ht="15.75" customHeight="1">
      <c r="A203" s="74" t="s">
        <v>22</v>
      </c>
      <c r="B203" s="27" t="s">
        <v>342</v>
      </c>
      <c r="C203" s="183"/>
      <c r="D203" s="74" t="s">
        <v>5</v>
      </c>
      <c r="E203" s="184">
        <v>46102.0</v>
      </c>
      <c r="F203" s="185">
        <f t="shared" si="1"/>
        <v>21</v>
      </c>
      <c r="G203" s="185">
        <f t="shared" si="2"/>
        <v>3</v>
      </c>
      <c r="H203" s="185">
        <f t="shared" si="3"/>
        <v>2026</v>
      </c>
      <c r="I203" s="186">
        <v>3.0</v>
      </c>
      <c r="J203" s="186">
        <v>2026.0</v>
      </c>
      <c r="K203" s="187"/>
      <c r="L203" s="187">
        <v>350.0</v>
      </c>
      <c r="M203" s="27">
        <v>1.0</v>
      </c>
      <c r="N203" s="187">
        <f t="shared" si="8"/>
        <v>350</v>
      </c>
      <c r="O203" s="58">
        <v>122.0</v>
      </c>
      <c r="P203" s="74" t="s">
        <v>18</v>
      </c>
      <c r="Q203" s="74" t="s">
        <v>358</v>
      </c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</row>
    <row r="204" ht="15.75" customHeight="1">
      <c r="A204" s="74" t="s">
        <v>22</v>
      </c>
      <c r="B204" s="27" t="s">
        <v>342</v>
      </c>
      <c r="C204" s="183"/>
      <c r="D204" s="74" t="s">
        <v>5</v>
      </c>
      <c r="E204" s="184">
        <v>46102.0</v>
      </c>
      <c r="F204" s="185">
        <f t="shared" si="1"/>
        <v>21</v>
      </c>
      <c r="G204" s="185">
        <f t="shared" si="2"/>
        <v>3</v>
      </c>
      <c r="H204" s="185">
        <f t="shared" si="3"/>
        <v>2026</v>
      </c>
      <c r="I204" s="186">
        <v>3.0</v>
      </c>
      <c r="J204" s="186">
        <v>2026.0</v>
      </c>
      <c r="K204" s="187"/>
      <c r="L204" s="187">
        <v>60.0</v>
      </c>
      <c r="M204" s="27">
        <v>1.0</v>
      </c>
      <c r="N204" s="187">
        <f t="shared" si="8"/>
        <v>60</v>
      </c>
      <c r="O204" s="58">
        <v>123.0</v>
      </c>
      <c r="P204" s="74" t="s">
        <v>18</v>
      </c>
      <c r="Q204" s="74" t="s">
        <v>357</v>
      </c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 ht="15.75" customHeight="1">
      <c r="A205" s="74" t="s">
        <v>22</v>
      </c>
      <c r="B205" s="27" t="s">
        <v>24</v>
      </c>
      <c r="C205" s="183"/>
      <c r="D205" s="74" t="s">
        <v>2</v>
      </c>
      <c r="E205" s="184">
        <v>46102.0</v>
      </c>
      <c r="F205" s="185">
        <f t="shared" si="1"/>
        <v>21</v>
      </c>
      <c r="G205" s="185">
        <f t="shared" si="2"/>
        <v>3</v>
      </c>
      <c r="H205" s="185">
        <f t="shared" si="3"/>
        <v>2026</v>
      </c>
      <c r="I205" s="186">
        <v>3.0</v>
      </c>
      <c r="J205" s="186">
        <v>2026.0</v>
      </c>
      <c r="K205" s="187"/>
      <c r="L205" s="187">
        <v>30.1</v>
      </c>
      <c r="M205" s="27">
        <v>1.0</v>
      </c>
      <c r="N205" s="187">
        <f t="shared" si="8"/>
        <v>30.1</v>
      </c>
      <c r="O205" s="58">
        <v>124.0</v>
      </c>
      <c r="P205" s="74"/>
      <c r="Q205" s="74" t="s">
        <v>485</v>
      </c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</row>
    <row r="206" ht="15.75" customHeight="1">
      <c r="A206" s="74" t="s">
        <v>22</v>
      </c>
      <c r="B206" s="27" t="s">
        <v>25</v>
      </c>
      <c r="C206" s="183"/>
      <c r="D206" s="74" t="s">
        <v>2</v>
      </c>
      <c r="E206" s="184">
        <v>46103.0</v>
      </c>
      <c r="F206" s="185">
        <f t="shared" si="1"/>
        <v>22</v>
      </c>
      <c r="G206" s="185">
        <f t="shared" si="2"/>
        <v>3</v>
      </c>
      <c r="H206" s="185">
        <f t="shared" si="3"/>
        <v>2026</v>
      </c>
      <c r="I206" s="186">
        <v>3.0</v>
      </c>
      <c r="J206" s="186">
        <v>2026.0</v>
      </c>
      <c r="K206" s="187"/>
      <c r="L206" s="187">
        <v>1881.9</v>
      </c>
      <c r="M206" s="27">
        <v>1.0</v>
      </c>
      <c r="N206" s="187">
        <f t="shared" si="8"/>
        <v>1881.9</v>
      </c>
      <c r="O206" s="58">
        <v>134.0</v>
      </c>
      <c r="P206" s="74"/>
      <c r="Q206" s="74" t="s">
        <v>486</v>
      </c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</row>
    <row r="207" ht="15.75" customHeight="1">
      <c r="A207" s="74" t="s">
        <v>22</v>
      </c>
      <c r="B207" s="27" t="s">
        <v>28</v>
      </c>
      <c r="C207" s="183"/>
      <c r="D207" s="74" t="s">
        <v>5</v>
      </c>
      <c r="E207" s="184">
        <v>46104.0</v>
      </c>
      <c r="F207" s="185">
        <f t="shared" si="1"/>
        <v>23</v>
      </c>
      <c r="G207" s="185">
        <f t="shared" si="2"/>
        <v>3</v>
      </c>
      <c r="H207" s="185">
        <f t="shared" si="3"/>
        <v>2026</v>
      </c>
      <c r="I207" s="186">
        <v>3.0</v>
      </c>
      <c r="J207" s="186">
        <v>2026.0</v>
      </c>
      <c r="K207" s="187"/>
      <c r="L207" s="187">
        <v>350.0</v>
      </c>
      <c r="M207" s="27">
        <v>1.0</v>
      </c>
      <c r="N207" s="187">
        <f t="shared" si="8"/>
        <v>350</v>
      </c>
      <c r="O207" s="58">
        <v>126.0</v>
      </c>
      <c r="P207" s="74" t="s">
        <v>18</v>
      </c>
      <c r="Q207" s="74" t="s">
        <v>488</v>
      </c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</row>
    <row r="208" ht="15.75" customHeight="1">
      <c r="A208" s="74" t="s">
        <v>22</v>
      </c>
      <c r="B208" s="27" t="s">
        <v>25</v>
      </c>
      <c r="C208" s="183"/>
      <c r="D208" s="74" t="s">
        <v>2</v>
      </c>
      <c r="E208" s="184">
        <v>46104.0</v>
      </c>
      <c r="F208" s="185">
        <f t="shared" si="1"/>
        <v>23</v>
      </c>
      <c r="G208" s="185">
        <f t="shared" si="2"/>
        <v>3</v>
      </c>
      <c r="H208" s="185">
        <f t="shared" si="3"/>
        <v>2026</v>
      </c>
      <c r="I208" s="186">
        <v>3.0</v>
      </c>
      <c r="J208" s="186">
        <v>2026.0</v>
      </c>
      <c r="K208" s="187"/>
      <c r="L208" s="187">
        <v>154.27</v>
      </c>
      <c r="M208" s="27">
        <v>1.0</v>
      </c>
      <c r="N208" s="187">
        <f t="shared" si="8"/>
        <v>154.27</v>
      </c>
      <c r="O208" s="58">
        <v>125.0</v>
      </c>
      <c r="P208" s="74"/>
      <c r="Q208" s="74" t="s">
        <v>489</v>
      </c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</row>
    <row r="209" ht="15.75" customHeight="1">
      <c r="A209" s="74" t="s">
        <v>334</v>
      </c>
      <c r="B209" s="27" t="s">
        <v>34</v>
      </c>
      <c r="C209" s="183"/>
      <c r="D209" s="74" t="s">
        <v>2</v>
      </c>
      <c r="E209" s="184">
        <v>46104.0</v>
      </c>
      <c r="F209" s="185">
        <f t="shared" si="1"/>
        <v>23</v>
      </c>
      <c r="G209" s="185">
        <f t="shared" si="2"/>
        <v>3</v>
      </c>
      <c r="H209" s="185">
        <f t="shared" si="3"/>
        <v>2026</v>
      </c>
      <c r="I209" s="186">
        <v>3.0</v>
      </c>
      <c r="J209" s="186">
        <v>2026.0</v>
      </c>
      <c r="K209" s="187"/>
      <c r="L209" s="187">
        <v>61.9</v>
      </c>
      <c r="M209" s="27">
        <v>1.0</v>
      </c>
      <c r="N209" s="187">
        <f t="shared" si="8"/>
        <v>61.9</v>
      </c>
      <c r="O209" s="58"/>
      <c r="P209" s="74"/>
      <c r="Q209" s="74" t="s">
        <v>491</v>
      </c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</row>
    <row r="210" ht="15.75" customHeight="1">
      <c r="A210" s="74" t="s">
        <v>334</v>
      </c>
      <c r="B210" s="27" t="s">
        <v>34</v>
      </c>
      <c r="C210" s="183"/>
      <c r="D210" s="74" t="s">
        <v>2</v>
      </c>
      <c r="E210" s="184">
        <v>46104.0</v>
      </c>
      <c r="F210" s="185">
        <f t="shared" si="1"/>
        <v>23</v>
      </c>
      <c r="G210" s="185">
        <f t="shared" si="2"/>
        <v>3</v>
      </c>
      <c r="H210" s="185">
        <f t="shared" si="3"/>
        <v>2026</v>
      </c>
      <c r="I210" s="186">
        <v>3.0</v>
      </c>
      <c r="J210" s="186">
        <v>2026.0</v>
      </c>
      <c r="K210" s="187"/>
      <c r="L210" s="187">
        <v>2.25</v>
      </c>
      <c r="M210" s="27">
        <v>1.0</v>
      </c>
      <c r="N210" s="187">
        <f t="shared" si="8"/>
        <v>2.25</v>
      </c>
      <c r="O210" s="58"/>
      <c r="P210" s="74"/>
      <c r="Q210" s="74" t="s">
        <v>492</v>
      </c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</row>
    <row r="211" ht="15.75" customHeight="1">
      <c r="A211" s="74" t="s">
        <v>253</v>
      </c>
      <c r="B211" s="27" t="s">
        <v>493</v>
      </c>
      <c r="C211" s="183"/>
      <c r="D211" s="74" t="s">
        <v>2</v>
      </c>
      <c r="E211" s="184">
        <v>46105.0</v>
      </c>
      <c r="F211" s="185">
        <f t="shared" si="1"/>
        <v>24</v>
      </c>
      <c r="G211" s="185">
        <f t="shared" si="2"/>
        <v>3</v>
      </c>
      <c r="H211" s="185">
        <f t="shared" si="3"/>
        <v>2026</v>
      </c>
      <c r="I211" s="186">
        <v>3.0</v>
      </c>
      <c r="J211" s="186">
        <v>2026.0</v>
      </c>
      <c r="K211" s="187"/>
      <c r="L211" s="187">
        <v>2000.0</v>
      </c>
      <c r="M211" s="27">
        <v>1.0</v>
      </c>
      <c r="N211" s="187">
        <f t="shared" si="8"/>
        <v>2000</v>
      </c>
      <c r="O211" s="58"/>
      <c r="P211" s="74"/>
      <c r="Q211" s="74" t="s">
        <v>495</v>
      </c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</row>
    <row r="212" ht="15.75" customHeight="1">
      <c r="A212" s="74" t="s">
        <v>334</v>
      </c>
      <c r="B212" s="27" t="s">
        <v>34</v>
      </c>
      <c r="C212" s="183"/>
      <c r="D212" s="74" t="s">
        <v>2</v>
      </c>
      <c r="E212" s="184">
        <v>46105.0</v>
      </c>
      <c r="F212" s="185">
        <f t="shared" si="1"/>
        <v>24</v>
      </c>
      <c r="G212" s="185">
        <f t="shared" si="2"/>
        <v>3</v>
      </c>
      <c r="H212" s="185">
        <f t="shared" si="3"/>
        <v>2026</v>
      </c>
      <c r="I212" s="186">
        <v>3.0</v>
      </c>
      <c r="J212" s="186">
        <v>2026.0</v>
      </c>
      <c r="K212" s="187"/>
      <c r="L212" s="187">
        <v>12.8</v>
      </c>
      <c r="M212" s="27">
        <v>1.0</v>
      </c>
      <c r="N212" s="187">
        <f t="shared" si="8"/>
        <v>12.8</v>
      </c>
      <c r="O212" s="58"/>
      <c r="P212" s="74"/>
      <c r="Q212" s="74" t="s">
        <v>497</v>
      </c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</row>
    <row r="213" ht="15.75" customHeight="1">
      <c r="A213" s="74" t="s">
        <v>22</v>
      </c>
      <c r="B213" s="27" t="s">
        <v>27</v>
      </c>
      <c r="C213" s="183"/>
      <c r="D213" s="74" t="s">
        <v>2</v>
      </c>
      <c r="E213" s="184">
        <v>46106.0</v>
      </c>
      <c r="F213" s="185">
        <f t="shared" si="1"/>
        <v>25</v>
      </c>
      <c r="G213" s="185">
        <f t="shared" si="2"/>
        <v>3</v>
      </c>
      <c r="H213" s="185">
        <f t="shared" si="3"/>
        <v>2026</v>
      </c>
      <c r="I213" s="186">
        <v>3.0</v>
      </c>
      <c r="J213" s="186">
        <v>2026.0</v>
      </c>
      <c r="K213" s="187"/>
      <c r="L213" s="187">
        <v>87.29</v>
      </c>
      <c r="M213" s="27">
        <v>1.0</v>
      </c>
      <c r="N213" s="187">
        <f t="shared" si="8"/>
        <v>87.29</v>
      </c>
      <c r="O213" s="58">
        <v>142.0</v>
      </c>
      <c r="P213" s="74"/>
      <c r="Q213" s="74" t="s">
        <v>499</v>
      </c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</row>
    <row r="214" ht="15.75" customHeight="1">
      <c r="A214" s="74" t="s">
        <v>22</v>
      </c>
      <c r="B214" s="27" t="s">
        <v>27</v>
      </c>
      <c r="C214" s="183"/>
      <c r="D214" s="74" t="s">
        <v>2</v>
      </c>
      <c r="E214" s="184">
        <v>46106.0</v>
      </c>
      <c r="F214" s="185">
        <f t="shared" si="1"/>
        <v>25</v>
      </c>
      <c r="G214" s="185">
        <f t="shared" si="2"/>
        <v>3</v>
      </c>
      <c r="H214" s="185">
        <f t="shared" si="3"/>
        <v>2026</v>
      </c>
      <c r="I214" s="186">
        <v>3.0</v>
      </c>
      <c r="J214" s="186">
        <v>2026.0</v>
      </c>
      <c r="K214" s="187"/>
      <c r="L214" s="187">
        <v>19.0</v>
      </c>
      <c r="M214" s="27">
        <v>1.0</v>
      </c>
      <c r="N214" s="187">
        <f t="shared" si="8"/>
        <v>19</v>
      </c>
      <c r="O214" s="58">
        <v>143.0</v>
      </c>
      <c r="P214" s="74"/>
      <c r="Q214" s="74" t="s">
        <v>500</v>
      </c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</row>
    <row r="215" ht="15.75" customHeight="1">
      <c r="A215" s="74" t="s">
        <v>334</v>
      </c>
      <c r="B215" s="27" t="s">
        <v>501</v>
      </c>
      <c r="C215" s="183"/>
      <c r="D215" s="74" t="s">
        <v>2</v>
      </c>
      <c r="E215" s="184">
        <v>46107.0</v>
      </c>
      <c r="F215" s="185">
        <f t="shared" si="1"/>
        <v>26</v>
      </c>
      <c r="G215" s="185">
        <f t="shared" si="2"/>
        <v>3</v>
      </c>
      <c r="H215" s="185">
        <f t="shared" si="3"/>
        <v>2026</v>
      </c>
      <c r="I215" s="186">
        <v>3.0</v>
      </c>
      <c r="J215" s="186">
        <v>2026.0</v>
      </c>
      <c r="K215" s="187"/>
      <c r="L215" s="187">
        <v>1150.0</v>
      </c>
      <c r="M215" s="27">
        <v>1.0</v>
      </c>
      <c r="N215" s="187">
        <f t="shared" si="8"/>
        <v>1150</v>
      </c>
      <c r="O215" s="58"/>
      <c r="P215" s="74"/>
      <c r="Q215" s="74" t="s">
        <v>502</v>
      </c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</row>
    <row r="216" ht="15.75" customHeight="1">
      <c r="A216" s="74" t="s">
        <v>334</v>
      </c>
      <c r="B216" s="27" t="s">
        <v>34</v>
      </c>
      <c r="C216" s="183"/>
      <c r="D216" s="74" t="s">
        <v>2</v>
      </c>
      <c r="E216" s="184">
        <v>46107.0</v>
      </c>
      <c r="F216" s="185">
        <f t="shared" si="1"/>
        <v>26</v>
      </c>
      <c r="G216" s="185">
        <f t="shared" si="2"/>
        <v>3</v>
      </c>
      <c r="H216" s="185">
        <f t="shared" si="3"/>
        <v>2026</v>
      </c>
      <c r="I216" s="186">
        <v>3.0</v>
      </c>
      <c r="J216" s="186">
        <v>2026.0</v>
      </c>
      <c r="K216" s="187"/>
      <c r="L216" s="187">
        <v>1000.0</v>
      </c>
      <c r="M216" s="27">
        <v>1.0</v>
      </c>
      <c r="N216" s="187">
        <f t="shared" si="8"/>
        <v>1000</v>
      </c>
      <c r="O216" s="58"/>
      <c r="P216" s="74"/>
      <c r="Q216" s="74" t="s">
        <v>504</v>
      </c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</row>
    <row r="217" ht="15.75" customHeight="1">
      <c r="A217" s="74" t="s">
        <v>167</v>
      </c>
      <c r="B217" s="27" t="s">
        <v>41</v>
      </c>
      <c r="C217" s="183"/>
      <c r="D217" s="74" t="s">
        <v>2</v>
      </c>
      <c r="E217" s="184">
        <v>46107.0</v>
      </c>
      <c r="F217" s="185">
        <f t="shared" si="1"/>
        <v>26</v>
      </c>
      <c r="G217" s="185">
        <f t="shared" si="2"/>
        <v>3</v>
      </c>
      <c r="H217" s="185">
        <f t="shared" si="3"/>
        <v>2026</v>
      </c>
      <c r="I217" s="186">
        <v>3.0</v>
      </c>
      <c r="J217" s="186">
        <v>2026.0</v>
      </c>
      <c r="K217" s="187"/>
      <c r="L217" s="187">
        <v>97.04</v>
      </c>
      <c r="M217" s="27">
        <v>1.0</v>
      </c>
      <c r="N217" s="187">
        <f t="shared" si="8"/>
        <v>97.04</v>
      </c>
      <c r="O217" s="58"/>
      <c r="P217" s="74"/>
      <c r="Q217" s="74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</row>
    <row r="218" ht="15.75" customHeight="1">
      <c r="A218" s="74" t="s">
        <v>22</v>
      </c>
      <c r="B218" s="27" t="s">
        <v>27</v>
      </c>
      <c r="C218" s="183"/>
      <c r="D218" s="74" t="s">
        <v>2</v>
      </c>
      <c r="E218" s="184">
        <v>46107.0</v>
      </c>
      <c r="F218" s="185">
        <f t="shared" si="1"/>
        <v>26</v>
      </c>
      <c r="G218" s="185">
        <f t="shared" si="2"/>
        <v>3</v>
      </c>
      <c r="H218" s="185">
        <f t="shared" si="3"/>
        <v>2026</v>
      </c>
      <c r="I218" s="186">
        <v>3.0</v>
      </c>
      <c r="J218" s="186">
        <v>2026.0</v>
      </c>
      <c r="K218" s="187"/>
      <c r="L218" s="187">
        <v>126.09</v>
      </c>
      <c r="M218" s="27">
        <v>1.0</v>
      </c>
      <c r="N218" s="187">
        <f t="shared" si="8"/>
        <v>126.09</v>
      </c>
      <c r="O218" s="58">
        <v>129.0</v>
      </c>
      <c r="P218" s="74"/>
      <c r="Q218" s="74" t="s">
        <v>499</v>
      </c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</row>
    <row r="219" ht="15.75" customHeight="1">
      <c r="A219" s="74" t="s">
        <v>22</v>
      </c>
      <c r="B219" s="27" t="s">
        <v>24</v>
      </c>
      <c r="C219" s="183"/>
      <c r="D219" s="74" t="s">
        <v>2</v>
      </c>
      <c r="E219" s="184">
        <v>46107.0</v>
      </c>
      <c r="F219" s="185">
        <f t="shared" si="1"/>
        <v>26</v>
      </c>
      <c r="G219" s="185">
        <f t="shared" si="2"/>
        <v>3</v>
      </c>
      <c r="H219" s="185">
        <f t="shared" si="3"/>
        <v>2026</v>
      </c>
      <c r="I219" s="186">
        <v>3.0</v>
      </c>
      <c r="J219" s="186">
        <v>2026.0</v>
      </c>
      <c r="K219" s="187"/>
      <c r="L219" s="187">
        <v>64.1</v>
      </c>
      <c r="M219" s="27">
        <v>1.0</v>
      </c>
      <c r="N219" s="187">
        <f t="shared" si="8"/>
        <v>64.1</v>
      </c>
      <c r="O219" s="58">
        <v>141.0</v>
      </c>
      <c r="P219" s="74"/>
      <c r="Q219" s="74" t="s">
        <v>508</v>
      </c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</row>
    <row r="220" ht="15.75" customHeight="1">
      <c r="A220" s="74" t="s">
        <v>22</v>
      </c>
      <c r="B220" s="27" t="s">
        <v>27</v>
      </c>
      <c r="C220" s="183"/>
      <c r="D220" s="74" t="s">
        <v>2</v>
      </c>
      <c r="E220" s="184">
        <v>46107.0</v>
      </c>
      <c r="F220" s="185">
        <f t="shared" si="1"/>
        <v>26</v>
      </c>
      <c r="G220" s="185">
        <f t="shared" si="2"/>
        <v>3</v>
      </c>
      <c r="H220" s="185">
        <f t="shared" si="3"/>
        <v>2026</v>
      </c>
      <c r="I220" s="186">
        <v>3.0</v>
      </c>
      <c r="J220" s="186">
        <v>2026.0</v>
      </c>
      <c r="K220" s="187"/>
      <c r="L220" s="187">
        <v>25.95</v>
      </c>
      <c r="M220" s="27">
        <v>1.0</v>
      </c>
      <c r="N220" s="187">
        <f t="shared" si="8"/>
        <v>25.95</v>
      </c>
      <c r="O220" s="58">
        <v>132.0</v>
      </c>
      <c r="P220" s="74"/>
      <c r="Q220" s="74" t="s">
        <v>499</v>
      </c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</row>
    <row r="221" ht="15.75" customHeight="1">
      <c r="A221" s="74" t="s">
        <v>22</v>
      </c>
      <c r="B221" s="27" t="s">
        <v>29</v>
      </c>
      <c r="C221" s="183"/>
      <c r="D221" s="74" t="s">
        <v>2</v>
      </c>
      <c r="E221" s="184">
        <v>46107.0</v>
      </c>
      <c r="F221" s="185">
        <f t="shared" si="1"/>
        <v>26</v>
      </c>
      <c r="G221" s="185">
        <f t="shared" si="2"/>
        <v>3</v>
      </c>
      <c r="H221" s="185">
        <f t="shared" si="3"/>
        <v>2026</v>
      </c>
      <c r="I221" s="186">
        <v>3.0</v>
      </c>
      <c r="J221" s="186">
        <v>2026.0</v>
      </c>
      <c r="K221" s="187"/>
      <c r="L221" s="187">
        <v>4.94</v>
      </c>
      <c r="M221" s="27">
        <v>1.0</v>
      </c>
      <c r="N221" s="187">
        <f t="shared" si="8"/>
        <v>4.94</v>
      </c>
      <c r="O221" s="58">
        <v>138.0</v>
      </c>
      <c r="P221" s="74"/>
      <c r="Q221" s="74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</row>
    <row r="222" ht="15.75" customHeight="1">
      <c r="A222" s="74" t="s">
        <v>22</v>
      </c>
      <c r="B222" s="27" t="s">
        <v>342</v>
      </c>
      <c r="C222" s="183"/>
      <c r="D222" s="74" t="s">
        <v>5</v>
      </c>
      <c r="E222" s="184">
        <v>46109.0</v>
      </c>
      <c r="F222" s="185">
        <f t="shared" si="1"/>
        <v>28</v>
      </c>
      <c r="G222" s="185">
        <f t="shared" si="2"/>
        <v>3</v>
      </c>
      <c r="H222" s="185">
        <f t="shared" si="3"/>
        <v>2026</v>
      </c>
      <c r="I222" s="186">
        <v>3.0</v>
      </c>
      <c r="J222" s="186">
        <v>2026.0</v>
      </c>
      <c r="K222" s="187"/>
      <c r="L222" s="187">
        <v>500.0</v>
      </c>
      <c r="M222" s="27">
        <v>1.0</v>
      </c>
      <c r="N222" s="187">
        <f t="shared" si="8"/>
        <v>500</v>
      </c>
      <c r="O222" s="58">
        <v>137.0</v>
      </c>
      <c r="P222" s="74" t="s">
        <v>18</v>
      </c>
      <c r="Q222" s="74" t="s">
        <v>438</v>
      </c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</row>
    <row r="223" ht="15.75" customHeight="1">
      <c r="A223" s="74" t="s">
        <v>22</v>
      </c>
      <c r="B223" s="27" t="s">
        <v>342</v>
      </c>
      <c r="C223" s="183"/>
      <c r="D223" s="74" t="s">
        <v>5</v>
      </c>
      <c r="E223" s="184">
        <v>46109.0</v>
      </c>
      <c r="F223" s="185">
        <f t="shared" si="1"/>
        <v>28</v>
      </c>
      <c r="G223" s="185">
        <f t="shared" si="2"/>
        <v>3</v>
      </c>
      <c r="H223" s="185">
        <f t="shared" si="3"/>
        <v>2026</v>
      </c>
      <c r="I223" s="186">
        <v>3.0</v>
      </c>
      <c r="J223" s="186">
        <v>2026.0</v>
      </c>
      <c r="K223" s="187"/>
      <c r="L223" s="187">
        <v>320.0</v>
      </c>
      <c r="M223" s="27">
        <v>1.0</v>
      </c>
      <c r="N223" s="187">
        <f t="shared" si="8"/>
        <v>320</v>
      </c>
      <c r="O223" s="58">
        <v>135.0</v>
      </c>
      <c r="P223" s="74" t="s">
        <v>18</v>
      </c>
      <c r="Q223" s="74" t="s">
        <v>358</v>
      </c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</row>
    <row r="224" ht="15.75" customHeight="1">
      <c r="A224" s="74" t="s">
        <v>22</v>
      </c>
      <c r="B224" s="27" t="s">
        <v>342</v>
      </c>
      <c r="C224" s="183"/>
      <c r="D224" s="74" t="s">
        <v>5</v>
      </c>
      <c r="E224" s="184">
        <v>46109.0</v>
      </c>
      <c r="F224" s="185">
        <f t="shared" si="1"/>
        <v>28</v>
      </c>
      <c r="G224" s="185">
        <f t="shared" si="2"/>
        <v>3</v>
      </c>
      <c r="H224" s="185">
        <f t="shared" si="3"/>
        <v>2026</v>
      </c>
      <c r="I224" s="186">
        <v>3.0</v>
      </c>
      <c r="J224" s="186">
        <v>2026.0</v>
      </c>
      <c r="K224" s="187"/>
      <c r="L224" s="187">
        <v>60.0</v>
      </c>
      <c r="M224" s="27">
        <v>1.0</v>
      </c>
      <c r="N224" s="187">
        <f t="shared" si="8"/>
        <v>60</v>
      </c>
      <c r="O224" s="58">
        <v>136.0</v>
      </c>
      <c r="P224" s="74" t="s">
        <v>18</v>
      </c>
      <c r="Q224" s="74" t="s">
        <v>357</v>
      </c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</row>
    <row r="225" ht="15.75" customHeight="1">
      <c r="A225" s="74" t="s">
        <v>22</v>
      </c>
      <c r="B225" s="27" t="s">
        <v>27</v>
      </c>
      <c r="C225" s="183"/>
      <c r="D225" s="74" t="s">
        <v>2</v>
      </c>
      <c r="E225" s="184">
        <v>46111.0</v>
      </c>
      <c r="F225" s="185">
        <f t="shared" si="1"/>
        <v>30</v>
      </c>
      <c r="G225" s="185">
        <f t="shared" si="2"/>
        <v>3</v>
      </c>
      <c r="H225" s="185">
        <f t="shared" si="3"/>
        <v>2026</v>
      </c>
      <c r="I225" s="186">
        <v>3.0</v>
      </c>
      <c r="J225" s="186">
        <v>2026.0</v>
      </c>
      <c r="K225" s="187"/>
      <c r="L225" s="187">
        <v>125.6</v>
      </c>
      <c r="M225" s="27">
        <v>1.0</v>
      </c>
      <c r="N225" s="187">
        <f t="shared" si="8"/>
        <v>125.6</v>
      </c>
      <c r="O225" s="58">
        <v>144.0</v>
      </c>
      <c r="P225" s="74"/>
      <c r="Q225" s="74" t="s">
        <v>499</v>
      </c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</row>
    <row r="226" ht="15.75" customHeight="1">
      <c r="A226" s="74" t="s">
        <v>22</v>
      </c>
      <c r="B226" s="27" t="s">
        <v>27</v>
      </c>
      <c r="C226" s="183"/>
      <c r="D226" s="74" t="s">
        <v>2</v>
      </c>
      <c r="E226" s="184">
        <v>46111.0</v>
      </c>
      <c r="F226" s="185">
        <f t="shared" si="1"/>
        <v>30</v>
      </c>
      <c r="G226" s="185">
        <f t="shared" si="2"/>
        <v>3</v>
      </c>
      <c r="H226" s="185">
        <f t="shared" si="3"/>
        <v>2026</v>
      </c>
      <c r="I226" s="186">
        <v>3.0</v>
      </c>
      <c r="J226" s="186">
        <v>2026.0</v>
      </c>
      <c r="K226" s="187"/>
      <c r="L226" s="187">
        <v>34.98</v>
      </c>
      <c r="M226" s="27">
        <v>1.0</v>
      </c>
      <c r="N226" s="187">
        <f t="shared" si="8"/>
        <v>34.98</v>
      </c>
      <c r="O226" s="58">
        <v>145.0</v>
      </c>
      <c r="P226" s="74"/>
      <c r="Q226" s="74" t="s">
        <v>514</v>
      </c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</row>
    <row r="227" ht="15.75" customHeight="1">
      <c r="A227" s="74" t="s">
        <v>22</v>
      </c>
      <c r="B227" s="27" t="s">
        <v>24</v>
      </c>
      <c r="C227" s="183"/>
      <c r="D227" s="74" t="s">
        <v>2</v>
      </c>
      <c r="E227" s="184">
        <v>46111.0</v>
      </c>
      <c r="F227" s="185">
        <f t="shared" si="1"/>
        <v>30</v>
      </c>
      <c r="G227" s="185">
        <f t="shared" si="2"/>
        <v>3</v>
      </c>
      <c r="H227" s="185">
        <f t="shared" si="3"/>
        <v>2026</v>
      </c>
      <c r="I227" s="186">
        <v>3.0</v>
      </c>
      <c r="J227" s="186">
        <v>2026.0</v>
      </c>
      <c r="K227" s="187"/>
      <c r="L227" s="187">
        <v>26.3</v>
      </c>
      <c r="M227" s="27">
        <v>1.0</v>
      </c>
      <c r="N227" s="187">
        <f t="shared" si="8"/>
        <v>26.3</v>
      </c>
      <c r="O227" s="58">
        <v>140.0</v>
      </c>
      <c r="P227" s="74"/>
      <c r="Q227" s="74" t="s">
        <v>515</v>
      </c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</row>
    <row r="228" ht="15.75" customHeight="1">
      <c r="A228" s="74" t="s">
        <v>334</v>
      </c>
      <c r="B228" s="27" t="s">
        <v>34</v>
      </c>
      <c r="C228" s="183"/>
      <c r="D228" s="74" t="s">
        <v>12</v>
      </c>
      <c r="E228" s="184">
        <v>46112.0</v>
      </c>
      <c r="F228" s="185">
        <f t="shared" si="1"/>
        <v>31</v>
      </c>
      <c r="G228" s="185">
        <f t="shared" si="2"/>
        <v>3</v>
      </c>
      <c r="H228" s="185">
        <f t="shared" si="3"/>
        <v>2026</v>
      </c>
      <c r="I228" s="186">
        <f t="shared" ref="I228:J228" si="9">G228</f>
        <v>3</v>
      </c>
      <c r="J228" s="186">
        <f t="shared" si="9"/>
        <v>2026</v>
      </c>
      <c r="K228" s="187"/>
      <c r="L228" s="187">
        <v>552.45</v>
      </c>
      <c r="M228" s="27">
        <v>1.0</v>
      </c>
      <c r="N228" s="187">
        <f>M228*L228</f>
        <v>552.45</v>
      </c>
      <c r="O228" s="58"/>
      <c r="P228" s="74"/>
      <c r="Q228" s="74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</row>
    <row r="229" ht="15.75" customHeight="1">
      <c r="A229" s="74" t="s">
        <v>334</v>
      </c>
      <c r="B229" s="27" t="s">
        <v>34</v>
      </c>
      <c r="C229" s="183"/>
      <c r="D229" s="74" t="s">
        <v>2</v>
      </c>
      <c r="E229" s="184">
        <v>46112.0</v>
      </c>
      <c r="F229" s="185">
        <f t="shared" si="1"/>
        <v>31</v>
      </c>
      <c r="G229" s="185">
        <f t="shared" si="2"/>
        <v>3</v>
      </c>
      <c r="H229" s="185">
        <f t="shared" si="3"/>
        <v>2026</v>
      </c>
      <c r="I229" s="186">
        <v>3.0</v>
      </c>
      <c r="J229" s="186">
        <v>2026.0</v>
      </c>
      <c r="K229" s="187"/>
      <c r="L229" s="187">
        <v>118.49</v>
      </c>
      <c r="M229" s="27">
        <v>1.0</v>
      </c>
      <c r="N229" s="187">
        <f t="shared" ref="N229:N293" si="10">L229*M229</f>
        <v>118.49</v>
      </c>
      <c r="O229" s="58"/>
      <c r="P229" s="74"/>
      <c r="Q229" s="74" t="s">
        <v>427</v>
      </c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</row>
    <row r="230" ht="15.75" customHeight="1">
      <c r="A230" s="74" t="s">
        <v>167</v>
      </c>
      <c r="B230" s="27" t="s">
        <v>37</v>
      </c>
      <c r="C230" s="183"/>
      <c r="D230" s="74" t="s">
        <v>2</v>
      </c>
      <c r="E230" s="184">
        <v>46113.0</v>
      </c>
      <c r="F230" s="185">
        <f t="shared" si="1"/>
        <v>1</v>
      </c>
      <c r="G230" s="185">
        <f t="shared" si="2"/>
        <v>4</v>
      </c>
      <c r="H230" s="185">
        <f t="shared" si="3"/>
        <v>2026</v>
      </c>
      <c r="I230" s="186">
        <v>3.0</v>
      </c>
      <c r="J230" s="186">
        <v>2026.0</v>
      </c>
      <c r="K230" s="187"/>
      <c r="L230" s="187">
        <v>67.6</v>
      </c>
      <c r="M230" s="27">
        <v>1.0</v>
      </c>
      <c r="N230" s="187">
        <f t="shared" si="10"/>
        <v>67.6</v>
      </c>
      <c r="O230" s="58"/>
      <c r="P230" s="74"/>
      <c r="Q230" s="74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</row>
    <row r="231" ht="15.75" customHeight="1">
      <c r="A231" s="74" t="s">
        <v>167</v>
      </c>
      <c r="B231" s="27" t="s">
        <v>49</v>
      </c>
      <c r="C231" s="183"/>
      <c r="D231" s="74" t="s">
        <v>2</v>
      </c>
      <c r="E231" s="184">
        <v>46114.0</v>
      </c>
      <c r="F231" s="185">
        <f t="shared" si="1"/>
        <v>2</v>
      </c>
      <c r="G231" s="185">
        <f t="shared" si="2"/>
        <v>4</v>
      </c>
      <c r="H231" s="185">
        <f t="shared" si="3"/>
        <v>2026</v>
      </c>
      <c r="I231" s="186">
        <v>4.0</v>
      </c>
      <c r="J231" s="186">
        <v>2026.0</v>
      </c>
      <c r="K231" s="187"/>
      <c r="L231" s="187">
        <v>87.3</v>
      </c>
      <c r="M231" s="27">
        <v>1.0</v>
      </c>
      <c r="N231" s="187">
        <f t="shared" si="10"/>
        <v>87.3</v>
      </c>
      <c r="O231" s="58"/>
      <c r="P231" s="74"/>
      <c r="Q231" s="74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</row>
    <row r="232" ht="15.75" customHeight="1">
      <c r="A232" s="74" t="s">
        <v>22</v>
      </c>
      <c r="B232" s="27" t="s">
        <v>27</v>
      </c>
      <c r="C232" s="183"/>
      <c r="D232" s="74" t="s">
        <v>5</v>
      </c>
      <c r="E232" s="184">
        <v>46114.0</v>
      </c>
      <c r="F232" s="185">
        <f t="shared" si="1"/>
        <v>2</v>
      </c>
      <c r="G232" s="185">
        <f t="shared" si="2"/>
        <v>4</v>
      </c>
      <c r="H232" s="185">
        <f t="shared" si="3"/>
        <v>2026</v>
      </c>
      <c r="I232" s="186">
        <v>4.0</v>
      </c>
      <c r="J232" s="186">
        <v>2026.0</v>
      </c>
      <c r="K232" s="187"/>
      <c r="L232" s="187">
        <v>22.35</v>
      </c>
      <c r="M232" s="27">
        <v>1.0</v>
      </c>
      <c r="N232" s="187">
        <f t="shared" si="10"/>
        <v>22.35</v>
      </c>
      <c r="O232" s="58">
        <v>149.0</v>
      </c>
      <c r="P232" s="74" t="s">
        <v>17</v>
      </c>
      <c r="Q232" s="74" t="s">
        <v>499</v>
      </c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</row>
    <row r="233" ht="15.75" customHeight="1">
      <c r="A233" s="74" t="s">
        <v>22</v>
      </c>
      <c r="B233" s="27" t="s">
        <v>342</v>
      </c>
      <c r="C233" s="183"/>
      <c r="D233" s="74" t="s">
        <v>5</v>
      </c>
      <c r="E233" s="184">
        <v>46115.0</v>
      </c>
      <c r="F233" s="185">
        <f t="shared" si="1"/>
        <v>3</v>
      </c>
      <c r="G233" s="185">
        <f t="shared" si="2"/>
        <v>4</v>
      </c>
      <c r="H233" s="185">
        <f t="shared" si="3"/>
        <v>2026</v>
      </c>
      <c r="I233" s="186">
        <v>4.0</v>
      </c>
      <c r="J233" s="186">
        <v>2026.0</v>
      </c>
      <c r="K233" s="187"/>
      <c r="L233" s="187">
        <v>350.0</v>
      </c>
      <c r="M233" s="27">
        <v>1.0</v>
      </c>
      <c r="N233" s="187">
        <f t="shared" si="10"/>
        <v>350</v>
      </c>
      <c r="O233" s="58">
        <v>148.0</v>
      </c>
      <c r="P233" s="74" t="s">
        <v>18</v>
      </c>
      <c r="Q233" s="74" t="s">
        <v>438</v>
      </c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</row>
    <row r="234" ht="15.75" customHeight="1">
      <c r="A234" s="74" t="s">
        <v>22</v>
      </c>
      <c r="B234" s="27" t="s">
        <v>342</v>
      </c>
      <c r="C234" s="183"/>
      <c r="D234" s="74" t="s">
        <v>5</v>
      </c>
      <c r="E234" s="184">
        <v>46115.0</v>
      </c>
      <c r="F234" s="185">
        <f t="shared" si="1"/>
        <v>3</v>
      </c>
      <c r="G234" s="185">
        <f t="shared" si="2"/>
        <v>4</v>
      </c>
      <c r="H234" s="185">
        <f t="shared" si="3"/>
        <v>2026</v>
      </c>
      <c r="I234" s="186">
        <v>4.0</v>
      </c>
      <c r="J234" s="186">
        <v>2026.0</v>
      </c>
      <c r="K234" s="187"/>
      <c r="L234" s="187">
        <v>60.0</v>
      </c>
      <c r="M234" s="27">
        <v>1.0</v>
      </c>
      <c r="N234" s="187">
        <f t="shared" si="10"/>
        <v>60</v>
      </c>
      <c r="O234" s="58">
        <v>147.0</v>
      </c>
      <c r="P234" s="74" t="s">
        <v>18</v>
      </c>
      <c r="Q234" s="74" t="s">
        <v>357</v>
      </c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</row>
    <row r="235" ht="15.75" customHeight="1">
      <c r="A235" s="74" t="s">
        <v>167</v>
      </c>
      <c r="B235" s="27" t="s">
        <v>32</v>
      </c>
      <c r="C235" s="183"/>
      <c r="D235" s="74" t="s">
        <v>2</v>
      </c>
      <c r="E235" s="184">
        <v>46118.0</v>
      </c>
      <c r="F235" s="185">
        <f t="shared" si="1"/>
        <v>6</v>
      </c>
      <c r="G235" s="185">
        <f t="shared" si="2"/>
        <v>4</v>
      </c>
      <c r="H235" s="185">
        <f t="shared" si="3"/>
        <v>2026</v>
      </c>
      <c r="I235" s="186">
        <v>2.0</v>
      </c>
      <c r="J235" s="186">
        <v>2026.0</v>
      </c>
      <c r="K235" s="187"/>
      <c r="L235" s="187">
        <v>115.0</v>
      </c>
      <c r="M235" s="27">
        <v>1.0</v>
      </c>
      <c r="N235" s="187">
        <f t="shared" si="10"/>
        <v>115</v>
      </c>
      <c r="O235" s="58"/>
      <c r="P235" s="74"/>
      <c r="Q235" s="74" t="s">
        <v>532</v>
      </c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</row>
    <row r="236" ht="15.75" customHeight="1">
      <c r="A236" s="74" t="s">
        <v>334</v>
      </c>
      <c r="B236" s="27" t="s">
        <v>34</v>
      </c>
      <c r="C236" s="183"/>
      <c r="D236" s="74" t="s">
        <v>2</v>
      </c>
      <c r="E236" s="184">
        <v>46118.0</v>
      </c>
      <c r="F236" s="185">
        <f t="shared" si="1"/>
        <v>6</v>
      </c>
      <c r="G236" s="185">
        <f t="shared" si="2"/>
        <v>4</v>
      </c>
      <c r="H236" s="185">
        <f t="shared" si="3"/>
        <v>2026</v>
      </c>
      <c r="I236" s="186">
        <v>4.0</v>
      </c>
      <c r="J236" s="186">
        <v>2026.0</v>
      </c>
      <c r="K236" s="187"/>
      <c r="L236" s="187">
        <v>77.3</v>
      </c>
      <c r="M236" s="27">
        <v>1.0</v>
      </c>
      <c r="N236" s="187">
        <f t="shared" si="10"/>
        <v>77.3</v>
      </c>
      <c r="O236" s="58"/>
      <c r="P236" s="74"/>
      <c r="Q236" s="74" t="s">
        <v>427</v>
      </c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</row>
    <row r="237" ht="15.75" customHeight="1">
      <c r="A237" s="74" t="s">
        <v>334</v>
      </c>
      <c r="B237" s="27" t="s">
        <v>34</v>
      </c>
      <c r="C237" s="183"/>
      <c r="D237" s="74" t="s">
        <v>2</v>
      </c>
      <c r="E237" s="184">
        <v>46118.0</v>
      </c>
      <c r="F237" s="185">
        <f t="shared" si="1"/>
        <v>6</v>
      </c>
      <c r="G237" s="185">
        <f t="shared" si="2"/>
        <v>4</v>
      </c>
      <c r="H237" s="185">
        <f t="shared" si="3"/>
        <v>2026</v>
      </c>
      <c r="I237" s="186">
        <v>4.0</v>
      </c>
      <c r="J237" s="186">
        <v>2026.0</v>
      </c>
      <c r="K237" s="187"/>
      <c r="L237" s="187">
        <v>50.0</v>
      </c>
      <c r="M237" s="27">
        <v>1.0</v>
      </c>
      <c r="N237" s="187">
        <f t="shared" si="10"/>
        <v>50</v>
      </c>
      <c r="O237" s="58"/>
      <c r="P237" s="74"/>
      <c r="Q237" s="74" t="s">
        <v>535</v>
      </c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</row>
    <row r="238" ht="15.75" customHeight="1">
      <c r="A238" s="74" t="s">
        <v>22</v>
      </c>
      <c r="B238" s="27" t="s">
        <v>27</v>
      </c>
      <c r="C238" s="183"/>
      <c r="D238" s="74" t="s">
        <v>2</v>
      </c>
      <c r="E238" s="184">
        <v>46118.0</v>
      </c>
      <c r="F238" s="185">
        <f t="shared" si="1"/>
        <v>6</v>
      </c>
      <c r="G238" s="185">
        <f t="shared" si="2"/>
        <v>4</v>
      </c>
      <c r="H238" s="185">
        <f t="shared" si="3"/>
        <v>2026</v>
      </c>
      <c r="I238" s="186">
        <v>4.0</v>
      </c>
      <c r="J238" s="186">
        <v>2026.0</v>
      </c>
      <c r="K238" s="187"/>
      <c r="L238" s="187">
        <v>600.0</v>
      </c>
      <c r="M238" s="27">
        <v>1.0</v>
      </c>
      <c r="N238" s="187">
        <f t="shared" si="10"/>
        <v>600</v>
      </c>
      <c r="O238" s="58">
        <v>146.0</v>
      </c>
      <c r="P238" s="74"/>
      <c r="Q238" s="74" t="s">
        <v>537</v>
      </c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</row>
    <row r="239" ht="15.75" customHeight="1">
      <c r="A239" s="74" t="s">
        <v>22</v>
      </c>
      <c r="B239" s="27" t="s">
        <v>27</v>
      </c>
      <c r="C239" s="183"/>
      <c r="D239" s="74" t="s">
        <v>2</v>
      </c>
      <c r="E239" s="184">
        <v>46119.0</v>
      </c>
      <c r="F239" s="185">
        <f t="shared" si="1"/>
        <v>7</v>
      </c>
      <c r="G239" s="185">
        <f t="shared" si="2"/>
        <v>4</v>
      </c>
      <c r="H239" s="185">
        <f t="shared" si="3"/>
        <v>2026</v>
      </c>
      <c r="I239" s="186">
        <v>4.0</v>
      </c>
      <c r="J239" s="186">
        <v>2026.0</v>
      </c>
      <c r="K239" s="187"/>
      <c r="L239" s="187">
        <v>42.8</v>
      </c>
      <c r="M239" s="27">
        <v>1.0</v>
      </c>
      <c r="N239" s="187">
        <f t="shared" si="10"/>
        <v>42.8</v>
      </c>
      <c r="O239" s="58">
        <v>155.0</v>
      </c>
      <c r="P239" s="74"/>
      <c r="Q239" s="74" t="s">
        <v>538</v>
      </c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</row>
    <row r="240" ht="15.75" customHeight="1">
      <c r="A240" s="74" t="s">
        <v>22</v>
      </c>
      <c r="B240" s="27" t="s">
        <v>27</v>
      </c>
      <c r="C240" s="183"/>
      <c r="D240" s="74" t="s">
        <v>5</v>
      </c>
      <c r="E240" s="184">
        <v>46119.0</v>
      </c>
      <c r="F240" s="185">
        <f t="shared" si="1"/>
        <v>7</v>
      </c>
      <c r="G240" s="185">
        <f t="shared" si="2"/>
        <v>4</v>
      </c>
      <c r="H240" s="185">
        <f t="shared" si="3"/>
        <v>2026</v>
      </c>
      <c r="I240" s="186">
        <v>4.0</v>
      </c>
      <c r="J240" s="186">
        <v>2026.0</v>
      </c>
      <c r="K240" s="187"/>
      <c r="L240" s="187">
        <v>13.17</v>
      </c>
      <c r="M240" s="27">
        <v>1.0</v>
      </c>
      <c r="N240" s="187">
        <f t="shared" si="10"/>
        <v>13.17</v>
      </c>
      <c r="O240" s="58">
        <v>150.0</v>
      </c>
      <c r="P240" s="74" t="s">
        <v>17</v>
      </c>
      <c r="Q240" s="74" t="s">
        <v>540</v>
      </c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</row>
    <row r="241" ht="15.75" customHeight="1">
      <c r="A241" s="74" t="s">
        <v>22</v>
      </c>
      <c r="B241" s="27" t="s">
        <v>27</v>
      </c>
      <c r="C241" s="183"/>
      <c r="D241" s="74" t="s">
        <v>2</v>
      </c>
      <c r="E241" s="184">
        <v>46120.0</v>
      </c>
      <c r="F241" s="185">
        <f t="shared" si="1"/>
        <v>8</v>
      </c>
      <c r="G241" s="185">
        <f t="shared" si="2"/>
        <v>4</v>
      </c>
      <c r="H241" s="185">
        <f t="shared" si="3"/>
        <v>2026</v>
      </c>
      <c r="I241" s="186">
        <v>4.0</v>
      </c>
      <c r="J241" s="186">
        <v>2026.0</v>
      </c>
      <c r="K241" s="187"/>
      <c r="L241" s="187">
        <v>79.85</v>
      </c>
      <c r="M241" s="27">
        <v>1.0</v>
      </c>
      <c r="N241" s="187">
        <f t="shared" si="10"/>
        <v>79.85</v>
      </c>
      <c r="O241" s="58">
        <v>156.0</v>
      </c>
      <c r="P241" s="74"/>
      <c r="Q241" s="74" t="s">
        <v>541</v>
      </c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</row>
    <row r="242" ht="15.75" customHeight="1">
      <c r="A242" s="74" t="s">
        <v>22</v>
      </c>
      <c r="B242" s="27" t="s">
        <v>24</v>
      </c>
      <c r="C242" s="183"/>
      <c r="D242" s="74" t="s">
        <v>2</v>
      </c>
      <c r="E242" s="184">
        <v>46120.0</v>
      </c>
      <c r="F242" s="185">
        <f t="shared" si="1"/>
        <v>8</v>
      </c>
      <c r="G242" s="185">
        <f t="shared" si="2"/>
        <v>4</v>
      </c>
      <c r="H242" s="185">
        <f t="shared" si="3"/>
        <v>2026</v>
      </c>
      <c r="I242" s="186">
        <v>4.0</v>
      </c>
      <c r="J242" s="186">
        <v>2026.0</v>
      </c>
      <c r="K242" s="187"/>
      <c r="L242" s="187">
        <v>5.4</v>
      </c>
      <c r="M242" s="27">
        <v>1.0</v>
      </c>
      <c r="N242" s="187">
        <f t="shared" si="10"/>
        <v>5.4</v>
      </c>
      <c r="O242" s="58">
        <v>157.0</v>
      </c>
      <c r="P242" s="74"/>
      <c r="Q242" s="74" t="s">
        <v>543</v>
      </c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</row>
    <row r="243" ht="15.75" customHeight="1">
      <c r="A243" s="74" t="s">
        <v>136</v>
      </c>
      <c r="B243" s="27" t="s">
        <v>38</v>
      </c>
      <c r="C243" s="183"/>
      <c r="D243" s="74" t="s">
        <v>2</v>
      </c>
      <c r="E243" s="184">
        <v>46120.0</v>
      </c>
      <c r="F243" s="185">
        <f t="shared" si="1"/>
        <v>8</v>
      </c>
      <c r="G243" s="185">
        <f t="shared" si="2"/>
        <v>4</v>
      </c>
      <c r="H243" s="185">
        <f t="shared" si="3"/>
        <v>2026</v>
      </c>
      <c r="I243" s="186">
        <v>4.0</v>
      </c>
      <c r="J243" s="186">
        <v>2026.0</v>
      </c>
      <c r="K243" s="187"/>
      <c r="L243" s="187">
        <f>4.99+0.2</f>
        <v>5.19</v>
      </c>
      <c r="M243" s="27">
        <v>1.0</v>
      </c>
      <c r="N243" s="187">
        <f t="shared" si="10"/>
        <v>5.19</v>
      </c>
      <c r="O243" s="58"/>
      <c r="P243" s="74"/>
      <c r="Q243" s="74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</row>
    <row r="244" ht="15.75" customHeight="1">
      <c r="A244" s="74" t="s">
        <v>22</v>
      </c>
      <c r="B244" s="27" t="s">
        <v>24</v>
      </c>
      <c r="C244" s="183"/>
      <c r="D244" s="74" t="s">
        <v>2</v>
      </c>
      <c r="E244" s="184">
        <v>46121.0</v>
      </c>
      <c r="F244" s="185">
        <f t="shared" si="1"/>
        <v>9</v>
      </c>
      <c r="G244" s="185">
        <f t="shared" si="2"/>
        <v>4</v>
      </c>
      <c r="H244" s="185">
        <f t="shared" si="3"/>
        <v>2026</v>
      </c>
      <c r="I244" s="186">
        <v>4.0</v>
      </c>
      <c r="J244" s="186">
        <v>2026.0</v>
      </c>
      <c r="K244" s="187"/>
      <c r="L244" s="187">
        <v>9.0</v>
      </c>
      <c r="M244" s="27">
        <v>1.0</v>
      </c>
      <c r="N244" s="187">
        <f t="shared" si="10"/>
        <v>9</v>
      </c>
      <c r="O244" s="58">
        <v>158.0</v>
      </c>
      <c r="P244" s="74"/>
      <c r="Q244" s="74" t="s">
        <v>543</v>
      </c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</row>
    <row r="245" ht="15.75" customHeight="1">
      <c r="A245" s="74" t="s">
        <v>164</v>
      </c>
      <c r="B245" s="27" t="s">
        <v>48</v>
      </c>
      <c r="C245" s="183"/>
      <c r="D245" s="74" t="s">
        <v>2</v>
      </c>
      <c r="E245" s="184">
        <v>46121.0</v>
      </c>
      <c r="F245" s="185">
        <f t="shared" si="1"/>
        <v>9</v>
      </c>
      <c r="G245" s="185">
        <f t="shared" si="2"/>
        <v>4</v>
      </c>
      <c r="H245" s="185">
        <f t="shared" si="3"/>
        <v>2026</v>
      </c>
      <c r="I245" s="186">
        <v>4.0</v>
      </c>
      <c r="J245" s="186">
        <v>2026.0</v>
      </c>
      <c r="K245" s="187"/>
      <c r="L245" s="187">
        <v>62.73</v>
      </c>
      <c r="M245" s="27">
        <v>1.0</v>
      </c>
      <c r="N245" s="187">
        <f t="shared" si="10"/>
        <v>62.73</v>
      </c>
      <c r="O245" s="58"/>
      <c r="P245" s="74"/>
      <c r="Q245" s="74" t="s">
        <v>548</v>
      </c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</row>
    <row r="246" ht="15.75" customHeight="1">
      <c r="A246" s="74" t="s">
        <v>160</v>
      </c>
      <c r="B246" s="27" t="s">
        <v>39</v>
      </c>
      <c r="C246" s="183"/>
      <c r="D246" s="74" t="s">
        <v>2</v>
      </c>
      <c r="E246" s="184">
        <v>46122.0</v>
      </c>
      <c r="F246" s="185">
        <f t="shared" si="1"/>
        <v>10</v>
      </c>
      <c r="G246" s="185">
        <f t="shared" si="2"/>
        <v>4</v>
      </c>
      <c r="H246" s="185">
        <f t="shared" si="3"/>
        <v>2026</v>
      </c>
      <c r="I246" s="186">
        <v>4.0</v>
      </c>
      <c r="J246" s="186">
        <v>2026.0</v>
      </c>
      <c r="K246" s="187"/>
      <c r="L246" s="187">
        <v>88.59</v>
      </c>
      <c r="M246" s="27">
        <v>1.0</v>
      </c>
      <c r="N246" s="187">
        <f t="shared" si="10"/>
        <v>88.59</v>
      </c>
      <c r="O246" s="58"/>
      <c r="P246" s="74"/>
      <c r="Q246" s="74" t="s">
        <v>351</v>
      </c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</row>
    <row r="247" ht="15.75" customHeight="1">
      <c r="A247" s="74" t="s">
        <v>22</v>
      </c>
      <c r="B247" s="27" t="s">
        <v>342</v>
      </c>
      <c r="C247" s="183"/>
      <c r="D247" s="74" t="s">
        <v>5</v>
      </c>
      <c r="E247" s="184">
        <v>46122.0</v>
      </c>
      <c r="F247" s="185">
        <f t="shared" si="1"/>
        <v>10</v>
      </c>
      <c r="G247" s="185">
        <f t="shared" si="2"/>
        <v>4</v>
      </c>
      <c r="H247" s="185">
        <f t="shared" si="3"/>
        <v>2026</v>
      </c>
      <c r="I247" s="186">
        <v>4.0</v>
      </c>
      <c r="J247" s="186">
        <v>2026.0</v>
      </c>
      <c r="K247" s="187"/>
      <c r="L247" s="187">
        <v>270.0</v>
      </c>
      <c r="M247" s="27">
        <v>1.0</v>
      </c>
      <c r="N247" s="187">
        <f t="shared" si="10"/>
        <v>270</v>
      </c>
      <c r="O247" s="58">
        <v>153.0</v>
      </c>
      <c r="P247" s="74" t="s">
        <v>18</v>
      </c>
      <c r="Q247" s="74" t="s">
        <v>358</v>
      </c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</row>
    <row r="248" ht="15.75" customHeight="1">
      <c r="A248" s="74" t="s">
        <v>22</v>
      </c>
      <c r="B248" s="27" t="s">
        <v>342</v>
      </c>
      <c r="C248" s="183"/>
      <c r="D248" s="74" t="s">
        <v>5</v>
      </c>
      <c r="E248" s="184">
        <v>46122.0</v>
      </c>
      <c r="F248" s="185">
        <f t="shared" si="1"/>
        <v>10</v>
      </c>
      <c r="G248" s="185">
        <f t="shared" si="2"/>
        <v>4</v>
      </c>
      <c r="H248" s="185">
        <f t="shared" si="3"/>
        <v>2026</v>
      </c>
      <c r="I248" s="186">
        <v>4.0</v>
      </c>
      <c r="J248" s="186">
        <v>2026.0</v>
      </c>
      <c r="K248" s="187"/>
      <c r="L248" s="187">
        <v>180.0</v>
      </c>
      <c r="M248" s="27">
        <v>1.0</v>
      </c>
      <c r="N248" s="187">
        <f t="shared" si="10"/>
        <v>180</v>
      </c>
      <c r="O248" s="58">
        <v>154.0</v>
      </c>
      <c r="P248" s="74" t="s">
        <v>18</v>
      </c>
      <c r="Q248" s="74" t="s">
        <v>551</v>
      </c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</row>
    <row r="249" ht="15.75" customHeight="1">
      <c r="A249" s="74" t="s">
        <v>22</v>
      </c>
      <c r="B249" s="27" t="s">
        <v>342</v>
      </c>
      <c r="C249" s="183"/>
      <c r="D249" s="74" t="s">
        <v>5</v>
      </c>
      <c r="E249" s="184">
        <v>46122.0</v>
      </c>
      <c r="F249" s="185">
        <f t="shared" si="1"/>
        <v>10</v>
      </c>
      <c r="G249" s="185">
        <f t="shared" si="2"/>
        <v>4</v>
      </c>
      <c r="H249" s="185">
        <f t="shared" si="3"/>
        <v>2026</v>
      </c>
      <c r="I249" s="186">
        <v>4.0</v>
      </c>
      <c r="J249" s="186">
        <v>2026.0</v>
      </c>
      <c r="K249" s="187"/>
      <c r="L249" s="187">
        <v>150.0</v>
      </c>
      <c r="M249" s="27">
        <v>1.0</v>
      </c>
      <c r="N249" s="187">
        <f t="shared" si="10"/>
        <v>150</v>
      </c>
      <c r="O249" s="58">
        <v>152.0</v>
      </c>
      <c r="P249" s="74" t="s">
        <v>18</v>
      </c>
      <c r="Q249" s="74" t="s">
        <v>552</v>
      </c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</row>
    <row r="250" ht="15.75" customHeight="1">
      <c r="A250" s="74" t="s">
        <v>22</v>
      </c>
      <c r="B250" s="27" t="s">
        <v>342</v>
      </c>
      <c r="C250" s="183"/>
      <c r="D250" s="74" t="s">
        <v>5</v>
      </c>
      <c r="E250" s="184">
        <v>46122.0</v>
      </c>
      <c r="F250" s="185">
        <f t="shared" si="1"/>
        <v>10</v>
      </c>
      <c r="G250" s="185">
        <f t="shared" si="2"/>
        <v>4</v>
      </c>
      <c r="H250" s="185">
        <f t="shared" si="3"/>
        <v>2026</v>
      </c>
      <c r="I250" s="186">
        <v>4.0</v>
      </c>
      <c r="J250" s="186">
        <v>2026.0</v>
      </c>
      <c r="K250" s="187"/>
      <c r="L250" s="187">
        <v>80.0</v>
      </c>
      <c r="M250" s="27">
        <v>1.0</v>
      </c>
      <c r="N250" s="187">
        <f t="shared" si="10"/>
        <v>80</v>
      </c>
      <c r="O250" s="58">
        <v>151.0</v>
      </c>
      <c r="P250" s="74" t="s">
        <v>18</v>
      </c>
      <c r="Q250" s="74" t="s">
        <v>554</v>
      </c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</row>
    <row r="251" ht="15.75" customHeight="1">
      <c r="A251" s="74" t="s">
        <v>22</v>
      </c>
      <c r="B251" s="27" t="s">
        <v>24</v>
      </c>
      <c r="C251" s="183"/>
      <c r="D251" s="74" t="s">
        <v>2</v>
      </c>
      <c r="E251" s="184">
        <v>46122.0</v>
      </c>
      <c r="F251" s="185">
        <f t="shared" si="1"/>
        <v>10</v>
      </c>
      <c r="G251" s="185">
        <f t="shared" si="2"/>
        <v>4</v>
      </c>
      <c r="H251" s="185">
        <f t="shared" si="3"/>
        <v>2026</v>
      </c>
      <c r="I251" s="186">
        <v>4.0</v>
      </c>
      <c r="J251" s="186">
        <v>2026.0</v>
      </c>
      <c r="K251" s="187"/>
      <c r="L251" s="187">
        <v>22.3</v>
      </c>
      <c r="M251" s="27">
        <v>1.0</v>
      </c>
      <c r="N251" s="187">
        <f t="shared" si="10"/>
        <v>22.3</v>
      </c>
      <c r="O251" s="58">
        <v>159.0</v>
      </c>
      <c r="P251" s="74"/>
      <c r="Q251" s="74" t="s">
        <v>556</v>
      </c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</row>
    <row r="252" ht="15.75" customHeight="1">
      <c r="A252" s="74" t="s">
        <v>22</v>
      </c>
      <c r="B252" s="27" t="s">
        <v>24</v>
      </c>
      <c r="C252" s="183"/>
      <c r="D252" s="74" t="s">
        <v>2</v>
      </c>
      <c r="E252" s="184">
        <v>46122.0</v>
      </c>
      <c r="F252" s="185">
        <f t="shared" si="1"/>
        <v>10</v>
      </c>
      <c r="G252" s="185">
        <f t="shared" si="2"/>
        <v>4</v>
      </c>
      <c r="H252" s="185">
        <f t="shared" si="3"/>
        <v>2026</v>
      </c>
      <c r="I252" s="186">
        <v>4.0</v>
      </c>
      <c r="J252" s="186">
        <v>2026.0</v>
      </c>
      <c r="K252" s="187"/>
      <c r="L252" s="187">
        <v>14.71</v>
      </c>
      <c r="M252" s="27">
        <v>1.0</v>
      </c>
      <c r="N252" s="187">
        <f t="shared" si="10"/>
        <v>14.71</v>
      </c>
      <c r="O252" s="58">
        <v>160.0</v>
      </c>
      <c r="P252" s="74"/>
      <c r="Q252" s="74" t="s">
        <v>557</v>
      </c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</row>
    <row r="253" ht="15.75" customHeight="1">
      <c r="A253" s="74" t="s">
        <v>22</v>
      </c>
      <c r="B253" s="27" t="s">
        <v>24</v>
      </c>
      <c r="C253" s="183"/>
      <c r="D253" s="74" t="s">
        <v>2</v>
      </c>
      <c r="E253" s="184">
        <v>46123.0</v>
      </c>
      <c r="F253" s="185">
        <f t="shared" si="1"/>
        <v>11</v>
      </c>
      <c r="G253" s="185">
        <f t="shared" si="2"/>
        <v>4</v>
      </c>
      <c r="H253" s="185">
        <f t="shared" si="3"/>
        <v>2026</v>
      </c>
      <c r="I253" s="186">
        <v>4.0</v>
      </c>
      <c r="J253" s="186">
        <v>2026.0</v>
      </c>
      <c r="K253" s="187"/>
      <c r="L253" s="187">
        <v>40.05</v>
      </c>
      <c r="M253" s="27">
        <v>1.0</v>
      </c>
      <c r="N253" s="187">
        <f t="shared" si="10"/>
        <v>40.05</v>
      </c>
      <c r="O253" s="58">
        <v>162.0</v>
      </c>
      <c r="P253" s="74"/>
      <c r="Q253" s="74" t="s">
        <v>515</v>
      </c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</row>
    <row r="254" ht="15.75" customHeight="1">
      <c r="A254" s="74" t="s">
        <v>22</v>
      </c>
      <c r="B254" s="27" t="s">
        <v>24</v>
      </c>
      <c r="C254" s="183"/>
      <c r="D254" s="74" t="s">
        <v>2</v>
      </c>
      <c r="E254" s="184">
        <v>46123.0</v>
      </c>
      <c r="F254" s="185">
        <f t="shared" si="1"/>
        <v>11</v>
      </c>
      <c r="G254" s="185">
        <f t="shared" si="2"/>
        <v>4</v>
      </c>
      <c r="H254" s="185">
        <f t="shared" si="3"/>
        <v>2026</v>
      </c>
      <c r="I254" s="186">
        <v>4.0</v>
      </c>
      <c r="J254" s="186">
        <v>2026.0</v>
      </c>
      <c r="K254" s="187"/>
      <c r="L254" s="187">
        <v>13.08</v>
      </c>
      <c r="M254" s="27">
        <v>1.0</v>
      </c>
      <c r="N254" s="187">
        <f t="shared" si="10"/>
        <v>13.08</v>
      </c>
      <c r="O254" s="58">
        <v>161.0</v>
      </c>
      <c r="P254" s="74"/>
      <c r="Q254" s="74" t="s">
        <v>557</v>
      </c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</row>
    <row r="255" ht="15.75" customHeight="1">
      <c r="A255" s="74" t="s">
        <v>167</v>
      </c>
      <c r="B255" s="27" t="s">
        <v>40</v>
      </c>
      <c r="C255" s="183"/>
      <c r="D255" s="74" t="s">
        <v>2</v>
      </c>
      <c r="E255" s="184">
        <v>46126.0</v>
      </c>
      <c r="F255" s="185">
        <f t="shared" si="1"/>
        <v>14</v>
      </c>
      <c r="G255" s="185">
        <f t="shared" si="2"/>
        <v>4</v>
      </c>
      <c r="H255" s="185">
        <f t="shared" si="3"/>
        <v>2026</v>
      </c>
      <c r="I255" s="186">
        <v>3.0</v>
      </c>
      <c r="J255" s="186">
        <v>2026.0</v>
      </c>
      <c r="K255" s="187"/>
      <c r="L255" s="187">
        <v>149.88</v>
      </c>
      <c r="M255" s="27">
        <v>1.0</v>
      </c>
      <c r="N255" s="187">
        <f t="shared" si="10"/>
        <v>149.88</v>
      </c>
      <c r="O255" s="58"/>
      <c r="P255" s="74"/>
      <c r="Q255" s="74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</row>
    <row r="256" ht="15.75" customHeight="1">
      <c r="A256" s="74" t="s">
        <v>22</v>
      </c>
      <c r="B256" s="27" t="s">
        <v>27</v>
      </c>
      <c r="C256" s="183"/>
      <c r="D256" s="74" t="s">
        <v>5</v>
      </c>
      <c r="E256" s="184">
        <v>46126.0</v>
      </c>
      <c r="F256" s="185">
        <f t="shared" si="1"/>
        <v>14</v>
      </c>
      <c r="G256" s="185">
        <f t="shared" si="2"/>
        <v>4</v>
      </c>
      <c r="H256" s="185">
        <f t="shared" si="3"/>
        <v>2026</v>
      </c>
      <c r="I256" s="186">
        <v>4.0</v>
      </c>
      <c r="J256" s="186">
        <v>2026.0</v>
      </c>
      <c r="K256" s="187"/>
      <c r="L256" s="187">
        <v>40.22</v>
      </c>
      <c r="M256" s="27">
        <v>1.0</v>
      </c>
      <c r="N256" s="187">
        <f t="shared" si="10"/>
        <v>40.22</v>
      </c>
      <c r="O256" s="58">
        <v>181.0</v>
      </c>
      <c r="P256" s="74" t="s">
        <v>17</v>
      </c>
      <c r="Q256" s="74" t="s">
        <v>367</v>
      </c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</row>
    <row r="257" ht="15.75" customHeight="1">
      <c r="A257" s="74" t="s">
        <v>22</v>
      </c>
      <c r="B257" s="27" t="s">
        <v>27</v>
      </c>
      <c r="C257" s="183"/>
      <c r="D257" s="74" t="s">
        <v>5</v>
      </c>
      <c r="E257" s="184">
        <v>46126.0</v>
      </c>
      <c r="F257" s="185">
        <f t="shared" si="1"/>
        <v>14</v>
      </c>
      <c r="G257" s="185">
        <f t="shared" si="2"/>
        <v>4</v>
      </c>
      <c r="H257" s="185">
        <f t="shared" si="3"/>
        <v>2026</v>
      </c>
      <c r="I257" s="186">
        <v>4.0</v>
      </c>
      <c r="J257" s="186">
        <v>2026.0</v>
      </c>
      <c r="K257" s="187"/>
      <c r="L257" s="187">
        <v>14.99</v>
      </c>
      <c r="M257" s="27">
        <v>1.0</v>
      </c>
      <c r="N257" s="187">
        <f t="shared" si="10"/>
        <v>14.99</v>
      </c>
      <c r="O257" s="58">
        <v>179.0</v>
      </c>
      <c r="P257" s="74" t="s">
        <v>17</v>
      </c>
      <c r="Q257" s="74" t="s">
        <v>562</v>
      </c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</row>
    <row r="258" ht="15.75" customHeight="1">
      <c r="A258" s="74" t="s">
        <v>22</v>
      </c>
      <c r="B258" s="27" t="s">
        <v>25</v>
      </c>
      <c r="C258" s="183"/>
      <c r="D258" s="74" t="s">
        <v>2</v>
      </c>
      <c r="E258" s="184">
        <v>46127.0</v>
      </c>
      <c r="F258" s="185">
        <f t="shared" si="1"/>
        <v>15</v>
      </c>
      <c r="G258" s="185">
        <f t="shared" si="2"/>
        <v>4</v>
      </c>
      <c r="H258" s="185">
        <f t="shared" si="3"/>
        <v>2026</v>
      </c>
      <c r="I258" s="186">
        <v>4.0</v>
      </c>
      <c r="J258" s="186">
        <v>2026.0</v>
      </c>
      <c r="K258" s="187"/>
      <c r="L258" s="187">
        <v>3410.0</v>
      </c>
      <c r="M258" s="27">
        <v>1.0</v>
      </c>
      <c r="N258" s="187">
        <f t="shared" si="10"/>
        <v>3410</v>
      </c>
      <c r="O258" s="58">
        <v>172.0</v>
      </c>
      <c r="P258" s="74"/>
      <c r="Q258" s="74" t="s">
        <v>564</v>
      </c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</row>
    <row r="259" ht="15.75" customHeight="1">
      <c r="A259" s="74" t="s">
        <v>22</v>
      </c>
      <c r="B259" s="27" t="s">
        <v>342</v>
      </c>
      <c r="C259" s="183"/>
      <c r="D259" s="74" t="s">
        <v>5</v>
      </c>
      <c r="E259" s="184">
        <v>46127.0</v>
      </c>
      <c r="F259" s="185">
        <f t="shared" si="1"/>
        <v>15</v>
      </c>
      <c r="G259" s="185">
        <f t="shared" si="2"/>
        <v>4</v>
      </c>
      <c r="H259" s="185">
        <f t="shared" si="3"/>
        <v>2026</v>
      </c>
      <c r="I259" s="186">
        <v>4.0</v>
      </c>
      <c r="J259" s="186">
        <v>2026.0</v>
      </c>
      <c r="K259" s="187"/>
      <c r="L259" s="187">
        <v>320.0</v>
      </c>
      <c r="M259" s="27">
        <v>1.0</v>
      </c>
      <c r="N259" s="187">
        <f t="shared" si="10"/>
        <v>320</v>
      </c>
      <c r="O259" s="58">
        <v>184.0</v>
      </c>
      <c r="P259" s="74" t="s">
        <v>18</v>
      </c>
      <c r="Q259" s="74" t="s">
        <v>358</v>
      </c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</row>
    <row r="260" ht="15.75" customHeight="1">
      <c r="A260" s="74" t="s">
        <v>22</v>
      </c>
      <c r="B260" s="27" t="s">
        <v>27</v>
      </c>
      <c r="C260" s="183"/>
      <c r="D260" s="74" t="s">
        <v>2</v>
      </c>
      <c r="E260" s="184">
        <v>46127.0</v>
      </c>
      <c r="F260" s="185">
        <f t="shared" si="1"/>
        <v>15</v>
      </c>
      <c r="G260" s="185">
        <f t="shared" si="2"/>
        <v>4</v>
      </c>
      <c r="H260" s="185">
        <f t="shared" si="3"/>
        <v>2026</v>
      </c>
      <c r="I260" s="186">
        <v>4.0</v>
      </c>
      <c r="J260" s="186">
        <v>2026.0</v>
      </c>
      <c r="K260" s="187"/>
      <c r="L260" s="187">
        <v>266.48</v>
      </c>
      <c r="M260" s="27">
        <v>1.0</v>
      </c>
      <c r="N260" s="187">
        <f t="shared" si="10"/>
        <v>266.48</v>
      </c>
      <c r="O260" s="58">
        <v>178.0</v>
      </c>
      <c r="P260" s="74"/>
      <c r="Q260" s="74" t="s">
        <v>567</v>
      </c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</row>
    <row r="261" ht="15.75" customHeight="1">
      <c r="A261" s="74" t="s">
        <v>22</v>
      </c>
      <c r="B261" s="27" t="s">
        <v>27</v>
      </c>
      <c r="C261" s="183"/>
      <c r="D261" s="74" t="s">
        <v>2</v>
      </c>
      <c r="E261" s="184">
        <v>46127.0</v>
      </c>
      <c r="F261" s="185">
        <f t="shared" si="1"/>
        <v>15</v>
      </c>
      <c r="G261" s="185">
        <f t="shared" si="2"/>
        <v>4</v>
      </c>
      <c r="H261" s="185">
        <f t="shared" si="3"/>
        <v>2026</v>
      </c>
      <c r="I261" s="186">
        <v>4.0</v>
      </c>
      <c r="J261" s="186">
        <v>2026.0</v>
      </c>
      <c r="K261" s="187"/>
      <c r="L261" s="187">
        <v>188.91</v>
      </c>
      <c r="M261" s="27">
        <v>1.0</v>
      </c>
      <c r="N261" s="187">
        <f t="shared" si="10"/>
        <v>188.91</v>
      </c>
      <c r="O261" s="58">
        <v>167.0</v>
      </c>
      <c r="P261" s="74"/>
      <c r="Q261" s="74" t="s">
        <v>568</v>
      </c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</row>
    <row r="262" ht="15.75" customHeight="1">
      <c r="A262" s="74" t="s">
        <v>22</v>
      </c>
      <c r="B262" s="27" t="s">
        <v>27</v>
      </c>
      <c r="C262" s="183"/>
      <c r="D262" s="74" t="s">
        <v>2</v>
      </c>
      <c r="E262" s="184">
        <v>46127.0</v>
      </c>
      <c r="F262" s="185">
        <f t="shared" si="1"/>
        <v>15</v>
      </c>
      <c r="G262" s="185">
        <f t="shared" si="2"/>
        <v>4</v>
      </c>
      <c r="H262" s="185">
        <f t="shared" si="3"/>
        <v>2026</v>
      </c>
      <c r="I262" s="186">
        <v>4.0</v>
      </c>
      <c r="J262" s="186">
        <v>2026.0</v>
      </c>
      <c r="K262" s="187"/>
      <c r="L262" s="187">
        <v>132.52</v>
      </c>
      <c r="M262" s="27">
        <v>1.0</v>
      </c>
      <c r="N262" s="187">
        <f t="shared" si="10"/>
        <v>132.52</v>
      </c>
      <c r="O262" s="58">
        <v>177.0</v>
      </c>
      <c r="P262" s="74"/>
      <c r="Q262" s="74" t="s">
        <v>570</v>
      </c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</row>
    <row r="263" ht="15.75" customHeight="1">
      <c r="A263" s="74" t="s">
        <v>22</v>
      </c>
      <c r="B263" s="27" t="s">
        <v>24</v>
      </c>
      <c r="C263" s="183"/>
      <c r="D263" s="74" t="s">
        <v>2</v>
      </c>
      <c r="E263" s="184">
        <v>46127.0</v>
      </c>
      <c r="F263" s="185">
        <f t="shared" si="1"/>
        <v>15</v>
      </c>
      <c r="G263" s="185">
        <f t="shared" si="2"/>
        <v>4</v>
      </c>
      <c r="H263" s="185">
        <f t="shared" si="3"/>
        <v>2026</v>
      </c>
      <c r="I263" s="186">
        <v>4.0</v>
      </c>
      <c r="J263" s="186">
        <v>2026.0</v>
      </c>
      <c r="K263" s="187"/>
      <c r="L263" s="187">
        <v>17.6</v>
      </c>
      <c r="M263" s="27">
        <v>1.0</v>
      </c>
      <c r="N263" s="187">
        <f t="shared" si="10"/>
        <v>17.6</v>
      </c>
      <c r="O263" s="58">
        <v>176.0</v>
      </c>
      <c r="P263" s="74"/>
      <c r="Q263" s="74" t="s">
        <v>572</v>
      </c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</row>
    <row r="264" ht="15.75" customHeight="1">
      <c r="A264" s="74" t="s">
        <v>22</v>
      </c>
      <c r="B264" s="27" t="s">
        <v>28</v>
      </c>
      <c r="C264" s="183"/>
      <c r="D264" s="74" t="s">
        <v>2</v>
      </c>
      <c r="E264" s="184">
        <v>46128.0</v>
      </c>
      <c r="F264" s="185">
        <f t="shared" si="1"/>
        <v>16</v>
      </c>
      <c r="G264" s="185">
        <f t="shared" si="2"/>
        <v>4</v>
      </c>
      <c r="H264" s="185">
        <f t="shared" si="3"/>
        <v>2026</v>
      </c>
      <c r="I264" s="186">
        <v>4.0</v>
      </c>
      <c r="J264" s="186">
        <v>2026.0</v>
      </c>
      <c r="K264" s="187"/>
      <c r="L264" s="187">
        <v>2066.4</v>
      </c>
      <c r="M264" s="27">
        <v>1.0</v>
      </c>
      <c r="N264" s="187">
        <f t="shared" si="10"/>
        <v>2066.4</v>
      </c>
      <c r="O264" s="58">
        <v>175.0</v>
      </c>
      <c r="P264" s="74"/>
      <c r="Q264" s="74" t="s">
        <v>573</v>
      </c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</row>
    <row r="265" ht="15.75" customHeight="1">
      <c r="A265" s="74" t="s">
        <v>22</v>
      </c>
      <c r="B265" s="27" t="s">
        <v>27</v>
      </c>
      <c r="C265" s="183"/>
      <c r="D265" s="74" t="s">
        <v>2</v>
      </c>
      <c r="E265" s="184">
        <v>46128.0</v>
      </c>
      <c r="F265" s="185">
        <f t="shared" si="1"/>
        <v>16</v>
      </c>
      <c r="G265" s="185">
        <f t="shared" si="2"/>
        <v>4</v>
      </c>
      <c r="H265" s="185">
        <f t="shared" si="3"/>
        <v>2026</v>
      </c>
      <c r="I265" s="186">
        <v>4.0</v>
      </c>
      <c r="J265" s="186">
        <v>2026.0</v>
      </c>
      <c r="K265" s="187"/>
      <c r="L265" s="187">
        <v>44.14</v>
      </c>
      <c r="M265" s="27">
        <v>1.0</v>
      </c>
      <c r="N265" s="187">
        <f t="shared" si="10"/>
        <v>44.14</v>
      </c>
      <c r="O265" s="58">
        <v>180.0</v>
      </c>
      <c r="P265" s="74"/>
      <c r="Q265" s="74" t="s">
        <v>367</v>
      </c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</row>
    <row r="266" ht="15.75" customHeight="1">
      <c r="A266" s="74" t="s">
        <v>22</v>
      </c>
      <c r="B266" s="27" t="s">
        <v>27</v>
      </c>
      <c r="C266" s="183"/>
      <c r="D266" s="74" t="s">
        <v>2</v>
      </c>
      <c r="E266" s="184">
        <v>46128.0</v>
      </c>
      <c r="F266" s="185">
        <f t="shared" si="1"/>
        <v>16</v>
      </c>
      <c r="G266" s="185">
        <f t="shared" si="2"/>
        <v>4</v>
      </c>
      <c r="H266" s="185">
        <f t="shared" si="3"/>
        <v>2026</v>
      </c>
      <c r="I266" s="186">
        <v>4.0</v>
      </c>
      <c r="J266" s="186">
        <v>2026.0</v>
      </c>
      <c r="K266" s="187"/>
      <c r="L266" s="187">
        <v>24.99</v>
      </c>
      <c r="M266" s="27">
        <v>1.0</v>
      </c>
      <c r="N266" s="187">
        <f t="shared" si="10"/>
        <v>24.99</v>
      </c>
      <c r="O266" s="58">
        <v>168.0</v>
      </c>
      <c r="P266" s="74"/>
      <c r="Q266" s="74" t="s">
        <v>568</v>
      </c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</row>
    <row r="267" ht="15.75" customHeight="1">
      <c r="A267" s="74" t="s">
        <v>22</v>
      </c>
      <c r="B267" s="27" t="s">
        <v>342</v>
      </c>
      <c r="C267" s="183"/>
      <c r="D267" s="74" t="s">
        <v>5</v>
      </c>
      <c r="E267" s="184">
        <v>46129.0</v>
      </c>
      <c r="F267" s="185">
        <f t="shared" si="1"/>
        <v>17</v>
      </c>
      <c r="G267" s="185">
        <f t="shared" si="2"/>
        <v>4</v>
      </c>
      <c r="H267" s="185">
        <f t="shared" si="3"/>
        <v>2026</v>
      </c>
      <c r="I267" s="186">
        <v>4.0</v>
      </c>
      <c r="J267" s="186">
        <v>2026.0</v>
      </c>
      <c r="K267" s="187"/>
      <c r="L267" s="187">
        <v>800.0</v>
      </c>
      <c r="M267" s="27">
        <v>1.0</v>
      </c>
      <c r="N267" s="187">
        <f t="shared" si="10"/>
        <v>800</v>
      </c>
      <c r="O267" s="58">
        <v>185.0</v>
      </c>
      <c r="P267" s="74" t="s">
        <v>18</v>
      </c>
      <c r="Q267" s="74" t="s">
        <v>438</v>
      </c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 ht="15.75" customHeight="1">
      <c r="A268" s="74" t="s">
        <v>22</v>
      </c>
      <c r="B268" s="27" t="s">
        <v>342</v>
      </c>
      <c r="C268" s="183"/>
      <c r="D268" s="74" t="s">
        <v>5</v>
      </c>
      <c r="E268" s="184">
        <v>46129.0</v>
      </c>
      <c r="F268" s="185">
        <f t="shared" si="1"/>
        <v>17</v>
      </c>
      <c r="G268" s="185">
        <f t="shared" si="2"/>
        <v>4</v>
      </c>
      <c r="H268" s="185">
        <f t="shared" si="3"/>
        <v>2026</v>
      </c>
      <c r="I268" s="186">
        <v>4.0</v>
      </c>
      <c r="J268" s="186">
        <v>2026.0</v>
      </c>
      <c r="K268" s="187"/>
      <c r="L268" s="187">
        <v>200.0</v>
      </c>
      <c r="M268" s="27">
        <v>1.0</v>
      </c>
      <c r="N268" s="187">
        <f t="shared" si="10"/>
        <v>200</v>
      </c>
      <c r="O268" s="58">
        <v>182.0</v>
      </c>
      <c r="P268" s="74" t="s">
        <v>18</v>
      </c>
      <c r="Q268" s="74" t="s">
        <v>551</v>
      </c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</row>
    <row r="269" ht="15.75" customHeight="1">
      <c r="A269" s="74" t="s">
        <v>22</v>
      </c>
      <c r="B269" s="27" t="s">
        <v>342</v>
      </c>
      <c r="C269" s="183"/>
      <c r="D269" s="74" t="s">
        <v>5</v>
      </c>
      <c r="E269" s="184">
        <v>46129.0</v>
      </c>
      <c r="F269" s="185">
        <f t="shared" si="1"/>
        <v>17</v>
      </c>
      <c r="G269" s="185">
        <f t="shared" si="2"/>
        <v>4</v>
      </c>
      <c r="H269" s="185">
        <f t="shared" si="3"/>
        <v>2026</v>
      </c>
      <c r="I269" s="186">
        <v>4.0</v>
      </c>
      <c r="J269" s="186">
        <v>2026.0</v>
      </c>
      <c r="K269" s="187"/>
      <c r="L269" s="187">
        <v>150.0</v>
      </c>
      <c r="M269" s="27">
        <v>1.0</v>
      </c>
      <c r="N269" s="187">
        <f t="shared" si="10"/>
        <v>150</v>
      </c>
      <c r="O269" s="58">
        <v>183.0</v>
      </c>
      <c r="P269" s="74" t="s">
        <v>18</v>
      </c>
      <c r="Q269" s="74" t="s">
        <v>357</v>
      </c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</row>
    <row r="270" ht="15.75" customHeight="1">
      <c r="A270" s="74" t="s">
        <v>22</v>
      </c>
      <c r="B270" s="27" t="s">
        <v>27</v>
      </c>
      <c r="C270" s="183"/>
      <c r="D270" s="74" t="s">
        <v>2</v>
      </c>
      <c r="E270" s="184">
        <v>46129.0</v>
      </c>
      <c r="F270" s="185">
        <f t="shared" si="1"/>
        <v>17</v>
      </c>
      <c r="G270" s="185">
        <f t="shared" si="2"/>
        <v>4</v>
      </c>
      <c r="H270" s="185">
        <f t="shared" si="3"/>
        <v>2026</v>
      </c>
      <c r="I270" s="186">
        <v>4.0</v>
      </c>
      <c r="J270" s="186">
        <v>2026.0</v>
      </c>
      <c r="K270" s="187"/>
      <c r="L270" s="187">
        <v>61.84</v>
      </c>
      <c r="M270" s="27">
        <v>1.0</v>
      </c>
      <c r="N270" s="187">
        <f t="shared" si="10"/>
        <v>61.84</v>
      </c>
      <c r="O270" s="58">
        <v>170.0</v>
      </c>
      <c r="P270" s="74"/>
      <c r="Q270" s="74" t="s">
        <v>580</v>
      </c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</row>
    <row r="271" ht="15.75" customHeight="1">
      <c r="A271" s="74" t="s">
        <v>22</v>
      </c>
      <c r="B271" s="27" t="s">
        <v>27</v>
      </c>
      <c r="C271" s="183"/>
      <c r="D271" s="74" t="s">
        <v>2</v>
      </c>
      <c r="E271" s="184">
        <v>46129.0</v>
      </c>
      <c r="F271" s="185">
        <f t="shared" si="1"/>
        <v>17</v>
      </c>
      <c r="G271" s="185">
        <f t="shared" si="2"/>
        <v>4</v>
      </c>
      <c r="H271" s="185">
        <f t="shared" si="3"/>
        <v>2026</v>
      </c>
      <c r="I271" s="186">
        <v>4.0</v>
      </c>
      <c r="J271" s="186">
        <v>2026.0</v>
      </c>
      <c r="K271" s="187"/>
      <c r="L271" s="187">
        <v>41.12</v>
      </c>
      <c r="M271" s="27">
        <v>1.0</v>
      </c>
      <c r="N271" s="187">
        <f t="shared" si="10"/>
        <v>41.12</v>
      </c>
      <c r="O271" s="58">
        <v>171.0</v>
      </c>
      <c r="P271" s="74"/>
      <c r="Q271" s="74" t="s">
        <v>582</v>
      </c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</row>
    <row r="272" ht="15.75" customHeight="1">
      <c r="A272" s="74" t="s">
        <v>22</v>
      </c>
      <c r="B272" s="27" t="s">
        <v>27</v>
      </c>
      <c r="C272" s="183"/>
      <c r="D272" s="74" t="s">
        <v>2</v>
      </c>
      <c r="E272" s="184">
        <v>46129.0</v>
      </c>
      <c r="F272" s="185">
        <f t="shared" si="1"/>
        <v>17</v>
      </c>
      <c r="G272" s="185">
        <f t="shared" si="2"/>
        <v>4</v>
      </c>
      <c r="H272" s="185">
        <f t="shared" si="3"/>
        <v>2026</v>
      </c>
      <c r="I272" s="186">
        <v>4.0</v>
      </c>
      <c r="J272" s="186">
        <v>2026.0</v>
      </c>
      <c r="K272" s="187"/>
      <c r="L272" s="187">
        <v>34.05</v>
      </c>
      <c r="M272" s="27">
        <v>1.0</v>
      </c>
      <c r="N272" s="187">
        <f t="shared" si="10"/>
        <v>34.05</v>
      </c>
      <c r="O272" s="58">
        <v>169.0</v>
      </c>
      <c r="P272" s="74"/>
      <c r="Q272" s="74" t="s">
        <v>583</v>
      </c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</row>
    <row r="273" ht="15.75" customHeight="1">
      <c r="A273" s="74" t="s">
        <v>22</v>
      </c>
      <c r="B273" s="27" t="s">
        <v>27</v>
      </c>
      <c r="C273" s="183"/>
      <c r="D273" s="74" t="s">
        <v>2</v>
      </c>
      <c r="E273" s="184">
        <v>46129.0</v>
      </c>
      <c r="F273" s="185">
        <f t="shared" si="1"/>
        <v>17</v>
      </c>
      <c r="G273" s="185">
        <f t="shared" si="2"/>
        <v>4</v>
      </c>
      <c r="H273" s="185">
        <f t="shared" si="3"/>
        <v>2026</v>
      </c>
      <c r="I273" s="186">
        <v>4.0</v>
      </c>
      <c r="J273" s="186">
        <v>2026.0</v>
      </c>
      <c r="K273" s="187"/>
      <c r="L273" s="187">
        <v>31.98</v>
      </c>
      <c r="M273" s="27">
        <v>1.0</v>
      </c>
      <c r="N273" s="187">
        <f t="shared" si="10"/>
        <v>31.98</v>
      </c>
      <c r="O273" s="58">
        <v>173.0</v>
      </c>
      <c r="P273" s="74"/>
      <c r="Q273" s="74" t="s">
        <v>585</v>
      </c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</row>
    <row r="274" ht="15.75" customHeight="1">
      <c r="A274" s="74" t="s">
        <v>22</v>
      </c>
      <c r="B274" s="27" t="s">
        <v>24</v>
      </c>
      <c r="C274" s="183"/>
      <c r="D274" s="74" t="s">
        <v>2</v>
      </c>
      <c r="E274" s="184">
        <v>46129.0</v>
      </c>
      <c r="F274" s="185">
        <f t="shared" si="1"/>
        <v>17</v>
      </c>
      <c r="G274" s="185">
        <f t="shared" si="2"/>
        <v>4</v>
      </c>
      <c r="H274" s="185">
        <f t="shared" si="3"/>
        <v>2026</v>
      </c>
      <c r="I274" s="186">
        <v>4.0</v>
      </c>
      <c r="J274" s="186">
        <v>2026.0</v>
      </c>
      <c r="K274" s="187"/>
      <c r="L274" s="187">
        <v>10.38</v>
      </c>
      <c r="M274" s="27">
        <v>1.0</v>
      </c>
      <c r="N274" s="187">
        <f t="shared" si="10"/>
        <v>10.38</v>
      </c>
      <c r="O274" s="58">
        <v>174.0</v>
      </c>
      <c r="P274" s="74"/>
      <c r="Q274" s="74" t="s">
        <v>557</v>
      </c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</row>
    <row r="275" ht="15.75" customHeight="1">
      <c r="A275" s="74" t="s">
        <v>22</v>
      </c>
      <c r="B275" s="27" t="s">
        <v>27</v>
      </c>
      <c r="C275" s="183"/>
      <c r="D275" s="74" t="s">
        <v>2</v>
      </c>
      <c r="E275" s="184">
        <v>46130.0</v>
      </c>
      <c r="F275" s="185">
        <f t="shared" si="1"/>
        <v>18</v>
      </c>
      <c r="G275" s="185">
        <f t="shared" si="2"/>
        <v>4</v>
      </c>
      <c r="H275" s="185">
        <f t="shared" si="3"/>
        <v>2026</v>
      </c>
      <c r="I275" s="186">
        <v>4.0</v>
      </c>
      <c r="J275" s="186">
        <v>2026.0</v>
      </c>
      <c r="K275" s="187"/>
      <c r="L275" s="187">
        <v>55.94</v>
      </c>
      <c r="M275" s="27">
        <v>1.0</v>
      </c>
      <c r="N275" s="187">
        <f t="shared" si="10"/>
        <v>55.94</v>
      </c>
      <c r="O275" s="58">
        <v>166.0</v>
      </c>
      <c r="P275" s="74"/>
      <c r="Q275" s="74" t="s">
        <v>568</v>
      </c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</row>
    <row r="276" ht="15.75" customHeight="1">
      <c r="A276" s="74" t="s">
        <v>22</v>
      </c>
      <c r="B276" s="27" t="s">
        <v>24</v>
      </c>
      <c r="C276" s="183"/>
      <c r="D276" s="74" t="s">
        <v>2</v>
      </c>
      <c r="E276" s="184">
        <v>46130.0</v>
      </c>
      <c r="F276" s="185">
        <f t="shared" si="1"/>
        <v>18</v>
      </c>
      <c r="G276" s="185">
        <f t="shared" si="2"/>
        <v>4</v>
      </c>
      <c r="H276" s="185">
        <f t="shared" si="3"/>
        <v>2026</v>
      </c>
      <c r="I276" s="186">
        <v>4.0</v>
      </c>
      <c r="J276" s="186">
        <v>2026.0</v>
      </c>
      <c r="K276" s="187"/>
      <c r="L276" s="187">
        <v>35.9</v>
      </c>
      <c r="M276" s="27">
        <v>1.0</v>
      </c>
      <c r="N276" s="187">
        <f t="shared" si="10"/>
        <v>35.9</v>
      </c>
      <c r="O276" s="58">
        <v>165.0</v>
      </c>
      <c r="P276" s="74"/>
      <c r="Q276" s="74" t="s">
        <v>588</v>
      </c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</row>
    <row r="277" ht="15.75" customHeight="1">
      <c r="A277" s="74" t="s">
        <v>334</v>
      </c>
      <c r="B277" s="27" t="s">
        <v>34</v>
      </c>
      <c r="C277" s="183"/>
      <c r="D277" s="74" t="s">
        <v>2</v>
      </c>
      <c r="E277" s="184">
        <v>46132.0</v>
      </c>
      <c r="F277" s="185">
        <f t="shared" si="1"/>
        <v>20</v>
      </c>
      <c r="G277" s="185">
        <f t="shared" si="2"/>
        <v>4</v>
      </c>
      <c r="H277" s="185">
        <f t="shared" si="3"/>
        <v>2026</v>
      </c>
      <c r="I277" s="186">
        <v>4.0</v>
      </c>
      <c r="J277" s="186">
        <v>2026.0</v>
      </c>
      <c r="K277" s="187"/>
      <c r="L277" s="187">
        <v>93.1</v>
      </c>
      <c r="M277" s="27">
        <v>1.0</v>
      </c>
      <c r="N277" s="187">
        <f t="shared" si="10"/>
        <v>93.1</v>
      </c>
      <c r="O277" s="58"/>
      <c r="P277" s="74"/>
      <c r="Q277" s="74" t="s">
        <v>590</v>
      </c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</row>
    <row r="278" ht="15.75" customHeight="1">
      <c r="A278" s="74" t="s">
        <v>22</v>
      </c>
      <c r="B278" s="27" t="s">
        <v>342</v>
      </c>
      <c r="C278" s="183"/>
      <c r="D278" s="74" t="s">
        <v>2</v>
      </c>
      <c r="E278" s="184">
        <v>46132.0</v>
      </c>
      <c r="F278" s="185">
        <f t="shared" si="1"/>
        <v>20</v>
      </c>
      <c r="G278" s="185">
        <f t="shared" si="2"/>
        <v>4</v>
      </c>
      <c r="H278" s="185">
        <f t="shared" si="3"/>
        <v>2026</v>
      </c>
      <c r="I278" s="186">
        <v>4.0</v>
      </c>
      <c r="J278" s="186">
        <v>2026.0</v>
      </c>
      <c r="K278" s="187"/>
      <c r="L278" s="187">
        <v>615.0</v>
      </c>
      <c r="M278" s="27">
        <v>1.0</v>
      </c>
      <c r="N278" s="187">
        <f t="shared" si="10"/>
        <v>615</v>
      </c>
      <c r="O278" s="58">
        <v>164.0</v>
      </c>
      <c r="P278" s="74"/>
      <c r="Q278" s="74" t="s">
        <v>591</v>
      </c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</row>
    <row r="279" ht="15.75" customHeight="1">
      <c r="A279" s="74" t="s">
        <v>156</v>
      </c>
      <c r="B279" s="27" t="s">
        <v>44</v>
      </c>
      <c r="C279" s="183"/>
      <c r="D279" s="74" t="s">
        <v>2</v>
      </c>
      <c r="E279" s="184">
        <v>46133.0</v>
      </c>
      <c r="F279" s="185">
        <f t="shared" si="1"/>
        <v>21</v>
      </c>
      <c r="G279" s="185">
        <f t="shared" si="2"/>
        <v>4</v>
      </c>
      <c r="H279" s="185">
        <f t="shared" si="3"/>
        <v>2026</v>
      </c>
      <c r="I279" s="186">
        <v>2.0</v>
      </c>
      <c r="J279" s="186">
        <v>2026.0</v>
      </c>
      <c r="K279" s="187"/>
      <c r="L279" s="187">
        <v>188.1</v>
      </c>
      <c r="M279" s="27">
        <v>1.0</v>
      </c>
      <c r="N279" s="187">
        <f t="shared" si="10"/>
        <v>188.1</v>
      </c>
      <c r="O279" s="58"/>
      <c r="P279" s="74"/>
      <c r="Q279" s="74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</row>
    <row r="280" ht="15.75" customHeight="1">
      <c r="A280" s="74" t="s">
        <v>156</v>
      </c>
      <c r="B280" s="27" t="s">
        <v>44</v>
      </c>
      <c r="C280" s="183"/>
      <c r="D280" s="74" t="s">
        <v>2</v>
      </c>
      <c r="E280" s="184">
        <v>46133.0</v>
      </c>
      <c r="F280" s="185">
        <f t="shared" si="1"/>
        <v>21</v>
      </c>
      <c r="G280" s="185">
        <f t="shared" si="2"/>
        <v>4</v>
      </c>
      <c r="H280" s="185">
        <f t="shared" si="3"/>
        <v>2026</v>
      </c>
      <c r="I280" s="186">
        <v>3.0</v>
      </c>
      <c r="J280" s="186">
        <v>2026.0</v>
      </c>
      <c r="K280" s="187"/>
      <c r="L280" s="187">
        <v>188.1</v>
      </c>
      <c r="M280" s="27">
        <v>1.0</v>
      </c>
      <c r="N280" s="187">
        <f t="shared" si="10"/>
        <v>188.1</v>
      </c>
      <c r="O280" s="58"/>
      <c r="P280" s="74"/>
      <c r="Q280" s="74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</row>
    <row r="281" ht="15.75" customHeight="1">
      <c r="A281" s="74" t="s">
        <v>22</v>
      </c>
      <c r="B281" s="27" t="s">
        <v>25</v>
      </c>
      <c r="C281" s="183"/>
      <c r="D281" s="74" t="s">
        <v>2</v>
      </c>
      <c r="E281" s="184">
        <v>46133.0</v>
      </c>
      <c r="F281" s="185">
        <f t="shared" si="1"/>
        <v>21</v>
      </c>
      <c r="G281" s="185">
        <f t="shared" si="2"/>
        <v>4</v>
      </c>
      <c r="H281" s="185">
        <f t="shared" si="3"/>
        <v>2026</v>
      </c>
      <c r="I281" s="186">
        <v>4.0</v>
      </c>
      <c r="J281" s="186">
        <v>2026.0</v>
      </c>
      <c r="K281" s="187"/>
      <c r="L281" s="187">
        <v>379.8</v>
      </c>
      <c r="M281" s="27">
        <v>1.0</v>
      </c>
      <c r="N281" s="187">
        <f t="shared" si="10"/>
        <v>379.8</v>
      </c>
      <c r="O281" s="58">
        <v>163.0</v>
      </c>
      <c r="P281" s="74"/>
      <c r="Q281" s="74" t="s">
        <v>594</v>
      </c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</row>
    <row r="282" ht="15.75" customHeight="1">
      <c r="A282" s="74" t="s">
        <v>22</v>
      </c>
      <c r="B282" s="27" t="s">
        <v>25</v>
      </c>
      <c r="C282" s="183"/>
      <c r="D282" s="74" t="s">
        <v>2</v>
      </c>
      <c r="E282" s="184">
        <v>46134.0</v>
      </c>
      <c r="F282" s="185">
        <f t="shared" si="1"/>
        <v>22</v>
      </c>
      <c r="G282" s="185">
        <f t="shared" si="2"/>
        <v>4</v>
      </c>
      <c r="H282" s="185">
        <f t="shared" si="3"/>
        <v>2026</v>
      </c>
      <c r="I282" s="186">
        <v>4.0</v>
      </c>
      <c r="J282" s="186">
        <v>2026.0</v>
      </c>
      <c r="K282" s="187"/>
      <c r="L282" s="187">
        <v>120.93</v>
      </c>
      <c r="M282" s="27">
        <v>1.0</v>
      </c>
      <c r="N282" s="187">
        <f t="shared" si="10"/>
        <v>120.93</v>
      </c>
      <c r="O282" s="58">
        <v>186.0</v>
      </c>
      <c r="P282" s="74"/>
      <c r="Q282" s="74" t="s">
        <v>596</v>
      </c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</row>
    <row r="283" ht="15.75" customHeight="1">
      <c r="A283" s="74" t="s">
        <v>22</v>
      </c>
      <c r="B283" s="27" t="s">
        <v>25</v>
      </c>
      <c r="C283" s="183"/>
      <c r="D283" s="74" t="s">
        <v>2</v>
      </c>
      <c r="E283" s="184">
        <v>46135.0</v>
      </c>
      <c r="F283" s="185">
        <f t="shared" si="1"/>
        <v>23</v>
      </c>
      <c r="G283" s="185">
        <f t="shared" si="2"/>
        <v>4</v>
      </c>
      <c r="H283" s="185">
        <f t="shared" si="3"/>
        <v>2026</v>
      </c>
      <c r="I283" s="186">
        <v>4.0</v>
      </c>
      <c r="J283" s="186">
        <v>2026.0</v>
      </c>
      <c r="K283" s="187"/>
      <c r="L283" s="187">
        <v>14.99</v>
      </c>
      <c r="M283" s="27">
        <v>1.0</v>
      </c>
      <c r="N283" s="187">
        <f t="shared" si="10"/>
        <v>14.99</v>
      </c>
      <c r="O283" s="58">
        <v>184.0</v>
      </c>
      <c r="P283" s="74"/>
      <c r="Q283" s="74" t="s">
        <v>599</v>
      </c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</row>
    <row r="284" ht="15.75" customHeight="1">
      <c r="A284" s="74" t="s">
        <v>334</v>
      </c>
      <c r="B284" s="27" t="s">
        <v>34</v>
      </c>
      <c r="C284" s="183"/>
      <c r="D284" s="74" t="s">
        <v>2</v>
      </c>
      <c r="E284" s="184">
        <v>46136.0</v>
      </c>
      <c r="F284" s="185">
        <f t="shared" si="1"/>
        <v>24</v>
      </c>
      <c r="G284" s="185">
        <f t="shared" si="2"/>
        <v>4</v>
      </c>
      <c r="H284" s="185">
        <f t="shared" si="3"/>
        <v>2026</v>
      </c>
      <c r="I284" s="186">
        <v>4.0</v>
      </c>
      <c r="J284" s="186">
        <v>2026.0</v>
      </c>
      <c r="K284" s="187"/>
      <c r="L284" s="187">
        <v>88.7</v>
      </c>
      <c r="M284" s="27">
        <v>1.0</v>
      </c>
      <c r="N284" s="187">
        <f t="shared" si="10"/>
        <v>88.7</v>
      </c>
      <c r="O284" s="58"/>
      <c r="P284" s="74"/>
      <c r="Q284" s="74" t="s">
        <v>601</v>
      </c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</row>
    <row r="285" ht="15.75" customHeight="1">
      <c r="A285" s="74" t="s">
        <v>22</v>
      </c>
      <c r="B285" s="27" t="s">
        <v>28</v>
      </c>
      <c r="C285" s="183"/>
      <c r="D285" s="74" t="s">
        <v>2</v>
      </c>
      <c r="E285" s="184">
        <v>46136.0</v>
      </c>
      <c r="F285" s="185">
        <f t="shared" si="1"/>
        <v>24</v>
      </c>
      <c r="G285" s="185">
        <f t="shared" si="2"/>
        <v>4</v>
      </c>
      <c r="H285" s="185">
        <f t="shared" si="3"/>
        <v>2026</v>
      </c>
      <c r="I285" s="186">
        <v>4.0</v>
      </c>
      <c r="J285" s="186">
        <v>2026.0</v>
      </c>
      <c r="K285" s="187"/>
      <c r="L285" s="187">
        <v>55.21</v>
      </c>
      <c r="M285" s="27">
        <v>1.0</v>
      </c>
      <c r="N285" s="187">
        <f t="shared" si="10"/>
        <v>55.21</v>
      </c>
      <c r="O285" s="58">
        <v>197.0</v>
      </c>
      <c r="P285" s="74"/>
      <c r="Q285" s="74" t="s">
        <v>602</v>
      </c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 ht="15.75" customHeight="1">
      <c r="A286" s="74" t="s">
        <v>22</v>
      </c>
      <c r="B286" s="27" t="s">
        <v>27</v>
      </c>
      <c r="C286" s="183"/>
      <c r="D286" s="74" t="s">
        <v>2</v>
      </c>
      <c r="E286" s="184">
        <v>46136.0</v>
      </c>
      <c r="F286" s="185">
        <f t="shared" si="1"/>
        <v>24</v>
      </c>
      <c r="G286" s="185">
        <f t="shared" si="2"/>
        <v>4</v>
      </c>
      <c r="H286" s="185">
        <f t="shared" si="3"/>
        <v>2026</v>
      </c>
      <c r="I286" s="186">
        <v>4.0</v>
      </c>
      <c r="J286" s="186">
        <v>2026.0</v>
      </c>
      <c r="K286" s="187"/>
      <c r="L286" s="187">
        <v>12.37</v>
      </c>
      <c r="M286" s="27">
        <v>1.0</v>
      </c>
      <c r="N286" s="187">
        <f t="shared" si="10"/>
        <v>12.37</v>
      </c>
      <c r="O286" s="58">
        <v>183.0</v>
      </c>
      <c r="P286" s="74"/>
      <c r="Q286" s="74" t="s">
        <v>604</v>
      </c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</row>
    <row r="287" ht="15.75" customHeight="1">
      <c r="A287" s="74" t="s">
        <v>22</v>
      </c>
      <c r="B287" s="27" t="s">
        <v>27</v>
      </c>
      <c r="C287" s="183"/>
      <c r="D287" s="74" t="s">
        <v>2</v>
      </c>
      <c r="E287" s="184">
        <v>46138.0</v>
      </c>
      <c r="F287" s="185">
        <f t="shared" si="1"/>
        <v>26</v>
      </c>
      <c r="G287" s="185">
        <f t="shared" si="2"/>
        <v>4</v>
      </c>
      <c r="H287" s="185">
        <f t="shared" si="3"/>
        <v>2026</v>
      </c>
      <c r="I287" s="186">
        <v>4.0</v>
      </c>
      <c r="J287" s="186">
        <v>2026.0</v>
      </c>
      <c r="K287" s="187"/>
      <c r="L287" s="187">
        <v>19.9</v>
      </c>
      <c r="M287" s="27">
        <v>1.0</v>
      </c>
      <c r="N287" s="187">
        <f t="shared" si="10"/>
        <v>19.9</v>
      </c>
      <c r="O287" s="58">
        <v>185.0</v>
      </c>
      <c r="P287" s="74"/>
      <c r="Q287" s="74" t="s">
        <v>441</v>
      </c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</row>
    <row r="288" ht="15.75" customHeight="1">
      <c r="A288" s="74" t="s">
        <v>22</v>
      </c>
      <c r="B288" s="27" t="s">
        <v>27</v>
      </c>
      <c r="C288" s="183"/>
      <c r="D288" s="74" t="s">
        <v>274</v>
      </c>
      <c r="E288" s="184">
        <v>46138.0</v>
      </c>
      <c r="F288" s="185">
        <f t="shared" si="1"/>
        <v>26</v>
      </c>
      <c r="G288" s="185">
        <f t="shared" si="2"/>
        <v>4</v>
      </c>
      <c r="H288" s="185">
        <f t="shared" si="3"/>
        <v>2026</v>
      </c>
      <c r="I288" s="186">
        <v>4.0</v>
      </c>
      <c r="J288" s="186">
        <v>2026.0</v>
      </c>
      <c r="K288" s="187"/>
      <c r="L288" s="187">
        <v>18.15</v>
      </c>
      <c r="M288" s="27">
        <v>1.0</v>
      </c>
      <c r="N288" s="187">
        <f t="shared" si="10"/>
        <v>18.15</v>
      </c>
      <c r="O288" s="58">
        <v>187.0</v>
      </c>
      <c r="P288" s="74"/>
      <c r="Q288" s="74" t="s">
        <v>499</v>
      </c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</row>
    <row r="289" ht="15.75" customHeight="1">
      <c r="A289" s="74" t="s">
        <v>167</v>
      </c>
      <c r="B289" s="27" t="s">
        <v>41</v>
      </c>
      <c r="C289" s="183"/>
      <c r="D289" s="74" t="s">
        <v>2</v>
      </c>
      <c r="E289" s="184">
        <v>46139.0</v>
      </c>
      <c r="F289" s="185">
        <f t="shared" si="1"/>
        <v>27</v>
      </c>
      <c r="G289" s="185">
        <f t="shared" si="2"/>
        <v>4</v>
      </c>
      <c r="H289" s="185">
        <f t="shared" si="3"/>
        <v>2026</v>
      </c>
      <c r="I289" s="186">
        <v>4.0</v>
      </c>
      <c r="J289" s="186">
        <v>2026.0</v>
      </c>
      <c r="K289" s="187"/>
      <c r="L289" s="187">
        <v>125.08</v>
      </c>
      <c r="M289" s="27">
        <v>1.0</v>
      </c>
      <c r="N289" s="187">
        <f t="shared" si="10"/>
        <v>125.08</v>
      </c>
      <c r="O289" s="58"/>
      <c r="P289" s="74"/>
      <c r="Q289" s="74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</row>
    <row r="290" ht="15.75" customHeight="1">
      <c r="A290" s="74" t="s">
        <v>154</v>
      </c>
      <c r="B290" s="27" t="s">
        <v>231</v>
      </c>
      <c r="C290" s="183"/>
      <c r="D290" s="74" t="s">
        <v>274</v>
      </c>
      <c r="E290" s="184">
        <v>46141.0</v>
      </c>
      <c r="F290" s="185">
        <f t="shared" si="1"/>
        <v>29</v>
      </c>
      <c r="G290" s="185">
        <f t="shared" si="2"/>
        <v>4</v>
      </c>
      <c r="H290" s="185">
        <f t="shared" si="3"/>
        <v>2026</v>
      </c>
      <c r="I290" s="186">
        <v>4.0</v>
      </c>
      <c r="J290" s="186">
        <v>2026.0</v>
      </c>
      <c r="K290" s="187"/>
      <c r="L290" s="187">
        <v>59.92</v>
      </c>
      <c r="M290" s="27">
        <v>1.0</v>
      </c>
      <c r="N290" s="187">
        <f t="shared" si="10"/>
        <v>59.92</v>
      </c>
      <c r="O290" s="58"/>
      <c r="P290" s="74"/>
      <c r="Q290" s="74" t="s">
        <v>607</v>
      </c>
      <c r="R290" s="27" t="s">
        <v>608</v>
      </c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</row>
    <row r="291" ht="15.75" customHeight="1">
      <c r="A291" s="74" t="s">
        <v>154</v>
      </c>
      <c r="B291" s="27" t="s">
        <v>231</v>
      </c>
      <c r="C291" s="183"/>
      <c r="D291" s="74" t="s">
        <v>274</v>
      </c>
      <c r="E291" s="184">
        <v>46141.0</v>
      </c>
      <c r="F291" s="185">
        <f t="shared" si="1"/>
        <v>29</v>
      </c>
      <c r="G291" s="185">
        <f t="shared" si="2"/>
        <v>4</v>
      </c>
      <c r="H291" s="185">
        <f t="shared" si="3"/>
        <v>2026</v>
      </c>
      <c r="I291" s="186">
        <v>4.0</v>
      </c>
      <c r="J291" s="186">
        <v>2026.0</v>
      </c>
      <c r="K291" s="187"/>
      <c r="L291" s="187">
        <v>59.92</v>
      </c>
      <c r="M291" s="27">
        <v>1.0</v>
      </c>
      <c r="N291" s="187">
        <f t="shared" si="10"/>
        <v>59.92</v>
      </c>
      <c r="O291" s="58"/>
      <c r="P291" s="74"/>
      <c r="Q291" s="74" t="s">
        <v>610</v>
      </c>
      <c r="R291" s="27" t="s">
        <v>608</v>
      </c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</row>
    <row r="292" ht="15.75" customHeight="1">
      <c r="A292" s="74" t="s">
        <v>22</v>
      </c>
      <c r="B292" s="27" t="s">
        <v>27</v>
      </c>
      <c r="C292" s="183"/>
      <c r="D292" s="74" t="s">
        <v>2</v>
      </c>
      <c r="E292" s="184">
        <v>46141.0</v>
      </c>
      <c r="F292" s="185">
        <f t="shared" si="1"/>
        <v>29</v>
      </c>
      <c r="G292" s="185">
        <f t="shared" si="2"/>
        <v>4</v>
      </c>
      <c r="H292" s="185">
        <f t="shared" si="3"/>
        <v>2026</v>
      </c>
      <c r="I292" s="186">
        <v>4.0</v>
      </c>
      <c r="J292" s="186">
        <v>2026.0</v>
      </c>
      <c r="K292" s="187"/>
      <c r="L292" s="187">
        <v>31.86</v>
      </c>
      <c r="M292" s="27">
        <v>1.0</v>
      </c>
      <c r="N292" s="187">
        <f t="shared" si="10"/>
        <v>31.86</v>
      </c>
      <c r="O292" s="58">
        <v>189.0</v>
      </c>
      <c r="P292" s="74"/>
      <c r="Q292" s="74" t="s">
        <v>395</v>
      </c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</row>
    <row r="293" ht="15.75" customHeight="1">
      <c r="A293" s="74" t="s">
        <v>22</v>
      </c>
      <c r="B293" s="27" t="s">
        <v>27</v>
      </c>
      <c r="C293" s="183"/>
      <c r="D293" s="74" t="s">
        <v>274</v>
      </c>
      <c r="E293" s="184">
        <v>46141.0</v>
      </c>
      <c r="F293" s="185">
        <f t="shared" si="1"/>
        <v>29</v>
      </c>
      <c r="G293" s="185">
        <f t="shared" si="2"/>
        <v>4</v>
      </c>
      <c r="H293" s="185">
        <f t="shared" si="3"/>
        <v>2026</v>
      </c>
      <c r="I293" s="186">
        <v>4.0</v>
      </c>
      <c r="J293" s="186">
        <v>2026.0</v>
      </c>
      <c r="K293" s="187"/>
      <c r="L293" s="187">
        <v>8.48</v>
      </c>
      <c r="M293" s="27">
        <v>1.0</v>
      </c>
      <c r="N293" s="187">
        <f t="shared" si="10"/>
        <v>8.48</v>
      </c>
      <c r="O293" s="58">
        <v>190.0</v>
      </c>
      <c r="P293" s="74"/>
      <c r="Q293" s="74" t="s">
        <v>499</v>
      </c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</row>
    <row r="294" ht="15.75" customHeight="1">
      <c r="A294" s="74" t="s">
        <v>334</v>
      </c>
      <c r="B294" s="27" t="s">
        <v>34</v>
      </c>
      <c r="C294" s="183"/>
      <c r="D294" s="74" t="s">
        <v>12</v>
      </c>
      <c r="E294" s="184">
        <v>46142.0</v>
      </c>
      <c r="F294" s="185">
        <f t="shared" si="1"/>
        <v>30</v>
      </c>
      <c r="G294" s="185">
        <f t="shared" si="2"/>
        <v>4</v>
      </c>
      <c r="H294" s="185">
        <f t="shared" si="3"/>
        <v>2026</v>
      </c>
      <c r="I294" s="186">
        <f t="shared" ref="I294:J294" si="11">G294</f>
        <v>4</v>
      </c>
      <c r="J294" s="186">
        <f t="shared" si="11"/>
        <v>2026</v>
      </c>
      <c r="K294" s="187"/>
      <c r="L294" s="187">
        <v>622.62</v>
      </c>
      <c r="M294" s="27">
        <v>1.0</v>
      </c>
      <c r="N294" s="187">
        <f>M294*L294</f>
        <v>622.62</v>
      </c>
      <c r="O294" s="58"/>
      <c r="P294" s="74"/>
      <c r="Q294" s="74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</row>
    <row r="295" ht="15.75" customHeight="1">
      <c r="A295" s="74" t="s">
        <v>160</v>
      </c>
      <c r="B295" s="27" t="s">
        <v>42</v>
      </c>
      <c r="C295" s="183"/>
      <c r="D295" s="74" t="s">
        <v>2</v>
      </c>
      <c r="E295" s="184">
        <v>46142.0</v>
      </c>
      <c r="F295" s="185">
        <f t="shared" si="1"/>
        <v>30</v>
      </c>
      <c r="G295" s="185">
        <f t="shared" si="2"/>
        <v>4</v>
      </c>
      <c r="H295" s="185">
        <f t="shared" si="3"/>
        <v>2026</v>
      </c>
      <c r="I295" s="186">
        <v>4.0</v>
      </c>
      <c r="J295" s="186">
        <v>2026.0</v>
      </c>
      <c r="K295" s="187"/>
      <c r="L295" s="187">
        <v>411.0</v>
      </c>
      <c r="M295" s="27">
        <v>1.0</v>
      </c>
      <c r="N295" s="187">
        <f t="shared" ref="N295:N426" si="12">L295*M295</f>
        <v>411</v>
      </c>
      <c r="O295" s="58"/>
      <c r="P295" s="74"/>
      <c r="Q295" s="74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</row>
    <row r="296" ht="15.75" customHeight="1">
      <c r="A296" s="74" t="s">
        <v>156</v>
      </c>
      <c r="B296" s="27" t="s">
        <v>44</v>
      </c>
      <c r="C296" s="183"/>
      <c r="D296" s="74" t="s">
        <v>2</v>
      </c>
      <c r="E296" s="184">
        <v>46142.0</v>
      </c>
      <c r="F296" s="185">
        <f t="shared" si="1"/>
        <v>30</v>
      </c>
      <c r="G296" s="185">
        <f t="shared" si="2"/>
        <v>4</v>
      </c>
      <c r="H296" s="185">
        <f t="shared" si="3"/>
        <v>2026</v>
      </c>
      <c r="I296" s="186">
        <v>4.0</v>
      </c>
      <c r="J296" s="186">
        <v>2026.0</v>
      </c>
      <c r="K296" s="187"/>
      <c r="L296" s="187">
        <v>188.1</v>
      </c>
      <c r="M296" s="27">
        <v>1.0</v>
      </c>
      <c r="N296" s="187">
        <f t="shared" si="12"/>
        <v>188.1</v>
      </c>
      <c r="O296" s="58"/>
      <c r="P296" s="74"/>
      <c r="Q296" s="74" t="s">
        <v>616</v>
      </c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</row>
    <row r="297" ht="15.75" customHeight="1">
      <c r="A297" s="74" t="s">
        <v>617</v>
      </c>
      <c r="B297" s="27" t="s">
        <v>619</v>
      </c>
      <c r="C297" s="183"/>
      <c r="D297" s="74" t="s">
        <v>2</v>
      </c>
      <c r="E297" s="184">
        <v>46142.0</v>
      </c>
      <c r="F297" s="185">
        <f t="shared" si="1"/>
        <v>30</v>
      </c>
      <c r="G297" s="185">
        <f t="shared" si="2"/>
        <v>4</v>
      </c>
      <c r="H297" s="185">
        <f t="shared" si="3"/>
        <v>2026</v>
      </c>
      <c r="I297" s="186">
        <v>4.0</v>
      </c>
      <c r="J297" s="186">
        <v>2026.0</v>
      </c>
      <c r="K297" s="187"/>
      <c r="L297" s="187">
        <v>96.12</v>
      </c>
      <c r="M297" s="27">
        <v>1.0</v>
      </c>
      <c r="N297" s="187">
        <f t="shared" si="12"/>
        <v>96.12</v>
      </c>
      <c r="O297" s="58"/>
      <c r="P297" s="74"/>
      <c r="Q297" s="74" t="s">
        <v>620</v>
      </c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</row>
    <row r="298" ht="15.75" customHeight="1">
      <c r="A298" s="74" t="s">
        <v>528</v>
      </c>
      <c r="B298" s="27" t="s">
        <v>145</v>
      </c>
      <c r="C298" s="183"/>
      <c r="D298" s="74" t="s">
        <v>2</v>
      </c>
      <c r="E298" s="184">
        <v>46142.0</v>
      </c>
      <c r="F298" s="185">
        <f t="shared" si="1"/>
        <v>30</v>
      </c>
      <c r="G298" s="185">
        <f t="shared" si="2"/>
        <v>4</v>
      </c>
      <c r="H298" s="185">
        <f t="shared" si="3"/>
        <v>2026</v>
      </c>
      <c r="I298" s="186">
        <v>4.0</v>
      </c>
      <c r="J298" s="186">
        <v>2026.0</v>
      </c>
      <c r="K298" s="187"/>
      <c r="L298" s="187">
        <f>2.79/6</f>
        <v>0.465</v>
      </c>
      <c r="M298" s="27">
        <f>6*32</f>
        <v>192</v>
      </c>
      <c r="N298" s="187">
        <f t="shared" si="12"/>
        <v>89.28</v>
      </c>
      <c r="O298" s="58"/>
      <c r="P298" s="74"/>
      <c r="Q298" s="74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</row>
    <row r="299" ht="15.75" customHeight="1">
      <c r="A299" s="74" t="s">
        <v>151</v>
      </c>
      <c r="B299" s="27" t="s">
        <v>146</v>
      </c>
      <c r="C299" s="183"/>
      <c r="D299" s="74" t="s">
        <v>2</v>
      </c>
      <c r="E299" s="184">
        <v>46142.0</v>
      </c>
      <c r="F299" s="185">
        <f t="shared" si="1"/>
        <v>30</v>
      </c>
      <c r="G299" s="185">
        <f t="shared" si="2"/>
        <v>4</v>
      </c>
      <c r="H299" s="185">
        <f t="shared" si="3"/>
        <v>2026</v>
      </c>
      <c r="I299" s="186">
        <v>4.0</v>
      </c>
      <c r="J299" s="186">
        <v>2026.0</v>
      </c>
      <c r="K299" s="187"/>
      <c r="L299" s="187">
        <v>2.95</v>
      </c>
      <c r="M299" s="27">
        <v>20.0</v>
      </c>
      <c r="N299" s="187">
        <f t="shared" si="12"/>
        <v>59</v>
      </c>
      <c r="O299" s="58"/>
      <c r="P299" s="74" t="s">
        <v>622</v>
      </c>
      <c r="Q299" s="74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 ht="15.75" customHeight="1">
      <c r="A300" s="74" t="s">
        <v>151</v>
      </c>
      <c r="B300" s="27" t="s">
        <v>185</v>
      </c>
      <c r="C300" s="183"/>
      <c r="D300" s="74" t="s">
        <v>2</v>
      </c>
      <c r="E300" s="184">
        <v>46142.0</v>
      </c>
      <c r="F300" s="185">
        <f t="shared" si="1"/>
        <v>30</v>
      </c>
      <c r="G300" s="185">
        <f t="shared" si="2"/>
        <v>4</v>
      </c>
      <c r="H300" s="185">
        <f t="shared" si="3"/>
        <v>2026</v>
      </c>
      <c r="I300" s="186">
        <v>4.0</v>
      </c>
      <c r="J300" s="186">
        <v>2026.0</v>
      </c>
      <c r="K300" s="187"/>
      <c r="L300" s="187">
        <v>0.86</v>
      </c>
      <c r="M300" s="27">
        <v>60.0</v>
      </c>
      <c r="N300" s="187">
        <f t="shared" si="12"/>
        <v>51.6</v>
      </c>
      <c r="O300" s="58"/>
      <c r="P300" s="74" t="s">
        <v>624</v>
      </c>
      <c r="Q300" s="74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</row>
    <row r="301" ht="15.75" customHeight="1">
      <c r="A301" s="74" t="s">
        <v>151</v>
      </c>
      <c r="B301" s="27" t="s">
        <v>184</v>
      </c>
      <c r="C301" s="183"/>
      <c r="D301" s="74" t="s">
        <v>2</v>
      </c>
      <c r="E301" s="184">
        <v>46142.0</v>
      </c>
      <c r="F301" s="185">
        <f t="shared" si="1"/>
        <v>30</v>
      </c>
      <c r="G301" s="185">
        <f t="shared" si="2"/>
        <v>4</v>
      </c>
      <c r="H301" s="185">
        <f t="shared" si="3"/>
        <v>2026</v>
      </c>
      <c r="I301" s="186">
        <v>4.0</v>
      </c>
      <c r="J301" s="186">
        <v>2026.0</v>
      </c>
      <c r="K301" s="187"/>
      <c r="L301" s="187">
        <v>1.99</v>
      </c>
      <c r="M301" s="27">
        <v>24.0</v>
      </c>
      <c r="N301" s="187">
        <f t="shared" si="12"/>
        <v>47.76</v>
      </c>
      <c r="O301" s="58"/>
      <c r="P301" s="74" t="s">
        <v>622</v>
      </c>
      <c r="Q301" s="74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 ht="15.75" customHeight="1">
      <c r="A302" s="74" t="s">
        <v>151</v>
      </c>
      <c r="B302" s="27" t="s">
        <v>181</v>
      </c>
      <c r="C302" s="183"/>
      <c r="D302" s="74" t="s">
        <v>2</v>
      </c>
      <c r="E302" s="184">
        <v>46142.0</v>
      </c>
      <c r="F302" s="185">
        <f t="shared" si="1"/>
        <v>30</v>
      </c>
      <c r="G302" s="185">
        <f t="shared" si="2"/>
        <v>4</v>
      </c>
      <c r="H302" s="185">
        <f t="shared" si="3"/>
        <v>2026</v>
      </c>
      <c r="I302" s="186">
        <v>4.0</v>
      </c>
      <c r="J302" s="186">
        <v>2026.0</v>
      </c>
      <c r="K302" s="187"/>
      <c r="L302" s="187">
        <v>1.99</v>
      </c>
      <c r="M302" s="27">
        <v>20.0</v>
      </c>
      <c r="N302" s="187">
        <f t="shared" si="12"/>
        <v>39.8</v>
      </c>
      <c r="O302" s="58"/>
      <c r="P302" s="74" t="s">
        <v>625</v>
      </c>
      <c r="Q302" s="74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 ht="15.75" customHeight="1">
      <c r="A303" s="74" t="s">
        <v>151</v>
      </c>
      <c r="B303" s="27" t="s">
        <v>184</v>
      </c>
      <c r="C303" s="183"/>
      <c r="D303" s="74" t="s">
        <v>2</v>
      </c>
      <c r="E303" s="184">
        <v>46142.0</v>
      </c>
      <c r="F303" s="185">
        <f t="shared" si="1"/>
        <v>30</v>
      </c>
      <c r="G303" s="185">
        <f t="shared" si="2"/>
        <v>4</v>
      </c>
      <c r="H303" s="185">
        <f t="shared" si="3"/>
        <v>2026</v>
      </c>
      <c r="I303" s="186">
        <v>4.0</v>
      </c>
      <c r="J303" s="186">
        <v>2026.0</v>
      </c>
      <c r="K303" s="187"/>
      <c r="L303" s="187">
        <v>1.65</v>
      </c>
      <c r="M303" s="27">
        <v>24.0</v>
      </c>
      <c r="N303" s="187">
        <f t="shared" si="12"/>
        <v>39.6</v>
      </c>
      <c r="O303" s="58"/>
      <c r="P303" s="74" t="s">
        <v>622</v>
      </c>
      <c r="Q303" s="74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</row>
    <row r="304" ht="15.75" customHeight="1">
      <c r="A304" s="74" t="s">
        <v>151</v>
      </c>
      <c r="B304" s="27" t="s">
        <v>186</v>
      </c>
      <c r="C304" s="183"/>
      <c r="D304" s="74" t="s">
        <v>2</v>
      </c>
      <c r="E304" s="184">
        <v>46142.0</v>
      </c>
      <c r="F304" s="185">
        <f t="shared" si="1"/>
        <v>30</v>
      </c>
      <c r="G304" s="185">
        <f t="shared" si="2"/>
        <v>4</v>
      </c>
      <c r="H304" s="185">
        <f t="shared" si="3"/>
        <v>2026</v>
      </c>
      <c r="I304" s="186">
        <v>4.0</v>
      </c>
      <c r="J304" s="186">
        <v>2026.0</v>
      </c>
      <c r="K304" s="187"/>
      <c r="L304" s="187">
        <v>3.49</v>
      </c>
      <c r="M304" s="27">
        <v>10.0</v>
      </c>
      <c r="N304" s="187">
        <f t="shared" si="12"/>
        <v>34.9</v>
      </c>
      <c r="O304" s="58"/>
      <c r="P304" s="74" t="s">
        <v>627</v>
      </c>
      <c r="Q304" s="74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</row>
    <row r="305" ht="15.75" customHeight="1">
      <c r="A305" s="74" t="s">
        <v>154</v>
      </c>
      <c r="B305" s="27" t="s">
        <v>230</v>
      </c>
      <c r="C305" s="183"/>
      <c r="D305" s="74" t="s">
        <v>2</v>
      </c>
      <c r="E305" s="184">
        <v>46142.0</v>
      </c>
      <c r="F305" s="185">
        <f t="shared" si="1"/>
        <v>30</v>
      </c>
      <c r="G305" s="185">
        <f t="shared" si="2"/>
        <v>4</v>
      </c>
      <c r="H305" s="185">
        <f t="shared" si="3"/>
        <v>2026</v>
      </c>
      <c r="I305" s="186">
        <v>4.0</v>
      </c>
      <c r="J305" s="186">
        <v>2026.0</v>
      </c>
      <c r="K305" s="187"/>
      <c r="L305" s="187">
        <v>10.99</v>
      </c>
      <c r="M305" s="27">
        <v>3.0</v>
      </c>
      <c r="N305" s="187">
        <f t="shared" si="12"/>
        <v>32.97</v>
      </c>
      <c r="O305" s="58"/>
      <c r="P305" s="74" t="s">
        <v>622</v>
      </c>
      <c r="Q305" s="74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</row>
    <row r="306" ht="15.75" customHeight="1">
      <c r="A306" s="74" t="s">
        <v>151</v>
      </c>
      <c r="B306" s="27" t="s">
        <v>138</v>
      </c>
      <c r="C306" s="183"/>
      <c r="D306" s="74" t="s">
        <v>2</v>
      </c>
      <c r="E306" s="184">
        <v>46142.0</v>
      </c>
      <c r="F306" s="185">
        <f t="shared" si="1"/>
        <v>30</v>
      </c>
      <c r="G306" s="185">
        <f t="shared" si="2"/>
        <v>4</v>
      </c>
      <c r="H306" s="185">
        <f t="shared" si="3"/>
        <v>2026</v>
      </c>
      <c r="I306" s="186">
        <v>4.0</v>
      </c>
      <c r="J306" s="186">
        <v>2026.0</v>
      </c>
      <c r="K306" s="187"/>
      <c r="L306" s="187">
        <v>2.09</v>
      </c>
      <c r="M306" s="27">
        <v>12.0</v>
      </c>
      <c r="N306" s="187">
        <f t="shared" si="12"/>
        <v>25.08</v>
      </c>
      <c r="O306" s="58"/>
      <c r="P306" s="74" t="s">
        <v>629</v>
      </c>
      <c r="Q306" s="74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</row>
    <row r="307" ht="15.75" customHeight="1">
      <c r="A307" s="74" t="s">
        <v>617</v>
      </c>
      <c r="B307" s="27" t="s">
        <v>631</v>
      </c>
      <c r="C307" s="183"/>
      <c r="D307" s="74" t="s">
        <v>2</v>
      </c>
      <c r="E307" s="184">
        <v>46142.0</v>
      </c>
      <c r="F307" s="185">
        <f t="shared" si="1"/>
        <v>30</v>
      </c>
      <c r="G307" s="185">
        <f t="shared" si="2"/>
        <v>4</v>
      </c>
      <c r="H307" s="185">
        <f t="shared" si="3"/>
        <v>2026</v>
      </c>
      <c r="I307" s="186">
        <v>4.0</v>
      </c>
      <c r="J307" s="186">
        <v>2026.0</v>
      </c>
      <c r="K307" s="187"/>
      <c r="L307" s="187">
        <v>21.49</v>
      </c>
      <c r="M307" s="27">
        <v>1.0</v>
      </c>
      <c r="N307" s="187">
        <f t="shared" si="12"/>
        <v>21.49</v>
      </c>
      <c r="O307" s="58"/>
      <c r="P307" s="74"/>
      <c r="Q307" s="74" t="s">
        <v>632</v>
      </c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</row>
    <row r="308" ht="15.75" customHeight="1">
      <c r="A308" s="74" t="s">
        <v>151</v>
      </c>
      <c r="B308" s="27" t="s">
        <v>185</v>
      </c>
      <c r="C308" s="183"/>
      <c r="D308" s="74" t="s">
        <v>2</v>
      </c>
      <c r="E308" s="184">
        <v>46142.0</v>
      </c>
      <c r="F308" s="185">
        <f t="shared" si="1"/>
        <v>30</v>
      </c>
      <c r="G308" s="185">
        <f t="shared" si="2"/>
        <v>4</v>
      </c>
      <c r="H308" s="185">
        <f t="shared" si="3"/>
        <v>2026</v>
      </c>
      <c r="I308" s="186">
        <v>4.0</v>
      </c>
      <c r="J308" s="186">
        <v>2026.0</v>
      </c>
      <c r="K308" s="187"/>
      <c r="L308" s="187">
        <v>0.79</v>
      </c>
      <c r="M308" s="27">
        <v>24.0</v>
      </c>
      <c r="N308" s="187">
        <f t="shared" si="12"/>
        <v>18.96</v>
      </c>
      <c r="O308" s="58"/>
      <c r="P308" s="74" t="s">
        <v>633</v>
      </c>
      <c r="Q308" s="74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</row>
    <row r="309" ht="15.75" customHeight="1">
      <c r="A309" s="74" t="s">
        <v>151</v>
      </c>
      <c r="B309" s="27" t="s">
        <v>187</v>
      </c>
      <c r="C309" s="183"/>
      <c r="D309" s="74" t="s">
        <v>2</v>
      </c>
      <c r="E309" s="184">
        <v>46142.0</v>
      </c>
      <c r="F309" s="185">
        <f t="shared" si="1"/>
        <v>30</v>
      </c>
      <c r="G309" s="185">
        <f t="shared" si="2"/>
        <v>4</v>
      </c>
      <c r="H309" s="185">
        <f t="shared" si="3"/>
        <v>2026</v>
      </c>
      <c r="I309" s="186">
        <v>4.0</v>
      </c>
      <c r="J309" s="186">
        <v>2026.0</v>
      </c>
      <c r="K309" s="187"/>
      <c r="L309" s="187">
        <v>4.99</v>
      </c>
      <c r="M309" s="27">
        <v>3.0</v>
      </c>
      <c r="N309" s="187">
        <f t="shared" si="12"/>
        <v>14.97</v>
      </c>
      <c r="O309" s="58"/>
      <c r="P309" s="74" t="s">
        <v>622</v>
      </c>
      <c r="Q309" s="74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</row>
    <row r="310" ht="15.75" customHeight="1">
      <c r="A310" s="74" t="s">
        <v>154</v>
      </c>
      <c r="B310" s="27" t="s">
        <v>233</v>
      </c>
      <c r="C310" s="183"/>
      <c r="D310" s="74" t="s">
        <v>2</v>
      </c>
      <c r="E310" s="184">
        <v>46142.0</v>
      </c>
      <c r="F310" s="185">
        <f t="shared" si="1"/>
        <v>30</v>
      </c>
      <c r="G310" s="185">
        <f t="shared" si="2"/>
        <v>4</v>
      </c>
      <c r="H310" s="185">
        <f t="shared" si="3"/>
        <v>2026</v>
      </c>
      <c r="I310" s="186">
        <v>4.0</v>
      </c>
      <c r="J310" s="186">
        <v>2026.0</v>
      </c>
      <c r="K310" s="187"/>
      <c r="L310" s="187">
        <v>0.85</v>
      </c>
      <c r="M310" s="27">
        <v>12.0</v>
      </c>
      <c r="N310" s="187">
        <f t="shared" si="12"/>
        <v>10.2</v>
      </c>
      <c r="O310" s="58"/>
      <c r="P310" s="74" t="s">
        <v>622</v>
      </c>
      <c r="Q310" s="74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</row>
    <row r="311" ht="15.75" customHeight="1">
      <c r="A311" s="74" t="s">
        <v>334</v>
      </c>
      <c r="B311" s="27" t="s">
        <v>34</v>
      </c>
      <c r="C311" s="183"/>
      <c r="D311" s="74" t="s">
        <v>2</v>
      </c>
      <c r="E311" s="184">
        <v>46142.0</v>
      </c>
      <c r="F311" s="185">
        <f t="shared" si="1"/>
        <v>30</v>
      </c>
      <c r="G311" s="185">
        <f t="shared" si="2"/>
        <v>4</v>
      </c>
      <c r="H311" s="185">
        <f t="shared" si="3"/>
        <v>2026</v>
      </c>
      <c r="I311" s="186">
        <v>4.0</v>
      </c>
      <c r="J311" s="186">
        <v>2026.0</v>
      </c>
      <c r="K311" s="187"/>
      <c r="L311" s="187">
        <v>7.98</v>
      </c>
      <c r="M311" s="27">
        <v>1.0</v>
      </c>
      <c r="N311" s="187">
        <f t="shared" si="12"/>
        <v>7.98</v>
      </c>
      <c r="O311" s="58"/>
      <c r="P311" s="74"/>
      <c r="Q311" s="74" t="s">
        <v>634</v>
      </c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</row>
    <row r="312" ht="15.75" customHeight="1">
      <c r="A312" s="74" t="s">
        <v>154</v>
      </c>
      <c r="B312" s="27" t="s">
        <v>239</v>
      </c>
      <c r="C312" s="183"/>
      <c r="D312" s="74" t="s">
        <v>2</v>
      </c>
      <c r="E312" s="184">
        <v>46142.0</v>
      </c>
      <c r="F312" s="185">
        <f t="shared" si="1"/>
        <v>30</v>
      </c>
      <c r="G312" s="185">
        <f t="shared" si="2"/>
        <v>4</v>
      </c>
      <c r="H312" s="185">
        <f t="shared" si="3"/>
        <v>2026</v>
      </c>
      <c r="I312" s="186">
        <v>4.0</v>
      </c>
      <c r="J312" s="186">
        <v>2026.0</v>
      </c>
      <c r="K312" s="187"/>
      <c r="L312" s="187">
        <v>1.15</v>
      </c>
      <c r="M312" s="27">
        <v>8.0</v>
      </c>
      <c r="N312" s="187">
        <f t="shared" si="12"/>
        <v>9.2</v>
      </c>
      <c r="O312" s="58"/>
      <c r="P312" s="74" t="s">
        <v>622</v>
      </c>
      <c r="Q312" s="74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</row>
    <row r="313" ht="15.75" customHeight="1">
      <c r="A313" s="74" t="s">
        <v>151</v>
      </c>
      <c r="B313" s="27" t="s">
        <v>173</v>
      </c>
      <c r="C313" s="183"/>
      <c r="D313" s="74" t="s">
        <v>2</v>
      </c>
      <c r="E313" s="184">
        <v>46142.0</v>
      </c>
      <c r="F313" s="185">
        <f t="shared" si="1"/>
        <v>30</v>
      </c>
      <c r="G313" s="185">
        <f t="shared" si="2"/>
        <v>4</v>
      </c>
      <c r="H313" s="185">
        <f t="shared" si="3"/>
        <v>2026</v>
      </c>
      <c r="I313" s="186">
        <v>4.0</v>
      </c>
      <c r="J313" s="186">
        <v>2026.0</v>
      </c>
      <c r="K313" s="187"/>
      <c r="L313" s="187">
        <v>2.99</v>
      </c>
      <c r="M313" s="27">
        <v>3.0</v>
      </c>
      <c r="N313" s="187">
        <f t="shared" si="12"/>
        <v>8.97</v>
      </c>
      <c r="O313" s="58"/>
      <c r="P313" s="74" t="s">
        <v>622</v>
      </c>
      <c r="Q313" s="74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</row>
    <row r="314" ht="15.75" customHeight="1">
      <c r="A314" s="74" t="s">
        <v>154</v>
      </c>
      <c r="B314" s="27" t="s">
        <v>230</v>
      </c>
      <c r="C314" s="183"/>
      <c r="D314" s="74" t="s">
        <v>2</v>
      </c>
      <c r="E314" s="184">
        <v>46142.0</v>
      </c>
      <c r="F314" s="185">
        <f t="shared" si="1"/>
        <v>30</v>
      </c>
      <c r="G314" s="185">
        <f t="shared" si="2"/>
        <v>4</v>
      </c>
      <c r="H314" s="185">
        <f t="shared" si="3"/>
        <v>2026</v>
      </c>
      <c r="I314" s="186">
        <v>4.0</v>
      </c>
      <c r="J314" s="186">
        <v>2026.0</v>
      </c>
      <c r="K314" s="187"/>
      <c r="L314" s="187">
        <v>0.89</v>
      </c>
      <c r="M314" s="27">
        <v>10.0</v>
      </c>
      <c r="N314" s="187">
        <f t="shared" si="12"/>
        <v>8.9</v>
      </c>
      <c r="O314" s="58"/>
      <c r="P314" s="74" t="s">
        <v>622</v>
      </c>
      <c r="Q314" s="74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</row>
    <row r="315" ht="15.75" customHeight="1">
      <c r="A315" s="74" t="s">
        <v>154</v>
      </c>
      <c r="B315" s="27" t="s">
        <v>241</v>
      </c>
      <c r="C315" s="183"/>
      <c r="D315" s="74" t="s">
        <v>2</v>
      </c>
      <c r="E315" s="184">
        <v>46142.0</v>
      </c>
      <c r="F315" s="185">
        <f t="shared" si="1"/>
        <v>30</v>
      </c>
      <c r="G315" s="185">
        <f t="shared" si="2"/>
        <v>4</v>
      </c>
      <c r="H315" s="185">
        <f t="shared" si="3"/>
        <v>2026</v>
      </c>
      <c r="I315" s="186">
        <v>4.0</v>
      </c>
      <c r="J315" s="186">
        <v>2026.0</v>
      </c>
      <c r="K315" s="187"/>
      <c r="L315" s="187">
        <v>1.79</v>
      </c>
      <c r="M315" s="27">
        <v>4.0</v>
      </c>
      <c r="N315" s="187">
        <f t="shared" si="12"/>
        <v>7.16</v>
      </c>
      <c r="O315" s="58"/>
      <c r="P315" s="74" t="s">
        <v>622</v>
      </c>
      <c r="Q315" s="74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</row>
    <row r="316" ht="15.75" customHeight="1">
      <c r="A316" s="74" t="s">
        <v>154</v>
      </c>
      <c r="B316" s="27" t="s">
        <v>241</v>
      </c>
      <c r="C316" s="183"/>
      <c r="D316" s="74" t="s">
        <v>2</v>
      </c>
      <c r="E316" s="184">
        <v>46142.0</v>
      </c>
      <c r="F316" s="185">
        <f t="shared" si="1"/>
        <v>30</v>
      </c>
      <c r="G316" s="185">
        <f t="shared" si="2"/>
        <v>4</v>
      </c>
      <c r="H316" s="185">
        <f t="shared" si="3"/>
        <v>2026</v>
      </c>
      <c r="I316" s="186">
        <v>4.0</v>
      </c>
      <c r="J316" s="186">
        <v>2026.0</v>
      </c>
      <c r="K316" s="187"/>
      <c r="L316" s="187">
        <v>1.79</v>
      </c>
      <c r="M316" s="27">
        <v>4.0</v>
      </c>
      <c r="N316" s="187">
        <f t="shared" si="12"/>
        <v>7.16</v>
      </c>
      <c r="O316" s="58"/>
      <c r="P316" s="74" t="s">
        <v>622</v>
      </c>
      <c r="Q316" s="74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</row>
    <row r="317" ht="15.75" customHeight="1">
      <c r="A317" s="74" t="s">
        <v>154</v>
      </c>
      <c r="B317" s="27" t="s">
        <v>235</v>
      </c>
      <c r="C317" s="183"/>
      <c r="D317" s="74" t="s">
        <v>2</v>
      </c>
      <c r="E317" s="184">
        <v>46142.0</v>
      </c>
      <c r="F317" s="185">
        <f t="shared" si="1"/>
        <v>30</v>
      </c>
      <c r="G317" s="185">
        <f t="shared" si="2"/>
        <v>4</v>
      </c>
      <c r="H317" s="185">
        <f t="shared" si="3"/>
        <v>2026</v>
      </c>
      <c r="I317" s="186">
        <v>4.0</v>
      </c>
      <c r="J317" s="186">
        <v>2026.0</v>
      </c>
      <c r="K317" s="187"/>
      <c r="L317" s="187">
        <v>3.25</v>
      </c>
      <c r="M317" s="27">
        <v>2.0</v>
      </c>
      <c r="N317" s="187">
        <f t="shared" si="12"/>
        <v>6.5</v>
      </c>
      <c r="O317" s="58"/>
      <c r="P317" s="74" t="s">
        <v>622</v>
      </c>
      <c r="Q317" s="74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</row>
    <row r="318" ht="15.75" customHeight="1">
      <c r="A318" s="74" t="s">
        <v>154</v>
      </c>
      <c r="B318" s="27" t="s">
        <v>239</v>
      </c>
      <c r="C318" s="183"/>
      <c r="D318" s="74" t="s">
        <v>2</v>
      </c>
      <c r="E318" s="184">
        <v>46142.0</v>
      </c>
      <c r="F318" s="185">
        <f t="shared" si="1"/>
        <v>30</v>
      </c>
      <c r="G318" s="185">
        <f t="shared" si="2"/>
        <v>4</v>
      </c>
      <c r="H318" s="185">
        <f t="shared" si="3"/>
        <v>2026</v>
      </c>
      <c r="I318" s="186">
        <v>4.0</v>
      </c>
      <c r="J318" s="186">
        <v>2026.0</v>
      </c>
      <c r="K318" s="187"/>
      <c r="L318" s="187">
        <v>0.99</v>
      </c>
      <c r="M318" s="27">
        <v>6.0</v>
      </c>
      <c r="N318" s="187">
        <f t="shared" si="12"/>
        <v>5.94</v>
      </c>
      <c r="O318" s="58"/>
      <c r="P318" s="74" t="s">
        <v>622</v>
      </c>
      <c r="Q318" s="74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</row>
    <row r="319" ht="15.75" customHeight="1">
      <c r="A319" s="74" t="s">
        <v>154</v>
      </c>
      <c r="B319" s="27" t="s">
        <v>239</v>
      </c>
      <c r="C319" s="183"/>
      <c r="D319" s="74" t="s">
        <v>2</v>
      </c>
      <c r="E319" s="184">
        <v>46142.0</v>
      </c>
      <c r="F319" s="185">
        <f t="shared" si="1"/>
        <v>30</v>
      </c>
      <c r="G319" s="185">
        <f t="shared" si="2"/>
        <v>4</v>
      </c>
      <c r="H319" s="185">
        <f t="shared" si="3"/>
        <v>2026</v>
      </c>
      <c r="I319" s="186">
        <v>4.0</v>
      </c>
      <c r="J319" s="186">
        <v>2026.0</v>
      </c>
      <c r="K319" s="187"/>
      <c r="L319" s="187">
        <v>1.49</v>
      </c>
      <c r="M319" s="27">
        <v>3.0</v>
      </c>
      <c r="N319" s="187">
        <f t="shared" si="12"/>
        <v>4.47</v>
      </c>
      <c r="O319" s="58"/>
      <c r="P319" s="74" t="s">
        <v>622</v>
      </c>
      <c r="Q319" s="74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</row>
    <row r="320" ht="15.75" customHeight="1">
      <c r="A320" s="74" t="s">
        <v>151</v>
      </c>
      <c r="B320" s="27" t="s">
        <v>139</v>
      </c>
      <c r="C320" s="183"/>
      <c r="D320" s="74" t="s">
        <v>2</v>
      </c>
      <c r="E320" s="184">
        <v>46142.0</v>
      </c>
      <c r="F320" s="185">
        <f t="shared" si="1"/>
        <v>30</v>
      </c>
      <c r="G320" s="185">
        <f t="shared" si="2"/>
        <v>4</v>
      </c>
      <c r="H320" s="185">
        <f t="shared" si="3"/>
        <v>2026</v>
      </c>
      <c r="I320" s="186">
        <v>4.0</v>
      </c>
      <c r="J320" s="186">
        <v>2026.0</v>
      </c>
      <c r="K320" s="187"/>
      <c r="L320" s="187">
        <v>4.29</v>
      </c>
      <c r="M320" s="27">
        <v>1.0</v>
      </c>
      <c r="N320" s="187">
        <f t="shared" si="12"/>
        <v>4.29</v>
      </c>
      <c r="O320" s="58"/>
      <c r="P320" s="74" t="s">
        <v>622</v>
      </c>
      <c r="Q320" s="74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</row>
    <row r="321" ht="15.75" customHeight="1">
      <c r="A321" s="74" t="s">
        <v>151</v>
      </c>
      <c r="B321" s="27" t="s">
        <v>192</v>
      </c>
      <c r="C321" s="183"/>
      <c r="D321" s="74" t="s">
        <v>2</v>
      </c>
      <c r="E321" s="184">
        <v>46142.0</v>
      </c>
      <c r="F321" s="185">
        <f t="shared" si="1"/>
        <v>30</v>
      </c>
      <c r="G321" s="185">
        <f t="shared" si="2"/>
        <v>4</v>
      </c>
      <c r="H321" s="185">
        <f t="shared" si="3"/>
        <v>2026</v>
      </c>
      <c r="I321" s="186">
        <v>4.0</v>
      </c>
      <c r="J321" s="186">
        <v>2026.0</v>
      </c>
      <c r="K321" s="187"/>
      <c r="L321" s="187">
        <v>0.79</v>
      </c>
      <c r="M321" s="27">
        <v>5.0</v>
      </c>
      <c r="N321" s="187">
        <f t="shared" si="12"/>
        <v>3.95</v>
      </c>
      <c r="O321" s="58"/>
      <c r="P321" s="74" t="s">
        <v>622</v>
      </c>
      <c r="Q321" s="74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</row>
    <row r="322" ht="15.75" customHeight="1">
      <c r="A322" s="74" t="s">
        <v>151</v>
      </c>
      <c r="B322" s="27" t="s">
        <v>192</v>
      </c>
      <c r="C322" s="183"/>
      <c r="D322" s="74" t="s">
        <v>2</v>
      </c>
      <c r="E322" s="184">
        <v>46142.0</v>
      </c>
      <c r="F322" s="185">
        <f t="shared" si="1"/>
        <v>30</v>
      </c>
      <c r="G322" s="185">
        <f t="shared" si="2"/>
        <v>4</v>
      </c>
      <c r="H322" s="185">
        <f t="shared" si="3"/>
        <v>2026</v>
      </c>
      <c r="I322" s="186">
        <v>4.0</v>
      </c>
      <c r="J322" s="186">
        <v>2026.0</v>
      </c>
      <c r="K322" s="187"/>
      <c r="L322" s="187">
        <v>0.79</v>
      </c>
      <c r="M322" s="27">
        <v>5.0</v>
      </c>
      <c r="N322" s="187">
        <f t="shared" si="12"/>
        <v>3.95</v>
      </c>
      <c r="O322" s="58"/>
      <c r="P322" s="74" t="s">
        <v>622</v>
      </c>
      <c r="Q322" s="74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</row>
    <row r="323" ht="15.75" customHeight="1">
      <c r="A323" s="74" t="s">
        <v>151</v>
      </c>
      <c r="B323" s="27" t="s">
        <v>192</v>
      </c>
      <c r="C323" s="183"/>
      <c r="D323" s="74" t="s">
        <v>2</v>
      </c>
      <c r="E323" s="184">
        <v>46142.0</v>
      </c>
      <c r="F323" s="185">
        <f t="shared" si="1"/>
        <v>30</v>
      </c>
      <c r="G323" s="185">
        <f t="shared" si="2"/>
        <v>4</v>
      </c>
      <c r="H323" s="185">
        <f t="shared" si="3"/>
        <v>2026</v>
      </c>
      <c r="I323" s="186">
        <v>4.0</v>
      </c>
      <c r="J323" s="186">
        <v>2026.0</v>
      </c>
      <c r="K323" s="187"/>
      <c r="L323" s="187">
        <v>0.79</v>
      </c>
      <c r="M323" s="27">
        <v>5.0</v>
      </c>
      <c r="N323" s="187">
        <f t="shared" si="12"/>
        <v>3.95</v>
      </c>
      <c r="O323" s="58"/>
      <c r="P323" s="74" t="s">
        <v>622</v>
      </c>
      <c r="Q323" s="74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</row>
    <row r="324" ht="15.75" customHeight="1">
      <c r="A324" s="74" t="s">
        <v>154</v>
      </c>
      <c r="B324" s="27" t="s">
        <v>231</v>
      </c>
      <c r="C324" s="183"/>
      <c r="D324" s="74" t="s">
        <v>2</v>
      </c>
      <c r="E324" s="184">
        <v>46142.0</v>
      </c>
      <c r="F324" s="185">
        <f t="shared" si="1"/>
        <v>30</v>
      </c>
      <c r="G324" s="185">
        <f t="shared" si="2"/>
        <v>4</v>
      </c>
      <c r="H324" s="185">
        <f t="shared" si="3"/>
        <v>2026</v>
      </c>
      <c r="I324" s="186">
        <v>4.0</v>
      </c>
      <c r="J324" s="186">
        <v>2026.0</v>
      </c>
      <c r="K324" s="187"/>
      <c r="L324" s="187">
        <v>3.49</v>
      </c>
      <c r="M324" s="27">
        <v>1.0</v>
      </c>
      <c r="N324" s="187">
        <f t="shared" si="12"/>
        <v>3.49</v>
      </c>
      <c r="O324" s="58"/>
      <c r="P324" s="74" t="s">
        <v>622</v>
      </c>
      <c r="Q324" s="74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</row>
    <row r="325" ht="15.75" customHeight="1">
      <c r="A325" s="74" t="s">
        <v>154</v>
      </c>
      <c r="B325" s="27" t="s">
        <v>231</v>
      </c>
      <c r="C325" s="183"/>
      <c r="D325" s="74" t="s">
        <v>2</v>
      </c>
      <c r="E325" s="184">
        <v>46142.0</v>
      </c>
      <c r="F325" s="185">
        <f t="shared" si="1"/>
        <v>30</v>
      </c>
      <c r="G325" s="185">
        <f t="shared" si="2"/>
        <v>4</v>
      </c>
      <c r="H325" s="185">
        <f t="shared" si="3"/>
        <v>2026</v>
      </c>
      <c r="I325" s="186">
        <v>4.0</v>
      </c>
      <c r="J325" s="186">
        <v>2026.0</v>
      </c>
      <c r="K325" s="187"/>
      <c r="L325" s="187">
        <v>0.99</v>
      </c>
      <c r="M325" s="27">
        <v>3.0</v>
      </c>
      <c r="N325" s="187">
        <f t="shared" si="12"/>
        <v>2.97</v>
      </c>
      <c r="O325" s="58"/>
      <c r="P325" s="74" t="s">
        <v>640</v>
      </c>
      <c r="Q325" s="74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</row>
    <row r="326" ht="15.75" customHeight="1">
      <c r="A326" s="74" t="s">
        <v>154</v>
      </c>
      <c r="B326" s="27" t="s">
        <v>231</v>
      </c>
      <c r="C326" s="183"/>
      <c r="D326" s="74" t="s">
        <v>2</v>
      </c>
      <c r="E326" s="184">
        <v>46142.0</v>
      </c>
      <c r="F326" s="185">
        <f t="shared" si="1"/>
        <v>30</v>
      </c>
      <c r="G326" s="185">
        <f t="shared" si="2"/>
        <v>4</v>
      </c>
      <c r="H326" s="185">
        <f t="shared" si="3"/>
        <v>2026</v>
      </c>
      <c r="I326" s="186">
        <v>4.0</v>
      </c>
      <c r="J326" s="186">
        <v>2026.0</v>
      </c>
      <c r="K326" s="187"/>
      <c r="L326" s="187">
        <v>1.39</v>
      </c>
      <c r="M326" s="27">
        <v>2.0</v>
      </c>
      <c r="N326" s="187">
        <f t="shared" si="12"/>
        <v>2.78</v>
      </c>
      <c r="O326" s="58"/>
      <c r="P326" s="74" t="s">
        <v>622</v>
      </c>
      <c r="Q326" s="74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</row>
    <row r="327" ht="15.75" customHeight="1">
      <c r="A327" s="74" t="s">
        <v>151</v>
      </c>
      <c r="B327" s="27" t="s">
        <v>140</v>
      </c>
      <c r="C327" s="183"/>
      <c r="D327" s="74" t="s">
        <v>2</v>
      </c>
      <c r="E327" s="184">
        <v>46142.0</v>
      </c>
      <c r="F327" s="185">
        <f t="shared" si="1"/>
        <v>30</v>
      </c>
      <c r="G327" s="185">
        <f t="shared" si="2"/>
        <v>4</v>
      </c>
      <c r="H327" s="185">
        <f t="shared" si="3"/>
        <v>2026</v>
      </c>
      <c r="I327" s="186">
        <v>4.0</v>
      </c>
      <c r="J327" s="186">
        <v>2026.0</v>
      </c>
      <c r="K327" s="187"/>
      <c r="L327" s="187">
        <v>2.49</v>
      </c>
      <c r="M327" s="27">
        <v>1.0</v>
      </c>
      <c r="N327" s="187">
        <f t="shared" si="12"/>
        <v>2.49</v>
      </c>
      <c r="O327" s="58"/>
      <c r="P327" s="74" t="s">
        <v>622</v>
      </c>
      <c r="Q327" s="74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</row>
    <row r="328" ht="15.75" customHeight="1">
      <c r="A328" s="74" t="s">
        <v>154</v>
      </c>
      <c r="B328" s="27" t="s">
        <v>231</v>
      </c>
      <c r="C328" s="183"/>
      <c r="D328" s="74" t="s">
        <v>2</v>
      </c>
      <c r="E328" s="184">
        <v>46142.0</v>
      </c>
      <c r="F328" s="185">
        <f t="shared" si="1"/>
        <v>30</v>
      </c>
      <c r="G328" s="185">
        <f t="shared" si="2"/>
        <v>4</v>
      </c>
      <c r="H328" s="185">
        <f t="shared" si="3"/>
        <v>2026</v>
      </c>
      <c r="I328" s="186">
        <v>4.0</v>
      </c>
      <c r="J328" s="186">
        <v>2026.0</v>
      </c>
      <c r="K328" s="187"/>
      <c r="L328" s="187">
        <v>0.59</v>
      </c>
      <c r="M328" s="27">
        <v>4.0</v>
      </c>
      <c r="N328" s="187">
        <f t="shared" si="12"/>
        <v>2.36</v>
      </c>
      <c r="O328" s="58"/>
      <c r="P328" s="74" t="s">
        <v>641</v>
      </c>
      <c r="Q328" s="74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</row>
    <row r="329" ht="15.75" customHeight="1">
      <c r="A329" s="74" t="s">
        <v>253</v>
      </c>
      <c r="B329" s="27" t="s">
        <v>272</v>
      </c>
      <c r="C329" s="183"/>
      <c r="D329" s="74" t="s">
        <v>274</v>
      </c>
      <c r="E329" s="184">
        <v>46143.0</v>
      </c>
      <c r="F329" s="185">
        <f t="shared" si="1"/>
        <v>1</v>
      </c>
      <c r="G329" s="185">
        <f t="shared" si="2"/>
        <v>5</v>
      </c>
      <c r="H329" s="185">
        <f t="shared" si="3"/>
        <v>2026</v>
      </c>
      <c r="I329" s="186">
        <v>5.0</v>
      </c>
      <c r="J329" s="186">
        <v>2026.0</v>
      </c>
      <c r="K329" s="187"/>
      <c r="L329" s="187">
        <v>5000.0</v>
      </c>
      <c r="M329" s="27">
        <v>1.0</v>
      </c>
      <c r="N329" s="187">
        <f t="shared" si="12"/>
        <v>5000</v>
      </c>
      <c r="O329" s="58"/>
      <c r="P329" s="74" t="s">
        <v>19</v>
      </c>
      <c r="Q329" s="74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</row>
    <row r="330" ht="15.75" customHeight="1">
      <c r="A330" s="74" t="s">
        <v>167</v>
      </c>
      <c r="B330" s="27" t="s">
        <v>32</v>
      </c>
      <c r="C330" s="183"/>
      <c r="D330" s="74" t="s">
        <v>2</v>
      </c>
      <c r="E330" s="184">
        <v>46143.0</v>
      </c>
      <c r="F330" s="185">
        <f t="shared" si="1"/>
        <v>1</v>
      </c>
      <c r="G330" s="185">
        <f t="shared" si="2"/>
        <v>5</v>
      </c>
      <c r="H330" s="185">
        <f t="shared" si="3"/>
        <v>2026</v>
      </c>
      <c r="I330" s="186">
        <v>3.0</v>
      </c>
      <c r="J330" s="186">
        <v>2026.0</v>
      </c>
      <c r="K330" s="187"/>
      <c r="L330" s="187">
        <v>115.0</v>
      </c>
      <c r="M330" s="27">
        <v>1.0</v>
      </c>
      <c r="N330" s="187">
        <f t="shared" si="12"/>
        <v>115</v>
      </c>
      <c r="O330" s="58"/>
      <c r="P330" s="74"/>
      <c r="Q330" s="74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</row>
    <row r="331" ht="15.75" customHeight="1">
      <c r="A331" s="74" t="s">
        <v>617</v>
      </c>
      <c r="B331" s="27" t="s">
        <v>619</v>
      </c>
      <c r="C331" s="183"/>
      <c r="D331" s="74" t="s">
        <v>274</v>
      </c>
      <c r="E331" s="184">
        <v>46143.0</v>
      </c>
      <c r="F331" s="185">
        <f t="shared" si="1"/>
        <v>1</v>
      </c>
      <c r="G331" s="185">
        <f t="shared" si="2"/>
        <v>5</v>
      </c>
      <c r="H331" s="185">
        <f t="shared" si="3"/>
        <v>2026</v>
      </c>
      <c r="I331" s="186">
        <v>5.0</v>
      </c>
      <c r="J331" s="186">
        <v>2026.0</v>
      </c>
      <c r="K331" s="187"/>
      <c r="L331" s="187">
        <v>96.16</v>
      </c>
      <c r="M331" s="27">
        <v>1.0</v>
      </c>
      <c r="N331" s="187">
        <f t="shared" si="12"/>
        <v>96.16</v>
      </c>
      <c r="O331" s="58"/>
      <c r="P331" s="74"/>
      <c r="Q331" s="74"/>
      <c r="R331" s="27" t="s">
        <v>642</v>
      </c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</row>
    <row r="332" ht="15.75" customHeight="1">
      <c r="A332" s="74" t="s">
        <v>528</v>
      </c>
      <c r="B332" s="27" t="s">
        <v>145</v>
      </c>
      <c r="C332" s="183"/>
      <c r="D332" s="74" t="s">
        <v>274</v>
      </c>
      <c r="E332" s="184">
        <v>46143.0</v>
      </c>
      <c r="F332" s="185">
        <f t="shared" si="1"/>
        <v>1</v>
      </c>
      <c r="G332" s="185">
        <f t="shared" si="2"/>
        <v>5</v>
      </c>
      <c r="H332" s="185">
        <f t="shared" si="3"/>
        <v>2026</v>
      </c>
      <c r="I332" s="186">
        <v>5.0</v>
      </c>
      <c r="J332" s="186">
        <v>2026.0</v>
      </c>
      <c r="K332" s="187"/>
      <c r="L332" s="187">
        <f>2.79/6</f>
        <v>0.465</v>
      </c>
      <c r="M332" s="27">
        <f>6*32</f>
        <v>192</v>
      </c>
      <c r="N332" s="187">
        <f t="shared" si="12"/>
        <v>89.28</v>
      </c>
      <c r="O332" s="58"/>
      <c r="P332" s="74"/>
      <c r="Q332" s="74"/>
      <c r="R332" s="27" t="s">
        <v>642</v>
      </c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</row>
    <row r="333" ht="15.75" customHeight="1">
      <c r="A333" s="74" t="s">
        <v>167</v>
      </c>
      <c r="B333" s="27" t="s">
        <v>49</v>
      </c>
      <c r="C333" s="183"/>
      <c r="D333" s="74" t="s">
        <v>2</v>
      </c>
      <c r="E333" s="184">
        <v>46143.0</v>
      </c>
      <c r="F333" s="185">
        <f t="shared" si="1"/>
        <v>1</v>
      </c>
      <c r="G333" s="185">
        <f t="shared" si="2"/>
        <v>5</v>
      </c>
      <c r="H333" s="185">
        <f t="shared" si="3"/>
        <v>2026</v>
      </c>
      <c r="I333" s="186">
        <v>5.0</v>
      </c>
      <c r="J333" s="186">
        <v>2026.0</v>
      </c>
      <c r="K333" s="187"/>
      <c r="L333" s="187">
        <v>87.3</v>
      </c>
      <c r="M333" s="27">
        <v>1.0</v>
      </c>
      <c r="N333" s="187">
        <f t="shared" si="12"/>
        <v>87.3</v>
      </c>
      <c r="O333" s="58"/>
      <c r="P333" s="74"/>
      <c r="Q333" s="74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</row>
    <row r="334" ht="15.75" customHeight="1">
      <c r="A334" s="74" t="s">
        <v>22</v>
      </c>
      <c r="B334" s="27" t="s">
        <v>27</v>
      </c>
      <c r="C334" s="183"/>
      <c r="D334" s="74" t="s">
        <v>2</v>
      </c>
      <c r="E334" s="184">
        <v>46143.0</v>
      </c>
      <c r="F334" s="185">
        <f t="shared" si="1"/>
        <v>1</v>
      </c>
      <c r="G334" s="185">
        <f t="shared" si="2"/>
        <v>5</v>
      </c>
      <c r="H334" s="185">
        <f t="shared" si="3"/>
        <v>2026</v>
      </c>
      <c r="I334" s="186">
        <v>5.0</v>
      </c>
      <c r="J334" s="186">
        <v>2026.0</v>
      </c>
      <c r="K334" s="187"/>
      <c r="L334" s="187">
        <v>927.5</v>
      </c>
      <c r="M334" s="27">
        <v>1.0</v>
      </c>
      <c r="N334" s="187">
        <f t="shared" si="12"/>
        <v>927.5</v>
      </c>
      <c r="O334" s="58">
        <v>198.0</v>
      </c>
      <c r="P334" s="74"/>
      <c r="Q334" s="74" t="s">
        <v>647</v>
      </c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</row>
    <row r="335" ht="15.75" customHeight="1">
      <c r="A335" s="74" t="s">
        <v>22</v>
      </c>
      <c r="B335" s="27" t="s">
        <v>342</v>
      </c>
      <c r="C335" s="183"/>
      <c r="D335" s="74" t="s">
        <v>5</v>
      </c>
      <c r="E335" s="184">
        <v>46143.0</v>
      </c>
      <c r="F335" s="185">
        <f t="shared" si="1"/>
        <v>1</v>
      </c>
      <c r="G335" s="185">
        <f t="shared" si="2"/>
        <v>5</v>
      </c>
      <c r="H335" s="185">
        <f t="shared" si="3"/>
        <v>2026</v>
      </c>
      <c r="I335" s="186">
        <v>5.0</v>
      </c>
      <c r="J335" s="186">
        <v>2026.0</v>
      </c>
      <c r="K335" s="187"/>
      <c r="L335" s="187">
        <v>700.0</v>
      </c>
      <c r="M335" s="27">
        <v>1.0</v>
      </c>
      <c r="N335" s="187">
        <f t="shared" si="12"/>
        <v>700</v>
      </c>
      <c r="O335" s="58">
        <v>194.0</v>
      </c>
      <c r="P335" s="74" t="s">
        <v>19</v>
      </c>
      <c r="Q335" s="74" t="s">
        <v>648</v>
      </c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</row>
    <row r="336" ht="15.75" customHeight="1">
      <c r="A336" s="74" t="s">
        <v>22</v>
      </c>
      <c r="B336" s="27" t="s">
        <v>342</v>
      </c>
      <c r="C336" s="183"/>
      <c r="D336" s="74" t="s">
        <v>5</v>
      </c>
      <c r="E336" s="184">
        <v>46143.0</v>
      </c>
      <c r="F336" s="185">
        <f t="shared" si="1"/>
        <v>1</v>
      </c>
      <c r="G336" s="185">
        <f t="shared" si="2"/>
        <v>5</v>
      </c>
      <c r="H336" s="185">
        <f t="shared" si="3"/>
        <v>2026</v>
      </c>
      <c r="I336" s="186">
        <v>5.0</v>
      </c>
      <c r="J336" s="186">
        <v>2026.0</v>
      </c>
      <c r="K336" s="187"/>
      <c r="L336" s="187">
        <v>600.0</v>
      </c>
      <c r="M336" s="27">
        <v>1.0</v>
      </c>
      <c r="N336" s="187">
        <f t="shared" si="12"/>
        <v>600</v>
      </c>
      <c r="O336" s="58">
        <v>192.0</v>
      </c>
      <c r="P336" s="74" t="s">
        <v>19</v>
      </c>
      <c r="Q336" s="74" t="s">
        <v>650</v>
      </c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</row>
    <row r="337" ht="15.75" customHeight="1">
      <c r="A337" s="74" t="s">
        <v>22</v>
      </c>
      <c r="B337" s="27" t="s">
        <v>342</v>
      </c>
      <c r="C337" s="183"/>
      <c r="D337" s="74" t="s">
        <v>5</v>
      </c>
      <c r="E337" s="184">
        <v>46143.0</v>
      </c>
      <c r="F337" s="185">
        <f t="shared" si="1"/>
        <v>1</v>
      </c>
      <c r="G337" s="185">
        <f t="shared" si="2"/>
        <v>5</v>
      </c>
      <c r="H337" s="185">
        <f t="shared" si="3"/>
        <v>2026</v>
      </c>
      <c r="I337" s="186">
        <v>5.0</v>
      </c>
      <c r="J337" s="186">
        <v>2026.0</v>
      </c>
      <c r="K337" s="187"/>
      <c r="L337" s="187">
        <v>350.0</v>
      </c>
      <c r="M337" s="27">
        <v>1.0</v>
      </c>
      <c r="N337" s="187">
        <f t="shared" si="12"/>
        <v>350</v>
      </c>
      <c r="O337" s="58">
        <v>195.0</v>
      </c>
      <c r="P337" s="74" t="s">
        <v>19</v>
      </c>
      <c r="Q337" s="74" t="s">
        <v>652</v>
      </c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</row>
    <row r="338" ht="15.75" customHeight="1">
      <c r="A338" s="74" t="s">
        <v>22</v>
      </c>
      <c r="B338" s="27" t="s">
        <v>342</v>
      </c>
      <c r="C338" s="183"/>
      <c r="D338" s="74" t="s">
        <v>5</v>
      </c>
      <c r="E338" s="184">
        <v>46143.0</v>
      </c>
      <c r="F338" s="185">
        <f t="shared" si="1"/>
        <v>1</v>
      </c>
      <c r="G338" s="185">
        <f t="shared" si="2"/>
        <v>5</v>
      </c>
      <c r="H338" s="185">
        <f t="shared" si="3"/>
        <v>2026</v>
      </c>
      <c r="I338" s="186">
        <v>5.0</v>
      </c>
      <c r="J338" s="186">
        <v>2026.0</v>
      </c>
      <c r="K338" s="187"/>
      <c r="L338" s="187">
        <v>300.0</v>
      </c>
      <c r="M338" s="27">
        <v>1.0</v>
      </c>
      <c r="N338" s="187">
        <f t="shared" si="12"/>
        <v>300</v>
      </c>
      <c r="O338" s="58">
        <v>198.0</v>
      </c>
      <c r="P338" s="74" t="s">
        <v>19</v>
      </c>
      <c r="Q338" s="74" t="s">
        <v>358</v>
      </c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</row>
    <row r="339" ht="15.75" customHeight="1">
      <c r="A339" s="74" t="s">
        <v>22</v>
      </c>
      <c r="B339" s="27" t="s">
        <v>342</v>
      </c>
      <c r="C339" s="183"/>
      <c r="D339" s="74" t="s">
        <v>5</v>
      </c>
      <c r="E339" s="184">
        <v>46143.0</v>
      </c>
      <c r="F339" s="185">
        <f t="shared" si="1"/>
        <v>1</v>
      </c>
      <c r="G339" s="185">
        <f t="shared" si="2"/>
        <v>5</v>
      </c>
      <c r="H339" s="185">
        <f t="shared" si="3"/>
        <v>2026</v>
      </c>
      <c r="I339" s="186">
        <v>5.0</v>
      </c>
      <c r="J339" s="186">
        <v>2026.0</v>
      </c>
      <c r="K339" s="187"/>
      <c r="L339" s="187">
        <v>300.0</v>
      </c>
      <c r="M339" s="27">
        <v>1.0</v>
      </c>
      <c r="N339" s="187">
        <f t="shared" si="12"/>
        <v>300</v>
      </c>
      <c r="O339" s="58">
        <v>199.0</v>
      </c>
      <c r="P339" s="74" t="s">
        <v>19</v>
      </c>
      <c r="Q339" s="74" t="s">
        <v>551</v>
      </c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</row>
    <row r="340" ht="15.75" customHeight="1">
      <c r="A340" s="74" t="s">
        <v>22</v>
      </c>
      <c r="B340" s="27" t="s">
        <v>342</v>
      </c>
      <c r="C340" s="183"/>
      <c r="D340" s="74" t="s">
        <v>5</v>
      </c>
      <c r="E340" s="184">
        <v>46143.0</v>
      </c>
      <c r="F340" s="185">
        <f t="shared" si="1"/>
        <v>1</v>
      </c>
      <c r="G340" s="185">
        <f t="shared" si="2"/>
        <v>5</v>
      </c>
      <c r="H340" s="185">
        <f t="shared" si="3"/>
        <v>2026</v>
      </c>
      <c r="I340" s="186">
        <v>5.0</v>
      </c>
      <c r="J340" s="186">
        <v>2026.0</v>
      </c>
      <c r="K340" s="187"/>
      <c r="L340" s="187">
        <v>180.0</v>
      </c>
      <c r="M340" s="27">
        <v>1.0</v>
      </c>
      <c r="N340" s="187">
        <f t="shared" si="12"/>
        <v>180</v>
      </c>
      <c r="O340" s="58">
        <v>191.0</v>
      </c>
      <c r="P340" s="74" t="s">
        <v>19</v>
      </c>
      <c r="Q340" s="74" t="s">
        <v>551</v>
      </c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</row>
    <row r="341" ht="15.75" customHeight="1">
      <c r="A341" s="74" t="s">
        <v>22</v>
      </c>
      <c r="B341" s="27" t="s">
        <v>342</v>
      </c>
      <c r="C341" s="183"/>
      <c r="D341" s="74" t="s">
        <v>5</v>
      </c>
      <c r="E341" s="184">
        <v>46143.0</v>
      </c>
      <c r="F341" s="185">
        <f t="shared" si="1"/>
        <v>1</v>
      </c>
      <c r="G341" s="185">
        <f t="shared" si="2"/>
        <v>5</v>
      </c>
      <c r="H341" s="185">
        <f t="shared" si="3"/>
        <v>2026</v>
      </c>
      <c r="I341" s="186">
        <v>5.0</v>
      </c>
      <c r="J341" s="186">
        <v>2026.0</v>
      </c>
      <c r="K341" s="187"/>
      <c r="L341" s="187">
        <v>150.0</v>
      </c>
      <c r="M341" s="27">
        <v>1.0</v>
      </c>
      <c r="N341" s="187">
        <f t="shared" si="12"/>
        <v>150</v>
      </c>
      <c r="O341" s="58">
        <v>197.0</v>
      </c>
      <c r="P341" s="74" t="s">
        <v>19</v>
      </c>
      <c r="Q341" s="74" t="s">
        <v>357</v>
      </c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</row>
    <row r="342" ht="15.75" customHeight="1">
      <c r="A342" s="74" t="s">
        <v>22</v>
      </c>
      <c r="B342" s="27" t="s">
        <v>342</v>
      </c>
      <c r="C342" s="183"/>
      <c r="D342" s="74" t="s">
        <v>5</v>
      </c>
      <c r="E342" s="184">
        <v>46143.0</v>
      </c>
      <c r="F342" s="185">
        <f t="shared" si="1"/>
        <v>1</v>
      </c>
      <c r="G342" s="185">
        <f t="shared" si="2"/>
        <v>5</v>
      </c>
      <c r="H342" s="185">
        <f t="shared" si="3"/>
        <v>2026</v>
      </c>
      <c r="I342" s="186">
        <v>5.0</v>
      </c>
      <c r="J342" s="186">
        <v>2026.0</v>
      </c>
      <c r="K342" s="187"/>
      <c r="L342" s="187">
        <v>150.0</v>
      </c>
      <c r="M342" s="27">
        <v>1.0</v>
      </c>
      <c r="N342" s="187">
        <f t="shared" si="12"/>
        <v>150</v>
      </c>
      <c r="O342" s="58">
        <v>196.0</v>
      </c>
      <c r="P342" s="74" t="s">
        <v>19</v>
      </c>
      <c r="Q342" s="74" t="s">
        <v>655</v>
      </c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</row>
    <row r="343" ht="15.75" customHeight="1">
      <c r="A343" s="74" t="s">
        <v>22</v>
      </c>
      <c r="B343" s="27" t="s">
        <v>27</v>
      </c>
      <c r="C343" s="183"/>
      <c r="D343" s="74" t="s">
        <v>2</v>
      </c>
      <c r="E343" s="184">
        <v>46143.0</v>
      </c>
      <c r="F343" s="185">
        <f t="shared" si="1"/>
        <v>1</v>
      </c>
      <c r="G343" s="185">
        <f t="shared" si="2"/>
        <v>5</v>
      </c>
      <c r="H343" s="185">
        <f t="shared" si="3"/>
        <v>2026</v>
      </c>
      <c r="I343" s="186">
        <v>5.0</v>
      </c>
      <c r="J343" s="186">
        <v>2026.0</v>
      </c>
      <c r="K343" s="187"/>
      <c r="L343" s="187">
        <v>141.35</v>
      </c>
      <c r="M343" s="27">
        <v>1.0</v>
      </c>
      <c r="N343" s="187">
        <f t="shared" si="12"/>
        <v>141.35</v>
      </c>
      <c r="O343" s="58">
        <v>188.0</v>
      </c>
      <c r="P343" s="74"/>
      <c r="Q343" s="74" t="s">
        <v>657</v>
      </c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</row>
    <row r="344" ht="15.75" customHeight="1">
      <c r="A344" s="74" t="s">
        <v>22</v>
      </c>
      <c r="B344" s="27" t="s">
        <v>342</v>
      </c>
      <c r="C344" s="183"/>
      <c r="D344" s="74" t="s">
        <v>5</v>
      </c>
      <c r="E344" s="184">
        <v>46143.0</v>
      </c>
      <c r="F344" s="185">
        <f t="shared" si="1"/>
        <v>1</v>
      </c>
      <c r="G344" s="185">
        <f t="shared" si="2"/>
        <v>5</v>
      </c>
      <c r="H344" s="185">
        <f t="shared" si="3"/>
        <v>2026</v>
      </c>
      <c r="I344" s="186">
        <v>5.0</v>
      </c>
      <c r="J344" s="186">
        <v>2026.0</v>
      </c>
      <c r="K344" s="187"/>
      <c r="L344" s="187">
        <v>50.0</v>
      </c>
      <c r="M344" s="27">
        <v>1.0</v>
      </c>
      <c r="N344" s="187">
        <f t="shared" si="12"/>
        <v>50</v>
      </c>
      <c r="O344" s="58">
        <v>193.0</v>
      </c>
      <c r="P344" s="74" t="s">
        <v>19</v>
      </c>
      <c r="Q344" s="74" t="s">
        <v>660</v>
      </c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</row>
    <row r="345" ht="15.75" customHeight="1">
      <c r="A345" s="74" t="s">
        <v>153</v>
      </c>
      <c r="B345" s="27" t="s">
        <v>314</v>
      </c>
      <c r="C345" s="183"/>
      <c r="D345" s="74" t="s">
        <v>2</v>
      </c>
      <c r="E345" s="184">
        <v>46143.0</v>
      </c>
      <c r="F345" s="185">
        <f t="shared" si="1"/>
        <v>1</v>
      </c>
      <c r="G345" s="185">
        <f t="shared" si="2"/>
        <v>5</v>
      </c>
      <c r="H345" s="185">
        <f t="shared" si="3"/>
        <v>2026</v>
      </c>
      <c r="I345" s="186">
        <v>5.0</v>
      </c>
      <c r="J345" s="186">
        <v>2026.0</v>
      </c>
      <c r="K345" s="187"/>
      <c r="L345" s="187">
        <v>27.35</v>
      </c>
      <c r="M345" s="27">
        <v>1.0</v>
      </c>
      <c r="N345" s="187">
        <f t="shared" si="12"/>
        <v>27.35</v>
      </c>
      <c r="O345" s="58"/>
      <c r="P345" s="74"/>
      <c r="Q345" s="74" t="s">
        <v>662</v>
      </c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</row>
    <row r="346" ht="15.75" customHeight="1">
      <c r="A346" s="74" t="s">
        <v>617</v>
      </c>
      <c r="B346" s="27" t="s">
        <v>664</v>
      </c>
      <c r="C346" s="183"/>
      <c r="D346" s="74" t="s">
        <v>2</v>
      </c>
      <c r="E346" s="184">
        <v>46143.0</v>
      </c>
      <c r="F346" s="185">
        <f t="shared" si="1"/>
        <v>1</v>
      </c>
      <c r="G346" s="185">
        <f t="shared" si="2"/>
        <v>5</v>
      </c>
      <c r="H346" s="185">
        <f t="shared" si="3"/>
        <v>2026</v>
      </c>
      <c r="I346" s="186">
        <v>5.0</v>
      </c>
      <c r="J346" s="186">
        <v>2026.0</v>
      </c>
      <c r="K346" s="187"/>
      <c r="L346" s="187">
        <v>22.42</v>
      </c>
      <c r="M346" s="27">
        <v>1.0</v>
      </c>
      <c r="N346" s="187">
        <f t="shared" si="12"/>
        <v>22.42</v>
      </c>
      <c r="O346" s="58"/>
      <c r="P346" s="74"/>
      <c r="Q346" s="74" t="s">
        <v>665</v>
      </c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</row>
    <row r="347" ht="15.75" customHeight="1">
      <c r="A347" s="74" t="s">
        <v>617</v>
      </c>
      <c r="B347" s="27" t="s">
        <v>631</v>
      </c>
      <c r="C347" s="183"/>
      <c r="D347" s="74" t="s">
        <v>274</v>
      </c>
      <c r="E347" s="184">
        <v>46143.0</v>
      </c>
      <c r="F347" s="185">
        <f t="shared" si="1"/>
        <v>1</v>
      </c>
      <c r="G347" s="185">
        <f t="shared" si="2"/>
        <v>5</v>
      </c>
      <c r="H347" s="185">
        <f t="shared" si="3"/>
        <v>2026</v>
      </c>
      <c r="I347" s="186">
        <v>5.0</v>
      </c>
      <c r="J347" s="186">
        <v>2026.0</v>
      </c>
      <c r="K347" s="187"/>
      <c r="L347" s="187">
        <v>21.49</v>
      </c>
      <c r="M347" s="27">
        <v>1.0</v>
      </c>
      <c r="N347" s="187">
        <f t="shared" si="12"/>
        <v>21.49</v>
      </c>
      <c r="O347" s="58"/>
      <c r="P347" s="74"/>
      <c r="Q347" s="74" t="s">
        <v>668</v>
      </c>
      <c r="R347" s="27" t="s">
        <v>642</v>
      </c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</row>
    <row r="348" ht="15.75" customHeight="1">
      <c r="A348" s="74" t="s">
        <v>151</v>
      </c>
      <c r="B348" s="27" t="s">
        <v>188</v>
      </c>
      <c r="C348" s="183"/>
      <c r="D348" s="74" t="s">
        <v>2</v>
      </c>
      <c r="E348" s="184">
        <v>46143.0</v>
      </c>
      <c r="F348" s="185">
        <f t="shared" si="1"/>
        <v>1</v>
      </c>
      <c r="G348" s="185">
        <f t="shared" si="2"/>
        <v>5</v>
      </c>
      <c r="H348" s="185">
        <f t="shared" si="3"/>
        <v>2026</v>
      </c>
      <c r="I348" s="186">
        <v>5.0</v>
      </c>
      <c r="J348" s="186">
        <v>2026.0</v>
      </c>
      <c r="K348" s="187"/>
      <c r="L348" s="187">
        <v>4.99</v>
      </c>
      <c r="M348" s="27">
        <v>1.0</v>
      </c>
      <c r="N348" s="187">
        <f t="shared" si="12"/>
        <v>4.99</v>
      </c>
      <c r="O348" s="58"/>
      <c r="P348" s="74"/>
      <c r="Q348" s="74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</row>
    <row r="349" ht="15.75" customHeight="1">
      <c r="A349" s="74" t="s">
        <v>151</v>
      </c>
      <c r="B349" s="27" t="s">
        <v>188</v>
      </c>
      <c r="C349" s="183"/>
      <c r="D349" s="74" t="s">
        <v>2</v>
      </c>
      <c r="E349" s="184">
        <v>46143.0</v>
      </c>
      <c r="F349" s="185">
        <f t="shared" si="1"/>
        <v>1</v>
      </c>
      <c r="G349" s="185">
        <f t="shared" si="2"/>
        <v>5</v>
      </c>
      <c r="H349" s="185">
        <f t="shared" si="3"/>
        <v>2026</v>
      </c>
      <c r="I349" s="186">
        <v>5.0</v>
      </c>
      <c r="J349" s="186">
        <v>2026.0</v>
      </c>
      <c r="K349" s="187"/>
      <c r="L349" s="187">
        <v>4.99</v>
      </c>
      <c r="M349" s="27">
        <v>1.0</v>
      </c>
      <c r="N349" s="187">
        <f t="shared" si="12"/>
        <v>4.99</v>
      </c>
      <c r="O349" s="58"/>
      <c r="P349" s="74"/>
      <c r="Q349" s="74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</row>
    <row r="350" ht="15.75" customHeight="1">
      <c r="A350" s="74" t="s">
        <v>334</v>
      </c>
      <c r="B350" s="27" t="s">
        <v>34</v>
      </c>
      <c r="C350" s="183"/>
      <c r="D350" s="74" t="s">
        <v>2</v>
      </c>
      <c r="E350" s="184">
        <v>46145.0</v>
      </c>
      <c r="F350" s="185">
        <f t="shared" si="1"/>
        <v>3</v>
      </c>
      <c r="G350" s="185">
        <f t="shared" si="2"/>
        <v>5</v>
      </c>
      <c r="H350" s="185">
        <f t="shared" si="3"/>
        <v>2026</v>
      </c>
      <c r="I350" s="186">
        <v>5.0</v>
      </c>
      <c r="J350" s="186">
        <v>2026.0</v>
      </c>
      <c r="K350" s="187"/>
      <c r="L350" s="187">
        <v>103.5</v>
      </c>
      <c r="M350" s="27">
        <v>1.0</v>
      </c>
      <c r="N350" s="187">
        <f t="shared" si="12"/>
        <v>103.5</v>
      </c>
      <c r="O350" s="58"/>
      <c r="P350" s="74"/>
      <c r="Q350" s="74" t="s">
        <v>670</v>
      </c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</row>
    <row r="351" ht="15.75" customHeight="1">
      <c r="A351" s="74" t="s">
        <v>617</v>
      </c>
      <c r="B351" s="27" t="s">
        <v>664</v>
      </c>
      <c r="C351" s="183"/>
      <c r="D351" s="74" t="s">
        <v>2</v>
      </c>
      <c r="E351" s="184">
        <v>46145.0</v>
      </c>
      <c r="F351" s="185">
        <f t="shared" si="1"/>
        <v>3</v>
      </c>
      <c r="G351" s="185">
        <f t="shared" si="2"/>
        <v>5</v>
      </c>
      <c r="H351" s="185">
        <f t="shared" si="3"/>
        <v>2026</v>
      </c>
      <c r="I351" s="186">
        <v>5.0</v>
      </c>
      <c r="J351" s="186">
        <v>2026.0</v>
      </c>
      <c r="K351" s="187"/>
      <c r="L351" s="187">
        <v>117.77</v>
      </c>
      <c r="M351" s="27">
        <v>1.0</v>
      </c>
      <c r="N351" s="187">
        <f t="shared" si="12"/>
        <v>117.77</v>
      </c>
      <c r="O351" s="58"/>
      <c r="P351" s="74"/>
      <c r="Q351" s="74" t="s">
        <v>671</v>
      </c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</row>
    <row r="352" ht="15.75" customHeight="1">
      <c r="A352" s="74" t="s">
        <v>175</v>
      </c>
      <c r="B352" s="27" t="s">
        <v>296</v>
      </c>
      <c r="C352" s="183"/>
      <c r="D352" s="74" t="s">
        <v>2</v>
      </c>
      <c r="E352" s="184">
        <v>46145.0</v>
      </c>
      <c r="F352" s="185">
        <f t="shared" si="1"/>
        <v>3</v>
      </c>
      <c r="G352" s="185">
        <f t="shared" si="2"/>
        <v>5</v>
      </c>
      <c r="H352" s="185">
        <f t="shared" si="3"/>
        <v>2026</v>
      </c>
      <c r="I352" s="186">
        <v>5.0</v>
      </c>
      <c r="J352" s="186">
        <v>2026.0</v>
      </c>
      <c r="K352" s="187"/>
      <c r="L352" s="187">
        <v>24.0</v>
      </c>
      <c r="M352" s="27">
        <v>1.0</v>
      </c>
      <c r="N352" s="187">
        <f t="shared" si="12"/>
        <v>24</v>
      </c>
      <c r="O352" s="58"/>
      <c r="P352" s="74"/>
      <c r="Q352" s="74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</row>
    <row r="353" ht="15.75" customHeight="1">
      <c r="A353" s="74" t="s">
        <v>156</v>
      </c>
      <c r="B353" s="27" t="s">
        <v>250</v>
      </c>
      <c r="C353" s="183"/>
      <c r="D353" s="74" t="s">
        <v>2</v>
      </c>
      <c r="E353" s="184">
        <v>46146.0</v>
      </c>
      <c r="F353" s="185">
        <f t="shared" si="1"/>
        <v>4</v>
      </c>
      <c r="G353" s="185">
        <f t="shared" si="2"/>
        <v>5</v>
      </c>
      <c r="H353" s="185">
        <f t="shared" si="3"/>
        <v>2026</v>
      </c>
      <c r="I353" s="186">
        <v>5.0</v>
      </c>
      <c r="J353" s="186">
        <v>2026.0</v>
      </c>
      <c r="K353" s="187"/>
      <c r="L353" s="187">
        <v>334.45</v>
      </c>
      <c r="M353" s="27">
        <v>1.0</v>
      </c>
      <c r="N353" s="187">
        <f t="shared" si="12"/>
        <v>334.45</v>
      </c>
      <c r="O353" s="58"/>
      <c r="P353" s="74"/>
      <c r="Q353" s="74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</row>
    <row r="354" ht="15.75" customHeight="1">
      <c r="A354" s="74" t="s">
        <v>172</v>
      </c>
      <c r="B354" s="27" t="s">
        <v>291</v>
      </c>
      <c r="C354" s="183"/>
      <c r="D354" s="74" t="s">
        <v>2</v>
      </c>
      <c r="E354" s="184">
        <v>46146.0</v>
      </c>
      <c r="F354" s="185">
        <f t="shared" si="1"/>
        <v>4</v>
      </c>
      <c r="G354" s="185">
        <f t="shared" si="2"/>
        <v>5</v>
      </c>
      <c r="H354" s="185">
        <f t="shared" si="3"/>
        <v>2026</v>
      </c>
      <c r="I354" s="186">
        <v>5.0</v>
      </c>
      <c r="J354" s="186">
        <v>2026.0</v>
      </c>
      <c r="K354" s="187"/>
      <c r="L354" s="187">
        <v>21.4</v>
      </c>
      <c r="M354" s="27">
        <v>3.0</v>
      </c>
      <c r="N354" s="187">
        <f t="shared" si="12"/>
        <v>64.2</v>
      </c>
      <c r="O354" s="58"/>
      <c r="P354" s="74" t="s">
        <v>676</v>
      </c>
      <c r="Q354" s="74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</row>
    <row r="355" ht="15.75" customHeight="1">
      <c r="A355" s="74" t="s">
        <v>167</v>
      </c>
      <c r="B355" s="27" t="s">
        <v>37</v>
      </c>
      <c r="C355" s="183"/>
      <c r="D355" s="74" t="s">
        <v>2</v>
      </c>
      <c r="E355" s="184">
        <v>46146.0</v>
      </c>
      <c r="F355" s="185">
        <f t="shared" si="1"/>
        <v>4</v>
      </c>
      <c r="G355" s="185">
        <f t="shared" si="2"/>
        <v>5</v>
      </c>
      <c r="H355" s="185">
        <f t="shared" si="3"/>
        <v>2026</v>
      </c>
      <c r="I355" s="186">
        <v>4.0</v>
      </c>
      <c r="J355" s="186">
        <v>2026.0</v>
      </c>
      <c r="K355" s="187"/>
      <c r="L355" s="187">
        <v>62.86</v>
      </c>
      <c r="M355" s="27">
        <v>1.0</v>
      </c>
      <c r="N355" s="187">
        <f t="shared" si="12"/>
        <v>62.86</v>
      </c>
      <c r="O355" s="58"/>
      <c r="P355" s="74"/>
      <c r="Q355" s="74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</row>
    <row r="356" ht="15.75" customHeight="1">
      <c r="A356" s="74" t="s">
        <v>172</v>
      </c>
      <c r="B356" s="27" t="s">
        <v>281</v>
      </c>
      <c r="C356" s="183"/>
      <c r="D356" s="74" t="s">
        <v>2</v>
      </c>
      <c r="E356" s="184">
        <v>46146.0</v>
      </c>
      <c r="F356" s="185">
        <f t="shared" si="1"/>
        <v>4</v>
      </c>
      <c r="G356" s="185">
        <f t="shared" si="2"/>
        <v>5</v>
      </c>
      <c r="H356" s="185">
        <f t="shared" si="3"/>
        <v>2026</v>
      </c>
      <c r="I356" s="186">
        <v>5.0</v>
      </c>
      <c r="J356" s="186">
        <v>2026.0</v>
      </c>
      <c r="K356" s="187"/>
      <c r="L356" s="187">
        <v>56.29</v>
      </c>
      <c r="M356" s="27">
        <v>1.0</v>
      </c>
      <c r="N356" s="187">
        <f t="shared" si="12"/>
        <v>56.29</v>
      </c>
      <c r="O356" s="58"/>
      <c r="P356" s="74" t="s">
        <v>676</v>
      </c>
      <c r="Q356" s="74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</row>
    <row r="357" ht="15.75" customHeight="1">
      <c r="A357" s="74" t="s">
        <v>172</v>
      </c>
      <c r="B357" s="27" t="s">
        <v>290</v>
      </c>
      <c r="C357" s="183"/>
      <c r="D357" s="74" t="s">
        <v>2</v>
      </c>
      <c r="E357" s="184">
        <v>46146.0</v>
      </c>
      <c r="F357" s="185">
        <f t="shared" si="1"/>
        <v>4</v>
      </c>
      <c r="G357" s="185">
        <f t="shared" si="2"/>
        <v>5</v>
      </c>
      <c r="H357" s="185">
        <f t="shared" si="3"/>
        <v>2026</v>
      </c>
      <c r="I357" s="186">
        <v>5.0</v>
      </c>
      <c r="J357" s="186">
        <v>2026.0</v>
      </c>
      <c r="K357" s="187"/>
      <c r="L357" s="187">
        <v>18.6</v>
      </c>
      <c r="M357" s="27">
        <v>3.0</v>
      </c>
      <c r="N357" s="187">
        <f t="shared" si="12"/>
        <v>55.8</v>
      </c>
      <c r="O357" s="58"/>
      <c r="P357" s="74" t="s">
        <v>676</v>
      </c>
      <c r="Q357" s="74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</row>
    <row r="358" ht="15.75" customHeight="1">
      <c r="A358" s="74" t="s">
        <v>172</v>
      </c>
      <c r="B358" s="27" t="s">
        <v>280</v>
      </c>
      <c r="C358" s="183"/>
      <c r="D358" s="74" t="s">
        <v>2</v>
      </c>
      <c r="E358" s="184">
        <v>46146.0</v>
      </c>
      <c r="F358" s="185">
        <f t="shared" si="1"/>
        <v>4</v>
      </c>
      <c r="G358" s="185">
        <f t="shared" si="2"/>
        <v>5</v>
      </c>
      <c r="H358" s="185">
        <f t="shared" si="3"/>
        <v>2026</v>
      </c>
      <c r="I358" s="186">
        <v>5.0</v>
      </c>
      <c r="J358" s="186">
        <v>2026.0</v>
      </c>
      <c r="K358" s="187"/>
      <c r="L358" s="187">
        <v>15.6</v>
      </c>
      <c r="M358" s="27">
        <v>3.0</v>
      </c>
      <c r="N358" s="187">
        <f t="shared" si="12"/>
        <v>46.8</v>
      </c>
      <c r="O358" s="58"/>
      <c r="P358" s="74" t="s">
        <v>676</v>
      </c>
      <c r="Q358" s="74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</row>
    <row r="359" ht="15.75" customHeight="1">
      <c r="A359" s="74" t="s">
        <v>172</v>
      </c>
      <c r="B359" s="27" t="s">
        <v>288</v>
      </c>
      <c r="C359" s="183"/>
      <c r="D359" s="74" t="s">
        <v>2</v>
      </c>
      <c r="E359" s="184">
        <v>46146.0</v>
      </c>
      <c r="F359" s="185">
        <f t="shared" si="1"/>
        <v>4</v>
      </c>
      <c r="G359" s="185">
        <f t="shared" si="2"/>
        <v>5</v>
      </c>
      <c r="H359" s="185">
        <f t="shared" si="3"/>
        <v>2026</v>
      </c>
      <c r="I359" s="186">
        <v>5.0</v>
      </c>
      <c r="J359" s="186">
        <v>2026.0</v>
      </c>
      <c r="K359" s="187"/>
      <c r="L359" s="187">
        <v>17.5</v>
      </c>
      <c r="M359" s="27">
        <v>2.0</v>
      </c>
      <c r="N359" s="187">
        <f t="shared" si="12"/>
        <v>35</v>
      </c>
      <c r="O359" s="58"/>
      <c r="P359" s="74" t="s">
        <v>676</v>
      </c>
      <c r="Q359" s="74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</row>
    <row r="360" ht="15.75" customHeight="1">
      <c r="A360" s="74" t="s">
        <v>22</v>
      </c>
      <c r="B360" s="27" t="s">
        <v>25</v>
      </c>
      <c r="C360" s="183"/>
      <c r="D360" s="74" t="s">
        <v>5</v>
      </c>
      <c r="E360" s="184">
        <v>46146.0</v>
      </c>
      <c r="F360" s="185">
        <f t="shared" si="1"/>
        <v>4</v>
      </c>
      <c r="G360" s="185">
        <f t="shared" si="2"/>
        <v>5</v>
      </c>
      <c r="H360" s="185">
        <f t="shared" si="3"/>
        <v>2026</v>
      </c>
      <c r="I360" s="186">
        <v>5.0</v>
      </c>
      <c r="J360" s="186">
        <v>2026.0</v>
      </c>
      <c r="K360" s="187"/>
      <c r="L360" s="187">
        <v>1200.0</v>
      </c>
      <c r="M360" s="27">
        <v>1.0</v>
      </c>
      <c r="N360" s="187">
        <f t="shared" si="12"/>
        <v>1200</v>
      </c>
      <c r="O360" s="58">
        <v>200.0</v>
      </c>
      <c r="P360" s="74" t="s">
        <v>19</v>
      </c>
      <c r="Q360" s="74" t="s">
        <v>591</v>
      </c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</row>
    <row r="361" ht="15.75" customHeight="1">
      <c r="A361" s="74" t="s">
        <v>22</v>
      </c>
      <c r="B361" s="27" t="s">
        <v>27</v>
      </c>
      <c r="C361" s="183"/>
      <c r="D361" s="74" t="s">
        <v>2</v>
      </c>
      <c r="E361" s="184">
        <v>46146.0</v>
      </c>
      <c r="F361" s="185">
        <f t="shared" si="1"/>
        <v>4</v>
      </c>
      <c r="G361" s="185">
        <f t="shared" si="2"/>
        <v>5</v>
      </c>
      <c r="H361" s="185">
        <f t="shared" si="3"/>
        <v>2026</v>
      </c>
      <c r="I361" s="186">
        <v>5.0</v>
      </c>
      <c r="J361" s="186">
        <v>2026.0</v>
      </c>
      <c r="K361" s="187"/>
      <c r="L361" s="187">
        <v>110.7</v>
      </c>
      <c r="M361" s="27">
        <v>1.0</v>
      </c>
      <c r="N361" s="187">
        <f t="shared" si="12"/>
        <v>110.7</v>
      </c>
      <c r="O361" s="58">
        <v>202.0</v>
      </c>
      <c r="P361" s="74"/>
      <c r="Q361" s="74" t="s">
        <v>680</v>
      </c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</row>
    <row r="362" ht="15.75" customHeight="1">
      <c r="A362" s="74" t="s">
        <v>22</v>
      </c>
      <c r="B362" s="27" t="s">
        <v>27</v>
      </c>
      <c r="C362" s="183"/>
      <c r="D362" s="74" t="s">
        <v>2</v>
      </c>
      <c r="E362" s="184">
        <v>46146.0</v>
      </c>
      <c r="F362" s="185">
        <f t="shared" si="1"/>
        <v>4</v>
      </c>
      <c r="G362" s="185">
        <f t="shared" si="2"/>
        <v>5</v>
      </c>
      <c r="H362" s="185">
        <f t="shared" si="3"/>
        <v>2026</v>
      </c>
      <c r="I362" s="186">
        <v>5.0</v>
      </c>
      <c r="J362" s="186">
        <v>2026.0</v>
      </c>
      <c r="K362" s="187"/>
      <c r="L362" s="187">
        <v>58.96</v>
      </c>
      <c r="M362" s="27">
        <v>1.0</v>
      </c>
      <c r="N362" s="187">
        <f t="shared" si="12"/>
        <v>58.96</v>
      </c>
      <c r="O362" s="58">
        <v>201.0</v>
      </c>
      <c r="P362" s="74"/>
      <c r="Q362" s="74" t="s">
        <v>682</v>
      </c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</row>
    <row r="363" ht="15.75" customHeight="1">
      <c r="A363" s="74" t="s">
        <v>172</v>
      </c>
      <c r="B363" s="27" t="s">
        <v>277</v>
      </c>
      <c r="C363" s="183"/>
      <c r="D363" s="74" t="s">
        <v>2</v>
      </c>
      <c r="E363" s="184">
        <v>46146.0</v>
      </c>
      <c r="F363" s="185">
        <f t="shared" si="1"/>
        <v>4</v>
      </c>
      <c r="G363" s="185">
        <f t="shared" si="2"/>
        <v>5</v>
      </c>
      <c r="H363" s="185">
        <f t="shared" si="3"/>
        <v>2026</v>
      </c>
      <c r="I363" s="186">
        <v>5.0</v>
      </c>
      <c r="J363" s="186">
        <v>2026.0</v>
      </c>
      <c r="K363" s="187"/>
      <c r="L363" s="187">
        <v>2.41</v>
      </c>
      <c r="M363" s="27">
        <v>12.0</v>
      </c>
      <c r="N363" s="187">
        <f t="shared" si="12"/>
        <v>28.92</v>
      </c>
      <c r="O363" s="58"/>
      <c r="P363" s="74" t="s">
        <v>676</v>
      </c>
      <c r="Q363" s="74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</row>
    <row r="364" ht="15.75" customHeight="1">
      <c r="A364" s="74" t="s">
        <v>153</v>
      </c>
      <c r="B364" s="27" t="s">
        <v>314</v>
      </c>
      <c r="C364" s="183"/>
      <c r="D364" s="74" t="s">
        <v>245</v>
      </c>
      <c r="E364" s="184">
        <v>46146.0</v>
      </c>
      <c r="F364" s="185">
        <f t="shared" si="1"/>
        <v>4</v>
      </c>
      <c r="G364" s="185">
        <f t="shared" si="2"/>
        <v>5</v>
      </c>
      <c r="H364" s="185">
        <f t="shared" si="3"/>
        <v>2026</v>
      </c>
      <c r="I364" s="186">
        <v>5.0</v>
      </c>
      <c r="J364" s="186">
        <v>2026.0</v>
      </c>
      <c r="K364" s="187"/>
      <c r="L364" s="187">
        <v>23.45</v>
      </c>
      <c r="M364" s="27">
        <v>1.0</v>
      </c>
      <c r="N364" s="187">
        <f t="shared" si="12"/>
        <v>23.45</v>
      </c>
      <c r="O364" s="58"/>
      <c r="P364" s="74"/>
      <c r="Q364" s="74" t="s">
        <v>687</v>
      </c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</row>
    <row r="365" ht="15.75" customHeight="1">
      <c r="A365" s="74" t="s">
        <v>175</v>
      </c>
      <c r="B365" s="27" t="s">
        <v>296</v>
      </c>
      <c r="C365" s="183"/>
      <c r="D365" s="74" t="s">
        <v>245</v>
      </c>
      <c r="E365" s="184">
        <v>46146.0</v>
      </c>
      <c r="F365" s="185">
        <f t="shared" si="1"/>
        <v>4</v>
      </c>
      <c r="G365" s="185">
        <f t="shared" si="2"/>
        <v>5</v>
      </c>
      <c r="H365" s="185">
        <f t="shared" si="3"/>
        <v>2026</v>
      </c>
      <c r="I365" s="186">
        <v>5.0</v>
      </c>
      <c r="J365" s="186">
        <v>2026.0</v>
      </c>
      <c r="K365" s="187"/>
      <c r="L365" s="187">
        <v>23.45</v>
      </c>
      <c r="M365" s="27">
        <v>1.0</v>
      </c>
      <c r="N365" s="187">
        <f t="shared" si="12"/>
        <v>23.45</v>
      </c>
      <c r="O365" s="58"/>
      <c r="P365" s="74"/>
      <c r="Q365" s="74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</row>
    <row r="366" ht="15.75" customHeight="1">
      <c r="A366" s="74" t="s">
        <v>172</v>
      </c>
      <c r="B366" s="27" t="s">
        <v>293</v>
      </c>
      <c r="C366" s="183"/>
      <c r="D366" s="74" t="s">
        <v>2</v>
      </c>
      <c r="E366" s="184">
        <v>46146.0</v>
      </c>
      <c r="F366" s="185">
        <f t="shared" si="1"/>
        <v>4</v>
      </c>
      <c r="G366" s="185">
        <f t="shared" si="2"/>
        <v>5</v>
      </c>
      <c r="H366" s="185">
        <f t="shared" si="3"/>
        <v>2026</v>
      </c>
      <c r="I366" s="186">
        <v>5.0</v>
      </c>
      <c r="J366" s="186">
        <v>2026.0</v>
      </c>
      <c r="K366" s="187"/>
      <c r="L366" s="187">
        <v>1.4</v>
      </c>
      <c r="M366" s="27">
        <v>10.0</v>
      </c>
      <c r="N366" s="187">
        <f t="shared" si="12"/>
        <v>14</v>
      </c>
      <c r="O366" s="58"/>
      <c r="P366" s="74" t="s">
        <v>676</v>
      </c>
      <c r="Q366" s="74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</row>
    <row r="367" ht="15.75" customHeight="1">
      <c r="A367" s="74" t="s">
        <v>22</v>
      </c>
      <c r="B367" s="27" t="s">
        <v>342</v>
      </c>
      <c r="C367" s="183"/>
      <c r="D367" s="74" t="s">
        <v>245</v>
      </c>
      <c r="E367" s="184">
        <v>46148.0</v>
      </c>
      <c r="F367" s="185">
        <f t="shared" si="1"/>
        <v>6</v>
      </c>
      <c r="G367" s="185">
        <f t="shared" si="2"/>
        <v>5</v>
      </c>
      <c r="H367" s="185">
        <f t="shared" si="3"/>
        <v>2026</v>
      </c>
      <c r="I367" s="186">
        <v>5.0</v>
      </c>
      <c r="J367" s="186">
        <v>2026.0</v>
      </c>
      <c r="K367" s="187"/>
      <c r="L367" s="187">
        <v>20.0</v>
      </c>
      <c r="M367" s="27">
        <v>1.0</v>
      </c>
      <c r="N367" s="187">
        <f t="shared" si="12"/>
        <v>20</v>
      </c>
      <c r="O367" s="58"/>
      <c r="P367" s="74"/>
      <c r="Q367" s="74" t="s">
        <v>690</v>
      </c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</row>
    <row r="368" ht="15.75" customHeight="1">
      <c r="A368" s="74" t="s">
        <v>178</v>
      </c>
      <c r="B368" s="27" t="s">
        <v>311</v>
      </c>
      <c r="C368" s="183"/>
      <c r="D368" s="74" t="s">
        <v>245</v>
      </c>
      <c r="E368" s="184">
        <v>46149.0</v>
      </c>
      <c r="F368" s="185">
        <f t="shared" si="1"/>
        <v>7</v>
      </c>
      <c r="G368" s="185">
        <f t="shared" si="2"/>
        <v>5</v>
      </c>
      <c r="H368" s="185">
        <f t="shared" si="3"/>
        <v>2026</v>
      </c>
      <c r="I368" s="186">
        <v>5.0</v>
      </c>
      <c r="J368" s="186">
        <v>2026.0</v>
      </c>
      <c r="K368" s="187"/>
      <c r="L368" s="187">
        <v>430.0</v>
      </c>
      <c r="M368" s="27">
        <v>1.0</v>
      </c>
      <c r="N368" s="187">
        <f t="shared" si="12"/>
        <v>430</v>
      </c>
      <c r="O368" s="58"/>
      <c r="P368" s="74"/>
      <c r="Q368" s="74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</row>
    <row r="369" ht="15.75" customHeight="1">
      <c r="A369" s="74" t="s">
        <v>156</v>
      </c>
      <c r="B369" s="27" t="s">
        <v>256</v>
      </c>
      <c r="C369" s="183"/>
      <c r="D369" s="74" t="s">
        <v>2</v>
      </c>
      <c r="E369" s="184">
        <v>46149.0</v>
      </c>
      <c r="F369" s="185">
        <f t="shared" si="1"/>
        <v>7</v>
      </c>
      <c r="G369" s="185">
        <f t="shared" si="2"/>
        <v>5</v>
      </c>
      <c r="H369" s="185">
        <f t="shared" si="3"/>
        <v>2026</v>
      </c>
      <c r="I369" s="186">
        <v>5.0</v>
      </c>
      <c r="J369" s="186">
        <v>2026.0</v>
      </c>
      <c r="K369" s="187"/>
      <c r="L369" s="187">
        <v>112.0</v>
      </c>
      <c r="M369" s="27">
        <v>1.0</v>
      </c>
      <c r="N369" s="187">
        <f t="shared" si="12"/>
        <v>112</v>
      </c>
      <c r="O369" s="58"/>
      <c r="P369" s="74"/>
      <c r="Q369" s="74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</row>
    <row r="370" ht="15.75" customHeight="1">
      <c r="A370" s="74" t="s">
        <v>334</v>
      </c>
      <c r="B370" s="27" t="s">
        <v>501</v>
      </c>
      <c r="C370" s="183"/>
      <c r="D370" s="74" t="s">
        <v>2</v>
      </c>
      <c r="E370" s="184">
        <v>46150.0</v>
      </c>
      <c r="F370" s="185">
        <f t="shared" si="1"/>
        <v>8</v>
      </c>
      <c r="G370" s="185">
        <f t="shared" si="2"/>
        <v>5</v>
      </c>
      <c r="H370" s="185">
        <f t="shared" si="3"/>
        <v>2026</v>
      </c>
      <c r="I370" s="186">
        <v>4.0</v>
      </c>
      <c r="J370" s="186">
        <v>2026.0</v>
      </c>
      <c r="K370" s="187"/>
      <c r="L370" s="187">
        <v>1150.0</v>
      </c>
      <c r="M370" s="27">
        <v>1.0</v>
      </c>
      <c r="N370" s="187">
        <f t="shared" si="12"/>
        <v>1150</v>
      </c>
      <c r="O370" s="58"/>
      <c r="P370" s="74"/>
      <c r="Q370" s="74" t="s">
        <v>502</v>
      </c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</row>
    <row r="371" ht="15.75" customHeight="1">
      <c r="A371" s="74" t="s">
        <v>178</v>
      </c>
      <c r="B371" s="27" t="s">
        <v>311</v>
      </c>
      <c r="C371" s="183"/>
      <c r="D371" s="74" t="s">
        <v>245</v>
      </c>
      <c r="E371" s="184">
        <v>46150.0</v>
      </c>
      <c r="F371" s="185">
        <f t="shared" si="1"/>
        <v>8</v>
      </c>
      <c r="G371" s="185">
        <f t="shared" si="2"/>
        <v>5</v>
      </c>
      <c r="H371" s="185">
        <f t="shared" si="3"/>
        <v>2026</v>
      </c>
      <c r="I371" s="186">
        <v>5.0</v>
      </c>
      <c r="J371" s="186">
        <v>2026.0</v>
      </c>
      <c r="K371" s="187"/>
      <c r="L371" s="187">
        <v>70.0</v>
      </c>
      <c r="M371" s="27">
        <v>1.0</v>
      </c>
      <c r="N371" s="187">
        <f t="shared" si="12"/>
        <v>70</v>
      </c>
      <c r="O371" s="58"/>
      <c r="P371" s="74"/>
      <c r="Q371" s="74" t="s">
        <v>694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</row>
    <row r="372" ht="15.75" customHeight="1">
      <c r="A372" s="74" t="s">
        <v>22</v>
      </c>
      <c r="B372" s="27" t="s">
        <v>27</v>
      </c>
      <c r="C372" s="183"/>
      <c r="D372" s="74" t="s">
        <v>2</v>
      </c>
      <c r="E372" s="184">
        <v>46150.0</v>
      </c>
      <c r="F372" s="185">
        <f t="shared" si="1"/>
        <v>8</v>
      </c>
      <c r="G372" s="185">
        <f t="shared" si="2"/>
        <v>5</v>
      </c>
      <c r="H372" s="185">
        <f t="shared" si="3"/>
        <v>2026</v>
      </c>
      <c r="I372" s="186">
        <v>5.0</v>
      </c>
      <c r="J372" s="186">
        <v>2026.0</v>
      </c>
      <c r="K372" s="187"/>
      <c r="L372" s="187">
        <v>400.0</v>
      </c>
      <c r="M372" s="27">
        <v>1.0</v>
      </c>
      <c r="N372" s="187">
        <f t="shared" si="12"/>
        <v>400</v>
      </c>
      <c r="O372" s="58">
        <v>203.0</v>
      </c>
      <c r="P372" s="74"/>
      <c r="Q372" s="74" t="s">
        <v>697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</row>
    <row r="373" ht="15.75" customHeight="1">
      <c r="A373" s="74" t="s">
        <v>22</v>
      </c>
      <c r="B373" s="27" t="s">
        <v>342</v>
      </c>
      <c r="C373" s="183"/>
      <c r="D373" s="74" t="s">
        <v>5</v>
      </c>
      <c r="E373" s="184">
        <v>46150.0</v>
      </c>
      <c r="F373" s="185">
        <f t="shared" si="1"/>
        <v>8</v>
      </c>
      <c r="G373" s="185">
        <f t="shared" si="2"/>
        <v>5</v>
      </c>
      <c r="H373" s="185">
        <f t="shared" si="3"/>
        <v>2026</v>
      </c>
      <c r="I373" s="186">
        <v>5.0</v>
      </c>
      <c r="J373" s="186">
        <v>2026.0</v>
      </c>
      <c r="K373" s="187"/>
      <c r="L373" s="187">
        <v>400.0</v>
      </c>
      <c r="M373" s="27">
        <v>1.0</v>
      </c>
      <c r="N373" s="187">
        <f t="shared" si="12"/>
        <v>400</v>
      </c>
      <c r="O373" s="58">
        <v>202.0</v>
      </c>
      <c r="P373" s="74" t="s">
        <v>19</v>
      </c>
      <c r="Q373" s="74" t="s">
        <v>699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</row>
    <row r="374" ht="15.75" customHeight="1">
      <c r="A374" s="74" t="s">
        <v>136</v>
      </c>
      <c r="B374" s="27" t="s">
        <v>38</v>
      </c>
      <c r="C374" s="183"/>
      <c r="D374" s="74" t="s">
        <v>2</v>
      </c>
      <c r="E374" s="184">
        <v>46150.0</v>
      </c>
      <c r="F374" s="185">
        <f t="shared" si="1"/>
        <v>8</v>
      </c>
      <c r="G374" s="185">
        <f t="shared" si="2"/>
        <v>5</v>
      </c>
      <c r="H374" s="185">
        <f t="shared" si="3"/>
        <v>2026</v>
      </c>
      <c r="I374" s="186">
        <v>5.0</v>
      </c>
      <c r="J374" s="186">
        <v>2026.0</v>
      </c>
      <c r="K374" s="187"/>
      <c r="L374" s="187">
        <f>4.99+0.2</f>
        <v>5.19</v>
      </c>
      <c r="M374" s="27">
        <v>1.0</v>
      </c>
      <c r="N374" s="187">
        <f t="shared" si="12"/>
        <v>5.19</v>
      </c>
      <c r="O374" s="58"/>
      <c r="P374" s="74"/>
      <c r="Q374" s="74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</row>
    <row r="375" ht="15.75" customHeight="1">
      <c r="A375" s="74" t="s">
        <v>178</v>
      </c>
      <c r="B375" s="27" t="s">
        <v>311</v>
      </c>
      <c r="C375" s="183"/>
      <c r="D375" s="74" t="s">
        <v>245</v>
      </c>
      <c r="E375" s="184">
        <v>46151.0</v>
      </c>
      <c r="F375" s="185">
        <f t="shared" si="1"/>
        <v>9</v>
      </c>
      <c r="G375" s="185">
        <f t="shared" si="2"/>
        <v>5</v>
      </c>
      <c r="H375" s="185">
        <f t="shared" si="3"/>
        <v>2026</v>
      </c>
      <c r="I375" s="186">
        <v>5.0</v>
      </c>
      <c r="J375" s="186">
        <v>2026.0</v>
      </c>
      <c r="K375" s="187"/>
      <c r="L375" s="187">
        <v>100.0</v>
      </c>
      <c r="M375" s="27">
        <v>1.0</v>
      </c>
      <c r="N375" s="187">
        <f t="shared" si="12"/>
        <v>100</v>
      </c>
      <c r="O375" s="58"/>
      <c r="P375" s="74"/>
      <c r="Q375" s="74" t="s">
        <v>704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</row>
    <row r="376" ht="15.75" customHeight="1">
      <c r="A376" s="74" t="s">
        <v>167</v>
      </c>
      <c r="B376" s="27" t="s">
        <v>161</v>
      </c>
      <c r="C376" s="183"/>
      <c r="D376" s="74" t="s">
        <v>245</v>
      </c>
      <c r="E376" s="184">
        <v>46152.0</v>
      </c>
      <c r="F376" s="185">
        <f t="shared" si="1"/>
        <v>10</v>
      </c>
      <c r="G376" s="185">
        <f t="shared" si="2"/>
        <v>5</v>
      </c>
      <c r="H376" s="185">
        <f t="shared" si="3"/>
        <v>2026</v>
      </c>
      <c r="I376" s="186">
        <v>5.0</v>
      </c>
      <c r="J376" s="186">
        <v>2026.0</v>
      </c>
      <c r="K376" s="187"/>
      <c r="L376" s="187">
        <v>42.0</v>
      </c>
      <c r="M376" s="27">
        <v>1.0</v>
      </c>
      <c r="N376" s="187">
        <f t="shared" si="12"/>
        <v>42</v>
      </c>
      <c r="O376" s="58"/>
      <c r="P376" s="74"/>
      <c r="Q376" s="74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</row>
    <row r="377" ht="15.75" customHeight="1">
      <c r="A377" s="74" t="s">
        <v>153</v>
      </c>
      <c r="B377" s="27" t="s">
        <v>314</v>
      </c>
      <c r="C377" s="183"/>
      <c r="D377" s="74" t="s">
        <v>2</v>
      </c>
      <c r="E377" s="184">
        <v>46153.0</v>
      </c>
      <c r="F377" s="185">
        <f t="shared" si="1"/>
        <v>11</v>
      </c>
      <c r="G377" s="185">
        <f t="shared" si="2"/>
        <v>5</v>
      </c>
      <c r="H377" s="185">
        <f t="shared" si="3"/>
        <v>2026</v>
      </c>
      <c r="I377" s="186">
        <v>5.0</v>
      </c>
      <c r="J377" s="186">
        <v>2026.0</v>
      </c>
      <c r="K377" s="187"/>
      <c r="L377" s="187">
        <v>19.2</v>
      </c>
      <c r="M377" s="27">
        <v>1.0</v>
      </c>
      <c r="N377" s="187">
        <f t="shared" si="12"/>
        <v>19.2</v>
      </c>
      <c r="O377" s="58"/>
      <c r="P377" s="74"/>
      <c r="Q377" s="74" t="s">
        <v>706</v>
      </c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</row>
    <row r="378" ht="15.75" customHeight="1">
      <c r="A378" s="74" t="s">
        <v>151</v>
      </c>
      <c r="B378" s="27" t="s">
        <v>188</v>
      </c>
      <c r="C378" s="183"/>
      <c r="D378" s="74" t="s">
        <v>245</v>
      </c>
      <c r="E378" s="184">
        <v>46153.0</v>
      </c>
      <c r="F378" s="185">
        <f t="shared" si="1"/>
        <v>11</v>
      </c>
      <c r="G378" s="185">
        <f t="shared" si="2"/>
        <v>5</v>
      </c>
      <c r="H378" s="185">
        <f t="shared" si="3"/>
        <v>2026</v>
      </c>
      <c r="I378" s="186">
        <v>5.0</v>
      </c>
      <c r="J378" s="186">
        <v>2026.0</v>
      </c>
      <c r="K378" s="187"/>
      <c r="L378" s="187">
        <v>2.9</v>
      </c>
      <c r="M378" s="27">
        <v>5.0</v>
      </c>
      <c r="N378" s="187">
        <f t="shared" si="12"/>
        <v>14.5</v>
      </c>
      <c r="O378" s="58"/>
      <c r="P378" s="74"/>
      <c r="Q378" s="74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</row>
    <row r="379" ht="15.75" customHeight="1">
      <c r="A379" s="74" t="s">
        <v>175</v>
      </c>
      <c r="B379" s="27" t="s">
        <v>296</v>
      </c>
      <c r="C379" s="183"/>
      <c r="D379" s="74" t="s">
        <v>245</v>
      </c>
      <c r="E379" s="184">
        <v>46153.0</v>
      </c>
      <c r="F379" s="185">
        <f t="shared" si="1"/>
        <v>11</v>
      </c>
      <c r="G379" s="185">
        <f t="shared" si="2"/>
        <v>5</v>
      </c>
      <c r="H379" s="185">
        <f t="shared" si="3"/>
        <v>2026</v>
      </c>
      <c r="I379" s="186">
        <v>5.0</v>
      </c>
      <c r="J379" s="186">
        <v>2026.0</v>
      </c>
      <c r="K379" s="187"/>
      <c r="L379" s="187">
        <v>10.45</v>
      </c>
      <c r="M379" s="27">
        <v>1.0</v>
      </c>
      <c r="N379" s="187">
        <f t="shared" si="12"/>
        <v>10.45</v>
      </c>
      <c r="O379" s="58"/>
      <c r="P379" s="74"/>
      <c r="Q379" s="74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</row>
    <row r="380" ht="15.75" customHeight="1">
      <c r="A380" s="74" t="s">
        <v>175</v>
      </c>
      <c r="B380" s="27" t="s">
        <v>296</v>
      </c>
      <c r="C380" s="183"/>
      <c r="D380" s="74" t="s">
        <v>245</v>
      </c>
      <c r="E380" s="184">
        <v>46153.0</v>
      </c>
      <c r="F380" s="185">
        <f t="shared" si="1"/>
        <v>11</v>
      </c>
      <c r="G380" s="185">
        <f t="shared" si="2"/>
        <v>5</v>
      </c>
      <c r="H380" s="185">
        <f t="shared" si="3"/>
        <v>2026</v>
      </c>
      <c r="I380" s="186">
        <v>5.0</v>
      </c>
      <c r="J380" s="186">
        <v>2026.0</v>
      </c>
      <c r="K380" s="187"/>
      <c r="L380" s="187">
        <v>2.57</v>
      </c>
      <c r="M380" s="27">
        <v>1.0</v>
      </c>
      <c r="N380" s="187">
        <f t="shared" si="12"/>
        <v>2.57</v>
      </c>
      <c r="O380" s="58"/>
      <c r="P380" s="74"/>
      <c r="Q380" s="74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</row>
    <row r="381" ht="15.75" customHeight="1">
      <c r="A381" s="74" t="s">
        <v>160</v>
      </c>
      <c r="B381" s="27" t="s">
        <v>39</v>
      </c>
      <c r="C381" s="183"/>
      <c r="D381" s="74" t="s">
        <v>2</v>
      </c>
      <c r="E381" s="184">
        <v>46154.0</v>
      </c>
      <c r="F381" s="185">
        <f t="shared" si="1"/>
        <v>12</v>
      </c>
      <c r="G381" s="185">
        <f t="shared" si="2"/>
        <v>5</v>
      </c>
      <c r="H381" s="185">
        <f t="shared" si="3"/>
        <v>2026</v>
      </c>
      <c r="I381" s="186">
        <v>5.0</v>
      </c>
      <c r="J381" s="186">
        <v>2026.0</v>
      </c>
      <c r="K381" s="187"/>
      <c r="L381" s="187">
        <v>88.59</v>
      </c>
      <c r="M381" s="27">
        <v>1.0</v>
      </c>
      <c r="N381" s="187">
        <f t="shared" si="12"/>
        <v>88.59</v>
      </c>
      <c r="O381" s="58"/>
      <c r="P381" s="74"/>
      <c r="Q381" s="74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</row>
    <row r="382" ht="15.75" customHeight="1">
      <c r="A382" s="74" t="s">
        <v>178</v>
      </c>
      <c r="B382" s="27" t="s">
        <v>311</v>
      </c>
      <c r="C382" s="183"/>
      <c r="D382" s="74" t="s">
        <v>274</v>
      </c>
      <c r="E382" s="184">
        <v>46156.0</v>
      </c>
      <c r="F382" s="185">
        <f t="shared" si="1"/>
        <v>14</v>
      </c>
      <c r="G382" s="185">
        <f t="shared" si="2"/>
        <v>5</v>
      </c>
      <c r="H382" s="185">
        <f t="shared" si="3"/>
        <v>2026</v>
      </c>
      <c r="I382" s="186">
        <v>5.0</v>
      </c>
      <c r="J382" s="186">
        <v>2026.0</v>
      </c>
      <c r="K382" s="187"/>
      <c r="L382" s="187">
        <v>370.0</v>
      </c>
      <c r="M382" s="27">
        <v>1.0</v>
      </c>
      <c r="N382" s="187">
        <f t="shared" si="12"/>
        <v>370</v>
      </c>
      <c r="O382" s="58"/>
      <c r="P382" s="74" t="s">
        <v>711</v>
      </c>
      <c r="Q382" s="74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</row>
    <row r="383" ht="15.75" customHeight="1">
      <c r="A383" s="74" t="s">
        <v>178</v>
      </c>
      <c r="B383" s="27" t="s">
        <v>310</v>
      </c>
      <c r="C383" s="183"/>
      <c r="D383" s="74" t="s">
        <v>274</v>
      </c>
      <c r="E383" s="184">
        <v>46156.0</v>
      </c>
      <c r="F383" s="185">
        <f t="shared" si="1"/>
        <v>14</v>
      </c>
      <c r="G383" s="185">
        <f t="shared" si="2"/>
        <v>5</v>
      </c>
      <c r="H383" s="185">
        <f t="shared" si="3"/>
        <v>2026</v>
      </c>
      <c r="I383" s="186">
        <v>5.0</v>
      </c>
      <c r="J383" s="186">
        <v>2026.0</v>
      </c>
      <c r="K383" s="187"/>
      <c r="L383" s="187">
        <v>340.0</v>
      </c>
      <c r="M383" s="27">
        <v>1.0</v>
      </c>
      <c r="N383" s="187">
        <f t="shared" si="12"/>
        <v>340</v>
      </c>
      <c r="O383" s="58"/>
      <c r="P383" s="74" t="s">
        <v>711</v>
      </c>
      <c r="Q383" s="74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</row>
    <row r="384" ht="15.75" customHeight="1">
      <c r="A384" s="74" t="s">
        <v>617</v>
      </c>
      <c r="B384" s="27" t="s">
        <v>619</v>
      </c>
      <c r="C384" s="183"/>
      <c r="D384" s="74" t="s">
        <v>2</v>
      </c>
      <c r="E384" s="184">
        <v>46156.0</v>
      </c>
      <c r="F384" s="185">
        <f t="shared" si="1"/>
        <v>14</v>
      </c>
      <c r="G384" s="185">
        <f t="shared" si="2"/>
        <v>5</v>
      </c>
      <c r="H384" s="185">
        <f t="shared" si="3"/>
        <v>2026</v>
      </c>
      <c r="I384" s="186">
        <v>5.0</v>
      </c>
      <c r="J384" s="186">
        <v>2026.0</v>
      </c>
      <c r="K384" s="187"/>
      <c r="L384" s="187">
        <v>70.72</v>
      </c>
      <c r="M384" s="27">
        <v>1.0</v>
      </c>
      <c r="N384" s="187">
        <f t="shared" si="12"/>
        <v>70.72</v>
      </c>
      <c r="O384" s="58"/>
      <c r="P384" s="74"/>
      <c r="Q384" s="74" t="s">
        <v>714</v>
      </c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</row>
    <row r="385" ht="15.75" customHeight="1">
      <c r="A385" s="74" t="s">
        <v>178</v>
      </c>
      <c r="B385" s="27" t="s">
        <v>311</v>
      </c>
      <c r="C385" s="183"/>
      <c r="D385" s="74" t="s">
        <v>274</v>
      </c>
      <c r="E385" s="184">
        <v>46156.0</v>
      </c>
      <c r="F385" s="185">
        <f t="shared" si="1"/>
        <v>14</v>
      </c>
      <c r="G385" s="185">
        <f t="shared" si="2"/>
        <v>5</v>
      </c>
      <c r="H385" s="185">
        <f t="shared" si="3"/>
        <v>2026</v>
      </c>
      <c r="I385" s="186">
        <v>5.0</v>
      </c>
      <c r="J385" s="186">
        <v>2026.0</v>
      </c>
      <c r="K385" s="187"/>
      <c r="L385" s="187">
        <v>70.0</v>
      </c>
      <c r="M385" s="27">
        <v>1.0</v>
      </c>
      <c r="N385" s="187">
        <f t="shared" si="12"/>
        <v>70</v>
      </c>
      <c r="O385" s="58"/>
      <c r="P385" s="74" t="s">
        <v>711</v>
      </c>
      <c r="Q385" s="74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</row>
    <row r="386" ht="15.75" customHeight="1">
      <c r="A386" s="74" t="s">
        <v>22</v>
      </c>
      <c r="B386" s="27" t="s">
        <v>342</v>
      </c>
      <c r="C386" s="183"/>
      <c r="D386" s="74" t="s">
        <v>245</v>
      </c>
      <c r="E386" s="184">
        <v>46156.0</v>
      </c>
      <c r="F386" s="185">
        <f t="shared" si="1"/>
        <v>14</v>
      </c>
      <c r="G386" s="185">
        <f t="shared" si="2"/>
        <v>5</v>
      </c>
      <c r="H386" s="185">
        <f t="shared" si="3"/>
        <v>2026</v>
      </c>
      <c r="I386" s="186">
        <v>5.0</v>
      </c>
      <c r="J386" s="186">
        <v>2026.0</v>
      </c>
      <c r="K386" s="187"/>
      <c r="L386" s="187">
        <v>40.9</v>
      </c>
      <c r="M386" s="27">
        <v>1.0</v>
      </c>
      <c r="N386" s="187">
        <f t="shared" si="12"/>
        <v>40.9</v>
      </c>
      <c r="O386" s="58"/>
      <c r="P386" s="74"/>
      <c r="Q386" s="74" t="s">
        <v>718</v>
      </c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</row>
    <row r="387" ht="15.75" customHeight="1">
      <c r="A387" s="74" t="s">
        <v>167</v>
      </c>
      <c r="B387" s="27" t="s">
        <v>40</v>
      </c>
      <c r="C387" s="183"/>
      <c r="D387" s="74" t="s">
        <v>2</v>
      </c>
      <c r="E387" s="184">
        <v>46157.0</v>
      </c>
      <c r="F387" s="185">
        <f t="shared" si="1"/>
        <v>15</v>
      </c>
      <c r="G387" s="185">
        <f t="shared" si="2"/>
        <v>5</v>
      </c>
      <c r="H387" s="185">
        <f t="shared" si="3"/>
        <v>2026</v>
      </c>
      <c r="I387" s="186">
        <v>4.0</v>
      </c>
      <c r="J387" s="186">
        <v>2026.0</v>
      </c>
      <c r="K387" s="187"/>
      <c r="L387" s="187">
        <v>132.28</v>
      </c>
      <c r="M387" s="27">
        <v>1.0</v>
      </c>
      <c r="N387" s="187">
        <f t="shared" si="12"/>
        <v>132.28</v>
      </c>
      <c r="O387" s="58"/>
      <c r="P387" s="74"/>
      <c r="Q387" s="74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</row>
    <row r="388" ht="15.75" customHeight="1">
      <c r="A388" s="74" t="s">
        <v>22</v>
      </c>
      <c r="B388" s="27" t="s">
        <v>342</v>
      </c>
      <c r="C388" s="183"/>
      <c r="D388" s="74" t="s">
        <v>245</v>
      </c>
      <c r="E388" s="184">
        <v>46157.0</v>
      </c>
      <c r="F388" s="185">
        <f t="shared" si="1"/>
        <v>15</v>
      </c>
      <c r="G388" s="185">
        <f t="shared" si="2"/>
        <v>5</v>
      </c>
      <c r="H388" s="185">
        <f t="shared" si="3"/>
        <v>2026</v>
      </c>
      <c r="I388" s="186">
        <v>5.0</v>
      </c>
      <c r="J388" s="186">
        <v>2026.0</v>
      </c>
      <c r="K388" s="187"/>
      <c r="L388" s="187">
        <v>18.57</v>
      </c>
      <c r="M388" s="27">
        <v>1.0</v>
      </c>
      <c r="N388" s="187">
        <f t="shared" si="12"/>
        <v>18.57</v>
      </c>
      <c r="O388" s="58"/>
      <c r="P388" s="74"/>
      <c r="Q388" s="74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</row>
    <row r="389" ht="15.75" customHeight="1">
      <c r="A389" s="74" t="s">
        <v>153</v>
      </c>
      <c r="B389" s="27" t="s">
        <v>315</v>
      </c>
      <c r="C389" s="183"/>
      <c r="D389" s="74" t="s">
        <v>245</v>
      </c>
      <c r="E389" s="184">
        <v>46157.0</v>
      </c>
      <c r="F389" s="185">
        <f t="shared" si="1"/>
        <v>15</v>
      </c>
      <c r="G389" s="185">
        <f t="shared" si="2"/>
        <v>5</v>
      </c>
      <c r="H389" s="185">
        <f t="shared" si="3"/>
        <v>2026</v>
      </c>
      <c r="I389" s="186">
        <v>5.0</v>
      </c>
      <c r="J389" s="186">
        <v>2026.0</v>
      </c>
      <c r="K389" s="187"/>
      <c r="L389" s="187">
        <v>5.0</v>
      </c>
      <c r="M389" s="27">
        <v>1.0</v>
      </c>
      <c r="N389" s="187">
        <f t="shared" si="12"/>
        <v>5</v>
      </c>
      <c r="O389" s="58"/>
      <c r="P389" s="74"/>
      <c r="Q389" s="74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</row>
    <row r="390" ht="15.75" customHeight="1">
      <c r="A390" s="74" t="s">
        <v>253</v>
      </c>
      <c r="B390" s="27" t="s">
        <v>266</v>
      </c>
      <c r="C390" s="183"/>
      <c r="D390" s="74" t="s">
        <v>245</v>
      </c>
      <c r="E390" s="184">
        <v>46158.0</v>
      </c>
      <c r="F390" s="185">
        <f t="shared" si="1"/>
        <v>16</v>
      </c>
      <c r="G390" s="185">
        <f t="shared" si="2"/>
        <v>5</v>
      </c>
      <c r="H390" s="185">
        <f t="shared" si="3"/>
        <v>2026</v>
      </c>
      <c r="I390" s="186">
        <v>5.0</v>
      </c>
      <c r="J390" s="186">
        <v>2026.0</v>
      </c>
      <c r="K390" s="187"/>
      <c r="L390" s="187">
        <v>500.0</v>
      </c>
      <c r="M390" s="27">
        <v>1.0</v>
      </c>
      <c r="N390" s="187">
        <f t="shared" si="12"/>
        <v>500</v>
      </c>
      <c r="O390" s="58"/>
      <c r="P390" s="74"/>
      <c r="Q390" s="74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</row>
    <row r="391" ht="15.75" customHeight="1">
      <c r="A391" s="74" t="s">
        <v>22</v>
      </c>
      <c r="B391" s="27" t="s">
        <v>342</v>
      </c>
      <c r="C391" s="183"/>
      <c r="D391" s="74" t="s">
        <v>5</v>
      </c>
      <c r="E391" s="184">
        <v>46158.0</v>
      </c>
      <c r="F391" s="185">
        <f t="shared" si="1"/>
        <v>16</v>
      </c>
      <c r="G391" s="185">
        <f t="shared" si="2"/>
        <v>5</v>
      </c>
      <c r="H391" s="185">
        <f t="shared" si="3"/>
        <v>2026</v>
      </c>
      <c r="I391" s="186">
        <v>5.0</v>
      </c>
      <c r="J391" s="186">
        <v>2026.0</v>
      </c>
      <c r="K391" s="187"/>
      <c r="L391" s="187">
        <v>300.0</v>
      </c>
      <c r="M391" s="27">
        <v>1.0</v>
      </c>
      <c r="N391" s="187">
        <f t="shared" si="12"/>
        <v>300</v>
      </c>
      <c r="O391" s="58"/>
      <c r="P391" s="74" t="s">
        <v>19</v>
      </c>
      <c r="Q391" s="74" t="s">
        <v>721</v>
      </c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</row>
    <row r="392" ht="15.75" customHeight="1">
      <c r="A392" s="74" t="s">
        <v>167</v>
      </c>
      <c r="B392" s="27" t="s">
        <v>32</v>
      </c>
      <c r="C392" s="183"/>
      <c r="D392" s="74" t="s">
        <v>2</v>
      </c>
      <c r="E392" s="184">
        <v>46160.0</v>
      </c>
      <c r="F392" s="185">
        <f t="shared" si="1"/>
        <v>18</v>
      </c>
      <c r="G392" s="185">
        <f t="shared" si="2"/>
        <v>5</v>
      </c>
      <c r="H392" s="185">
        <f t="shared" si="3"/>
        <v>2026</v>
      </c>
      <c r="I392" s="186">
        <v>5.0</v>
      </c>
      <c r="J392" s="186">
        <v>2026.0</v>
      </c>
      <c r="K392" s="187"/>
      <c r="L392" s="187">
        <v>250.0</v>
      </c>
      <c r="M392" s="27">
        <v>1.0</v>
      </c>
      <c r="N392" s="187">
        <f t="shared" si="12"/>
        <v>250</v>
      </c>
      <c r="O392" s="58"/>
      <c r="P392" s="74"/>
      <c r="Q392" s="74" t="s">
        <v>723</v>
      </c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</row>
    <row r="393" ht="15.75" customHeight="1">
      <c r="A393" s="74" t="s">
        <v>167</v>
      </c>
      <c r="B393" s="27" t="s">
        <v>32</v>
      </c>
      <c r="C393" s="183"/>
      <c r="D393" s="74" t="s">
        <v>2</v>
      </c>
      <c r="E393" s="184">
        <v>46160.0</v>
      </c>
      <c r="F393" s="185">
        <f t="shared" si="1"/>
        <v>18</v>
      </c>
      <c r="G393" s="185">
        <f t="shared" si="2"/>
        <v>5</v>
      </c>
      <c r="H393" s="185">
        <f t="shared" si="3"/>
        <v>2026</v>
      </c>
      <c r="I393" s="186">
        <v>4.0</v>
      </c>
      <c r="J393" s="186">
        <v>2026.0</v>
      </c>
      <c r="K393" s="187"/>
      <c r="L393" s="187">
        <v>115.0</v>
      </c>
      <c r="M393" s="27">
        <v>1.0</v>
      </c>
      <c r="N393" s="187">
        <f t="shared" si="12"/>
        <v>115</v>
      </c>
      <c r="O393" s="58"/>
      <c r="P393" s="74"/>
      <c r="Q393" s="74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</row>
    <row r="394" ht="15.75" customHeight="1">
      <c r="A394" s="74" t="s">
        <v>22</v>
      </c>
      <c r="B394" s="27" t="s">
        <v>27</v>
      </c>
      <c r="C394" s="183"/>
      <c r="D394" s="74" t="s">
        <v>2</v>
      </c>
      <c r="E394" s="184">
        <v>46160.0</v>
      </c>
      <c r="F394" s="185">
        <f t="shared" si="1"/>
        <v>18</v>
      </c>
      <c r="G394" s="185">
        <f t="shared" si="2"/>
        <v>5</v>
      </c>
      <c r="H394" s="185">
        <f t="shared" si="3"/>
        <v>2026</v>
      </c>
      <c r="I394" s="186">
        <v>5.0</v>
      </c>
      <c r="J394" s="186">
        <v>2026.0</v>
      </c>
      <c r="K394" s="187"/>
      <c r="L394" s="187">
        <v>9.66</v>
      </c>
      <c r="M394" s="27">
        <v>1.0</v>
      </c>
      <c r="N394" s="187">
        <f t="shared" si="12"/>
        <v>9.66</v>
      </c>
      <c r="O394" s="58"/>
      <c r="P394" s="74"/>
      <c r="Q394" s="74" t="s">
        <v>725</v>
      </c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</row>
    <row r="395" ht="15.75" customHeight="1">
      <c r="A395" s="74" t="s">
        <v>528</v>
      </c>
      <c r="B395" s="27" t="s">
        <v>145</v>
      </c>
      <c r="C395" s="183"/>
      <c r="D395" s="74" t="s">
        <v>2</v>
      </c>
      <c r="E395" s="184">
        <v>46161.0</v>
      </c>
      <c r="F395" s="185">
        <f t="shared" si="1"/>
        <v>19</v>
      </c>
      <c r="G395" s="185">
        <f t="shared" si="2"/>
        <v>5</v>
      </c>
      <c r="H395" s="185">
        <f t="shared" si="3"/>
        <v>2026</v>
      </c>
      <c r="I395" s="186">
        <v>5.0</v>
      </c>
      <c r="J395" s="186">
        <v>2026.0</v>
      </c>
      <c r="K395" s="187"/>
      <c r="L395" s="187">
        <f>2.79/6</f>
        <v>0.465</v>
      </c>
      <c r="M395" s="27">
        <f>6*28</f>
        <v>168</v>
      </c>
      <c r="N395" s="187">
        <f t="shared" si="12"/>
        <v>78.12</v>
      </c>
      <c r="O395" s="58"/>
      <c r="P395" s="74"/>
      <c r="Q395" s="74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</row>
    <row r="396" ht="15.75" customHeight="1">
      <c r="A396" s="74" t="s">
        <v>151</v>
      </c>
      <c r="B396" s="27" t="s">
        <v>186</v>
      </c>
      <c r="C396" s="183"/>
      <c r="D396" s="74" t="s">
        <v>2</v>
      </c>
      <c r="E396" s="184">
        <v>46161.0</v>
      </c>
      <c r="F396" s="185">
        <f t="shared" si="1"/>
        <v>19</v>
      </c>
      <c r="G396" s="185">
        <f t="shared" si="2"/>
        <v>5</v>
      </c>
      <c r="H396" s="185">
        <f t="shared" si="3"/>
        <v>2026</v>
      </c>
      <c r="I396" s="186">
        <v>5.0</v>
      </c>
      <c r="J396" s="186">
        <v>2026.0</v>
      </c>
      <c r="K396" s="187"/>
      <c r="L396" s="187">
        <v>3.49</v>
      </c>
      <c r="M396" s="27">
        <v>20.0</v>
      </c>
      <c r="N396" s="187">
        <f t="shared" si="12"/>
        <v>69.8</v>
      </c>
      <c r="O396" s="58"/>
      <c r="P396" s="74" t="s">
        <v>731</v>
      </c>
      <c r="Q396" s="74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</row>
    <row r="397" ht="15.75" customHeight="1">
      <c r="A397" s="74" t="s">
        <v>151</v>
      </c>
      <c r="B397" s="27" t="s">
        <v>181</v>
      </c>
      <c r="C397" s="183"/>
      <c r="D397" s="74" t="s">
        <v>2</v>
      </c>
      <c r="E397" s="184">
        <v>46161.0</v>
      </c>
      <c r="F397" s="185">
        <f t="shared" si="1"/>
        <v>19</v>
      </c>
      <c r="G397" s="185">
        <f t="shared" si="2"/>
        <v>5</v>
      </c>
      <c r="H397" s="185">
        <f t="shared" si="3"/>
        <v>2026</v>
      </c>
      <c r="I397" s="186">
        <v>5.0</v>
      </c>
      <c r="J397" s="186">
        <v>2026.0</v>
      </c>
      <c r="K397" s="187"/>
      <c r="L397" s="187">
        <v>1.99</v>
      </c>
      <c r="M397" s="27">
        <v>30.0</v>
      </c>
      <c r="N397" s="187">
        <f t="shared" si="12"/>
        <v>59.7</v>
      </c>
      <c r="O397" s="58"/>
      <c r="P397" s="74" t="s">
        <v>731</v>
      </c>
      <c r="Q397" s="74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</row>
    <row r="398" ht="15.75" customHeight="1">
      <c r="A398" s="74" t="s">
        <v>151</v>
      </c>
      <c r="B398" s="27" t="s">
        <v>185</v>
      </c>
      <c r="C398" s="183"/>
      <c r="D398" s="74" t="s">
        <v>2</v>
      </c>
      <c r="E398" s="184">
        <v>46161.0</v>
      </c>
      <c r="F398" s="185">
        <f t="shared" si="1"/>
        <v>19</v>
      </c>
      <c r="G398" s="185">
        <f t="shared" si="2"/>
        <v>5</v>
      </c>
      <c r="H398" s="185">
        <f t="shared" si="3"/>
        <v>2026</v>
      </c>
      <c r="I398" s="186">
        <v>5.0</v>
      </c>
      <c r="J398" s="186">
        <v>2026.0</v>
      </c>
      <c r="K398" s="187"/>
      <c r="L398" s="187">
        <v>0.86</v>
      </c>
      <c r="M398" s="27">
        <v>60.0</v>
      </c>
      <c r="N398" s="187">
        <f t="shared" si="12"/>
        <v>51.6</v>
      </c>
      <c r="O398" s="58"/>
      <c r="P398" s="74" t="s">
        <v>731</v>
      </c>
      <c r="Q398" s="74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</row>
    <row r="399" ht="15.75" customHeight="1">
      <c r="A399" s="74" t="s">
        <v>22</v>
      </c>
      <c r="B399" s="27" t="s">
        <v>27</v>
      </c>
      <c r="C399" s="183"/>
      <c r="D399" s="74" t="s">
        <v>2</v>
      </c>
      <c r="E399" s="184">
        <v>46161.0</v>
      </c>
      <c r="F399" s="185">
        <f t="shared" si="1"/>
        <v>19</v>
      </c>
      <c r="G399" s="185">
        <f t="shared" si="2"/>
        <v>5</v>
      </c>
      <c r="H399" s="185">
        <f t="shared" si="3"/>
        <v>2026</v>
      </c>
      <c r="I399" s="186">
        <v>5.0</v>
      </c>
      <c r="J399" s="186">
        <v>2026.0</v>
      </c>
      <c r="K399" s="187"/>
      <c r="L399" s="187">
        <v>38.6</v>
      </c>
      <c r="M399" s="27">
        <v>1.0</v>
      </c>
      <c r="N399" s="187">
        <f t="shared" si="12"/>
        <v>38.6</v>
      </c>
      <c r="O399" s="58"/>
      <c r="P399" s="74"/>
      <c r="Q399" s="74" t="s">
        <v>718</v>
      </c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</row>
    <row r="400" ht="15.75" customHeight="1">
      <c r="A400" s="74" t="s">
        <v>151</v>
      </c>
      <c r="B400" s="27" t="s">
        <v>138</v>
      </c>
      <c r="C400" s="183"/>
      <c r="D400" s="74" t="s">
        <v>2</v>
      </c>
      <c r="E400" s="184">
        <v>46161.0</v>
      </c>
      <c r="F400" s="185">
        <f t="shared" si="1"/>
        <v>19</v>
      </c>
      <c r="G400" s="185">
        <f t="shared" si="2"/>
        <v>5</v>
      </c>
      <c r="H400" s="185">
        <f t="shared" si="3"/>
        <v>2026</v>
      </c>
      <c r="I400" s="186">
        <v>5.0</v>
      </c>
      <c r="J400" s="186">
        <v>2026.0</v>
      </c>
      <c r="K400" s="187"/>
      <c r="L400" s="187">
        <v>2.09</v>
      </c>
      <c r="M400" s="27">
        <v>5.0</v>
      </c>
      <c r="N400" s="187">
        <f t="shared" si="12"/>
        <v>10.45</v>
      </c>
      <c r="O400" s="58"/>
      <c r="P400" s="74" t="s">
        <v>731</v>
      </c>
      <c r="Q400" s="74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</row>
    <row r="401" ht="15.75" customHeight="1">
      <c r="A401" s="74" t="s">
        <v>151</v>
      </c>
      <c r="B401" s="27" t="s">
        <v>182</v>
      </c>
      <c r="C401" s="183"/>
      <c r="D401" s="74" t="s">
        <v>245</v>
      </c>
      <c r="E401" s="184">
        <v>46161.0</v>
      </c>
      <c r="F401" s="185">
        <f t="shared" si="1"/>
        <v>19</v>
      </c>
      <c r="G401" s="185">
        <f t="shared" si="2"/>
        <v>5</v>
      </c>
      <c r="H401" s="185">
        <f t="shared" si="3"/>
        <v>2026</v>
      </c>
      <c r="I401" s="186">
        <v>5.0</v>
      </c>
      <c r="J401" s="186">
        <v>2026.0</v>
      </c>
      <c r="K401" s="187"/>
      <c r="L401" s="187">
        <v>5.45</v>
      </c>
      <c r="M401" s="27">
        <v>1.0</v>
      </c>
      <c r="N401" s="187">
        <f t="shared" si="12"/>
        <v>5.45</v>
      </c>
      <c r="O401" s="58"/>
      <c r="P401" s="74"/>
      <c r="Q401" s="74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</row>
    <row r="402" ht="15.75" customHeight="1">
      <c r="A402" s="74" t="s">
        <v>167</v>
      </c>
      <c r="B402" s="27" t="s">
        <v>32</v>
      </c>
      <c r="C402" s="183"/>
      <c r="D402" s="74" t="s">
        <v>2</v>
      </c>
      <c r="E402" s="184">
        <v>46162.0</v>
      </c>
      <c r="F402" s="185">
        <f t="shared" si="1"/>
        <v>20</v>
      </c>
      <c r="G402" s="185">
        <f t="shared" si="2"/>
        <v>5</v>
      </c>
      <c r="H402" s="185">
        <f t="shared" si="3"/>
        <v>2026</v>
      </c>
      <c r="I402" s="186">
        <v>5.0</v>
      </c>
      <c r="J402" s="186">
        <v>2026.0</v>
      </c>
      <c r="K402" s="187"/>
      <c r="L402" s="187">
        <v>115.0</v>
      </c>
      <c r="M402" s="27">
        <v>1.0</v>
      </c>
      <c r="N402" s="187">
        <f t="shared" si="12"/>
        <v>115</v>
      </c>
      <c r="O402" s="58"/>
      <c r="P402" s="74"/>
      <c r="Q402" s="74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</row>
    <row r="403" ht="15.75" customHeight="1">
      <c r="A403" s="74" t="s">
        <v>156</v>
      </c>
      <c r="B403" s="27" t="s">
        <v>44</v>
      </c>
      <c r="C403" s="183"/>
      <c r="D403" s="74" t="s">
        <v>2</v>
      </c>
      <c r="E403" s="184">
        <v>46162.0</v>
      </c>
      <c r="F403" s="185">
        <f t="shared" si="1"/>
        <v>20</v>
      </c>
      <c r="G403" s="185">
        <f t="shared" si="2"/>
        <v>5</v>
      </c>
      <c r="H403" s="185">
        <f t="shared" si="3"/>
        <v>2026</v>
      </c>
      <c r="I403" s="186">
        <v>5.0</v>
      </c>
      <c r="J403" s="186">
        <v>2026.0</v>
      </c>
      <c r="K403" s="187"/>
      <c r="L403" s="187">
        <v>20.0</v>
      </c>
      <c r="M403" s="27">
        <v>1.0</v>
      </c>
      <c r="N403" s="187">
        <f t="shared" si="12"/>
        <v>20</v>
      </c>
      <c r="O403" s="58"/>
      <c r="P403" s="74"/>
      <c r="Q403" s="74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</row>
    <row r="404" ht="15.75" customHeight="1">
      <c r="A404" s="74" t="s">
        <v>175</v>
      </c>
      <c r="B404" s="27" t="s">
        <v>296</v>
      </c>
      <c r="C404" s="183"/>
      <c r="D404" s="74" t="s">
        <v>245</v>
      </c>
      <c r="E404" s="184">
        <v>46162.0</v>
      </c>
      <c r="F404" s="185">
        <f t="shared" si="1"/>
        <v>20</v>
      </c>
      <c r="G404" s="185">
        <f t="shared" si="2"/>
        <v>5</v>
      </c>
      <c r="H404" s="185">
        <f t="shared" si="3"/>
        <v>2026</v>
      </c>
      <c r="I404" s="186">
        <v>5.0</v>
      </c>
      <c r="J404" s="186">
        <v>2026.0</v>
      </c>
      <c r="K404" s="187"/>
      <c r="L404" s="187">
        <v>4.2</v>
      </c>
      <c r="M404" s="27">
        <v>1.0</v>
      </c>
      <c r="N404" s="187">
        <f t="shared" si="12"/>
        <v>4.2</v>
      </c>
      <c r="O404" s="58"/>
      <c r="P404" s="74"/>
      <c r="Q404" s="74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</row>
    <row r="405" ht="15.75" customHeight="1">
      <c r="A405" s="74" t="s">
        <v>178</v>
      </c>
      <c r="B405" s="27" t="s">
        <v>311</v>
      </c>
      <c r="C405" s="183"/>
      <c r="D405" s="74" t="s">
        <v>274</v>
      </c>
      <c r="E405" s="184">
        <v>46163.0</v>
      </c>
      <c r="F405" s="185">
        <f t="shared" si="1"/>
        <v>21</v>
      </c>
      <c r="G405" s="185">
        <f t="shared" si="2"/>
        <v>5</v>
      </c>
      <c r="H405" s="185">
        <f t="shared" si="3"/>
        <v>2026</v>
      </c>
      <c r="I405" s="186">
        <v>5.0</v>
      </c>
      <c r="J405" s="186">
        <v>2026.0</v>
      </c>
      <c r="K405" s="187"/>
      <c r="L405" s="187">
        <v>370.0</v>
      </c>
      <c r="M405" s="27">
        <v>1.0</v>
      </c>
      <c r="N405" s="187">
        <f t="shared" si="12"/>
        <v>370</v>
      </c>
      <c r="O405" s="58"/>
      <c r="P405" s="74" t="s">
        <v>711</v>
      </c>
      <c r="Q405" s="74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</row>
    <row r="406" ht="15.75" customHeight="1">
      <c r="A406" s="74" t="s">
        <v>178</v>
      </c>
      <c r="B406" s="27" t="s">
        <v>310</v>
      </c>
      <c r="C406" s="183"/>
      <c r="D406" s="74" t="s">
        <v>274</v>
      </c>
      <c r="E406" s="184">
        <v>46163.0</v>
      </c>
      <c r="F406" s="185">
        <f t="shared" si="1"/>
        <v>21</v>
      </c>
      <c r="G406" s="185">
        <f t="shared" si="2"/>
        <v>5</v>
      </c>
      <c r="H406" s="185">
        <f t="shared" si="3"/>
        <v>2026</v>
      </c>
      <c r="I406" s="186">
        <v>5.0</v>
      </c>
      <c r="J406" s="186">
        <v>2026.0</v>
      </c>
      <c r="K406" s="187"/>
      <c r="L406" s="187">
        <v>290.0</v>
      </c>
      <c r="M406" s="27">
        <v>1.0</v>
      </c>
      <c r="N406" s="187">
        <f t="shared" si="12"/>
        <v>290</v>
      </c>
      <c r="O406" s="58"/>
      <c r="P406" s="74" t="s">
        <v>711</v>
      </c>
      <c r="Q406" s="74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</row>
    <row r="407" ht="15.75" customHeight="1">
      <c r="A407" s="74" t="s">
        <v>178</v>
      </c>
      <c r="B407" s="27" t="s">
        <v>311</v>
      </c>
      <c r="C407" s="183"/>
      <c r="D407" s="74" t="s">
        <v>274</v>
      </c>
      <c r="E407" s="184">
        <v>46163.0</v>
      </c>
      <c r="F407" s="185">
        <f t="shared" si="1"/>
        <v>21</v>
      </c>
      <c r="G407" s="185">
        <f t="shared" si="2"/>
        <v>5</v>
      </c>
      <c r="H407" s="185">
        <f t="shared" si="3"/>
        <v>2026</v>
      </c>
      <c r="I407" s="186">
        <v>5.0</v>
      </c>
      <c r="J407" s="186">
        <v>2026.0</v>
      </c>
      <c r="K407" s="187"/>
      <c r="L407" s="187">
        <v>70.0</v>
      </c>
      <c r="M407" s="27">
        <v>1.0</v>
      </c>
      <c r="N407" s="187">
        <f t="shared" si="12"/>
        <v>70</v>
      </c>
      <c r="O407" s="58"/>
      <c r="P407" s="74" t="s">
        <v>711</v>
      </c>
      <c r="Q407" s="74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</row>
    <row r="408" ht="15.75" customHeight="1">
      <c r="A408" s="74" t="s">
        <v>151</v>
      </c>
      <c r="B408" s="27" t="s">
        <v>146</v>
      </c>
      <c r="C408" s="183"/>
      <c r="D408" s="74" t="s">
        <v>245</v>
      </c>
      <c r="E408" s="184">
        <v>46163.0</v>
      </c>
      <c r="F408" s="185">
        <f t="shared" si="1"/>
        <v>21</v>
      </c>
      <c r="G408" s="185">
        <f t="shared" si="2"/>
        <v>5</v>
      </c>
      <c r="H408" s="185">
        <f t="shared" si="3"/>
        <v>2026</v>
      </c>
      <c r="I408" s="186">
        <v>5.0</v>
      </c>
      <c r="J408" s="186">
        <v>2026.0</v>
      </c>
      <c r="K408" s="187"/>
      <c r="L408" s="187">
        <v>2.955</v>
      </c>
      <c r="M408" s="27">
        <v>20.0</v>
      </c>
      <c r="N408" s="187">
        <f t="shared" si="12"/>
        <v>59.1</v>
      </c>
      <c r="O408" s="58"/>
      <c r="P408" s="74"/>
      <c r="Q408" s="74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</row>
    <row r="409" ht="15.75" customHeight="1">
      <c r="A409" s="74" t="s">
        <v>22</v>
      </c>
      <c r="B409" s="27" t="s">
        <v>342</v>
      </c>
      <c r="C409" s="183"/>
      <c r="D409" s="74" t="s">
        <v>245</v>
      </c>
      <c r="E409" s="184">
        <v>46163.0</v>
      </c>
      <c r="F409" s="185">
        <f t="shared" si="1"/>
        <v>21</v>
      </c>
      <c r="G409" s="185">
        <f t="shared" si="2"/>
        <v>5</v>
      </c>
      <c r="H409" s="185">
        <f t="shared" si="3"/>
        <v>2026</v>
      </c>
      <c r="I409" s="186">
        <v>5.0</v>
      </c>
      <c r="J409" s="186">
        <v>2026.0</v>
      </c>
      <c r="K409" s="187"/>
      <c r="L409" s="187">
        <v>28.3</v>
      </c>
      <c r="M409" s="27">
        <v>1.0</v>
      </c>
      <c r="N409" s="187">
        <f t="shared" si="12"/>
        <v>28.3</v>
      </c>
      <c r="O409" s="58"/>
      <c r="P409" s="74"/>
      <c r="Q409" s="74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</row>
    <row r="410" ht="15.75" customHeight="1">
      <c r="A410" s="74" t="s">
        <v>253</v>
      </c>
      <c r="B410" s="27" t="s">
        <v>266</v>
      </c>
      <c r="C410" s="183"/>
      <c r="D410" s="74" t="s">
        <v>245</v>
      </c>
      <c r="E410" s="184">
        <v>46164.0</v>
      </c>
      <c r="F410" s="185">
        <f t="shared" si="1"/>
        <v>22</v>
      </c>
      <c r="G410" s="185">
        <f t="shared" si="2"/>
        <v>5</v>
      </c>
      <c r="H410" s="185">
        <f t="shared" si="3"/>
        <v>2026</v>
      </c>
      <c r="I410" s="186">
        <v>5.0</v>
      </c>
      <c r="J410" s="186">
        <v>2026.0</v>
      </c>
      <c r="K410" s="187"/>
      <c r="L410" s="187">
        <v>500.0</v>
      </c>
      <c r="M410" s="27">
        <v>1.0</v>
      </c>
      <c r="N410" s="187">
        <f t="shared" si="12"/>
        <v>500</v>
      </c>
      <c r="O410" s="58"/>
      <c r="P410" s="74"/>
      <c r="Q410" s="74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</row>
    <row r="411" ht="15.75" customHeight="1">
      <c r="A411" s="74" t="s">
        <v>22</v>
      </c>
      <c r="B411" s="27" t="s">
        <v>342</v>
      </c>
      <c r="C411" s="183"/>
      <c r="D411" s="74" t="s">
        <v>5</v>
      </c>
      <c r="E411" s="184">
        <v>46164.0</v>
      </c>
      <c r="F411" s="185">
        <f t="shared" si="1"/>
        <v>22</v>
      </c>
      <c r="G411" s="185">
        <f t="shared" si="2"/>
        <v>5</v>
      </c>
      <c r="H411" s="185">
        <f t="shared" si="3"/>
        <v>2026</v>
      </c>
      <c r="I411" s="186">
        <v>5.0</v>
      </c>
      <c r="J411" s="186">
        <v>2026.0</v>
      </c>
      <c r="K411" s="187"/>
      <c r="L411" s="187">
        <v>300.0</v>
      </c>
      <c r="M411" s="27">
        <v>1.0</v>
      </c>
      <c r="N411" s="187">
        <f t="shared" si="12"/>
        <v>300</v>
      </c>
      <c r="O411" s="58"/>
      <c r="P411" s="74" t="s">
        <v>18</v>
      </c>
      <c r="Q411" s="74" t="s">
        <v>721</v>
      </c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</row>
    <row r="412" ht="15.75" customHeight="1">
      <c r="A412" s="74" t="s">
        <v>153</v>
      </c>
      <c r="B412" s="27" t="s">
        <v>315</v>
      </c>
      <c r="C412" s="183"/>
      <c r="D412" s="74" t="s">
        <v>245</v>
      </c>
      <c r="E412" s="184">
        <v>46165.0</v>
      </c>
      <c r="F412" s="185">
        <f t="shared" si="1"/>
        <v>23</v>
      </c>
      <c r="G412" s="185">
        <f t="shared" si="2"/>
        <v>5</v>
      </c>
      <c r="H412" s="185">
        <f t="shared" si="3"/>
        <v>2026</v>
      </c>
      <c r="I412" s="186">
        <v>5.0</v>
      </c>
      <c r="J412" s="186">
        <v>2026.0</v>
      </c>
      <c r="K412" s="187"/>
      <c r="L412" s="187">
        <v>5.0</v>
      </c>
      <c r="M412" s="27">
        <v>1.0</v>
      </c>
      <c r="N412" s="187">
        <f t="shared" si="12"/>
        <v>5</v>
      </c>
      <c r="O412" s="58"/>
      <c r="P412" s="74"/>
      <c r="Q412" s="74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</row>
    <row r="413" ht="15.75" customHeight="1">
      <c r="A413" s="74" t="s">
        <v>22</v>
      </c>
      <c r="B413" s="27" t="s">
        <v>27</v>
      </c>
      <c r="C413" s="183"/>
      <c r="D413" s="74" t="s">
        <v>2</v>
      </c>
      <c r="E413" s="184">
        <v>46166.0</v>
      </c>
      <c r="F413" s="185">
        <f t="shared" si="1"/>
        <v>24</v>
      </c>
      <c r="G413" s="185">
        <f t="shared" si="2"/>
        <v>5</v>
      </c>
      <c r="H413" s="185">
        <f t="shared" si="3"/>
        <v>2026</v>
      </c>
      <c r="I413" s="186">
        <v>5.0</v>
      </c>
      <c r="J413" s="186">
        <v>2026.0</v>
      </c>
      <c r="K413" s="187"/>
      <c r="L413" s="187">
        <v>262.5</v>
      </c>
      <c r="M413" s="27">
        <v>1.0</v>
      </c>
      <c r="N413" s="187">
        <f t="shared" si="12"/>
        <v>262.5</v>
      </c>
      <c r="O413" s="58"/>
      <c r="P413" s="74"/>
      <c r="Q413" s="74" t="s">
        <v>751</v>
      </c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</row>
    <row r="414" ht="15.75" customHeight="1">
      <c r="A414" s="74" t="s">
        <v>167</v>
      </c>
      <c r="B414" s="27" t="s">
        <v>41</v>
      </c>
      <c r="C414" s="183"/>
      <c r="D414" s="74" t="s">
        <v>2</v>
      </c>
      <c r="E414" s="184">
        <v>46168.0</v>
      </c>
      <c r="F414" s="185">
        <f t="shared" si="1"/>
        <v>26</v>
      </c>
      <c r="G414" s="185">
        <f t="shared" si="2"/>
        <v>5</v>
      </c>
      <c r="H414" s="185">
        <f t="shared" si="3"/>
        <v>2026</v>
      </c>
      <c r="I414" s="186">
        <v>5.0</v>
      </c>
      <c r="J414" s="186">
        <v>2026.0</v>
      </c>
      <c r="K414" s="187"/>
      <c r="L414" s="187">
        <v>90.38</v>
      </c>
      <c r="M414" s="27">
        <v>1.0</v>
      </c>
      <c r="N414" s="187">
        <f t="shared" si="12"/>
        <v>90.38</v>
      </c>
      <c r="O414" s="58"/>
      <c r="P414" s="74"/>
      <c r="Q414" s="74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</row>
    <row r="415" ht="15.75" customHeight="1">
      <c r="A415" s="74" t="s">
        <v>334</v>
      </c>
      <c r="B415" s="27" t="s">
        <v>34</v>
      </c>
      <c r="C415" s="183"/>
      <c r="D415" s="74" t="s">
        <v>2</v>
      </c>
      <c r="E415" s="184">
        <v>46168.0</v>
      </c>
      <c r="F415" s="185">
        <f t="shared" si="1"/>
        <v>26</v>
      </c>
      <c r="G415" s="185">
        <f t="shared" si="2"/>
        <v>5</v>
      </c>
      <c r="H415" s="185">
        <f t="shared" si="3"/>
        <v>2026</v>
      </c>
      <c r="I415" s="186">
        <v>5.0</v>
      </c>
      <c r="J415" s="186">
        <v>2026.0</v>
      </c>
      <c r="K415" s="187"/>
      <c r="L415" s="187">
        <v>9.85</v>
      </c>
      <c r="M415" s="27">
        <v>1.0</v>
      </c>
      <c r="N415" s="187">
        <f t="shared" si="12"/>
        <v>9.85</v>
      </c>
      <c r="O415" s="58"/>
      <c r="P415" s="74"/>
      <c r="Q415" s="74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</row>
    <row r="416" ht="15.75" customHeight="1">
      <c r="A416" s="74" t="s">
        <v>167</v>
      </c>
      <c r="B416" s="27" t="s">
        <v>161</v>
      </c>
      <c r="C416" s="183"/>
      <c r="D416" s="74" t="s">
        <v>245</v>
      </c>
      <c r="E416" s="184">
        <v>46169.0</v>
      </c>
      <c r="F416" s="185">
        <f t="shared" si="1"/>
        <v>27</v>
      </c>
      <c r="G416" s="185">
        <f t="shared" si="2"/>
        <v>5</v>
      </c>
      <c r="H416" s="185">
        <f t="shared" si="3"/>
        <v>2026</v>
      </c>
      <c r="I416" s="186">
        <v>5.0</v>
      </c>
      <c r="J416" s="186">
        <v>2026.0</v>
      </c>
      <c r="K416" s="187"/>
      <c r="L416" s="187">
        <v>42.0</v>
      </c>
      <c r="M416" s="27">
        <v>1.0</v>
      </c>
      <c r="N416" s="187">
        <f t="shared" si="12"/>
        <v>42</v>
      </c>
      <c r="O416" s="58"/>
      <c r="P416" s="74"/>
      <c r="Q416" s="74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</row>
    <row r="417" ht="15.75" customHeight="1">
      <c r="A417" s="74" t="s">
        <v>617</v>
      </c>
      <c r="B417" s="27" t="s">
        <v>619</v>
      </c>
      <c r="C417" s="183"/>
      <c r="D417" s="74" t="s">
        <v>274</v>
      </c>
      <c r="E417" s="184">
        <v>46169.0</v>
      </c>
      <c r="F417" s="185">
        <f t="shared" si="1"/>
        <v>27</v>
      </c>
      <c r="G417" s="185">
        <f t="shared" si="2"/>
        <v>5</v>
      </c>
      <c r="H417" s="185">
        <f t="shared" si="3"/>
        <v>2026</v>
      </c>
      <c r="I417" s="186">
        <v>5.0</v>
      </c>
      <c r="J417" s="186">
        <v>2026.0</v>
      </c>
      <c r="K417" s="187"/>
      <c r="L417" s="187">
        <v>17.98</v>
      </c>
      <c r="M417" s="27">
        <v>1.0</v>
      </c>
      <c r="N417" s="187">
        <f t="shared" si="12"/>
        <v>17.98</v>
      </c>
      <c r="O417" s="58"/>
      <c r="P417" s="74"/>
      <c r="Q417" s="74" t="s">
        <v>756</v>
      </c>
      <c r="R417" s="27" t="s">
        <v>642</v>
      </c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</row>
    <row r="418" ht="15.75" customHeight="1">
      <c r="A418" s="74" t="s">
        <v>178</v>
      </c>
      <c r="B418" s="27" t="s">
        <v>311</v>
      </c>
      <c r="C418" s="183"/>
      <c r="D418" s="74" t="s">
        <v>245</v>
      </c>
      <c r="E418" s="184">
        <v>46170.0</v>
      </c>
      <c r="F418" s="185">
        <f t="shared" si="1"/>
        <v>28</v>
      </c>
      <c r="G418" s="185">
        <f t="shared" si="2"/>
        <v>5</v>
      </c>
      <c r="H418" s="185">
        <f t="shared" si="3"/>
        <v>2026</v>
      </c>
      <c r="I418" s="186">
        <v>5.0</v>
      </c>
      <c r="J418" s="186">
        <v>2026.0</v>
      </c>
      <c r="K418" s="187"/>
      <c r="L418" s="187">
        <v>450.0</v>
      </c>
      <c r="M418" s="27">
        <v>1.0</v>
      </c>
      <c r="N418" s="187">
        <f t="shared" si="12"/>
        <v>450</v>
      </c>
      <c r="O418" s="58"/>
      <c r="P418" s="74"/>
      <c r="Q418" s="74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</row>
    <row r="419" ht="15.75" customHeight="1">
      <c r="A419" s="74" t="s">
        <v>22</v>
      </c>
      <c r="B419" s="27" t="s">
        <v>342</v>
      </c>
      <c r="C419" s="183"/>
      <c r="D419" s="74" t="s">
        <v>245</v>
      </c>
      <c r="E419" s="184">
        <v>46170.0</v>
      </c>
      <c r="F419" s="185">
        <f t="shared" si="1"/>
        <v>28</v>
      </c>
      <c r="G419" s="185">
        <f t="shared" si="2"/>
        <v>5</v>
      </c>
      <c r="H419" s="185">
        <f t="shared" si="3"/>
        <v>2026</v>
      </c>
      <c r="I419" s="186">
        <v>5.0</v>
      </c>
      <c r="J419" s="186">
        <v>2026.0</v>
      </c>
      <c r="K419" s="187"/>
      <c r="L419" s="187">
        <v>5.0</v>
      </c>
      <c r="M419" s="27">
        <v>1.0</v>
      </c>
      <c r="N419" s="187">
        <f t="shared" si="12"/>
        <v>5</v>
      </c>
      <c r="O419" s="58"/>
      <c r="P419" s="74"/>
      <c r="Q419" s="74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</row>
    <row r="420" ht="15.75" customHeight="1">
      <c r="A420" s="74" t="s">
        <v>334</v>
      </c>
      <c r="B420" s="27" t="s">
        <v>34</v>
      </c>
      <c r="C420" s="183"/>
      <c r="D420" s="74" t="s">
        <v>2</v>
      </c>
      <c r="E420" s="184">
        <v>46170.0</v>
      </c>
      <c r="F420" s="185">
        <f t="shared" si="1"/>
        <v>28</v>
      </c>
      <c r="G420" s="185">
        <f t="shared" si="2"/>
        <v>5</v>
      </c>
      <c r="H420" s="185">
        <f t="shared" si="3"/>
        <v>2026</v>
      </c>
      <c r="I420" s="186">
        <v>5.0</v>
      </c>
      <c r="J420" s="186">
        <v>2026.0</v>
      </c>
      <c r="K420" s="187"/>
      <c r="L420" s="187">
        <v>8.9</v>
      </c>
      <c r="M420" s="27">
        <v>1.0</v>
      </c>
      <c r="N420" s="187">
        <f t="shared" si="12"/>
        <v>8.9</v>
      </c>
      <c r="O420" s="58"/>
      <c r="P420" s="74"/>
      <c r="Q420" s="74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</row>
    <row r="421" ht="15.75" customHeight="1">
      <c r="A421" s="74" t="s">
        <v>178</v>
      </c>
      <c r="B421" s="27" t="s">
        <v>310</v>
      </c>
      <c r="C421" s="183"/>
      <c r="D421" s="74" t="s">
        <v>274</v>
      </c>
      <c r="E421" s="184">
        <v>46171.0</v>
      </c>
      <c r="F421" s="185">
        <f t="shared" si="1"/>
        <v>29</v>
      </c>
      <c r="G421" s="185">
        <f t="shared" si="2"/>
        <v>5</v>
      </c>
      <c r="H421" s="185">
        <f t="shared" si="3"/>
        <v>2026</v>
      </c>
      <c r="I421" s="186">
        <v>5.0</v>
      </c>
      <c r="J421" s="186">
        <v>2026.0</v>
      </c>
      <c r="K421" s="187"/>
      <c r="L421" s="187">
        <v>370.0</v>
      </c>
      <c r="M421" s="27">
        <v>1.0</v>
      </c>
      <c r="N421" s="187">
        <f t="shared" si="12"/>
        <v>370</v>
      </c>
      <c r="O421" s="58"/>
      <c r="P421" s="74" t="s">
        <v>711</v>
      </c>
      <c r="Q421" s="74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</row>
    <row r="422" ht="15.75" customHeight="1">
      <c r="A422" s="74" t="s">
        <v>22</v>
      </c>
      <c r="B422" s="27" t="s">
        <v>342</v>
      </c>
      <c r="C422" s="183"/>
      <c r="D422" s="74" t="s">
        <v>5</v>
      </c>
      <c r="E422" s="184">
        <v>46171.0</v>
      </c>
      <c r="F422" s="185">
        <f t="shared" si="1"/>
        <v>29</v>
      </c>
      <c r="G422" s="185">
        <f t="shared" si="2"/>
        <v>5</v>
      </c>
      <c r="H422" s="185">
        <f t="shared" si="3"/>
        <v>2026</v>
      </c>
      <c r="I422" s="186">
        <v>5.0</v>
      </c>
      <c r="J422" s="186">
        <v>2026.0</v>
      </c>
      <c r="K422" s="187"/>
      <c r="L422" s="187">
        <v>300.0</v>
      </c>
      <c r="M422" s="27">
        <v>1.0</v>
      </c>
      <c r="N422" s="187">
        <f t="shared" si="12"/>
        <v>300</v>
      </c>
      <c r="O422" s="58"/>
      <c r="P422" s="74" t="s">
        <v>18</v>
      </c>
      <c r="Q422" s="74" t="s">
        <v>721</v>
      </c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</row>
    <row r="423" ht="15.75" customHeight="1">
      <c r="A423" s="74" t="s">
        <v>22</v>
      </c>
      <c r="B423" s="27" t="s">
        <v>342</v>
      </c>
      <c r="C423" s="183"/>
      <c r="D423" s="74" t="s">
        <v>245</v>
      </c>
      <c r="E423" s="184">
        <v>46171.0</v>
      </c>
      <c r="F423" s="185">
        <f t="shared" si="1"/>
        <v>29</v>
      </c>
      <c r="G423" s="185">
        <f t="shared" si="2"/>
        <v>5</v>
      </c>
      <c r="H423" s="185">
        <f t="shared" si="3"/>
        <v>2026</v>
      </c>
      <c r="I423" s="186">
        <v>5.0</v>
      </c>
      <c r="J423" s="186">
        <v>2026.0</v>
      </c>
      <c r="K423" s="187"/>
      <c r="L423" s="187">
        <v>18.33</v>
      </c>
      <c r="M423" s="27">
        <v>1.0</v>
      </c>
      <c r="N423" s="187">
        <f t="shared" si="12"/>
        <v>18.33</v>
      </c>
      <c r="O423" s="58"/>
      <c r="P423" s="74"/>
      <c r="Q423" s="74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</row>
    <row r="424" ht="15.75" customHeight="1">
      <c r="A424" s="74" t="s">
        <v>334</v>
      </c>
      <c r="B424" s="27" t="s">
        <v>34</v>
      </c>
      <c r="C424" s="183"/>
      <c r="D424" s="74" t="s">
        <v>245</v>
      </c>
      <c r="E424" s="184">
        <v>46171.0</v>
      </c>
      <c r="F424" s="185">
        <f t="shared" si="1"/>
        <v>29</v>
      </c>
      <c r="G424" s="185">
        <f t="shared" si="2"/>
        <v>5</v>
      </c>
      <c r="H424" s="185">
        <f t="shared" si="3"/>
        <v>2026</v>
      </c>
      <c r="I424" s="186">
        <v>5.0</v>
      </c>
      <c r="J424" s="186">
        <v>2026.0</v>
      </c>
      <c r="K424" s="187"/>
      <c r="L424" s="187">
        <v>12.0</v>
      </c>
      <c r="M424" s="27">
        <v>1.0</v>
      </c>
      <c r="N424" s="187">
        <f t="shared" si="12"/>
        <v>12</v>
      </c>
      <c r="O424" s="58"/>
      <c r="P424" s="74"/>
      <c r="Q424" s="74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</row>
    <row r="425" ht="15.75" customHeight="1">
      <c r="A425" s="74" t="s">
        <v>154</v>
      </c>
      <c r="B425" s="27" t="s">
        <v>231</v>
      </c>
      <c r="C425" s="183"/>
      <c r="D425" s="74" t="s">
        <v>245</v>
      </c>
      <c r="E425" s="184">
        <v>46171.0</v>
      </c>
      <c r="F425" s="185">
        <f t="shared" si="1"/>
        <v>29</v>
      </c>
      <c r="G425" s="185">
        <f t="shared" si="2"/>
        <v>5</v>
      </c>
      <c r="H425" s="185">
        <f t="shared" si="3"/>
        <v>2026</v>
      </c>
      <c r="I425" s="186">
        <v>5.0</v>
      </c>
      <c r="J425" s="186">
        <v>2026.0</v>
      </c>
      <c r="K425" s="187"/>
      <c r="L425" s="187">
        <v>5.59</v>
      </c>
      <c r="M425" s="27">
        <v>3.0</v>
      </c>
      <c r="N425" s="187">
        <f t="shared" si="12"/>
        <v>16.77</v>
      </c>
      <c r="O425" s="58"/>
      <c r="P425" s="74"/>
      <c r="Q425" s="74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</row>
    <row r="426" ht="15.75" customHeight="1">
      <c r="A426" s="74" t="s">
        <v>22</v>
      </c>
      <c r="B426" s="27" t="s">
        <v>342</v>
      </c>
      <c r="C426" s="183"/>
      <c r="D426" s="74" t="s">
        <v>245</v>
      </c>
      <c r="E426" s="184">
        <v>46172.0</v>
      </c>
      <c r="F426" s="185">
        <f t="shared" si="1"/>
        <v>30</v>
      </c>
      <c r="G426" s="185">
        <f t="shared" si="2"/>
        <v>5</v>
      </c>
      <c r="H426" s="185">
        <f t="shared" si="3"/>
        <v>2026</v>
      </c>
      <c r="I426" s="186">
        <v>5.0</v>
      </c>
      <c r="J426" s="186">
        <v>2026.0</v>
      </c>
      <c r="K426" s="187"/>
      <c r="L426" s="187">
        <v>35.0</v>
      </c>
      <c r="M426" s="27">
        <v>1.0</v>
      </c>
      <c r="N426" s="187">
        <f t="shared" si="12"/>
        <v>35</v>
      </c>
      <c r="O426" s="58"/>
      <c r="P426" s="74"/>
      <c r="Q426" s="74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</row>
    <row r="427" ht="15.75" customHeight="1">
      <c r="A427" s="74" t="s">
        <v>334</v>
      </c>
      <c r="B427" s="27" t="s">
        <v>34</v>
      </c>
      <c r="C427" s="183"/>
      <c r="D427" s="74" t="s">
        <v>12</v>
      </c>
      <c r="E427" s="184">
        <v>46173.0</v>
      </c>
      <c r="F427" s="185">
        <f t="shared" si="1"/>
        <v>31</v>
      </c>
      <c r="G427" s="185">
        <f t="shared" si="2"/>
        <v>5</v>
      </c>
      <c r="H427" s="185">
        <f t="shared" si="3"/>
        <v>2026</v>
      </c>
      <c r="I427" s="186">
        <f t="shared" ref="I427:J427" si="13">G427</f>
        <v>5</v>
      </c>
      <c r="J427" s="186">
        <f t="shared" si="13"/>
        <v>2026</v>
      </c>
      <c r="K427" s="187"/>
      <c r="L427" s="187">
        <v>959.09</v>
      </c>
      <c r="M427" s="27">
        <v>1.0</v>
      </c>
      <c r="N427" s="187">
        <f>M427*L427</f>
        <v>959.09</v>
      </c>
      <c r="O427" s="58"/>
      <c r="P427" s="74"/>
      <c r="Q427" s="74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</row>
    <row r="428" ht="15.75" customHeight="1">
      <c r="A428" s="74" t="s">
        <v>22</v>
      </c>
      <c r="B428" s="27" t="s">
        <v>25</v>
      </c>
      <c r="C428" s="183"/>
      <c r="D428" s="74" t="s">
        <v>274</v>
      </c>
      <c r="E428" s="184">
        <v>46173.0</v>
      </c>
      <c r="F428" s="185">
        <f t="shared" si="1"/>
        <v>31</v>
      </c>
      <c r="G428" s="185">
        <f t="shared" si="2"/>
        <v>5</v>
      </c>
      <c r="H428" s="185">
        <f t="shared" si="3"/>
        <v>2026</v>
      </c>
      <c r="I428" s="186">
        <v>5.0</v>
      </c>
      <c r="J428" s="186">
        <v>2026.0</v>
      </c>
      <c r="K428" s="187"/>
      <c r="L428" s="187">
        <v>62.95</v>
      </c>
      <c r="M428" s="27">
        <v>1.0</v>
      </c>
      <c r="N428" s="187">
        <f>L428*M428</f>
        <v>62.95</v>
      </c>
      <c r="O428" s="58"/>
      <c r="P428" s="74"/>
      <c r="Q428" s="74" t="s">
        <v>762</v>
      </c>
      <c r="R428" s="27" t="s">
        <v>642</v>
      </c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</row>
    <row r="429" ht="15.75" customHeight="1">
      <c r="A429" s="74" t="s">
        <v>253</v>
      </c>
      <c r="B429" s="27" t="s">
        <v>272</v>
      </c>
      <c r="C429" s="183"/>
      <c r="D429" s="74" t="s">
        <v>274</v>
      </c>
      <c r="E429" s="184">
        <v>46174.0</v>
      </c>
      <c r="F429" s="185">
        <f t="shared" si="1"/>
        <v>1</v>
      </c>
      <c r="G429" s="185">
        <f t="shared" si="2"/>
        <v>6</v>
      </c>
      <c r="H429" s="185">
        <f t="shared" si="3"/>
        <v>2026</v>
      </c>
      <c r="I429" s="186">
        <f t="shared" ref="I429:J429" si="14">G429</f>
        <v>6</v>
      </c>
      <c r="J429" s="186">
        <f t="shared" si="14"/>
        <v>2026</v>
      </c>
      <c r="K429" s="187"/>
      <c r="L429" s="187">
        <v>5000.0</v>
      </c>
      <c r="M429" s="27">
        <v>1.0</v>
      </c>
      <c r="N429" s="187">
        <f>M429*L429</f>
        <v>5000</v>
      </c>
      <c r="O429" s="58"/>
      <c r="P429" s="74" t="s">
        <v>20</v>
      </c>
      <c r="Q429" s="74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</row>
    <row r="430" ht="15.75" customHeight="1">
      <c r="A430" s="74" t="s">
        <v>178</v>
      </c>
      <c r="B430" s="27" t="s">
        <v>154</v>
      </c>
      <c r="C430" s="183"/>
      <c r="D430" s="74" t="s">
        <v>2</v>
      </c>
      <c r="E430" s="184">
        <v>46174.0</v>
      </c>
      <c r="F430" s="185">
        <f t="shared" si="1"/>
        <v>1</v>
      </c>
      <c r="G430" s="185">
        <f t="shared" si="2"/>
        <v>6</v>
      </c>
      <c r="H430" s="185">
        <f t="shared" si="3"/>
        <v>2026</v>
      </c>
      <c r="I430" s="186">
        <v>5.0</v>
      </c>
      <c r="J430" s="186">
        <v>2026.0</v>
      </c>
      <c r="K430" s="187"/>
      <c r="L430" s="187">
        <v>2410.8</v>
      </c>
      <c r="M430" s="27">
        <v>1.0</v>
      </c>
      <c r="N430" s="187">
        <f t="shared" ref="N430:N445" si="15">L430*M430</f>
        <v>2410.8</v>
      </c>
      <c r="O430" s="58"/>
      <c r="P430" s="74"/>
      <c r="Q430" s="74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</row>
    <row r="431" ht="15.75" customHeight="1">
      <c r="A431" s="74" t="s">
        <v>334</v>
      </c>
      <c r="B431" s="27" t="s">
        <v>501</v>
      </c>
      <c r="C431" s="183"/>
      <c r="D431" s="74" t="s">
        <v>2</v>
      </c>
      <c r="E431" s="184">
        <v>46174.0</v>
      </c>
      <c r="F431" s="185">
        <f t="shared" si="1"/>
        <v>1</v>
      </c>
      <c r="G431" s="185">
        <f t="shared" si="2"/>
        <v>6</v>
      </c>
      <c r="H431" s="185">
        <f t="shared" si="3"/>
        <v>2026</v>
      </c>
      <c r="I431" s="186">
        <v>5.0</v>
      </c>
      <c r="J431" s="186">
        <v>2026.0</v>
      </c>
      <c r="K431" s="187"/>
      <c r="L431" s="187">
        <v>1150.0</v>
      </c>
      <c r="M431" s="27">
        <v>1.0</v>
      </c>
      <c r="N431" s="187">
        <f t="shared" si="15"/>
        <v>1150</v>
      </c>
      <c r="O431" s="58"/>
      <c r="P431" s="74"/>
      <c r="Q431" s="74" t="s">
        <v>502</v>
      </c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</row>
    <row r="432" ht="15.75" customHeight="1">
      <c r="A432" s="74" t="s">
        <v>178</v>
      </c>
      <c r="B432" s="27" t="s">
        <v>311</v>
      </c>
      <c r="C432" s="183"/>
      <c r="D432" s="74" t="s">
        <v>2</v>
      </c>
      <c r="E432" s="184">
        <v>46174.0</v>
      </c>
      <c r="F432" s="185">
        <f t="shared" si="1"/>
        <v>1</v>
      </c>
      <c r="G432" s="185">
        <f t="shared" si="2"/>
        <v>6</v>
      </c>
      <c r="H432" s="185">
        <f t="shared" si="3"/>
        <v>2026</v>
      </c>
      <c r="I432" s="186">
        <v>5.0</v>
      </c>
      <c r="J432" s="186">
        <v>2026.0</v>
      </c>
      <c r="K432" s="187"/>
      <c r="L432" s="187">
        <v>840.27</v>
      </c>
      <c r="M432" s="27">
        <v>1.0</v>
      </c>
      <c r="N432" s="187">
        <f t="shared" si="15"/>
        <v>840.27</v>
      </c>
      <c r="O432" s="58"/>
      <c r="P432" s="74"/>
      <c r="Q432" s="74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</row>
    <row r="433" ht="15.75" customHeight="1">
      <c r="A433" s="74" t="s">
        <v>178</v>
      </c>
      <c r="B433" s="27" t="s">
        <v>309</v>
      </c>
      <c r="C433" s="183"/>
      <c r="D433" s="74" t="s">
        <v>2</v>
      </c>
      <c r="E433" s="184">
        <v>46174.0</v>
      </c>
      <c r="F433" s="185">
        <f t="shared" si="1"/>
        <v>1</v>
      </c>
      <c r="G433" s="185">
        <f t="shared" si="2"/>
        <v>6</v>
      </c>
      <c r="H433" s="185">
        <f t="shared" si="3"/>
        <v>2026</v>
      </c>
      <c r="I433" s="186">
        <v>5.0</v>
      </c>
      <c r="J433" s="186">
        <v>2026.0</v>
      </c>
      <c r="K433" s="187"/>
      <c r="L433" s="187">
        <v>752.5</v>
      </c>
      <c r="M433" s="27">
        <v>1.0</v>
      </c>
      <c r="N433" s="187">
        <f t="shared" si="15"/>
        <v>752.5</v>
      </c>
      <c r="O433" s="58"/>
      <c r="P433" s="74"/>
      <c r="Q433" s="74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</row>
    <row r="434" ht="15.75" customHeight="1">
      <c r="A434" s="74" t="s">
        <v>106</v>
      </c>
      <c r="B434" s="27" t="s">
        <v>83</v>
      </c>
      <c r="C434" s="183"/>
      <c r="D434" s="74" t="s">
        <v>2</v>
      </c>
      <c r="E434" s="184">
        <v>46174.0</v>
      </c>
      <c r="F434" s="185">
        <f t="shared" si="1"/>
        <v>1</v>
      </c>
      <c r="G434" s="185">
        <f t="shared" si="2"/>
        <v>6</v>
      </c>
      <c r="H434" s="185">
        <f t="shared" si="3"/>
        <v>2026</v>
      </c>
      <c r="I434" s="186">
        <v>6.0</v>
      </c>
      <c r="J434" s="186">
        <v>2026.0</v>
      </c>
      <c r="K434" s="187"/>
      <c r="L434" s="187">
        <v>435.86</v>
      </c>
      <c r="M434" s="27">
        <v>1.0</v>
      </c>
      <c r="N434" s="187">
        <f t="shared" si="15"/>
        <v>435.86</v>
      </c>
      <c r="O434" s="58"/>
      <c r="P434" s="74"/>
      <c r="Q434" s="74" t="s">
        <v>764</v>
      </c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</row>
    <row r="435" ht="15.75" customHeight="1">
      <c r="A435" s="74" t="s">
        <v>108</v>
      </c>
      <c r="B435" s="27" t="s">
        <v>108</v>
      </c>
      <c r="C435" s="183"/>
      <c r="D435" s="74" t="s">
        <v>2</v>
      </c>
      <c r="E435" s="184">
        <v>46174.0</v>
      </c>
      <c r="F435" s="185">
        <f t="shared" si="1"/>
        <v>1</v>
      </c>
      <c r="G435" s="185">
        <f t="shared" si="2"/>
        <v>6</v>
      </c>
      <c r="H435" s="185">
        <f t="shared" si="3"/>
        <v>2026</v>
      </c>
      <c r="I435" s="186">
        <v>5.0</v>
      </c>
      <c r="J435" s="186">
        <v>2026.0</v>
      </c>
      <c r="K435" s="187"/>
      <c r="L435" s="187">
        <f>67+24.66</f>
        <v>91.66</v>
      </c>
      <c r="M435" s="27">
        <v>1.0</v>
      </c>
      <c r="N435" s="187">
        <f t="shared" si="15"/>
        <v>91.66</v>
      </c>
      <c r="O435" s="58"/>
      <c r="P435" s="74"/>
      <c r="Q435" s="74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</row>
    <row r="436" ht="15.75" customHeight="1">
      <c r="A436" s="74" t="s">
        <v>167</v>
      </c>
      <c r="B436" s="27" t="s">
        <v>49</v>
      </c>
      <c r="C436" s="183"/>
      <c r="D436" s="74" t="s">
        <v>2</v>
      </c>
      <c r="E436" s="184">
        <v>46174.0</v>
      </c>
      <c r="F436" s="185">
        <f t="shared" si="1"/>
        <v>1</v>
      </c>
      <c r="G436" s="185">
        <f t="shared" si="2"/>
        <v>6</v>
      </c>
      <c r="H436" s="185">
        <f t="shared" si="3"/>
        <v>2026</v>
      </c>
      <c r="I436" s="186">
        <v>6.0</v>
      </c>
      <c r="J436" s="186">
        <v>2026.0</v>
      </c>
      <c r="K436" s="187"/>
      <c r="L436" s="187">
        <v>87.3</v>
      </c>
      <c r="M436" s="27">
        <v>1.0</v>
      </c>
      <c r="N436" s="187">
        <f t="shared" si="15"/>
        <v>87.3</v>
      </c>
      <c r="O436" s="58"/>
      <c r="P436" s="74"/>
      <c r="Q436" s="74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</row>
    <row r="437" ht="15.75" customHeight="1">
      <c r="A437" s="74" t="s">
        <v>167</v>
      </c>
      <c r="B437" s="27" t="s">
        <v>37</v>
      </c>
      <c r="C437" s="183"/>
      <c r="D437" s="74" t="s">
        <v>2</v>
      </c>
      <c r="E437" s="184">
        <v>46174.0</v>
      </c>
      <c r="F437" s="185">
        <f t="shared" si="1"/>
        <v>1</v>
      </c>
      <c r="G437" s="185">
        <f t="shared" si="2"/>
        <v>6</v>
      </c>
      <c r="H437" s="185">
        <f t="shared" si="3"/>
        <v>2026</v>
      </c>
      <c r="I437" s="186">
        <v>5.0</v>
      </c>
      <c r="J437" s="186">
        <v>2026.0</v>
      </c>
      <c r="K437" s="187"/>
      <c r="L437" s="187">
        <v>64.45</v>
      </c>
      <c r="M437" s="27">
        <v>1.0</v>
      </c>
      <c r="N437" s="187">
        <f t="shared" si="15"/>
        <v>64.45</v>
      </c>
      <c r="O437" s="58"/>
      <c r="P437" s="74"/>
      <c r="Q437" s="74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</row>
    <row r="438" ht="15.75" customHeight="1">
      <c r="A438" s="74" t="s">
        <v>108</v>
      </c>
      <c r="B438" s="27" t="s">
        <v>108</v>
      </c>
      <c r="C438" s="183"/>
      <c r="D438" s="74" t="s">
        <v>2</v>
      </c>
      <c r="E438" s="184">
        <v>46174.0</v>
      </c>
      <c r="F438" s="185">
        <f t="shared" si="1"/>
        <v>1</v>
      </c>
      <c r="G438" s="185">
        <f t="shared" si="2"/>
        <v>6</v>
      </c>
      <c r="H438" s="185">
        <f t="shared" si="3"/>
        <v>2026</v>
      </c>
      <c r="I438" s="186">
        <v>5.0</v>
      </c>
      <c r="J438" s="186">
        <v>2026.0</v>
      </c>
      <c r="K438" s="187"/>
      <c r="L438" s="187">
        <v>55.0</v>
      </c>
      <c r="M438" s="27">
        <v>1.0</v>
      </c>
      <c r="N438" s="187">
        <f t="shared" si="15"/>
        <v>55</v>
      </c>
      <c r="O438" s="58"/>
      <c r="P438" s="74"/>
      <c r="Q438" s="74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</row>
    <row r="439" ht="15.75" customHeight="1">
      <c r="A439" s="74" t="s">
        <v>160</v>
      </c>
      <c r="B439" s="27" t="s">
        <v>39</v>
      </c>
      <c r="C439" s="183"/>
      <c r="D439" s="74" t="s">
        <v>2</v>
      </c>
      <c r="E439" s="184">
        <v>46174.0</v>
      </c>
      <c r="F439" s="185">
        <f t="shared" si="1"/>
        <v>1</v>
      </c>
      <c r="G439" s="185">
        <f t="shared" si="2"/>
        <v>6</v>
      </c>
      <c r="H439" s="185">
        <f t="shared" si="3"/>
        <v>2026</v>
      </c>
      <c r="I439" s="186">
        <v>6.0</v>
      </c>
      <c r="J439" s="186">
        <v>2026.0</v>
      </c>
      <c r="K439" s="187"/>
      <c r="L439" s="187">
        <v>-63.0</v>
      </c>
      <c r="M439" s="27">
        <v>1.0</v>
      </c>
      <c r="N439" s="187">
        <f t="shared" si="15"/>
        <v>-63</v>
      </c>
      <c r="O439" s="58"/>
      <c r="P439" s="74"/>
      <c r="Q439" s="74" t="s">
        <v>766</v>
      </c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</row>
    <row r="440" ht="15.75" customHeight="1">
      <c r="A440" s="74" t="s">
        <v>160</v>
      </c>
      <c r="B440" s="27" t="s">
        <v>39</v>
      </c>
      <c r="C440" s="183"/>
      <c r="D440" s="74" t="s">
        <v>2</v>
      </c>
      <c r="E440" s="184">
        <v>46174.0</v>
      </c>
      <c r="F440" s="185">
        <f t="shared" si="1"/>
        <v>1</v>
      </c>
      <c r="G440" s="185">
        <f t="shared" si="2"/>
        <v>6</v>
      </c>
      <c r="H440" s="185">
        <f t="shared" si="3"/>
        <v>2026</v>
      </c>
      <c r="I440" s="186">
        <v>6.0</v>
      </c>
      <c r="J440" s="186">
        <v>2026.0</v>
      </c>
      <c r="K440" s="187"/>
      <c r="L440" s="187">
        <v>-72.0</v>
      </c>
      <c r="M440" s="27">
        <v>1.0</v>
      </c>
      <c r="N440" s="187">
        <f t="shared" si="15"/>
        <v>-72</v>
      </c>
      <c r="O440" s="58"/>
      <c r="P440" s="74"/>
      <c r="Q440" s="74" t="s">
        <v>767</v>
      </c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</row>
    <row r="441" ht="15.75" customHeight="1">
      <c r="A441" s="74" t="s">
        <v>153</v>
      </c>
      <c r="B441" s="27" t="s">
        <v>314</v>
      </c>
      <c r="C441" s="183"/>
      <c r="D441" s="74" t="s">
        <v>245</v>
      </c>
      <c r="E441" s="184">
        <v>46175.0</v>
      </c>
      <c r="F441" s="185">
        <f t="shared" si="1"/>
        <v>2</v>
      </c>
      <c r="G441" s="185">
        <f t="shared" si="2"/>
        <v>6</v>
      </c>
      <c r="H441" s="185">
        <f t="shared" si="3"/>
        <v>2026</v>
      </c>
      <c r="I441" s="186">
        <v>6.0</v>
      </c>
      <c r="J441" s="186">
        <v>2026.0</v>
      </c>
      <c r="K441" s="187"/>
      <c r="L441" s="187">
        <v>24.0</v>
      </c>
      <c r="M441" s="27">
        <v>1.0</v>
      </c>
      <c r="N441" s="187">
        <f t="shared" si="15"/>
        <v>24</v>
      </c>
      <c r="O441" s="58"/>
      <c r="P441" s="74"/>
      <c r="Q441" s="74" t="s">
        <v>768</v>
      </c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</row>
    <row r="442" ht="15.75" customHeight="1">
      <c r="A442" s="74" t="s">
        <v>153</v>
      </c>
      <c r="B442" s="27" t="s">
        <v>313</v>
      </c>
      <c r="C442" s="183"/>
      <c r="D442" s="74" t="s">
        <v>245</v>
      </c>
      <c r="E442" s="184">
        <v>46175.0</v>
      </c>
      <c r="F442" s="185">
        <f t="shared" si="1"/>
        <v>2</v>
      </c>
      <c r="G442" s="185">
        <f t="shared" si="2"/>
        <v>6</v>
      </c>
      <c r="H442" s="185">
        <f t="shared" si="3"/>
        <v>2026</v>
      </c>
      <c r="I442" s="186">
        <v>6.0</v>
      </c>
      <c r="J442" s="186">
        <v>2026.0</v>
      </c>
      <c r="K442" s="187"/>
      <c r="L442" s="187">
        <v>5.0</v>
      </c>
      <c r="M442" s="27">
        <v>1.0</v>
      </c>
      <c r="N442" s="187">
        <f t="shared" si="15"/>
        <v>5</v>
      </c>
      <c r="O442" s="58"/>
      <c r="P442" s="74"/>
      <c r="Q442" s="74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</row>
    <row r="443" ht="15.75" customHeight="1">
      <c r="A443" s="74" t="s">
        <v>178</v>
      </c>
      <c r="B443" s="27" t="s">
        <v>311</v>
      </c>
      <c r="C443" s="183"/>
      <c r="D443" s="74" t="s">
        <v>245</v>
      </c>
      <c r="E443" s="184">
        <v>46177.0</v>
      </c>
      <c r="F443" s="185">
        <f t="shared" si="1"/>
        <v>4</v>
      </c>
      <c r="G443" s="185">
        <f t="shared" si="2"/>
        <v>6</v>
      </c>
      <c r="H443" s="185">
        <f t="shared" si="3"/>
        <v>2026</v>
      </c>
      <c r="I443" s="186">
        <v>6.0</v>
      </c>
      <c r="J443" s="186">
        <v>2026.0</v>
      </c>
      <c r="K443" s="187"/>
      <c r="L443" s="187">
        <v>460.0</v>
      </c>
      <c r="M443" s="27">
        <v>1.0</v>
      </c>
      <c r="N443" s="187">
        <f t="shared" si="15"/>
        <v>460</v>
      </c>
      <c r="O443" s="58"/>
      <c r="P443" s="74"/>
      <c r="Q443" s="74" t="s">
        <v>704</v>
      </c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</row>
    <row r="444" ht="15.75" customHeight="1">
      <c r="A444" s="74" t="s">
        <v>178</v>
      </c>
      <c r="B444" s="27" t="s">
        <v>310</v>
      </c>
      <c r="C444" s="183"/>
      <c r="D444" s="74" t="s">
        <v>245</v>
      </c>
      <c r="E444" s="184">
        <v>46177.0</v>
      </c>
      <c r="F444" s="185">
        <f t="shared" si="1"/>
        <v>4</v>
      </c>
      <c r="G444" s="185">
        <f t="shared" si="2"/>
        <v>6</v>
      </c>
      <c r="H444" s="185">
        <f t="shared" si="3"/>
        <v>2026</v>
      </c>
      <c r="I444" s="186">
        <v>6.0</v>
      </c>
      <c r="J444" s="186">
        <v>2026.0</v>
      </c>
      <c r="K444" s="187"/>
      <c r="L444" s="187">
        <v>370.0</v>
      </c>
      <c r="M444" s="27">
        <v>1.0</v>
      </c>
      <c r="N444" s="187">
        <f t="shared" si="15"/>
        <v>370</v>
      </c>
      <c r="O444" s="58"/>
      <c r="P444" s="74"/>
      <c r="Q444" s="74" t="s">
        <v>769</v>
      </c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</row>
    <row r="445" ht="15.75" customHeight="1">
      <c r="A445" s="74" t="s">
        <v>153</v>
      </c>
      <c r="B445" s="27" t="s">
        <v>315</v>
      </c>
      <c r="C445" s="183"/>
      <c r="D445" s="74" t="s">
        <v>245</v>
      </c>
      <c r="E445" s="184">
        <v>46178.0</v>
      </c>
      <c r="F445" s="185">
        <f t="shared" si="1"/>
        <v>5</v>
      </c>
      <c r="G445" s="185">
        <f t="shared" si="2"/>
        <v>6</v>
      </c>
      <c r="H445" s="185">
        <f t="shared" si="3"/>
        <v>2026</v>
      </c>
      <c r="I445" s="186">
        <v>6.0</v>
      </c>
      <c r="J445" s="186">
        <v>2026.0</v>
      </c>
      <c r="K445" s="187"/>
      <c r="L445" s="187">
        <v>6.0</v>
      </c>
      <c r="M445" s="27">
        <v>1.0</v>
      </c>
      <c r="N445" s="187">
        <f t="shared" si="15"/>
        <v>6</v>
      </c>
      <c r="O445" s="58"/>
      <c r="P445" s="74"/>
      <c r="Q445" s="74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</row>
    <row r="446" ht="15.75" customHeight="1">
      <c r="A446" s="74" t="s">
        <v>22</v>
      </c>
      <c r="B446" s="27" t="s">
        <v>342</v>
      </c>
      <c r="C446" s="183"/>
      <c r="D446" s="74" t="s">
        <v>5</v>
      </c>
      <c r="E446" s="184">
        <v>46179.0</v>
      </c>
      <c r="F446" s="185">
        <f t="shared" si="1"/>
        <v>6</v>
      </c>
      <c r="G446" s="185">
        <f t="shared" si="2"/>
        <v>6</v>
      </c>
      <c r="H446" s="185">
        <f t="shared" si="3"/>
        <v>2026</v>
      </c>
      <c r="I446" s="186">
        <f t="shared" ref="I446:J446" si="16">G446</f>
        <v>6</v>
      </c>
      <c r="J446" s="186">
        <f t="shared" si="16"/>
        <v>2026</v>
      </c>
      <c r="K446" s="187"/>
      <c r="L446" s="187">
        <v>180.0</v>
      </c>
      <c r="M446" s="27">
        <v>1.0</v>
      </c>
      <c r="N446" s="187">
        <f t="shared" ref="N446:N447" si="18">M446*L446</f>
        <v>180</v>
      </c>
      <c r="O446" s="58"/>
      <c r="P446" s="74" t="s">
        <v>18</v>
      </c>
      <c r="Q446" s="74" t="s">
        <v>721</v>
      </c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</row>
    <row r="447" ht="15.75" customHeight="1">
      <c r="A447" s="74" t="s">
        <v>22</v>
      </c>
      <c r="B447" s="27" t="s">
        <v>342</v>
      </c>
      <c r="C447" s="183"/>
      <c r="D447" s="74" t="s">
        <v>5</v>
      </c>
      <c r="E447" s="184">
        <v>46179.0</v>
      </c>
      <c r="F447" s="185">
        <f t="shared" si="1"/>
        <v>6</v>
      </c>
      <c r="G447" s="185">
        <f t="shared" si="2"/>
        <v>6</v>
      </c>
      <c r="H447" s="185">
        <f t="shared" si="3"/>
        <v>2026</v>
      </c>
      <c r="I447" s="186">
        <f t="shared" ref="I447:J447" si="17">G447</f>
        <v>6</v>
      </c>
      <c r="J447" s="186">
        <f t="shared" si="17"/>
        <v>2026</v>
      </c>
      <c r="K447" s="187"/>
      <c r="L447" s="187">
        <v>150.0</v>
      </c>
      <c r="M447" s="27">
        <v>1.0</v>
      </c>
      <c r="N447" s="187">
        <f t="shared" si="18"/>
        <v>150</v>
      </c>
      <c r="O447" s="58"/>
      <c r="P447" s="74" t="s">
        <v>18</v>
      </c>
      <c r="Q447" s="74" t="s">
        <v>771</v>
      </c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</row>
    <row r="448" ht="15.75" customHeight="1">
      <c r="A448" s="74" t="s">
        <v>253</v>
      </c>
      <c r="B448" s="27" t="s">
        <v>266</v>
      </c>
      <c r="C448" s="183"/>
      <c r="D448" s="74" t="s">
        <v>245</v>
      </c>
      <c r="E448" s="184">
        <v>46180.0</v>
      </c>
      <c r="F448" s="185">
        <f t="shared" si="1"/>
        <v>7</v>
      </c>
      <c r="G448" s="185">
        <f t="shared" si="2"/>
        <v>6</v>
      </c>
      <c r="H448" s="185">
        <f t="shared" si="3"/>
        <v>2026</v>
      </c>
      <c r="I448" s="186">
        <v>6.0</v>
      </c>
      <c r="J448" s="186">
        <v>2026.0</v>
      </c>
      <c r="K448" s="187"/>
      <c r="L448" s="187">
        <v>500.0</v>
      </c>
      <c r="M448" s="27">
        <v>1.0</v>
      </c>
      <c r="N448" s="187">
        <f t="shared" ref="N448:N468" si="19">L448*M448</f>
        <v>500</v>
      </c>
      <c r="O448" s="58"/>
      <c r="P448" s="74" t="s">
        <v>772</v>
      </c>
      <c r="Q448" s="74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</row>
    <row r="449" ht="15.75" customHeight="1">
      <c r="A449" s="74" t="s">
        <v>151</v>
      </c>
      <c r="B449" s="27" t="s">
        <v>173</v>
      </c>
      <c r="C449" s="183"/>
      <c r="D449" s="74" t="s">
        <v>245</v>
      </c>
      <c r="E449" s="184">
        <v>46180.0</v>
      </c>
      <c r="F449" s="185">
        <f t="shared" si="1"/>
        <v>7</v>
      </c>
      <c r="G449" s="185">
        <f t="shared" si="2"/>
        <v>6</v>
      </c>
      <c r="H449" s="185">
        <f t="shared" si="3"/>
        <v>2026</v>
      </c>
      <c r="I449" s="186">
        <v>6.0</v>
      </c>
      <c r="J449" s="186">
        <v>2026.0</v>
      </c>
      <c r="K449" s="187"/>
      <c r="L449" s="187">
        <v>2.99</v>
      </c>
      <c r="M449" s="27">
        <v>3.0</v>
      </c>
      <c r="N449" s="187">
        <f t="shared" si="19"/>
        <v>8.97</v>
      </c>
      <c r="O449" s="58"/>
      <c r="P449" s="74" t="s">
        <v>773</v>
      </c>
      <c r="Q449" s="74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</row>
    <row r="450" ht="15.75" customHeight="1">
      <c r="A450" s="74" t="s">
        <v>106</v>
      </c>
      <c r="B450" s="27" t="s">
        <v>94</v>
      </c>
      <c r="C450" s="183"/>
      <c r="D450" s="74" t="s">
        <v>2</v>
      </c>
      <c r="E450" s="184">
        <v>46182.0</v>
      </c>
      <c r="F450" s="185">
        <f t="shared" si="1"/>
        <v>9</v>
      </c>
      <c r="G450" s="185">
        <f t="shared" si="2"/>
        <v>6</v>
      </c>
      <c r="H450" s="185">
        <f t="shared" si="3"/>
        <v>2026</v>
      </c>
      <c r="I450" s="186">
        <v>6.0</v>
      </c>
      <c r="J450" s="186">
        <v>2026.0</v>
      </c>
      <c r="K450" s="187"/>
      <c r="L450" s="187">
        <v>285.85</v>
      </c>
      <c r="M450" s="27">
        <v>1.0</v>
      </c>
      <c r="N450" s="187">
        <f t="shared" si="19"/>
        <v>285.85</v>
      </c>
      <c r="O450" s="58"/>
      <c r="P450" s="74"/>
      <c r="Q450" s="74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</row>
    <row r="451" ht="15.75" customHeight="1">
      <c r="A451" s="74" t="s">
        <v>167</v>
      </c>
      <c r="B451" s="27" t="s">
        <v>32</v>
      </c>
      <c r="C451" s="183"/>
      <c r="D451" s="74" t="s">
        <v>2</v>
      </c>
      <c r="E451" s="184">
        <v>46182.0</v>
      </c>
      <c r="F451" s="185">
        <f t="shared" si="1"/>
        <v>9</v>
      </c>
      <c r="G451" s="185">
        <f t="shared" si="2"/>
        <v>6</v>
      </c>
      <c r="H451" s="185">
        <f t="shared" si="3"/>
        <v>2026</v>
      </c>
      <c r="I451" s="186">
        <v>6.0</v>
      </c>
      <c r="J451" s="186">
        <v>2026.0</v>
      </c>
      <c r="K451" s="187"/>
      <c r="L451" s="187">
        <v>115.0</v>
      </c>
      <c r="M451" s="27">
        <v>1.0</v>
      </c>
      <c r="N451" s="187">
        <f t="shared" si="19"/>
        <v>115</v>
      </c>
      <c r="O451" s="58"/>
      <c r="P451" s="74"/>
      <c r="Q451" s="74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</row>
    <row r="452" ht="15.75" customHeight="1">
      <c r="A452" s="74" t="s">
        <v>172</v>
      </c>
      <c r="B452" s="27" t="s">
        <v>290</v>
      </c>
      <c r="C452" s="183"/>
      <c r="D452" s="74" t="s">
        <v>2</v>
      </c>
      <c r="E452" s="184">
        <v>46182.0</v>
      </c>
      <c r="F452" s="185">
        <f t="shared" si="1"/>
        <v>9</v>
      </c>
      <c r="G452" s="185">
        <f t="shared" si="2"/>
        <v>6</v>
      </c>
      <c r="H452" s="185">
        <f t="shared" si="3"/>
        <v>2026</v>
      </c>
      <c r="I452" s="186">
        <v>6.0</v>
      </c>
      <c r="J452" s="186">
        <v>2026.0</v>
      </c>
      <c r="K452" s="187"/>
      <c r="L452" s="187">
        <v>18.6</v>
      </c>
      <c r="M452" s="27">
        <v>4.0</v>
      </c>
      <c r="N452" s="187">
        <f t="shared" si="19"/>
        <v>74.4</v>
      </c>
      <c r="O452" s="58"/>
      <c r="P452" s="74" t="s">
        <v>774</v>
      </c>
      <c r="Q452" s="74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</row>
    <row r="453" ht="15.75" customHeight="1">
      <c r="A453" s="74" t="s">
        <v>172</v>
      </c>
      <c r="B453" s="27" t="s">
        <v>291</v>
      </c>
      <c r="C453" s="183"/>
      <c r="D453" s="74" t="s">
        <v>2</v>
      </c>
      <c r="E453" s="184">
        <v>46182.0</v>
      </c>
      <c r="F453" s="185">
        <f t="shared" si="1"/>
        <v>9</v>
      </c>
      <c r="G453" s="185">
        <f t="shared" si="2"/>
        <v>6</v>
      </c>
      <c r="H453" s="185">
        <f t="shared" si="3"/>
        <v>2026</v>
      </c>
      <c r="I453" s="186">
        <v>6.0</v>
      </c>
      <c r="J453" s="186">
        <v>2026.0</v>
      </c>
      <c r="K453" s="187"/>
      <c r="L453" s="187">
        <v>21.4</v>
      </c>
      <c r="M453" s="27">
        <v>2.0</v>
      </c>
      <c r="N453" s="187">
        <f t="shared" si="19"/>
        <v>42.8</v>
      </c>
      <c r="O453" s="58"/>
      <c r="P453" s="74" t="s">
        <v>774</v>
      </c>
      <c r="Q453" s="74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</row>
    <row r="454" ht="15.75" customHeight="1">
      <c r="A454" s="74" t="s">
        <v>172</v>
      </c>
      <c r="B454" s="27" t="s">
        <v>281</v>
      </c>
      <c r="C454" s="183"/>
      <c r="D454" s="74" t="s">
        <v>2</v>
      </c>
      <c r="E454" s="184">
        <v>46182.0</v>
      </c>
      <c r="F454" s="185">
        <f t="shared" si="1"/>
        <v>9</v>
      </c>
      <c r="G454" s="185">
        <f t="shared" si="2"/>
        <v>6</v>
      </c>
      <c r="H454" s="185">
        <f t="shared" si="3"/>
        <v>2026</v>
      </c>
      <c r="I454" s="186">
        <v>6.0</v>
      </c>
      <c r="J454" s="186">
        <v>2026.0</v>
      </c>
      <c r="K454" s="187"/>
      <c r="L454" s="187">
        <v>42.63</v>
      </c>
      <c r="M454" s="27">
        <v>1.0</v>
      </c>
      <c r="N454" s="187">
        <f t="shared" si="19"/>
        <v>42.63</v>
      </c>
      <c r="O454" s="58"/>
      <c r="P454" s="74" t="s">
        <v>774</v>
      </c>
      <c r="Q454" s="74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</row>
    <row r="455" ht="15.75" customHeight="1">
      <c r="A455" s="74" t="s">
        <v>172</v>
      </c>
      <c r="B455" s="27" t="s">
        <v>291</v>
      </c>
      <c r="C455" s="183"/>
      <c r="D455" s="74" t="s">
        <v>2</v>
      </c>
      <c r="E455" s="184">
        <v>46182.0</v>
      </c>
      <c r="F455" s="185">
        <f t="shared" si="1"/>
        <v>9</v>
      </c>
      <c r="G455" s="185">
        <f t="shared" si="2"/>
        <v>6</v>
      </c>
      <c r="H455" s="185">
        <f t="shared" si="3"/>
        <v>2026</v>
      </c>
      <c r="I455" s="186">
        <v>6.0</v>
      </c>
      <c r="J455" s="186">
        <v>2026.0</v>
      </c>
      <c r="K455" s="187"/>
      <c r="L455" s="187">
        <v>20.6</v>
      </c>
      <c r="M455" s="27">
        <v>1.0</v>
      </c>
      <c r="N455" s="187">
        <f t="shared" si="19"/>
        <v>20.6</v>
      </c>
      <c r="O455" s="58"/>
      <c r="P455" s="74" t="s">
        <v>774</v>
      </c>
      <c r="Q455" s="74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</row>
    <row r="456" ht="15.75" customHeight="1">
      <c r="A456" s="74" t="s">
        <v>22</v>
      </c>
      <c r="B456" s="27" t="s">
        <v>27</v>
      </c>
      <c r="C456" s="183"/>
      <c r="D456" s="74" t="s">
        <v>2</v>
      </c>
      <c r="E456" s="184">
        <v>46182.0</v>
      </c>
      <c r="F456" s="185">
        <f t="shared" si="1"/>
        <v>9</v>
      </c>
      <c r="G456" s="185">
        <f t="shared" si="2"/>
        <v>6</v>
      </c>
      <c r="H456" s="185">
        <f t="shared" si="3"/>
        <v>2026</v>
      </c>
      <c r="I456" s="186">
        <v>6.0</v>
      </c>
      <c r="J456" s="186">
        <v>2026.0</v>
      </c>
      <c r="K456" s="187"/>
      <c r="L456" s="187">
        <v>54.75</v>
      </c>
      <c r="M456" s="27">
        <v>1.0</v>
      </c>
      <c r="N456" s="187">
        <f t="shared" si="19"/>
        <v>54.75</v>
      </c>
      <c r="O456" s="58"/>
      <c r="P456" s="74"/>
      <c r="Q456" s="74" t="s">
        <v>775</v>
      </c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</row>
    <row r="457" ht="15.75" customHeight="1">
      <c r="A457" s="74" t="s">
        <v>172</v>
      </c>
      <c r="B457" s="27" t="s">
        <v>288</v>
      </c>
      <c r="C457" s="183"/>
      <c r="D457" s="74" t="s">
        <v>2</v>
      </c>
      <c r="E457" s="184">
        <v>46182.0</v>
      </c>
      <c r="F457" s="185">
        <f t="shared" si="1"/>
        <v>9</v>
      </c>
      <c r="G457" s="185">
        <f t="shared" si="2"/>
        <v>6</v>
      </c>
      <c r="H457" s="185">
        <f t="shared" si="3"/>
        <v>2026</v>
      </c>
      <c r="I457" s="186">
        <v>6.0</v>
      </c>
      <c r="J457" s="186">
        <v>2026.0</v>
      </c>
      <c r="K457" s="187"/>
      <c r="L457" s="187">
        <v>17.95</v>
      </c>
      <c r="M457" s="27">
        <v>1.0</v>
      </c>
      <c r="N457" s="187">
        <f t="shared" si="19"/>
        <v>17.95</v>
      </c>
      <c r="O457" s="58"/>
      <c r="P457" s="74" t="s">
        <v>774</v>
      </c>
      <c r="Q457" s="74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</row>
    <row r="458" ht="15.75" customHeight="1">
      <c r="A458" s="74" t="s">
        <v>172</v>
      </c>
      <c r="B458" s="27" t="s">
        <v>280</v>
      </c>
      <c r="C458" s="183"/>
      <c r="D458" s="74" t="s">
        <v>2</v>
      </c>
      <c r="E458" s="184">
        <v>46182.0</v>
      </c>
      <c r="F458" s="185">
        <f t="shared" si="1"/>
        <v>9</v>
      </c>
      <c r="G458" s="185">
        <f t="shared" si="2"/>
        <v>6</v>
      </c>
      <c r="H458" s="185">
        <f t="shared" si="3"/>
        <v>2026</v>
      </c>
      <c r="I458" s="186">
        <v>6.0</v>
      </c>
      <c r="J458" s="186">
        <v>2026.0</v>
      </c>
      <c r="K458" s="187"/>
      <c r="L458" s="187">
        <v>15.6</v>
      </c>
      <c r="M458" s="27">
        <v>1.0</v>
      </c>
      <c r="N458" s="187">
        <f t="shared" si="19"/>
        <v>15.6</v>
      </c>
      <c r="O458" s="58"/>
      <c r="P458" s="74" t="s">
        <v>774</v>
      </c>
      <c r="Q458" s="74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</row>
    <row r="459" ht="15.75" customHeight="1">
      <c r="A459" s="74" t="s">
        <v>172</v>
      </c>
      <c r="B459" s="27" t="s">
        <v>293</v>
      </c>
      <c r="C459" s="183"/>
      <c r="D459" s="74" t="s">
        <v>2</v>
      </c>
      <c r="E459" s="184">
        <v>46182.0</v>
      </c>
      <c r="F459" s="185">
        <f t="shared" si="1"/>
        <v>9</v>
      </c>
      <c r="G459" s="185">
        <f t="shared" si="2"/>
        <v>6</v>
      </c>
      <c r="H459" s="185">
        <f t="shared" si="3"/>
        <v>2026</v>
      </c>
      <c r="I459" s="186">
        <v>6.0</v>
      </c>
      <c r="J459" s="186">
        <v>2026.0</v>
      </c>
      <c r="K459" s="187"/>
      <c r="L459" s="187">
        <v>1.4</v>
      </c>
      <c r="M459" s="27">
        <v>10.0</v>
      </c>
      <c r="N459" s="187">
        <f t="shared" si="19"/>
        <v>14</v>
      </c>
      <c r="O459" s="58"/>
      <c r="P459" s="74" t="s">
        <v>774</v>
      </c>
      <c r="Q459" s="74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</row>
    <row r="460" ht="15.75" customHeight="1">
      <c r="A460" s="74" t="s">
        <v>136</v>
      </c>
      <c r="B460" s="27" t="s">
        <v>38</v>
      </c>
      <c r="C460" s="183"/>
      <c r="D460" s="74" t="s">
        <v>2</v>
      </c>
      <c r="E460" s="184">
        <v>46182.0</v>
      </c>
      <c r="F460" s="185">
        <f t="shared" si="1"/>
        <v>9</v>
      </c>
      <c r="G460" s="185">
        <f t="shared" si="2"/>
        <v>6</v>
      </c>
      <c r="H460" s="185">
        <f t="shared" si="3"/>
        <v>2026</v>
      </c>
      <c r="I460" s="186">
        <v>6.0</v>
      </c>
      <c r="J460" s="186">
        <v>2026.0</v>
      </c>
      <c r="K460" s="187"/>
      <c r="L460" s="187">
        <f>4.99+0.2</f>
        <v>5.19</v>
      </c>
      <c r="M460" s="27">
        <v>1.0</v>
      </c>
      <c r="N460" s="187">
        <f t="shared" si="19"/>
        <v>5.19</v>
      </c>
      <c r="O460" s="58"/>
      <c r="P460" s="74"/>
      <c r="Q460" s="74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</row>
    <row r="461" ht="15.75" customHeight="1">
      <c r="A461" s="74" t="s">
        <v>151</v>
      </c>
      <c r="B461" s="27" t="s">
        <v>193</v>
      </c>
      <c r="C461" s="183"/>
      <c r="D461" s="74" t="s">
        <v>245</v>
      </c>
      <c r="E461" s="184">
        <v>46182.0</v>
      </c>
      <c r="F461" s="185">
        <f t="shared" si="1"/>
        <v>9</v>
      </c>
      <c r="G461" s="185">
        <f t="shared" si="2"/>
        <v>6</v>
      </c>
      <c r="H461" s="185">
        <f t="shared" si="3"/>
        <v>2026</v>
      </c>
      <c r="I461" s="186">
        <v>6.0</v>
      </c>
      <c r="J461" s="186">
        <v>2026.0</v>
      </c>
      <c r="K461" s="187"/>
      <c r="L461" s="187">
        <v>0.94</v>
      </c>
      <c r="M461" s="27">
        <v>4.0</v>
      </c>
      <c r="N461" s="187">
        <f t="shared" si="19"/>
        <v>3.76</v>
      </c>
      <c r="O461" s="58"/>
      <c r="P461" s="74"/>
      <c r="Q461" s="74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</row>
    <row r="462" ht="15.75" customHeight="1">
      <c r="A462" s="74" t="s">
        <v>334</v>
      </c>
      <c r="B462" s="27" t="s">
        <v>43</v>
      </c>
      <c r="C462" s="183"/>
      <c r="D462" s="74" t="s">
        <v>2</v>
      </c>
      <c r="E462" s="184">
        <v>46182.0</v>
      </c>
      <c r="F462" s="185">
        <f t="shared" si="1"/>
        <v>9</v>
      </c>
      <c r="G462" s="185">
        <f t="shared" si="2"/>
        <v>6</v>
      </c>
      <c r="H462" s="185">
        <f t="shared" si="3"/>
        <v>2026</v>
      </c>
      <c r="I462" s="186">
        <v>6.0</v>
      </c>
      <c r="J462" s="186">
        <v>2026.0</v>
      </c>
      <c r="K462" s="187"/>
      <c r="L462" s="187">
        <v>2000.0</v>
      </c>
      <c r="M462" s="27">
        <v>1.0</v>
      </c>
      <c r="N462" s="187">
        <f t="shared" si="19"/>
        <v>2000</v>
      </c>
      <c r="O462" s="58"/>
      <c r="P462" s="74"/>
      <c r="Q462" s="74" t="s">
        <v>777</v>
      </c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</row>
    <row r="463" ht="15.75" customHeight="1">
      <c r="A463" s="74" t="s">
        <v>151</v>
      </c>
      <c r="B463" s="27" t="s">
        <v>146</v>
      </c>
      <c r="C463" s="183"/>
      <c r="D463" s="74" t="s">
        <v>2</v>
      </c>
      <c r="E463" s="184">
        <v>46183.0</v>
      </c>
      <c r="F463" s="185">
        <f t="shared" si="1"/>
        <v>10</v>
      </c>
      <c r="G463" s="185">
        <f t="shared" si="2"/>
        <v>6</v>
      </c>
      <c r="H463" s="185">
        <f t="shared" si="3"/>
        <v>2026</v>
      </c>
      <c r="I463" s="186">
        <v>6.0</v>
      </c>
      <c r="J463" s="186">
        <v>2026.0</v>
      </c>
      <c r="K463" s="187"/>
      <c r="L463" s="187">
        <v>2.95</v>
      </c>
      <c r="M463" s="27">
        <v>27.0</v>
      </c>
      <c r="N463" s="187">
        <f t="shared" si="19"/>
        <v>79.65</v>
      </c>
      <c r="O463" s="58"/>
      <c r="P463" s="74" t="s">
        <v>778</v>
      </c>
      <c r="Q463" s="74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</row>
    <row r="464" ht="15.75" customHeight="1">
      <c r="A464" s="74" t="s">
        <v>151</v>
      </c>
      <c r="B464" s="27" t="s">
        <v>185</v>
      </c>
      <c r="C464" s="183"/>
      <c r="D464" s="74" t="s">
        <v>2</v>
      </c>
      <c r="E464" s="184">
        <v>46183.0</v>
      </c>
      <c r="F464" s="185">
        <f t="shared" si="1"/>
        <v>10</v>
      </c>
      <c r="G464" s="185">
        <f t="shared" si="2"/>
        <v>6</v>
      </c>
      <c r="H464" s="185">
        <f t="shared" si="3"/>
        <v>2026</v>
      </c>
      <c r="I464" s="186">
        <v>6.0</v>
      </c>
      <c r="J464" s="186">
        <v>2026.0</v>
      </c>
      <c r="K464" s="187"/>
      <c r="L464" s="187">
        <v>0.86</v>
      </c>
      <c r="M464" s="27">
        <v>90.0</v>
      </c>
      <c r="N464" s="187">
        <f t="shared" si="19"/>
        <v>77.4</v>
      </c>
      <c r="O464" s="58"/>
      <c r="P464" s="74" t="s">
        <v>778</v>
      </c>
      <c r="Q464" s="74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</row>
    <row r="465" ht="15.75" customHeight="1">
      <c r="A465" s="74" t="s">
        <v>151</v>
      </c>
      <c r="B465" s="27" t="s">
        <v>184</v>
      </c>
      <c r="C465" s="183"/>
      <c r="D465" s="74" t="s">
        <v>2</v>
      </c>
      <c r="E465" s="184">
        <v>46183.0</v>
      </c>
      <c r="F465" s="185">
        <f t="shared" si="1"/>
        <v>10</v>
      </c>
      <c r="G465" s="185">
        <f t="shared" si="2"/>
        <v>6</v>
      </c>
      <c r="H465" s="185">
        <f t="shared" si="3"/>
        <v>2026</v>
      </c>
      <c r="I465" s="186">
        <v>6.0</v>
      </c>
      <c r="J465" s="186">
        <v>2026.0</v>
      </c>
      <c r="K465" s="187"/>
      <c r="L465" s="187">
        <v>1.65</v>
      </c>
      <c r="M465" s="27">
        <v>24.0</v>
      </c>
      <c r="N465" s="187">
        <f t="shared" si="19"/>
        <v>39.6</v>
      </c>
      <c r="O465" s="58"/>
      <c r="P465" s="74" t="s">
        <v>778</v>
      </c>
      <c r="Q465" s="74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</row>
    <row r="466" ht="15.75" customHeight="1">
      <c r="A466" s="74" t="s">
        <v>151</v>
      </c>
      <c r="B466" s="27" t="s">
        <v>184</v>
      </c>
      <c r="C466" s="183"/>
      <c r="D466" s="74" t="s">
        <v>2</v>
      </c>
      <c r="E466" s="184">
        <v>46183.0</v>
      </c>
      <c r="F466" s="185">
        <f t="shared" si="1"/>
        <v>10</v>
      </c>
      <c r="G466" s="185">
        <f t="shared" si="2"/>
        <v>6</v>
      </c>
      <c r="H466" s="185">
        <f t="shared" si="3"/>
        <v>2026</v>
      </c>
      <c r="I466" s="186">
        <v>6.0</v>
      </c>
      <c r="J466" s="186">
        <v>2026.0</v>
      </c>
      <c r="K466" s="187"/>
      <c r="L466" s="187">
        <v>1.99</v>
      </c>
      <c r="M466" s="27">
        <v>19.0</v>
      </c>
      <c r="N466" s="187">
        <f t="shared" si="19"/>
        <v>37.81</v>
      </c>
      <c r="O466" s="58"/>
      <c r="P466" s="74" t="s">
        <v>778</v>
      </c>
      <c r="Q466" s="74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</row>
    <row r="467" ht="15.75" customHeight="1">
      <c r="A467" s="74" t="s">
        <v>151</v>
      </c>
      <c r="B467" s="27" t="s">
        <v>181</v>
      </c>
      <c r="C467" s="183"/>
      <c r="D467" s="74" t="s">
        <v>2</v>
      </c>
      <c r="E467" s="184">
        <v>46183.0</v>
      </c>
      <c r="F467" s="185">
        <f t="shared" si="1"/>
        <v>10</v>
      </c>
      <c r="G467" s="185">
        <f t="shared" si="2"/>
        <v>6</v>
      </c>
      <c r="H467" s="185">
        <f t="shared" si="3"/>
        <v>2026</v>
      </c>
      <c r="I467" s="186">
        <v>6.0</v>
      </c>
      <c r="J467" s="186">
        <v>2026.0</v>
      </c>
      <c r="K467" s="187"/>
      <c r="L467" s="187">
        <v>1.79</v>
      </c>
      <c r="M467" s="27">
        <v>20.0</v>
      </c>
      <c r="N467" s="187">
        <f t="shared" si="19"/>
        <v>35.8</v>
      </c>
      <c r="O467" s="58"/>
      <c r="P467" s="74" t="s">
        <v>778</v>
      </c>
      <c r="Q467" s="74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</row>
    <row r="468" ht="15.75" customHeight="1">
      <c r="A468" s="74" t="s">
        <v>151</v>
      </c>
      <c r="B468" s="27" t="s">
        <v>138</v>
      </c>
      <c r="C468" s="183"/>
      <c r="D468" s="74" t="s">
        <v>2</v>
      </c>
      <c r="E468" s="184">
        <v>46183.0</v>
      </c>
      <c r="F468" s="185">
        <f t="shared" si="1"/>
        <v>10</v>
      </c>
      <c r="G468" s="185">
        <f t="shared" si="2"/>
        <v>6</v>
      </c>
      <c r="H468" s="185">
        <f t="shared" si="3"/>
        <v>2026</v>
      </c>
      <c r="I468" s="186">
        <v>6.0</v>
      </c>
      <c r="J468" s="186">
        <v>2026.0</v>
      </c>
      <c r="K468" s="187"/>
      <c r="L468" s="187">
        <v>2.45</v>
      </c>
      <c r="M468" s="27">
        <v>12.0</v>
      </c>
      <c r="N468" s="187">
        <f t="shared" si="19"/>
        <v>29.4</v>
      </c>
      <c r="O468" s="58"/>
      <c r="P468" s="74" t="s">
        <v>778</v>
      </c>
      <c r="Q468" s="74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</row>
    <row r="469" ht="15.75" customHeight="1">
      <c r="A469" s="74" t="s">
        <v>22</v>
      </c>
      <c r="B469" s="27" t="s">
        <v>342</v>
      </c>
      <c r="C469" s="183"/>
      <c r="D469" s="74" t="s">
        <v>5</v>
      </c>
      <c r="E469" s="184">
        <v>46183.0</v>
      </c>
      <c r="F469" s="185">
        <f t="shared" si="1"/>
        <v>10</v>
      </c>
      <c r="G469" s="185">
        <f t="shared" si="2"/>
        <v>6</v>
      </c>
      <c r="H469" s="185">
        <f t="shared" si="3"/>
        <v>2026</v>
      </c>
      <c r="I469" s="186">
        <f t="shared" ref="I469:J469" si="20">G469</f>
        <v>6</v>
      </c>
      <c r="J469" s="186">
        <f t="shared" si="20"/>
        <v>2026</v>
      </c>
      <c r="K469" s="187"/>
      <c r="L469" s="187">
        <v>285.0</v>
      </c>
      <c r="M469" s="27">
        <v>1.0</v>
      </c>
      <c r="N469" s="187">
        <f>M469*L469</f>
        <v>285</v>
      </c>
      <c r="O469" s="58"/>
      <c r="P469" s="74" t="s">
        <v>19</v>
      </c>
      <c r="Q469" s="74" t="s">
        <v>780</v>
      </c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</row>
    <row r="470" ht="15.75" customHeight="1">
      <c r="A470" s="74" t="s">
        <v>151</v>
      </c>
      <c r="B470" s="27" t="s">
        <v>191</v>
      </c>
      <c r="C470" s="183"/>
      <c r="D470" s="74" t="s">
        <v>2</v>
      </c>
      <c r="E470" s="184">
        <v>46183.0</v>
      </c>
      <c r="F470" s="185">
        <f t="shared" si="1"/>
        <v>10</v>
      </c>
      <c r="G470" s="185">
        <f t="shared" si="2"/>
        <v>6</v>
      </c>
      <c r="H470" s="185">
        <f t="shared" si="3"/>
        <v>2026</v>
      </c>
      <c r="I470" s="186">
        <v>6.0</v>
      </c>
      <c r="J470" s="186">
        <v>2026.0</v>
      </c>
      <c r="K470" s="187"/>
      <c r="L470" s="187">
        <v>1.49</v>
      </c>
      <c r="M470" s="27">
        <v>10.0</v>
      </c>
      <c r="N470" s="187">
        <f t="shared" ref="N470:N484" si="21">L470*M470</f>
        <v>14.9</v>
      </c>
      <c r="O470" s="58"/>
      <c r="P470" s="74" t="s">
        <v>778</v>
      </c>
      <c r="Q470" s="74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</row>
    <row r="471" ht="15.75" customHeight="1">
      <c r="A471" s="74" t="s">
        <v>154</v>
      </c>
      <c r="B471" s="27" t="s">
        <v>246</v>
      </c>
      <c r="C471" s="183"/>
      <c r="D471" s="74" t="s">
        <v>2</v>
      </c>
      <c r="E471" s="184">
        <v>46183.0</v>
      </c>
      <c r="F471" s="185">
        <f t="shared" si="1"/>
        <v>10</v>
      </c>
      <c r="G471" s="185">
        <f t="shared" si="2"/>
        <v>6</v>
      </c>
      <c r="H471" s="185">
        <f t="shared" si="3"/>
        <v>2026</v>
      </c>
      <c r="I471" s="186">
        <v>6.0</v>
      </c>
      <c r="J471" s="186">
        <v>2026.0</v>
      </c>
      <c r="K471" s="187"/>
      <c r="L471" s="187">
        <v>1.49</v>
      </c>
      <c r="M471" s="27">
        <v>8.0</v>
      </c>
      <c r="N471" s="187">
        <f t="shared" si="21"/>
        <v>11.92</v>
      </c>
      <c r="O471" s="58"/>
      <c r="P471" s="74" t="s">
        <v>778</v>
      </c>
      <c r="Q471" s="74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</row>
    <row r="472" ht="15.75" customHeight="1">
      <c r="A472" s="74" t="s">
        <v>151</v>
      </c>
      <c r="B472" s="27" t="s">
        <v>193</v>
      </c>
      <c r="C472" s="183"/>
      <c r="D472" s="74" t="s">
        <v>2</v>
      </c>
      <c r="E472" s="184">
        <v>46183.0</v>
      </c>
      <c r="F472" s="185">
        <f t="shared" si="1"/>
        <v>10</v>
      </c>
      <c r="G472" s="185">
        <f t="shared" si="2"/>
        <v>6</v>
      </c>
      <c r="H472" s="185">
        <f t="shared" si="3"/>
        <v>2026</v>
      </c>
      <c r="I472" s="186">
        <v>6.0</v>
      </c>
      <c r="J472" s="186">
        <v>2026.0</v>
      </c>
      <c r="K472" s="187"/>
      <c r="L472" s="187">
        <v>0.79</v>
      </c>
      <c r="M472" s="27">
        <v>12.0</v>
      </c>
      <c r="N472" s="187">
        <f t="shared" si="21"/>
        <v>9.48</v>
      </c>
      <c r="O472" s="58"/>
      <c r="P472" s="74" t="s">
        <v>778</v>
      </c>
      <c r="Q472" s="74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</row>
    <row r="473" ht="15.75" customHeight="1">
      <c r="A473" s="74" t="s">
        <v>154</v>
      </c>
      <c r="B473" s="27" t="s">
        <v>246</v>
      </c>
      <c r="C473" s="183"/>
      <c r="D473" s="74" t="s">
        <v>2</v>
      </c>
      <c r="E473" s="184">
        <v>46183.0</v>
      </c>
      <c r="F473" s="185">
        <f t="shared" si="1"/>
        <v>10</v>
      </c>
      <c r="G473" s="185">
        <f t="shared" si="2"/>
        <v>6</v>
      </c>
      <c r="H473" s="185">
        <f t="shared" si="3"/>
        <v>2026</v>
      </c>
      <c r="I473" s="186">
        <v>6.0</v>
      </c>
      <c r="J473" s="186">
        <v>2026.0</v>
      </c>
      <c r="K473" s="187"/>
      <c r="L473" s="187">
        <v>1.15</v>
      </c>
      <c r="M473" s="27">
        <v>8.0</v>
      </c>
      <c r="N473" s="187">
        <f t="shared" si="21"/>
        <v>9.2</v>
      </c>
      <c r="O473" s="58"/>
      <c r="P473" s="74" t="s">
        <v>778</v>
      </c>
      <c r="Q473" s="74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</row>
    <row r="474" ht="15.75" customHeight="1">
      <c r="A474" s="74" t="s">
        <v>154</v>
      </c>
      <c r="B474" s="27" t="s">
        <v>246</v>
      </c>
      <c r="C474" s="183"/>
      <c r="D474" s="74" t="s">
        <v>2</v>
      </c>
      <c r="E474" s="184">
        <v>46183.0</v>
      </c>
      <c r="F474" s="185">
        <f t="shared" si="1"/>
        <v>10</v>
      </c>
      <c r="G474" s="185">
        <f t="shared" si="2"/>
        <v>6</v>
      </c>
      <c r="H474" s="185">
        <f t="shared" si="3"/>
        <v>2026</v>
      </c>
      <c r="I474" s="186">
        <v>6.0</v>
      </c>
      <c r="J474" s="186">
        <v>2026.0</v>
      </c>
      <c r="K474" s="187"/>
      <c r="L474" s="187">
        <v>0.99</v>
      </c>
      <c r="M474" s="27">
        <v>8.0</v>
      </c>
      <c r="N474" s="187">
        <f t="shared" si="21"/>
        <v>7.92</v>
      </c>
      <c r="O474" s="58"/>
      <c r="P474" s="74" t="s">
        <v>778</v>
      </c>
      <c r="Q474" s="74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</row>
    <row r="475" ht="15.75" customHeight="1">
      <c r="A475" s="74" t="s">
        <v>154</v>
      </c>
      <c r="B475" s="27" t="s">
        <v>241</v>
      </c>
      <c r="C475" s="183"/>
      <c r="D475" s="74" t="s">
        <v>2</v>
      </c>
      <c r="E475" s="184">
        <v>46183.0</v>
      </c>
      <c r="F475" s="185">
        <f t="shared" si="1"/>
        <v>10</v>
      </c>
      <c r="G475" s="185">
        <f t="shared" si="2"/>
        <v>6</v>
      </c>
      <c r="H475" s="185">
        <f t="shared" si="3"/>
        <v>2026</v>
      </c>
      <c r="I475" s="186">
        <v>6.0</v>
      </c>
      <c r="J475" s="186">
        <v>2026.0</v>
      </c>
      <c r="K475" s="187"/>
      <c r="L475" s="187">
        <v>1.79</v>
      </c>
      <c r="M475" s="27">
        <v>3.0</v>
      </c>
      <c r="N475" s="187">
        <f t="shared" si="21"/>
        <v>5.37</v>
      </c>
      <c r="O475" s="58"/>
      <c r="P475" s="74" t="s">
        <v>778</v>
      </c>
      <c r="Q475" s="74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</row>
    <row r="476" ht="15.75" customHeight="1">
      <c r="A476" s="74" t="s">
        <v>154</v>
      </c>
      <c r="B476" s="27" t="s">
        <v>241</v>
      </c>
      <c r="C476" s="183"/>
      <c r="D476" s="74" t="s">
        <v>2</v>
      </c>
      <c r="E476" s="184">
        <v>46183.0</v>
      </c>
      <c r="F476" s="185">
        <f t="shared" si="1"/>
        <v>10</v>
      </c>
      <c r="G476" s="185">
        <f t="shared" si="2"/>
        <v>6</v>
      </c>
      <c r="H476" s="185">
        <f t="shared" si="3"/>
        <v>2026</v>
      </c>
      <c r="I476" s="186">
        <v>6.0</v>
      </c>
      <c r="J476" s="186">
        <v>2026.0</v>
      </c>
      <c r="K476" s="187"/>
      <c r="L476" s="187">
        <v>1.79</v>
      </c>
      <c r="M476" s="27">
        <v>2.0</v>
      </c>
      <c r="N476" s="187">
        <f t="shared" si="21"/>
        <v>3.58</v>
      </c>
      <c r="O476" s="58"/>
      <c r="P476" s="74" t="s">
        <v>778</v>
      </c>
      <c r="Q476" s="74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</row>
    <row r="477" ht="15.75" customHeight="1">
      <c r="A477" s="74" t="s">
        <v>253</v>
      </c>
      <c r="B477" s="27" t="s">
        <v>266</v>
      </c>
      <c r="C477" s="183"/>
      <c r="D477" s="74" t="s">
        <v>245</v>
      </c>
      <c r="E477" s="184">
        <v>46184.0</v>
      </c>
      <c r="F477" s="185">
        <f t="shared" si="1"/>
        <v>11</v>
      </c>
      <c r="G477" s="185">
        <f t="shared" si="2"/>
        <v>6</v>
      </c>
      <c r="H477" s="185">
        <f t="shared" si="3"/>
        <v>2026</v>
      </c>
      <c r="I477" s="186">
        <v>6.0</v>
      </c>
      <c r="J477" s="186">
        <v>2026.0</v>
      </c>
      <c r="K477" s="187"/>
      <c r="L477" s="187">
        <v>500.0</v>
      </c>
      <c r="M477" s="27">
        <v>1.0</v>
      </c>
      <c r="N477" s="187">
        <f t="shared" si="21"/>
        <v>500</v>
      </c>
      <c r="O477" s="58"/>
      <c r="P477" s="74" t="s">
        <v>781</v>
      </c>
      <c r="Q477" s="74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</row>
    <row r="478" ht="15.75" customHeight="1">
      <c r="A478" s="74" t="s">
        <v>178</v>
      </c>
      <c r="B478" s="27" t="s">
        <v>311</v>
      </c>
      <c r="C478" s="183"/>
      <c r="D478" s="74" t="s">
        <v>5</v>
      </c>
      <c r="E478" s="184">
        <v>46184.0</v>
      </c>
      <c r="F478" s="185">
        <f t="shared" si="1"/>
        <v>11</v>
      </c>
      <c r="G478" s="185">
        <f t="shared" si="2"/>
        <v>6</v>
      </c>
      <c r="H478" s="185">
        <f t="shared" si="3"/>
        <v>2026</v>
      </c>
      <c r="I478" s="186">
        <v>6.0</v>
      </c>
      <c r="J478" s="186">
        <v>2026.0</v>
      </c>
      <c r="K478" s="187"/>
      <c r="L478" s="187">
        <v>500.0</v>
      </c>
      <c r="M478" s="27">
        <v>1.0</v>
      </c>
      <c r="N478" s="187">
        <f t="shared" si="21"/>
        <v>500</v>
      </c>
      <c r="O478" s="58"/>
      <c r="P478" s="74" t="s">
        <v>782</v>
      </c>
      <c r="Q478" s="74" t="s">
        <v>704</v>
      </c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</row>
    <row r="479" ht="15.75" customHeight="1">
      <c r="A479" s="74" t="s">
        <v>178</v>
      </c>
      <c r="B479" s="27" t="s">
        <v>310</v>
      </c>
      <c r="C479" s="183"/>
      <c r="D479" s="74" t="s">
        <v>5</v>
      </c>
      <c r="E479" s="184">
        <v>46184.0</v>
      </c>
      <c r="F479" s="185">
        <f t="shared" si="1"/>
        <v>11</v>
      </c>
      <c r="G479" s="185">
        <f t="shared" si="2"/>
        <v>6</v>
      </c>
      <c r="H479" s="185">
        <f t="shared" si="3"/>
        <v>2026</v>
      </c>
      <c r="I479" s="186">
        <v>6.0</v>
      </c>
      <c r="J479" s="186">
        <v>2026.0</v>
      </c>
      <c r="K479" s="187"/>
      <c r="L479" s="187">
        <v>380.0</v>
      </c>
      <c r="M479" s="27">
        <v>1.0</v>
      </c>
      <c r="N479" s="187">
        <f t="shared" si="21"/>
        <v>380</v>
      </c>
      <c r="O479" s="58"/>
      <c r="P479" s="74"/>
      <c r="Q479" s="74" t="s">
        <v>783</v>
      </c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</row>
    <row r="480" ht="15.75" customHeight="1">
      <c r="A480" s="74" t="s">
        <v>160</v>
      </c>
      <c r="B480" s="27" t="s">
        <v>39</v>
      </c>
      <c r="C480" s="183"/>
      <c r="D480" s="74" t="s">
        <v>2</v>
      </c>
      <c r="E480" s="184">
        <v>46184.0</v>
      </c>
      <c r="F480" s="185">
        <f t="shared" si="1"/>
        <v>11</v>
      </c>
      <c r="G480" s="185">
        <f t="shared" si="2"/>
        <v>6</v>
      </c>
      <c r="H480" s="185">
        <f t="shared" si="3"/>
        <v>2026</v>
      </c>
      <c r="I480" s="186">
        <v>6.0</v>
      </c>
      <c r="J480" s="186">
        <v>2026.0</v>
      </c>
      <c r="K480" s="187"/>
      <c r="L480" s="187">
        <v>88.59</v>
      </c>
      <c r="M480" s="27">
        <v>1.0</v>
      </c>
      <c r="N480" s="187">
        <f t="shared" si="21"/>
        <v>88.59</v>
      </c>
      <c r="O480" s="58"/>
      <c r="P480" s="74"/>
      <c r="Q480" s="74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</row>
    <row r="481" ht="15.75" customHeight="1">
      <c r="A481" s="74" t="s">
        <v>178</v>
      </c>
      <c r="B481" s="27" t="s">
        <v>311</v>
      </c>
      <c r="C481" s="183"/>
      <c r="D481" s="74" t="s">
        <v>5</v>
      </c>
      <c r="E481" s="184">
        <v>46184.0</v>
      </c>
      <c r="F481" s="185">
        <f t="shared" si="1"/>
        <v>11</v>
      </c>
      <c r="G481" s="185">
        <f t="shared" si="2"/>
        <v>6</v>
      </c>
      <c r="H481" s="185">
        <f t="shared" si="3"/>
        <v>2026</v>
      </c>
      <c r="I481" s="186">
        <v>6.0</v>
      </c>
      <c r="J481" s="186">
        <v>2026.0</v>
      </c>
      <c r="K481" s="187"/>
      <c r="L481" s="187">
        <v>50.0</v>
      </c>
      <c r="M481" s="27">
        <v>1.0</v>
      </c>
      <c r="N481" s="187">
        <f t="shared" si="21"/>
        <v>50</v>
      </c>
      <c r="O481" s="58"/>
      <c r="P481" s="74" t="s">
        <v>784</v>
      </c>
      <c r="Q481" s="74" t="s">
        <v>363</v>
      </c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</row>
    <row r="482" ht="15.75" customHeight="1">
      <c r="A482" s="74" t="s">
        <v>151</v>
      </c>
      <c r="B482" s="27" t="s">
        <v>137</v>
      </c>
      <c r="C482" s="183"/>
      <c r="D482" s="74" t="s">
        <v>245</v>
      </c>
      <c r="E482" s="184">
        <v>46185.0</v>
      </c>
      <c r="F482" s="185">
        <f t="shared" si="1"/>
        <v>12</v>
      </c>
      <c r="G482" s="185">
        <f t="shared" si="2"/>
        <v>6</v>
      </c>
      <c r="H482" s="185">
        <f t="shared" si="3"/>
        <v>2026</v>
      </c>
      <c r="I482" s="186">
        <v>6.0</v>
      </c>
      <c r="J482" s="186">
        <v>2026.0</v>
      </c>
      <c r="K482" s="187"/>
      <c r="L482" s="187">
        <v>2.63</v>
      </c>
      <c r="M482" s="27">
        <v>1.0</v>
      </c>
      <c r="N482" s="187">
        <f t="shared" si="21"/>
        <v>2.63</v>
      </c>
      <c r="O482" s="58"/>
      <c r="P482" s="74"/>
      <c r="Q482" s="74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</row>
    <row r="483" ht="15.75" customHeight="1">
      <c r="A483" s="74" t="s">
        <v>334</v>
      </c>
      <c r="B483" s="27" t="s">
        <v>34</v>
      </c>
      <c r="C483" s="183"/>
      <c r="D483" s="74" t="s">
        <v>245</v>
      </c>
      <c r="E483" s="184">
        <v>46186.0</v>
      </c>
      <c r="F483" s="185">
        <f t="shared" si="1"/>
        <v>13</v>
      </c>
      <c r="G483" s="185">
        <f t="shared" si="2"/>
        <v>6</v>
      </c>
      <c r="H483" s="185">
        <f t="shared" si="3"/>
        <v>2026</v>
      </c>
      <c r="I483" s="186">
        <v>6.0</v>
      </c>
      <c r="J483" s="186">
        <v>2026.0</v>
      </c>
      <c r="K483" s="187"/>
      <c r="L483" s="187">
        <v>20.0</v>
      </c>
      <c r="M483" s="27">
        <v>1.0</v>
      </c>
      <c r="N483" s="187">
        <f t="shared" si="21"/>
        <v>20</v>
      </c>
      <c r="O483" s="58"/>
      <c r="P483" s="74"/>
      <c r="Q483" s="74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</row>
    <row r="484" ht="15.75" customHeight="1">
      <c r="A484" s="74" t="s">
        <v>22</v>
      </c>
      <c r="B484" s="27" t="s">
        <v>342</v>
      </c>
      <c r="C484" s="183"/>
      <c r="D484" s="74" t="s">
        <v>245</v>
      </c>
      <c r="E484" s="184">
        <v>46186.0</v>
      </c>
      <c r="F484" s="185">
        <f t="shared" si="1"/>
        <v>13</v>
      </c>
      <c r="G484" s="185">
        <f t="shared" si="2"/>
        <v>6</v>
      </c>
      <c r="H484" s="185">
        <f t="shared" si="3"/>
        <v>2026</v>
      </c>
      <c r="I484" s="186">
        <v>6.0</v>
      </c>
      <c r="J484" s="186">
        <v>2026.0</v>
      </c>
      <c r="K484" s="187"/>
      <c r="L484" s="187">
        <v>90.0</v>
      </c>
      <c r="M484" s="27">
        <v>1.0</v>
      </c>
      <c r="N484" s="187">
        <f t="shared" si="21"/>
        <v>90</v>
      </c>
      <c r="O484" s="58"/>
      <c r="P484" s="74"/>
      <c r="Q484" s="74" t="s">
        <v>721</v>
      </c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</row>
    <row r="485" ht="15.75" customHeight="1">
      <c r="A485" s="74" t="s">
        <v>22</v>
      </c>
      <c r="B485" s="27" t="s">
        <v>25</v>
      </c>
      <c r="C485" s="183"/>
      <c r="D485" s="74" t="s">
        <v>5</v>
      </c>
      <c r="E485" s="184">
        <v>46186.0</v>
      </c>
      <c r="F485" s="185">
        <f t="shared" si="1"/>
        <v>13</v>
      </c>
      <c r="G485" s="185">
        <f t="shared" si="2"/>
        <v>6</v>
      </c>
      <c r="H485" s="185">
        <f t="shared" si="3"/>
        <v>2026</v>
      </c>
      <c r="I485" s="186">
        <f t="shared" ref="I485:J485" si="22">G485</f>
        <v>6</v>
      </c>
      <c r="J485" s="186">
        <f t="shared" si="22"/>
        <v>2026</v>
      </c>
      <c r="K485" s="187"/>
      <c r="L485" s="187">
        <v>50.0</v>
      </c>
      <c r="M485" s="27">
        <v>1.0</v>
      </c>
      <c r="N485" s="187">
        <f>M485*L485</f>
        <v>50</v>
      </c>
      <c r="O485" s="58"/>
      <c r="P485" s="74" t="s">
        <v>18</v>
      </c>
      <c r="Q485" s="74" t="s">
        <v>785</v>
      </c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</row>
    <row r="486" ht="15.75" customHeight="1">
      <c r="A486" s="74" t="s">
        <v>153</v>
      </c>
      <c r="B486" s="27" t="s">
        <v>314</v>
      </c>
      <c r="C486" s="183"/>
      <c r="D486" s="74" t="s">
        <v>245</v>
      </c>
      <c r="E486" s="184">
        <v>46186.0</v>
      </c>
      <c r="F486" s="185">
        <f t="shared" si="1"/>
        <v>13</v>
      </c>
      <c r="G486" s="185">
        <f t="shared" si="2"/>
        <v>6</v>
      </c>
      <c r="H486" s="185">
        <f t="shared" si="3"/>
        <v>2026</v>
      </c>
      <c r="I486" s="186">
        <v>6.0</v>
      </c>
      <c r="J486" s="186">
        <v>2026.0</v>
      </c>
      <c r="K486" s="187"/>
      <c r="L486" s="187">
        <f>7.39-0.23</f>
        <v>7.16</v>
      </c>
      <c r="M486" s="27">
        <v>1.0</v>
      </c>
      <c r="N486" s="187">
        <f t="shared" ref="N486:N528" si="23">L486*M486</f>
        <v>7.16</v>
      </c>
      <c r="O486" s="58"/>
      <c r="P486" s="74"/>
      <c r="Q486" s="74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</row>
    <row r="487" ht="15.75" customHeight="1">
      <c r="A487" s="74" t="s">
        <v>151</v>
      </c>
      <c r="B487" s="27" t="s">
        <v>137</v>
      </c>
      <c r="C487" s="183"/>
      <c r="D487" s="74" t="s">
        <v>245</v>
      </c>
      <c r="E487" s="184">
        <v>46186.0</v>
      </c>
      <c r="F487" s="185">
        <f t="shared" si="1"/>
        <v>13</v>
      </c>
      <c r="G487" s="185">
        <f t="shared" si="2"/>
        <v>6</v>
      </c>
      <c r="H487" s="185">
        <f t="shared" si="3"/>
        <v>2026</v>
      </c>
      <c r="I487" s="186">
        <v>6.0</v>
      </c>
      <c r="J487" s="186">
        <v>2026.0</v>
      </c>
      <c r="K487" s="187"/>
      <c r="L487" s="187">
        <v>0.23</v>
      </c>
      <c r="M487" s="27">
        <v>1.0</v>
      </c>
      <c r="N487" s="187">
        <f t="shared" si="23"/>
        <v>0.23</v>
      </c>
      <c r="O487" s="58"/>
      <c r="P487" s="74"/>
      <c r="Q487" s="74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</row>
    <row r="488" ht="15.75" customHeight="1">
      <c r="A488" s="74" t="s">
        <v>253</v>
      </c>
      <c r="B488" s="27" t="s">
        <v>266</v>
      </c>
      <c r="C488" s="183"/>
      <c r="D488" s="74" t="s">
        <v>245</v>
      </c>
      <c r="E488" s="184">
        <v>46187.0</v>
      </c>
      <c r="F488" s="185">
        <f t="shared" si="1"/>
        <v>14</v>
      </c>
      <c r="G488" s="185">
        <f t="shared" si="2"/>
        <v>6</v>
      </c>
      <c r="H488" s="185">
        <f t="shared" si="3"/>
        <v>2026</v>
      </c>
      <c r="I488" s="186">
        <v>6.0</v>
      </c>
      <c r="J488" s="186">
        <v>2026.0</v>
      </c>
      <c r="K488" s="187"/>
      <c r="L488" s="187">
        <v>500.0</v>
      </c>
      <c r="M488" s="27">
        <v>1.0</v>
      </c>
      <c r="N488" s="187">
        <f t="shared" si="23"/>
        <v>500</v>
      </c>
      <c r="O488" s="58"/>
      <c r="P488" s="74" t="s">
        <v>787</v>
      </c>
      <c r="Q488" s="74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</row>
    <row r="489" ht="15.75" customHeight="1">
      <c r="A489" s="74" t="s">
        <v>528</v>
      </c>
      <c r="B489" s="27" t="s">
        <v>145</v>
      </c>
      <c r="C489" s="183"/>
      <c r="D489" s="74" t="s">
        <v>2</v>
      </c>
      <c r="E489" s="184">
        <v>46188.0</v>
      </c>
      <c r="F489" s="185">
        <f t="shared" si="1"/>
        <v>15</v>
      </c>
      <c r="G489" s="185">
        <f t="shared" si="2"/>
        <v>6</v>
      </c>
      <c r="H489" s="185">
        <f t="shared" si="3"/>
        <v>2026</v>
      </c>
      <c r="I489" s="186">
        <v>6.0</v>
      </c>
      <c r="J489" s="186">
        <v>2026.0</v>
      </c>
      <c r="K489" s="187"/>
      <c r="L489" s="187">
        <f>2.79/6</f>
        <v>0.465</v>
      </c>
      <c r="M489" s="27">
        <f>36*6</f>
        <v>216</v>
      </c>
      <c r="N489" s="187">
        <f t="shared" si="23"/>
        <v>100.44</v>
      </c>
      <c r="O489" s="58"/>
      <c r="P489" s="74"/>
      <c r="Q489" s="74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</row>
    <row r="490" ht="15.75" customHeight="1">
      <c r="A490" s="74" t="s">
        <v>22</v>
      </c>
      <c r="B490" s="27" t="s">
        <v>27</v>
      </c>
      <c r="C490" s="183"/>
      <c r="D490" s="74" t="s">
        <v>2</v>
      </c>
      <c r="E490" s="184">
        <v>46188.0</v>
      </c>
      <c r="F490" s="185">
        <f t="shared" si="1"/>
        <v>15</v>
      </c>
      <c r="G490" s="185">
        <f t="shared" si="2"/>
        <v>6</v>
      </c>
      <c r="H490" s="185">
        <f t="shared" si="3"/>
        <v>2026</v>
      </c>
      <c r="I490" s="186">
        <v>6.0</v>
      </c>
      <c r="J490" s="186">
        <v>2026.0</v>
      </c>
      <c r="K490" s="187"/>
      <c r="L490" s="187">
        <v>58.32</v>
      </c>
      <c r="M490" s="27">
        <v>1.0</v>
      </c>
      <c r="N490" s="187">
        <f t="shared" si="23"/>
        <v>58.32</v>
      </c>
      <c r="O490" s="58"/>
      <c r="P490" s="74"/>
      <c r="Q490" s="74" t="s">
        <v>794</v>
      </c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</row>
    <row r="491" ht="15.75" customHeight="1">
      <c r="A491" s="74" t="s">
        <v>22</v>
      </c>
      <c r="B491" s="27" t="s">
        <v>27</v>
      </c>
      <c r="C491" s="183"/>
      <c r="D491" s="74" t="s">
        <v>2</v>
      </c>
      <c r="E491" s="184">
        <v>46188.0</v>
      </c>
      <c r="F491" s="185">
        <f t="shared" si="1"/>
        <v>15</v>
      </c>
      <c r="G491" s="185">
        <f t="shared" si="2"/>
        <v>6</v>
      </c>
      <c r="H491" s="185">
        <f t="shared" si="3"/>
        <v>2026</v>
      </c>
      <c r="I491" s="186">
        <v>6.0</v>
      </c>
      <c r="J491" s="186">
        <v>2026.0</v>
      </c>
      <c r="K491" s="187"/>
      <c r="L491" s="187">
        <v>36.8</v>
      </c>
      <c r="M491" s="27">
        <v>1.0</v>
      </c>
      <c r="N491" s="187">
        <f t="shared" si="23"/>
        <v>36.8</v>
      </c>
      <c r="O491" s="58"/>
      <c r="P491" s="74"/>
      <c r="Q491" s="74" t="s">
        <v>798</v>
      </c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</row>
    <row r="492" ht="15.75" customHeight="1">
      <c r="A492" s="74" t="s">
        <v>175</v>
      </c>
      <c r="B492" s="27" t="s">
        <v>296</v>
      </c>
      <c r="C492" s="183"/>
      <c r="D492" s="74" t="s">
        <v>245</v>
      </c>
      <c r="E492" s="184">
        <v>46188.0</v>
      </c>
      <c r="F492" s="185">
        <f t="shared" si="1"/>
        <v>15</v>
      </c>
      <c r="G492" s="185">
        <f t="shared" si="2"/>
        <v>6</v>
      </c>
      <c r="H492" s="185">
        <f t="shared" si="3"/>
        <v>2026</v>
      </c>
      <c r="I492" s="186">
        <v>6.0</v>
      </c>
      <c r="J492" s="186">
        <v>2026.0</v>
      </c>
      <c r="K492" s="187"/>
      <c r="L492" s="187">
        <v>9.0</v>
      </c>
      <c r="M492" s="27">
        <v>1.0</v>
      </c>
      <c r="N492" s="187">
        <f t="shared" si="23"/>
        <v>9</v>
      </c>
      <c r="O492" s="58"/>
      <c r="P492" s="74"/>
      <c r="Q492" s="74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</row>
    <row r="493" ht="15.75" customHeight="1">
      <c r="A493" s="74" t="s">
        <v>154</v>
      </c>
      <c r="B493" s="27" t="s">
        <v>231</v>
      </c>
      <c r="C493" s="183"/>
      <c r="D493" s="74" t="s">
        <v>2</v>
      </c>
      <c r="E493" s="184">
        <v>46188.0</v>
      </c>
      <c r="F493" s="185">
        <f t="shared" si="1"/>
        <v>15</v>
      </c>
      <c r="G493" s="185">
        <f t="shared" si="2"/>
        <v>6</v>
      </c>
      <c r="H493" s="185">
        <f t="shared" si="3"/>
        <v>2026</v>
      </c>
      <c r="I493" s="186">
        <v>6.0</v>
      </c>
      <c r="J493" s="186">
        <v>2026.0</v>
      </c>
      <c r="K493" s="187"/>
      <c r="L493" s="187">
        <v>3.96</v>
      </c>
      <c r="M493" s="27">
        <v>1.0</v>
      </c>
      <c r="N493" s="187">
        <f t="shared" si="23"/>
        <v>3.96</v>
      </c>
      <c r="O493" s="58"/>
      <c r="P493" s="74"/>
      <c r="Q493" s="74" t="s">
        <v>799</v>
      </c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</row>
    <row r="494" ht="15.75" customHeight="1">
      <c r="A494" s="74" t="s">
        <v>167</v>
      </c>
      <c r="B494" s="27" t="s">
        <v>40</v>
      </c>
      <c r="C494" s="183"/>
      <c r="D494" s="74" t="s">
        <v>2</v>
      </c>
      <c r="E494" s="184">
        <v>46189.0</v>
      </c>
      <c r="F494" s="185">
        <f t="shared" si="1"/>
        <v>16</v>
      </c>
      <c r="G494" s="185">
        <f t="shared" si="2"/>
        <v>6</v>
      </c>
      <c r="H494" s="185">
        <f t="shared" si="3"/>
        <v>2026</v>
      </c>
      <c r="I494" s="186">
        <v>5.0</v>
      </c>
      <c r="J494" s="186">
        <v>2026.0</v>
      </c>
      <c r="K494" s="187"/>
      <c r="L494" s="187">
        <v>257.51</v>
      </c>
      <c r="M494" s="27">
        <v>1.0</v>
      </c>
      <c r="N494" s="187">
        <f t="shared" si="23"/>
        <v>257.51</v>
      </c>
      <c r="O494" s="58"/>
      <c r="P494" s="74"/>
      <c r="Q494" s="74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</row>
    <row r="495" ht="15.75" customHeight="1">
      <c r="A495" s="74" t="s">
        <v>22</v>
      </c>
      <c r="B495" s="27" t="s">
        <v>28</v>
      </c>
      <c r="C495" s="183"/>
      <c r="D495" s="74" t="s">
        <v>2</v>
      </c>
      <c r="E495" s="184">
        <v>46189.0</v>
      </c>
      <c r="F495" s="185">
        <f t="shared" si="1"/>
        <v>16</v>
      </c>
      <c r="G495" s="185">
        <f t="shared" si="2"/>
        <v>6</v>
      </c>
      <c r="H495" s="185">
        <f t="shared" si="3"/>
        <v>2026</v>
      </c>
      <c r="I495" s="186">
        <v>6.0</v>
      </c>
      <c r="J495" s="186">
        <v>2026.0</v>
      </c>
      <c r="K495" s="187"/>
      <c r="L495" s="187">
        <v>2531.34</v>
      </c>
      <c r="M495" s="27">
        <v>1.0</v>
      </c>
      <c r="N495" s="187">
        <f t="shared" si="23"/>
        <v>2531.34</v>
      </c>
      <c r="O495" s="58"/>
      <c r="P495" s="74"/>
      <c r="Q495" s="74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</row>
    <row r="496" ht="15.75" customHeight="1">
      <c r="A496" s="74" t="s">
        <v>154</v>
      </c>
      <c r="B496" s="27" t="s">
        <v>231</v>
      </c>
      <c r="C496" s="183"/>
      <c r="D496" s="74" t="s">
        <v>245</v>
      </c>
      <c r="E496" s="184">
        <v>46189.0</v>
      </c>
      <c r="F496" s="185">
        <f t="shared" si="1"/>
        <v>16</v>
      </c>
      <c r="G496" s="185">
        <f t="shared" si="2"/>
        <v>6</v>
      </c>
      <c r="H496" s="185">
        <f t="shared" si="3"/>
        <v>2026</v>
      </c>
      <c r="I496" s="186">
        <v>6.0</v>
      </c>
      <c r="J496" s="186">
        <v>2026.0</v>
      </c>
      <c r="K496" s="187"/>
      <c r="L496" s="187">
        <v>7.99</v>
      </c>
      <c r="M496" s="27">
        <v>1.0</v>
      </c>
      <c r="N496" s="187">
        <f t="shared" si="23"/>
        <v>7.99</v>
      </c>
      <c r="O496" s="58"/>
      <c r="P496" s="74"/>
      <c r="Q496" s="74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</row>
    <row r="497" ht="15.75" customHeight="1">
      <c r="A497" s="74" t="s">
        <v>175</v>
      </c>
      <c r="B497" s="27" t="s">
        <v>296</v>
      </c>
      <c r="C497" s="183"/>
      <c r="D497" s="74" t="s">
        <v>245</v>
      </c>
      <c r="E497" s="184">
        <v>46189.0</v>
      </c>
      <c r="F497" s="185">
        <f t="shared" si="1"/>
        <v>16</v>
      </c>
      <c r="G497" s="185">
        <f t="shared" si="2"/>
        <v>6</v>
      </c>
      <c r="H497" s="185">
        <f t="shared" si="3"/>
        <v>2026</v>
      </c>
      <c r="I497" s="186">
        <v>6.0</v>
      </c>
      <c r="J497" s="186">
        <v>2026.0</v>
      </c>
      <c r="K497" s="187"/>
      <c r="L497" s="187">
        <v>3.99</v>
      </c>
      <c r="M497" s="27">
        <v>1.0</v>
      </c>
      <c r="N497" s="187">
        <f t="shared" si="23"/>
        <v>3.99</v>
      </c>
      <c r="O497" s="58"/>
      <c r="P497" s="74"/>
      <c r="Q497" s="74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</row>
    <row r="498" ht="15.75" customHeight="1">
      <c r="A498" s="74" t="s">
        <v>151</v>
      </c>
      <c r="B498" s="27" t="s">
        <v>137</v>
      </c>
      <c r="C498" s="183"/>
      <c r="D498" s="74" t="s">
        <v>245</v>
      </c>
      <c r="E498" s="184">
        <v>46189.0</v>
      </c>
      <c r="F498" s="185">
        <f t="shared" si="1"/>
        <v>16</v>
      </c>
      <c r="G498" s="185">
        <f t="shared" si="2"/>
        <v>6</v>
      </c>
      <c r="H498" s="185">
        <f t="shared" si="3"/>
        <v>2026</v>
      </c>
      <c r="I498" s="186">
        <v>6.0</v>
      </c>
      <c r="J498" s="186">
        <v>2026.0</v>
      </c>
      <c r="K498" s="187"/>
      <c r="L498" s="187">
        <v>1.29</v>
      </c>
      <c r="M498" s="27">
        <v>1.0</v>
      </c>
      <c r="N498" s="187">
        <f t="shared" si="23"/>
        <v>1.29</v>
      </c>
      <c r="O498" s="58"/>
      <c r="P498" s="74"/>
      <c r="Q498" s="74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</row>
    <row r="499" ht="15.75" customHeight="1">
      <c r="A499" s="74" t="s">
        <v>178</v>
      </c>
      <c r="B499" s="27" t="s">
        <v>311</v>
      </c>
      <c r="C499" s="183"/>
      <c r="D499" s="74" t="s">
        <v>245</v>
      </c>
      <c r="E499" s="184">
        <v>46192.0</v>
      </c>
      <c r="F499" s="185">
        <f t="shared" si="1"/>
        <v>19</v>
      </c>
      <c r="G499" s="185">
        <f t="shared" si="2"/>
        <v>6</v>
      </c>
      <c r="H499" s="185">
        <f t="shared" si="3"/>
        <v>2026</v>
      </c>
      <c r="I499" s="186">
        <v>6.0</v>
      </c>
      <c r="J499" s="186">
        <v>2026.0</v>
      </c>
      <c r="K499" s="187"/>
      <c r="L499" s="187">
        <v>500.0</v>
      </c>
      <c r="M499" s="27">
        <v>1.0</v>
      </c>
      <c r="N499" s="187">
        <f t="shared" si="23"/>
        <v>500</v>
      </c>
      <c r="O499" s="58"/>
      <c r="P499" s="74"/>
      <c r="Q499" s="74" t="s">
        <v>363</v>
      </c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</row>
    <row r="500" ht="15.75" customHeight="1">
      <c r="A500" s="74" t="s">
        <v>178</v>
      </c>
      <c r="B500" s="27" t="s">
        <v>310</v>
      </c>
      <c r="C500" s="183"/>
      <c r="D500" s="74" t="s">
        <v>245</v>
      </c>
      <c r="E500" s="184">
        <v>46192.0</v>
      </c>
      <c r="F500" s="185">
        <f t="shared" si="1"/>
        <v>19</v>
      </c>
      <c r="G500" s="185">
        <f t="shared" si="2"/>
        <v>6</v>
      </c>
      <c r="H500" s="185">
        <f t="shared" si="3"/>
        <v>2026</v>
      </c>
      <c r="I500" s="186">
        <v>6.0</v>
      </c>
      <c r="J500" s="186">
        <v>2026.0</v>
      </c>
      <c r="K500" s="187"/>
      <c r="L500" s="187">
        <v>370.0</v>
      </c>
      <c r="M500" s="27">
        <v>1.0</v>
      </c>
      <c r="N500" s="187">
        <f t="shared" si="23"/>
        <v>370</v>
      </c>
      <c r="O500" s="58"/>
      <c r="P500" s="74"/>
      <c r="Q500" s="74" t="s">
        <v>551</v>
      </c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</row>
    <row r="501" ht="15.75" customHeight="1">
      <c r="A501" s="74" t="s">
        <v>151</v>
      </c>
      <c r="B501" s="27" t="s">
        <v>181</v>
      </c>
      <c r="C501" s="183"/>
      <c r="D501" s="74" t="s">
        <v>245</v>
      </c>
      <c r="E501" s="184">
        <v>46192.0</v>
      </c>
      <c r="F501" s="185">
        <f t="shared" si="1"/>
        <v>19</v>
      </c>
      <c r="G501" s="185">
        <f t="shared" si="2"/>
        <v>6</v>
      </c>
      <c r="H501" s="185">
        <f t="shared" si="3"/>
        <v>2026</v>
      </c>
      <c r="I501" s="186">
        <v>6.0</v>
      </c>
      <c r="J501" s="186">
        <v>2026.0</v>
      </c>
      <c r="K501" s="187"/>
      <c r="L501" s="187">
        <v>1.49</v>
      </c>
      <c r="M501" s="27">
        <v>3.0</v>
      </c>
      <c r="N501" s="187">
        <f t="shared" si="23"/>
        <v>4.47</v>
      </c>
      <c r="O501" s="58"/>
      <c r="P501" s="74"/>
      <c r="Q501" s="74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</row>
    <row r="502" ht="15.75" customHeight="1">
      <c r="A502" s="74" t="s">
        <v>151</v>
      </c>
      <c r="B502" s="27" t="s">
        <v>137</v>
      </c>
      <c r="C502" s="183"/>
      <c r="D502" s="74" t="s">
        <v>245</v>
      </c>
      <c r="E502" s="184">
        <v>46192.0</v>
      </c>
      <c r="F502" s="185">
        <f t="shared" si="1"/>
        <v>19</v>
      </c>
      <c r="G502" s="185">
        <f t="shared" si="2"/>
        <v>6</v>
      </c>
      <c r="H502" s="185">
        <f t="shared" si="3"/>
        <v>2026</v>
      </c>
      <c r="I502" s="186">
        <v>6.0</v>
      </c>
      <c r="J502" s="186">
        <v>2026.0</v>
      </c>
      <c r="K502" s="187"/>
      <c r="L502" s="187">
        <v>0.95</v>
      </c>
      <c r="M502" s="27">
        <v>1.0</v>
      </c>
      <c r="N502" s="187">
        <f t="shared" si="23"/>
        <v>0.95</v>
      </c>
      <c r="O502" s="58"/>
      <c r="P502" s="74"/>
      <c r="Q502" s="74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</row>
    <row r="503" ht="15.75" customHeight="1">
      <c r="A503" s="74" t="s">
        <v>22</v>
      </c>
      <c r="B503" s="27" t="s">
        <v>342</v>
      </c>
      <c r="C503" s="183"/>
      <c r="D503" s="74" t="s">
        <v>245</v>
      </c>
      <c r="E503" s="184">
        <v>46193.0</v>
      </c>
      <c r="F503" s="185">
        <f t="shared" si="1"/>
        <v>20</v>
      </c>
      <c r="G503" s="185">
        <f t="shared" si="2"/>
        <v>6</v>
      </c>
      <c r="H503" s="185">
        <f t="shared" si="3"/>
        <v>2026</v>
      </c>
      <c r="I503" s="186">
        <v>6.0</v>
      </c>
      <c r="J503" s="186">
        <v>2026.0</v>
      </c>
      <c r="K503" s="187"/>
      <c r="L503" s="187">
        <v>180.0</v>
      </c>
      <c r="M503" s="27">
        <v>1.0</v>
      </c>
      <c r="N503" s="187">
        <f t="shared" si="23"/>
        <v>180</v>
      </c>
      <c r="O503" s="58"/>
      <c r="P503" s="74"/>
      <c r="Q503" s="74" t="s">
        <v>721</v>
      </c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</row>
    <row r="504" ht="15.75" customHeight="1">
      <c r="A504" s="74" t="s">
        <v>22</v>
      </c>
      <c r="B504" s="27" t="s">
        <v>342</v>
      </c>
      <c r="C504" s="183"/>
      <c r="D504" s="74" t="s">
        <v>245</v>
      </c>
      <c r="E504" s="184">
        <v>46193.0</v>
      </c>
      <c r="F504" s="185">
        <f t="shared" si="1"/>
        <v>20</v>
      </c>
      <c r="G504" s="185">
        <f t="shared" si="2"/>
        <v>6</v>
      </c>
      <c r="H504" s="185">
        <f t="shared" si="3"/>
        <v>2026</v>
      </c>
      <c r="I504" s="186">
        <v>6.0</v>
      </c>
      <c r="J504" s="186">
        <v>2026.0</v>
      </c>
      <c r="K504" s="187"/>
      <c r="L504" s="187">
        <v>8.88</v>
      </c>
      <c r="M504" s="27">
        <v>1.0</v>
      </c>
      <c r="N504" s="187">
        <f t="shared" si="23"/>
        <v>8.88</v>
      </c>
      <c r="O504" s="58"/>
      <c r="P504" s="74"/>
      <c r="Q504" s="74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</row>
    <row r="505" ht="15.75" customHeight="1">
      <c r="A505" s="74" t="s">
        <v>151</v>
      </c>
      <c r="B505" s="27" t="s">
        <v>188</v>
      </c>
      <c r="C505" s="183"/>
      <c r="D505" s="74" t="s">
        <v>245</v>
      </c>
      <c r="E505" s="184">
        <v>46195.0</v>
      </c>
      <c r="F505" s="185">
        <f t="shared" si="1"/>
        <v>22</v>
      </c>
      <c r="G505" s="185">
        <f t="shared" si="2"/>
        <v>6</v>
      </c>
      <c r="H505" s="185">
        <f t="shared" si="3"/>
        <v>2026</v>
      </c>
      <c r="I505" s="186">
        <v>6.0</v>
      </c>
      <c r="J505" s="186">
        <v>2026.0</v>
      </c>
      <c r="K505" s="187"/>
      <c r="L505" s="187">
        <v>11.96</v>
      </c>
      <c r="M505" s="27">
        <v>1.0</v>
      </c>
      <c r="N505" s="187">
        <f t="shared" si="23"/>
        <v>11.96</v>
      </c>
      <c r="O505" s="58"/>
      <c r="P505" s="74"/>
      <c r="Q505" s="74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</row>
    <row r="506" ht="15.75" customHeight="1">
      <c r="A506" s="74" t="s">
        <v>167</v>
      </c>
      <c r="B506" s="27" t="s">
        <v>161</v>
      </c>
      <c r="C506" s="183"/>
      <c r="D506" s="74" t="s">
        <v>245</v>
      </c>
      <c r="E506" s="184">
        <v>46197.0</v>
      </c>
      <c r="F506" s="185">
        <f t="shared" si="1"/>
        <v>24</v>
      </c>
      <c r="G506" s="185">
        <f t="shared" si="2"/>
        <v>6</v>
      </c>
      <c r="H506" s="185">
        <f t="shared" si="3"/>
        <v>2026</v>
      </c>
      <c r="I506" s="186">
        <v>6.0</v>
      </c>
      <c r="J506" s="186">
        <v>2026.0</v>
      </c>
      <c r="K506" s="187"/>
      <c r="L506" s="187">
        <v>40.0</v>
      </c>
      <c r="M506" s="27">
        <v>1.0</v>
      </c>
      <c r="N506" s="187">
        <f t="shared" si="23"/>
        <v>40</v>
      </c>
      <c r="O506" s="58"/>
      <c r="P506" s="74"/>
      <c r="Q506" s="74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</row>
    <row r="507" ht="15.75" customHeight="1">
      <c r="A507" s="74" t="s">
        <v>156</v>
      </c>
      <c r="B507" s="27" t="s">
        <v>255</v>
      </c>
      <c r="C507" s="183"/>
      <c r="D507" s="74" t="s">
        <v>2</v>
      </c>
      <c r="E507" s="184">
        <v>46198.0</v>
      </c>
      <c r="F507" s="185">
        <f t="shared" si="1"/>
        <v>25</v>
      </c>
      <c r="G507" s="185">
        <f t="shared" si="2"/>
        <v>6</v>
      </c>
      <c r="H507" s="185">
        <f t="shared" si="3"/>
        <v>2026</v>
      </c>
      <c r="I507" s="186">
        <v>6.0</v>
      </c>
      <c r="J507" s="186">
        <v>2026.0</v>
      </c>
      <c r="K507" s="187"/>
      <c r="L507" s="187">
        <v>648.98</v>
      </c>
      <c r="M507" s="27">
        <v>1.0</v>
      </c>
      <c r="N507" s="187">
        <f t="shared" si="23"/>
        <v>648.98</v>
      </c>
      <c r="O507" s="58"/>
      <c r="P507" s="74"/>
      <c r="Q507" s="74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</row>
    <row r="508" ht="15.75" customHeight="1">
      <c r="A508" s="74" t="s">
        <v>167</v>
      </c>
      <c r="B508" s="27" t="s">
        <v>61</v>
      </c>
      <c r="C508" s="183"/>
      <c r="D508" s="74" t="s">
        <v>2</v>
      </c>
      <c r="E508" s="184">
        <v>46198.0</v>
      </c>
      <c r="F508" s="185">
        <f t="shared" si="1"/>
        <v>25</v>
      </c>
      <c r="G508" s="185">
        <f t="shared" si="2"/>
        <v>6</v>
      </c>
      <c r="H508" s="185">
        <f t="shared" si="3"/>
        <v>2026</v>
      </c>
      <c r="I508" s="186">
        <v>5.0</v>
      </c>
      <c r="J508" s="186">
        <v>2026.0</v>
      </c>
      <c r="K508" s="187"/>
      <c r="L508" s="187">
        <v>578.0</v>
      </c>
      <c r="M508" s="27">
        <v>1.0</v>
      </c>
      <c r="N508" s="187">
        <f t="shared" si="23"/>
        <v>578</v>
      </c>
      <c r="O508" s="58"/>
      <c r="P508" s="74"/>
      <c r="Q508" s="74" t="s">
        <v>801</v>
      </c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</row>
    <row r="509" ht="15.75" customHeight="1">
      <c r="A509" s="74" t="s">
        <v>253</v>
      </c>
      <c r="B509" s="27" t="s">
        <v>266</v>
      </c>
      <c r="C509" s="183"/>
      <c r="D509" s="74" t="s">
        <v>245</v>
      </c>
      <c r="E509" s="184">
        <v>46198.0</v>
      </c>
      <c r="F509" s="185">
        <f t="shared" si="1"/>
        <v>25</v>
      </c>
      <c r="G509" s="185">
        <f t="shared" si="2"/>
        <v>6</v>
      </c>
      <c r="H509" s="185">
        <f t="shared" si="3"/>
        <v>2026</v>
      </c>
      <c r="I509" s="186">
        <v>6.0</v>
      </c>
      <c r="J509" s="186">
        <v>2026.0</v>
      </c>
      <c r="K509" s="187"/>
      <c r="L509" s="187">
        <v>500.0</v>
      </c>
      <c r="M509" s="27">
        <v>1.0</v>
      </c>
      <c r="N509" s="187">
        <f t="shared" si="23"/>
        <v>500</v>
      </c>
      <c r="O509" s="58"/>
      <c r="P509" s="74" t="s">
        <v>802</v>
      </c>
      <c r="Q509" s="74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</row>
    <row r="510" ht="15.75" customHeight="1">
      <c r="A510" s="74" t="s">
        <v>178</v>
      </c>
      <c r="B510" s="27" t="s">
        <v>311</v>
      </c>
      <c r="C510" s="183"/>
      <c r="D510" s="74" t="s">
        <v>5</v>
      </c>
      <c r="E510" s="184">
        <v>46198.0</v>
      </c>
      <c r="F510" s="185">
        <f t="shared" si="1"/>
        <v>25</v>
      </c>
      <c r="G510" s="185">
        <f t="shared" si="2"/>
        <v>6</v>
      </c>
      <c r="H510" s="185">
        <f t="shared" si="3"/>
        <v>2026</v>
      </c>
      <c r="I510" s="186">
        <v>6.0</v>
      </c>
      <c r="J510" s="186">
        <v>2026.0</v>
      </c>
      <c r="K510" s="187"/>
      <c r="L510" s="187">
        <v>500.0</v>
      </c>
      <c r="M510" s="27">
        <v>1.0</v>
      </c>
      <c r="N510" s="187">
        <f t="shared" si="23"/>
        <v>500</v>
      </c>
      <c r="O510" s="58"/>
      <c r="P510" s="74"/>
      <c r="Q510" s="74" t="s">
        <v>363</v>
      </c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</row>
    <row r="511" ht="15.75" customHeight="1">
      <c r="A511" s="74" t="s">
        <v>178</v>
      </c>
      <c r="B511" s="27" t="s">
        <v>310</v>
      </c>
      <c r="C511" s="183"/>
      <c r="D511" s="74" t="s">
        <v>5</v>
      </c>
      <c r="E511" s="184">
        <v>46198.0</v>
      </c>
      <c r="F511" s="185">
        <f t="shared" si="1"/>
        <v>25</v>
      </c>
      <c r="G511" s="185">
        <f t="shared" si="2"/>
        <v>6</v>
      </c>
      <c r="H511" s="185">
        <f t="shared" si="3"/>
        <v>2026</v>
      </c>
      <c r="I511" s="186">
        <v>6.0</v>
      </c>
      <c r="J511" s="186">
        <v>2026.0</v>
      </c>
      <c r="K511" s="187"/>
      <c r="L511" s="187">
        <v>370.0</v>
      </c>
      <c r="M511" s="27">
        <v>1.0</v>
      </c>
      <c r="N511" s="187">
        <f t="shared" si="23"/>
        <v>370</v>
      </c>
      <c r="O511" s="58"/>
      <c r="P511" s="74"/>
      <c r="Q511" s="74" t="s">
        <v>551</v>
      </c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</row>
    <row r="512" ht="15.75" customHeight="1">
      <c r="A512" s="74" t="s">
        <v>617</v>
      </c>
      <c r="B512" s="27" t="s">
        <v>664</v>
      </c>
      <c r="C512" s="183"/>
      <c r="D512" s="74" t="s">
        <v>2</v>
      </c>
      <c r="E512" s="184">
        <v>46198.0</v>
      </c>
      <c r="F512" s="185">
        <f t="shared" si="1"/>
        <v>25</v>
      </c>
      <c r="G512" s="185">
        <f t="shared" si="2"/>
        <v>6</v>
      </c>
      <c r="H512" s="185">
        <f t="shared" si="3"/>
        <v>2026</v>
      </c>
      <c r="I512" s="186">
        <v>6.0</v>
      </c>
      <c r="J512" s="186">
        <v>2026.0</v>
      </c>
      <c r="K512" s="187"/>
      <c r="L512" s="187">
        <v>46.14</v>
      </c>
      <c r="M512" s="27">
        <v>1.0</v>
      </c>
      <c r="N512" s="187">
        <f t="shared" si="23"/>
        <v>46.14</v>
      </c>
      <c r="O512" s="58"/>
      <c r="P512" s="74"/>
      <c r="Q512" s="74" t="s">
        <v>447</v>
      </c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</row>
    <row r="513" ht="15.75" customHeight="1">
      <c r="A513" s="74" t="s">
        <v>108</v>
      </c>
      <c r="B513" s="27" t="s">
        <v>108</v>
      </c>
      <c r="C513" s="183"/>
      <c r="D513" s="74" t="s">
        <v>245</v>
      </c>
      <c r="E513" s="184">
        <v>46198.0</v>
      </c>
      <c r="F513" s="185">
        <f t="shared" si="1"/>
        <v>25</v>
      </c>
      <c r="G513" s="185">
        <f t="shared" si="2"/>
        <v>6</v>
      </c>
      <c r="H513" s="185">
        <f t="shared" si="3"/>
        <v>2026</v>
      </c>
      <c r="I513" s="186">
        <v>6.0</v>
      </c>
      <c r="J513" s="186">
        <v>2026.0</v>
      </c>
      <c r="K513" s="187"/>
      <c r="L513" s="187">
        <v>37.0</v>
      </c>
      <c r="M513" s="27">
        <v>1.0</v>
      </c>
      <c r="N513" s="187">
        <f t="shared" si="23"/>
        <v>37</v>
      </c>
      <c r="O513" s="58"/>
      <c r="P513" s="74"/>
      <c r="Q513" s="74" t="s">
        <v>803</v>
      </c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</row>
    <row r="514" ht="15.75" customHeight="1">
      <c r="A514" s="74" t="s">
        <v>617</v>
      </c>
      <c r="B514" s="27" t="s">
        <v>664</v>
      </c>
      <c r="C514" s="183"/>
      <c r="D514" s="74" t="s">
        <v>2</v>
      </c>
      <c r="E514" s="184">
        <v>46198.0</v>
      </c>
      <c r="F514" s="185">
        <f t="shared" si="1"/>
        <v>25</v>
      </c>
      <c r="G514" s="185">
        <f t="shared" si="2"/>
        <v>6</v>
      </c>
      <c r="H514" s="185">
        <f t="shared" si="3"/>
        <v>2026</v>
      </c>
      <c r="I514" s="186">
        <v>6.0</v>
      </c>
      <c r="J514" s="186">
        <v>2026.0</v>
      </c>
      <c r="K514" s="187"/>
      <c r="L514" s="187">
        <v>32.89</v>
      </c>
      <c r="M514" s="27">
        <v>1.0</v>
      </c>
      <c r="N514" s="187">
        <f t="shared" si="23"/>
        <v>32.89</v>
      </c>
      <c r="O514" s="58"/>
      <c r="P514" s="74"/>
      <c r="Q514" s="74" t="s">
        <v>804</v>
      </c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</row>
    <row r="515" ht="15.75" customHeight="1">
      <c r="A515" s="74" t="s">
        <v>156</v>
      </c>
      <c r="B515" s="27" t="s">
        <v>44</v>
      </c>
      <c r="C515" s="183"/>
      <c r="D515" s="74" t="s">
        <v>2</v>
      </c>
      <c r="E515" s="184">
        <v>46198.0</v>
      </c>
      <c r="F515" s="185">
        <f t="shared" si="1"/>
        <v>25</v>
      </c>
      <c r="G515" s="185">
        <f t="shared" si="2"/>
        <v>6</v>
      </c>
      <c r="H515" s="185">
        <f t="shared" si="3"/>
        <v>2026</v>
      </c>
      <c r="I515" s="186">
        <v>6.0</v>
      </c>
      <c r="J515" s="186">
        <v>2026.0</v>
      </c>
      <c r="K515" s="187"/>
      <c r="L515" s="187">
        <v>20.0</v>
      </c>
      <c r="M515" s="27">
        <v>1.0</v>
      </c>
      <c r="N515" s="187">
        <f t="shared" si="23"/>
        <v>20</v>
      </c>
      <c r="O515" s="58"/>
      <c r="P515" s="74"/>
      <c r="Q515" s="74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</row>
    <row r="516" ht="15.75" customHeight="1">
      <c r="A516" s="74" t="s">
        <v>151</v>
      </c>
      <c r="B516" s="27" t="s">
        <v>193</v>
      </c>
      <c r="C516" s="183"/>
      <c r="D516" s="74" t="s">
        <v>245</v>
      </c>
      <c r="E516" s="184">
        <v>46198.0</v>
      </c>
      <c r="F516" s="185">
        <f t="shared" si="1"/>
        <v>25</v>
      </c>
      <c r="G516" s="185">
        <f t="shared" si="2"/>
        <v>6</v>
      </c>
      <c r="H516" s="185">
        <f t="shared" si="3"/>
        <v>2026</v>
      </c>
      <c r="I516" s="186">
        <v>6.0</v>
      </c>
      <c r="J516" s="186">
        <v>2026.0</v>
      </c>
      <c r="K516" s="187"/>
      <c r="L516" s="187">
        <v>0.79</v>
      </c>
      <c r="M516" s="27">
        <v>24.0</v>
      </c>
      <c r="N516" s="187">
        <f t="shared" si="23"/>
        <v>18.96</v>
      </c>
      <c r="O516" s="58"/>
      <c r="P516" s="74" t="s">
        <v>805</v>
      </c>
      <c r="Q516" s="74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</row>
    <row r="517" ht="15.75" customHeight="1">
      <c r="A517" s="74" t="s">
        <v>22</v>
      </c>
      <c r="B517" s="27" t="s">
        <v>27</v>
      </c>
      <c r="C517" s="183"/>
      <c r="D517" s="74" t="s">
        <v>2</v>
      </c>
      <c r="E517" s="184">
        <v>46198.0</v>
      </c>
      <c r="F517" s="185">
        <f t="shared" si="1"/>
        <v>25</v>
      </c>
      <c r="G517" s="185">
        <f t="shared" si="2"/>
        <v>6</v>
      </c>
      <c r="H517" s="185">
        <f t="shared" si="3"/>
        <v>2026</v>
      </c>
      <c r="I517" s="186">
        <v>6.0</v>
      </c>
      <c r="J517" s="186">
        <v>2026.0</v>
      </c>
      <c r="K517" s="187"/>
      <c r="L517" s="187">
        <v>250.0</v>
      </c>
      <c r="M517" s="27">
        <v>1.0</v>
      </c>
      <c r="N517" s="187">
        <f t="shared" si="23"/>
        <v>250</v>
      </c>
      <c r="O517" s="58"/>
      <c r="P517" s="74"/>
      <c r="Q517" s="74" t="s">
        <v>806</v>
      </c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</row>
    <row r="518" ht="15.75" customHeight="1">
      <c r="A518" s="74" t="s">
        <v>22</v>
      </c>
      <c r="B518" s="27" t="s">
        <v>25</v>
      </c>
      <c r="C518" s="183"/>
      <c r="D518" s="74" t="s">
        <v>2</v>
      </c>
      <c r="E518" s="184">
        <v>46198.0</v>
      </c>
      <c r="F518" s="185">
        <f t="shared" si="1"/>
        <v>25</v>
      </c>
      <c r="G518" s="185">
        <f t="shared" si="2"/>
        <v>6</v>
      </c>
      <c r="H518" s="185">
        <f t="shared" si="3"/>
        <v>2026</v>
      </c>
      <c r="I518" s="186">
        <v>6.0</v>
      </c>
      <c r="J518" s="186">
        <v>2026.0</v>
      </c>
      <c r="K518" s="187"/>
      <c r="L518" s="187">
        <v>137.58</v>
      </c>
      <c r="M518" s="27">
        <v>1.0</v>
      </c>
      <c r="N518" s="187">
        <f t="shared" si="23"/>
        <v>137.58</v>
      </c>
      <c r="O518" s="58"/>
      <c r="P518" s="74"/>
      <c r="Q518" s="74" t="s">
        <v>807</v>
      </c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</row>
    <row r="519" ht="15.75" customHeight="1">
      <c r="A519" s="74" t="s">
        <v>22</v>
      </c>
      <c r="B519" s="27" t="s">
        <v>27</v>
      </c>
      <c r="C519" s="183"/>
      <c r="D519" s="74" t="s">
        <v>2</v>
      </c>
      <c r="E519" s="184">
        <v>46198.0</v>
      </c>
      <c r="F519" s="185">
        <f t="shared" si="1"/>
        <v>25</v>
      </c>
      <c r="G519" s="185">
        <f t="shared" si="2"/>
        <v>6</v>
      </c>
      <c r="H519" s="185">
        <f t="shared" si="3"/>
        <v>2026</v>
      </c>
      <c r="I519" s="186">
        <v>6.0</v>
      </c>
      <c r="J519" s="186">
        <v>2026.0</v>
      </c>
      <c r="K519" s="187"/>
      <c r="L519" s="187">
        <v>112.57</v>
      </c>
      <c r="M519" s="27">
        <v>1.0</v>
      </c>
      <c r="N519" s="187">
        <f t="shared" si="23"/>
        <v>112.57</v>
      </c>
      <c r="O519" s="58"/>
      <c r="P519" s="74"/>
      <c r="Q519" s="74" t="s">
        <v>808</v>
      </c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</row>
    <row r="520" ht="15.75" customHeight="1">
      <c r="A520" s="74" t="s">
        <v>22</v>
      </c>
      <c r="B520" s="27" t="s">
        <v>27</v>
      </c>
      <c r="C520" s="183"/>
      <c r="D520" s="74" t="s">
        <v>2</v>
      </c>
      <c r="E520" s="184">
        <v>46198.0</v>
      </c>
      <c r="F520" s="185">
        <f t="shared" si="1"/>
        <v>25</v>
      </c>
      <c r="G520" s="185">
        <f t="shared" si="2"/>
        <v>6</v>
      </c>
      <c r="H520" s="185">
        <f t="shared" si="3"/>
        <v>2026</v>
      </c>
      <c r="I520" s="186">
        <v>6.0</v>
      </c>
      <c r="J520" s="186">
        <v>2026.0</v>
      </c>
      <c r="K520" s="187"/>
      <c r="L520" s="187">
        <v>32.0</v>
      </c>
      <c r="M520" s="27">
        <v>1.0</v>
      </c>
      <c r="N520" s="187">
        <f t="shared" si="23"/>
        <v>32</v>
      </c>
      <c r="O520" s="58"/>
      <c r="P520" s="74"/>
      <c r="Q520" s="74" t="s">
        <v>809</v>
      </c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</row>
    <row r="521" ht="15.75" customHeight="1">
      <c r="A521" s="74" t="s">
        <v>151</v>
      </c>
      <c r="B521" s="27" t="s">
        <v>146</v>
      </c>
      <c r="C521" s="183"/>
      <c r="D521" s="74" t="s">
        <v>245</v>
      </c>
      <c r="E521" s="184">
        <v>46198.0</v>
      </c>
      <c r="F521" s="185">
        <f t="shared" si="1"/>
        <v>25</v>
      </c>
      <c r="G521" s="185">
        <f t="shared" si="2"/>
        <v>6</v>
      </c>
      <c r="H521" s="185">
        <f t="shared" si="3"/>
        <v>2026</v>
      </c>
      <c r="I521" s="186">
        <v>6.0</v>
      </c>
      <c r="J521" s="186">
        <v>2026.0</v>
      </c>
      <c r="K521" s="187"/>
      <c r="L521" s="187">
        <v>2.99</v>
      </c>
      <c r="M521" s="27">
        <v>5.0</v>
      </c>
      <c r="N521" s="187">
        <f t="shared" si="23"/>
        <v>14.95</v>
      </c>
      <c r="O521" s="58"/>
      <c r="P521" s="74" t="s">
        <v>805</v>
      </c>
      <c r="Q521" s="74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</row>
    <row r="522" ht="15.75" customHeight="1">
      <c r="A522" s="74" t="s">
        <v>154</v>
      </c>
      <c r="B522" s="27" t="s">
        <v>204</v>
      </c>
      <c r="C522" s="183"/>
      <c r="D522" s="74" t="s">
        <v>245</v>
      </c>
      <c r="E522" s="184">
        <v>46198.0</v>
      </c>
      <c r="F522" s="185">
        <f t="shared" si="1"/>
        <v>25</v>
      </c>
      <c r="G522" s="185">
        <f t="shared" si="2"/>
        <v>6</v>
      </c>
      <c r="H522" s="185">
        <f t="shared" si="3"/>
        <v>2026</v>
      </c>
      <c r="I522" s="186">
        <v>6.0</v>
      </c>
      <c r="J522" s="186">
        <v>2026.0</v>
      </c>
      <c r="K522" s="187"/>
      <c r="L522" s="187">
        <v>0.99</v>
      </c>
      <c r="M522" s="27">
        <v>2.0</v>
      </c>
      <c r="N522" s="187">
        <f t="shared" si="23"/>
        <v>1.98</v>
      </c>
      <c r="O522" s="58"/>
      <c r="P522" s="74" t="s">
        <v>805</v>
      </c>
      <c r="Q522" s="74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</row>
    <row r="523" ht="15.75" customHeight="1">
      <c r="A523" s="74" t="s">
        <v>154</v>
      </c>
      <c r="B523" s="27" t="s">
        <v>204</v>
      </c>
      <c r="C523" s="183"/>
      <c r="D523" s="74" t="s">
        <v>245</v>
      </c>
      <c r="E523" s="184">
        <v>46198.0</v>
      </c>
      <c r="F523" s="185">
        <f t="shared" si="1"/>
        <v>25</v>
      </c>
      <c r="G523" s="185">
        <f t="shared" si="2"/>
        <v>6</v>
      </c>
      <c r="H523" s="185">
        <f t="shared" si="3"/>
        <v>2026</v>
      </c>
      <c r="I523" s="186">
        <v>6.0</v>
      </c>
      <c r="J523" s="186">
        <v>2026.0</v>
      </c>
      <c r="K523" s="187"/>
      <c r="L523" s="187">
        <v>0.99</v>
      </c>
      <c r="M523" s="27">
        <v>2.0</v>
      </c>
      <c r="N523" s="187">
        <f t="shared" si="23"/>
        <v>1.98</v>
      </c>
      <c r="O523" s="58"/>
      <c r="P523" s="74" t="s">
        <v>805</v>
      </c>
      <c r="Q523" s="74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</row>
    <row r="524" ht="15.75" customHeight="1">
      <c r="A524" s="74" t="s">
        <v>167</v>
      </c>
      <c r="B524" s="27" t="s">
        <v>41</v>
      </c>
      <c r="C524" s="183"/>
      <c r="D524" s="74" t="s">
        <v>2</v>
      </c>
      <c r="E524" s="184">
        <v>46199.0</v>
      </c>
      <c r="F524" s="185">
        <f t="shared" si="1"/>
        <v>26</v>
      </c>
      <c r="G524" s="185">
        <f t="shared" si="2"/>
        <v>6</v>
      </c>
      <c r="H524" s="185">
        <f t="shared" si="3"/>
        <v>2026</v>
      </c>
      <c r="I524" s="186">
        <v>6.0</v>
      </c>
      <c r="J524" s="186">
        <v>2026.0</v>
      </c>
      <c r="K524" s="187"/>
      <c r="L524" s="187">
        <v>149.15</v>
      </c>
      <c r="M524" s="27">
        <v>1.0</v>
      </c>
      <c r="N524" s="187">
        <f t="shared" si="23"/>
        <v>149.15</v>
      </c>
      <c r="O524" s="58"/>
      <c r="P524" s="74"/>
      <c r="Q524" s="74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</row>
    <row r="525" ht="15.75" customHeight="1">
      <c r="A525" s="74" t="s">
        <v>22</v>
      </c>
      <c r="B525" s="27" t="s">
        <v>27</v>
      </c>
      <c r="C525" s="183"/>
      <c r="D525" s="74" t="s">
        <v>2</v>
      </c>
      <c r="E525" s="184">
        <v>46199.0</v>
      </c>
      <c r="F525" s="185">
        <f t="shared" si="1"/>
        <v>26</v>
      </c>
      <c r="G525" s="185">
        <f t="shared" si="2"/>
        <v>6</v>
      </c>
      <c r="H525" s="185">
        <f t="shared" si="3"/>
        <v>2026</v>
      </c>
      <c r="I525" s="186">
        <v>6.0</v>
      </c>
      <c r="J525" s="186">
        <v>2026.0</v>
      </c>
      <c r="K525" s="187"/>
      <c r="L525" s="187">
        <v>50.0</v>
      </c>
      <c r="M525" s="27">
        <v>1.0</v>
      </c>
      <c r="N525" s="187">
        <f t="shared" si="23"/>
        <v>50</v>
      </c>
      <c r="O525" s="58"/>
      <c r="P525" s="74"/>
      <c r="Q525" s="74" t="s">
        <v>810</v>
      </c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</row>
    <row r="526" ht="15.75" customHeight="1">
      <c r="A526" s="74" t="s">
        <v>253</v>
      </c>
      <c r="B526" s="27" t="s">
        <v>266</v>
      </c>
      <c r="C526" s="183"/>
      <c r="D526" s="74" t="s">
        <v>245</v>
      </c>
      <c r="E526" s="184">
        <v>46201.0</v>
      </c>
      <c r="F526" s="185">
        <f t="shared" si="1"/>
        <v>28</v>
      </c>
      <c r="G526" s="185">
        <f t="shared" si="2"/>
        <v>6</v>
      </c>
      <c r="H526" s="185">
        <f t="shared" si="3"/>
        <v>2026</v>
      </c>
      <c r="I526" s="186">
        <v>6.0</v>
      </c>
      <c r="J526" s="186">
        <v>2026.0</v>
      </c>
      <c r="K526" s="187"/>
      <c r="L526" s="187">
        <v>500.0</v>
      </c>
      <c r="M526" s="27">
        <v>1.0</v>
      </c>
      <c r="N526" s="187">
        <f t="shared" si="23"/>
        <v>500</v>
      </c>
      <c r="O526" s="58"/>
      <c r="P526" s="74" t="s">
        <v>811</v>
      </c>
      <c r="Q526" s="74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</row>
    <row r="527" ht="15.75" customHeight="1">
      <c r="A527" s="74" t="s">
        <v>22</v>
      </c>
      <c r="B527" s="27" t="s">
        <v>342</v>
      </c>
      <c r="C527" s="183"/>
      <c r="D527" s="74" t="s">
        <v>245</v>
      </c>
      <c r="E527" s="184">
        <v>46201.0</v>
      </c>
      <c r="F527" s="185">
        <f t="shared" si="1"/>
        <v>28</v>
      </c>
      <c r="G527" s="185">
        <f t="shared" si="2"/>
        <v>6</v>
      </c>
      <c r="H527" s="185">
        <f t="shared" si="3"/>
        <v>2026</v>
      </c>
      <c r="I527" s="186">
        <v>6.0</v>
      </c>
      <c r="J527" s="186">
        <v>2026.0</v>
      </c>
      <c r="K527" s="187"/>
      <c r="L527" s="187">
        <v>20.0</v>
      </c>
      <c r="M527" s="27">
        <v>1.0</v>
      </c>
      <c r="N527" s="187">
        <f t="shared" si="23"/>
        <v>20</v>
      </c>
      <c r="O527" s="58"/>
      <c r="P527" s="74"/>
      <c r="Q527" s="74" t="s">
        <v>812</v>
      </c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</row>
    <row r="528" ht="15.75" customHeight="1">
      <c r="A528" s="74" t="s">
        <v>253</v>
      </c>
      <c r="B528" s="27" t="s">
        <v>266</v>
      </c>
      <c r="C528" s="183"/>
      <c r="D528" s="74" t="s">
        <v>245</v>
      </c>
      <c r="E528" s="184">
        <v>46202.0</v>
      </c>
      <c r="F528" s="185">
        <f t="shared" si="1"/>
        <v>29</v>
      </c>
      <c r="G528" s="185">
        <f t="shared" si="2"/>
        <v>6</v>
      </c>
      <c r="H528" s="185">
        <f t="shared" si="3"/>
        <v>2026</v>
      </c>
      <c r="I528" s="186">
        <v>6.0</v>
      </c>
      <c r="J528" s="186">
        <v>2026.0</v>
      </c>
      <c r="K528" s="187"/>
      <c r="L528" s="187">
        <v>500.0</v>
      </c>
      <c r="M528" s="27">
        <v>1.0</v>
      </c>
      <c r="N528" s="187">
        <f t="shared" si="23"/>
        <v>500</v>
      </c>
      <c r="O528" s="58"/>
      <c r="P528" s="74" t="s">
        <v>813</v>
      </c>
      <c r="Q528" s="74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</row>
    <row r="529" ht="15.75" customHeight="1">
      <c r="A529" s="74" t="s">
        <v>334</v>
      </c>
      <c r="B529" s="27" t="s">
        <v>34</v>
      </c>
      <c r="C529" s="183"/>
      <c r="D529" s="74" t="s">
        <v>12</v>
      </c>
      <c r="E529" s="184">
        <v>46203.0</v>
      </c>
      <c r="F529" s="185">
        <f t="shared" si="1"/>
        <v>30</v>
      </c>
      <c r="G529" s="185">
        <f t="shared" si="2"/>
        <v>6</v>
      </c>
      <c r="H529" s="185">
        <f t="shared" si="3"/>
        <v>2026</v>
      </c>
      <c r="I529" s="186">
        <f t="shared" ref="I529:J529" si="24">G529</f>
        <v>6</v>
      </c>
      <c r="J529" s="186">
        <f t="shared" si="24"/>
        <v>2026</v>
      </c>
      <c r="K529" s="187"/>
      <c r="L529" s="187">
        <v>1288.1</v>
      </c>
      <c r="M529" s="27">
        <v>1.0</v>
      </c>
      <c r="N529" s="187">
        <f>M529*L529</f>
        <v>1288.1</v>
      </c>
      <c r="O529" s="58"/>
      <c r="P529" s="74"/>
      <c r="Q529" s="74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</row>
    <row r="530" ht="15.75" customHeight="1">
      <c r="A530" s="74" t="s">
        <v>178</v>
      </c>
      <c r="B530" s="27" t="s">
        <v>154</v>
      </c>
      <c r="C530" s="183"/>
      <c r="D530" s="74" t="s">
        <v>2</v>
      </c>
      <c r="E530" s="184">
        <v>46203.0</v>
      </c>
      <c r="F530" s="185">
        <f t="shared" si="1"/>
        <v>30</v>
      </c>
      <c r="G530" s="185">
        <f t="shared" si="2"/>
        <v>6</v>
      </c>
      <c r="H530" s="185">
        <f t="shared" si="3"/>
        <v>2026</v>
      </c>
      <c r="I530" s="186">
        <v>6.0</v>
      </c>
      <c r="J530" s="186">
        <v>2026.0</v>
      </c>
      <c r="K530" s="187"/>
      <c r="L530" s="187">
        <v>2410.8</v>
      </c>
      <c r="M530" s="27">
        <v>1.0</v>
      </c>
      <c r="N530" s="187">
        <f t="shared" ref="N530:N532" si="25">L530*M530</f>
        <v>2410.8</v>
      </c>
      <c r="O530" s="58"/>
      <c r="P530" s="74"/>
      <c r="Q530" s="74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</row>
    <row r="531" ht="15.75" customHeight="1">
      <c r="A531" s="74" t="s">
        <v>334</v>
      </c>
      <c r="B531" s="27" t="s">
        <v>501</v>
      </c>
      <c r="C531" s="183"/>
      <c r="D531" s="74" t="s">
        <v>2</v>
      </c>
      <c r="E531" s="184">
        <v>46203.0</v>
      </c>
      <c r="F531" s="185">
        <f t="shared" si="1"/>
        <v>30</v>
      </c>
      <c r="G531" s="185">
        <f t="shared" si="2"/>
        <v>6</v>
      </c>
      <c r="H531" s="185">
        <f t="shared" si="3"/>
        <v>2026</v>
      </c>
      <c r="I531" s="186">
        <v>6.0</v>
      </c>
      <c r="J531" s="186">
        <v>2026.0</v>
      </c>
      <c r="K531" s="187"/>
      <c r="L531" s="187">
        <v>1150.0</v>
      </c>
      <c r="M531" s="27">
        <v>1.0</v>
      </c>
      <c r="N531" s="187">
        <f t="shared" si="25"/>
        <v>1150</v>
      </c>
      <c r="O531" s="58"/>
      <c r="P531" s="74"/>
      <c r="Q531" s="74" t="s">
        <v>502</v>
      </c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</row>
    <row r="532" ht="15.75" customHeight="1">
      <c r="A532" s="74" t="s">
        <v>136</v>
      </c>
      <c r="B532" s="27" t="s">
        <v>134</v>
      </c>
      <c r="C532" s="183"/>
      <c r="D532" s="74" t="s">
        <v>2</v>
      </c>
      <c r="E532" s="184">
        <v>46203.0</v>
      </c>
      <c r="F532" s="185">
        <f t="shared" si="1"/>
        <v>30</v>
      </c>
      <c r="G532" s="185">
        <f t="shared" si="2"/>
        <v>6</v>
      </c>
      <c r="H532" s="185">
        <f t="shared" si="3"/>
        <v>2026</v>
      </c>
      <c r="I532" s="186">
        <v>6.0</v>
      </c>
      <c r="J532" s="186">
        <v>2026.0</v>
      </c>
      <c r="K532" s="187"/>
      <c r="L532" s="187">
        <v>21.01</v>
      </c>
      <c r="M532" s="27">
        <v>1.0</v>
      </c>
      <c r="N532" s="187">
        <f t="shared" si="25"/>
        <v>21.01</v>
      </c>
      <c r="O532" s="58"/>
      <c r="P532" s="74"/>
      <c r="Q532" s="74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</row>
    <row r="533" ht="15.75" customHeight="1">
      <c r="A533" s="74" t="s">
        <v>22</v>
      </c>
      <c r="B533" s="27" t="s">
        <v>25</v>
      </c>
      <c r="C533" s="183"/>
      <c r="D533" s="74" t="s">
        <v>5</v>
      </c>
      <c r="E533" s="184">
        <v>46203.0</v>
      </c>
      <c r="F533" s="185">
        <f t="shared" si="1"/>
        <v>30</v>
      </c>
      <c r="G533" s="185">
        <f t="shared" si="2"/>
        <v>6</v>
      </c>
      <c r="H533" s="185">
        <f t="shared" si="3"/>
        <v>2026</v>
      </c>
      <c r="I533" s="186">
        <f t="shared" ref="I533:J533" si="26">G533</f>
        <v>6</v>
      </c>
      <c r="J533" s="186">
        <f t="shared" si="26"/>
        <v>2026</v>
      </c>
      <c r="K533" s="187"/>
      <c r="L533" s="187">
        <v>1665.0</v>
      </c>
      <c r="M533" s="27">
        <v>1.0</v>
      </c>
      <c r="N533" s="187">
        <f>M533*L533</f>
        <v>1665</v>
      </c>
      <c r="O533" s="58"/>
      <c r="P533" s="74" t="s">
        <v>20</v>
      </c>
      <c r="Q533" s="74" t="s">
        <v>814</v>
      </c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</row>
    <row r="534" ht="15.75" customHeight="1">
      <c r="A534" s="74" t="s">
        <v>178</v>
      </c>
      <c r="B534" s="27" t="s">
        <v>311</v>
      </c>
      <c r="C534" s="183"/>
      <c r="D534" s="74" t="s">
        <v>5</v>
      </c>
      <c r="E534" s="184">
        <v>46204.0</v>
      </c>
      <c r="F534" s="185">
        <f t="shared" si="1"/>
        <v>1</v>
      </c>
      <c r="G534" s="185">
        <f t="shared" si="2"/>
        <v>7</v>
      </c>
      <c r="H534" s="185">
        <f t="shared" si="3"/>
        <v>2026</v>
      </c>
      <c r="I534" s="186">
        <v>6.0</v>
      </c>
      <c r="J534" s="186">
        <v>2026.0</v>
      </c>
      <c r="K534" s="187"/>
      <c r="L534" s="187">
        <v>400.0</v>
      </c>
      <c r="M534" s="27">
        <v>1.0</v>
      </c>
      <c r="N534" s="187">
        <f t="shared" ref="N534:N584" si="27">L534*M534</f>
        <v>400</v>
      </c>
      <c r="O534" s="58"/>
      <c r="P534" s="74"/>
      <c r="Q534" s="74" t="s">
        <v>357</v>
      </c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</row>
    <row r="535" ht="15.75" customHeight="1">
      <c r="A535" s="74" t="s">
        <v>178</v>
      </c>
      <c r="B535" s="27" t="s">
        <v>311</v>
      </c>
      <c r="C535" s="183"/>
      <c r="D535" s="74" t="s">
        <v>5</v>
      </c>
      <c r="E535" s="184">
        <v>46204.0</v>
      </c>
      <c r="F535" s="185">
        <f t="shared" si="1"/>
        <v>1</v>
      </c>
      <c r="G535" s="185">
        <f t="shared" si="2"/>
        <v>7</v>
      </c>
      <c r="H535" s="185">
        <f t="shared" si="3"/>
        <v>2026</v>
      </c>
      <c r="I535" s="186">
        <v>6.0</v>
      </c>
      <c r="J535" s="186">
        <v>2026.0</v>
      </c>
      <c r="K535" s="187"/>
      <c r="L535" s="187">
        <v>280.0</v>
      </c>
      <c r="M535" s="27">
        <v>1.0</v>
      </c>
      <c r="N535" s="187">
        <f t="shared" si="27"/>
        <v>280</v>
      </c>
      <c r="O535" s="58"/>
      <c r="P535" s="74"/>
      <c r="Q535" s="74" t="s">
        <v>815</v>
      </c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</row>
    <row r="536" ht="15.75" customHeight="1">
      <c r="A536" s="74" t="s">
        <v>167</v>
      </c>
      <c r="B536" s="27" t="s">
        <v>32</v>
      </c>
      <c r="C536" s="183"/>
      <c r="D536" s="74" t="s">
        <v>2</v>
      </c>
      <c r="E536" s="184">
        <v>46204.0</v>
      </c>
      <c r="F536" s="185">
        <f t="shared" si="1"/>
        <v>1</v>
      </c>
      <c r="G536" s="185">
        <f t="shared" si="2"/>
        <v>7</v>
      </c>
      <c r="H536" s="185">
        <f t="shared" si="3"/>
        <v>2026</v>
      </c>
      <c r="I536" s="186">
        <v>7.0</v>
      </c>
      <c r="J536" s="186">
        <v>2026.0</v>
      </c>
      <c r="K536" s="187"/>
      <c r="L536" s="187">
        <v>230.0</v>
      </c>
      <c r="M536" s="27">
        <v>1.0</v>
      </c>
      <c r="N536" s="187">
        <f t="shared" si="27"/>
        <v>230</v>
      </c>
      <c r="O536" s="58"/>
      <c r="P536" s="74"/>
      <c r="Q536" s="74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</row>
    <row r="537" ht="15.75" customHeight="1">
      <c r="A537" s="74" t="s">
        <v>167</v>
      </c>
      <c r="B537" s="27" t="s">
        <v>49</v>
      </c>
      <c r="C537" s="183"/>
      <c r="D537" s="74" t="s">
        <v>2</v>
      </c>
      <c r="E537" s="184">
        <v>46204.0</v>
      </c>
      <c r="F537" s="185">
        <f t="shared" si="1"/>
        <v>1</v>
      </c>
      <c r="G537" s="185">
        <f t="shared" si="2"/>
        <v>7</v>
      </c>
      <c r="H537" s="185">
        <f t="shared" si="3"/>
        <v>2026</v>
      </c>
      <c r="I537" s="231">
        <v>7.0</v>
      </c>
      <c r="J537" s="186">
        <f t="shared" ref="J537:J541" si="28">H537</f>
        <v>2026</v>
      </c>
      <c r="K537" s="187"/>
      <c r="L537" s="187">
        <v>87.3</v>
      </c>
      <c r="M537" s="27">
        <v>1.0</v>
      </c>
      <c r="N537" s="187">
        <f t="shared" si="27"/>
        <v>87.3</v>
      </c>
      <c r="O537" s="58"/>
      <c r="P537" s="74"/>
      <c r="Q537" s="74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</row>
    <row r="538" ht="15.75" customHeight="1">
      <c r="A538" s="74" t="s">
        <v>167</v>
      </c>
      <c r="B538" s="27" t="s">
        <v>37</v>
      </c>
      <c r="C538" s="183"/>
      <c r="D538" s="74" t="s">
        <v>2</v>
      </c>
      <c r="E538" s="184">
        <v>46204.0</v>
      </c>
      <c r="F538" s="185">
        <f t="shared" si="1"/>
        <v>1</v>
      </c>
      <c r="G538" s="185">
        <f t="shared" si="2"/>
        <v>7</v>
      </c>
      <c r="H538" s="185">
        <f t="shared" si="3"/>
        <v>2026</v>
      </c>
      <c r="I538" s="186">
        <v>6.0</v>
      </c>
      <c r="J538" s="186">
        <f t="shared" si="28"/>
        <v>2026</v>
      </c>
      <c r="K538" s="187"/>
      <c r="L538" s="187">
        <v>75.57</v>
      </c>
      <c r="M538" s="27">
        <v>1.0</v>
      </c>
      <c r="N538" s="187">
        <f t="shared" si="27"/>
        <v>75.57</v>
      </c>
      <c r="O538" s="58"/>
      <c r="P538" s="74"/>
      <c r="Q538" s="74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</row>
    <row r="539" ht="15.75" customHeight="1">
      <c r="A539" s="74" t="s">
        <v>172</v>
      </c>
      <c r="B539" s="27" t="s">
        <v>290</v>
      </c>
      <c r="C539" s="183"/>
      <c r="D539" s="74" t="s">
        <v>2</v>
      </c>
      <c r="E539" s="184">
        <v>46204.0</v>
      </c>
      <c r="F539" s="185">
        <f t="shared" si="1"/>
        <v>1</v>
      </c>
      <c r="G539" s="185">
        <f t="shared" si="2"/>
        <v>7</v>
      </c>
      <c r="H539" s="185">
        <f t="shared" si="3"/>
        <v>2026</v>
      </c>
      <c r="I539" s="186">
        <v>6.0</v>
      </c>
      <c r="J539" s="186">
        <f t="shared" si="28"/>
        <v>2026</v>
      </c>
      <c r="K539" s="187"/>
      <c r="L539" s="187">
        <v>18.6</v>
      </c>
      <c r="M539" s="27">
        <v>4.0</v>
      </c>
      <c r="N539" s="187">
        <f t="shared" si="27"/>
        <v>74.4</v>
      </c>
      <c r="O539" s="58"/>
      <c r="P539" s="74"/>
      <c r="Q539" s="74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</row>
    <row r="540" ht="15.75" customHeight="1">
      <c r="A540" s="74" t="s">
        <v>172</v>
      </c>
      <c r="B540" s="27" t="s">
        <v>285</v>
      </c>
      <c r="C540" s="183"/>
      <c r="D540" s="74" t="s">
        <v>2</v>
      </c>
      <c r="E540" s="184">
        <v>46204.0</v>
      </c>
      <c r="F540" s="185">
        <f t="shared" si="1"/>
        <v>1</v>
      </c>
      <c r="G540" s="185">
        <f t="shared" si="2"/>
        <v>7</v>
      </c>
      <c r="H540" s="185">
        <f t="shared" si="3"/>
        <v>2026</v>
      </c>
      <c r="I540" s="186">
        <v>6.0</v>
      </c>
      <c r="J540" s="186">
        <f t="shared" si="28"/>
        <v>2026</v>
      </c>
      <c r="K540" s="187"/>
      <c r="L540" s="187">
        <v>21.4</v>
      </c>
      <c r="M540" s="27">
        <v>2.0</v>
      </c>
      <c r="N540" s="187">
        <f t="shared" si="27"/>
        <v>42.8</v>
      </c>
      <c r="O540" s="58"/>
      <c r="P540" s="74"/>
      <c r="Q540" s="74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</row>
    <row r="541" ht="15.75" customHeight="1">
      <c r="A541" s="74" t="s">
        <v>172</v>
      </c>
      <c r="B541" s="27" t="s">
        <v>281</v>
      </c>
      <c r="C541" s="183"/>
      <c r="D541" s="74" t="s">
        <v>2</v>
      </c>
      <c r="E541" s="184">
        <v>46204.0</v>
      </c>
      <c r="F541" s="185">
        <f t="shared" si="1"/>
        <v>1</v>
      </c>
      <c r="G541" s="185">
        <f t="shared" si="2"/>
        <v>7</v>
      </c>
      <c r="H541" s="185">
        <f t="shared" si="3"/>
        <v>2026</v>
      </c>
      <c r="I541" s="186">
        <v>6.0</v>
      </c>
      <c r="J541" s="186">
        <f t="shared" si="28"/>
        <v>2026</v>
      </c>
      <c r="K541" s="187"/>
      <c r="L541" s="187">
        <v>42.63</v>
      </c>
      <c r="M541" s="27">
        <v>1.0</v>
      </c>
      <c r="N541" s="187">
        <f t="shared" si="27"/>
        <v>42.63</v>
      </c>
      <c r="O541" s="58"/>
      <c r="P541" s="74"/>
      <c r="Q541" s="74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</row>
    <row r="542" ht="15.75" customHeight="1">
      <c r="A542" s="74" t="s">
        <v>175</v>
      </c>
      <c r="B542" s="27" t="s">
        <v>296</v>
      </c>
      <c r="C542" s="183"/>
      <c r="D542" s="74" t="s">
        <v>245</v>
      </c>
      <c r="E542" s="184">
        <v>46204.0</v>
      </c>
      <c r="F542" s="185">
        <f t="shared" si="1"/>
        <v>1</v>
      </c>
      <c r="G542" s="185">
        <f t="shared" si="2"/>
        <v>7</v>
      </c>
      <c r="H542" s="185">
        <f t="shared" si="3"/>
        <v>2026</v>
      </c>
      <c r="I542" s="186">
        <f t="shared" ref="I542:J542" si="29">G542</f>
        <v>7</v>
      </c>
      <c r="J542" s="186">
        <f t="shared" si="29"/>
        <v>2026</v>
      </c>
      <c r="K542" s="187"/>
      <c r="L542" s="187">
        <v>20.9</v>
      </c>
      <c r="M542" s="27">
        <v>1.0</v>
      </c>
      <c r="N542" s="187">
        <f t="shared" si="27"/>
        <v>20.9</v>
      </c>
      <c r="O542" s="58"/>
      <c r="P542" s="74"/>
      <c r="Q542" s="74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</row>
    <row r="543" ht="15.75" customHeight="1">
      <c r="A543" s="74" t="s">
        <v>172</v>
      </c>
      <c r="B543" s="27" t="s">
        <v>291</v>
      </c>
      <c r="C543" s="183"/>
      <c r="D543" s="74" t="s">
        <v>2</v>
      </c>
      <c r="E543" s="184">
        <v>46204.0</v>
      </c>
      <c r="F543" s="185">
        <f t="shared" si="1"/>
        <v>1</v>
      </c>
      <c r="G543" s="185">
        <f t="shared" si="2"/>
        <v>7</v>
      </c>
      <c r="H543" s="185">
        <f t="shared" si="3"/>
        <v>2026</v>
      </c>
      <c r="I543" s="186">
        <v>6.0</v>
      </c>
      <c r="J543" s="186">
        <f t="shared" ref="J543:J546" si="30">H543</f>
        <v>2026</v>
      </c>
      <c r="K543" s="187"/>
      <c r="L543" s="187">
        <v>20.6</v>
      </c>
      <c r="M543" s="27">
        <v>1.0</v>
      </c>
      <c r="N543" s="187">
        <f t="shared" si="27"/>
        <v>20.6</v>
      </c>
      <c r="O543" s="58"/>
      <c r="P543" s="74"/>
      <c r="Q543" s="74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</row>
    <row r="544" ht="15.75" customHeight="1">
      <c r="A544" s="74" t="s">
        <v>172</v>
      </c>
      <c r="B544" s="27" t="s">
        <v>288</v>
      </c>
      <c r="C544" s="183"/>
      <c r="D544" s="74" t="s">
        <v>2</v>
      </c>
      <c r="E544" s="184">
        <v>46204.0</v>
      </c>
      <c r="F544" s="185">
        <f t="shared" si="1"/>
        <v>1</v>
      </c>
      <c r="G544" s="185">
        <f t="shared" si="2"/>
        <v>7</v>
      </c>
      <c r="H544" s="185">
        <f t="shared" si="3"/>
        <v>2026</v>
      </c>
      <c r="I544" s="186">
        <v>6.0</v>
      </c>
      <c r="J544" s="186">
        <f t="shared" si="30"/>
        <v>2026</v>
      </c>
      <c r="K544" s="187"/>
      <c r="L544" s="187">
        <v>17.95</v>
      </c>
      <c r="M544" s="27">
        <v>1.0</v>
      </c>
      <c r="N544" s="187">
        <f t="shared" si="27"/>
        <v>17.95</v>
      </c>
      <c r="O544" s="58"/>
      <c r="P544" s="74"/>
      <c r="Q544" s="74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</row>
    <row r="545" ht="15.75" customHeight="1">
      <c r="A545" s="74" t="s">
        <v>172</v>
      </c>
      <c r="B545" s="27" t="s">
        <v>280</v>
      </c>
      <c r="C545" s="183"/>
      <c r="D545" s="74" t="s">
        <v>2</v>
      </c>
      <c r="E545" s="184">
        <v>46204.0</v>
      </c>
      <c r="F545" s="185">
        <f t="shared" si="1"/>
        <v>1</v>
      </c>
      <c r="G545" s="185">
        <f t="shared" si="2"/>
        <v>7</v>
      </c>
      <c r="H545" s="185">
        <f t="shared" si="3"/>
        <v>2026</v>
      </c>
      <c r="I545" s="186">
        <v>6.0</v>
      </c>
      <c r="J545" s="186">
        <f t="shared" si="30"/>
        <v>2026</v>
      </c>
      <c r="K545" s="187"/>
      <c r="L545" s="187">
        <v>15.6</v>
      </c>
      <c r="M545" s="27">
        <v>1.0</v>
      </c>
      <c r="N545" s="187">
        <f t="shared" si="27"/>
        <v>15.6</v>
      </c>
      <c r="O545" s="58"/>
      <c r="P545" s="74"/>
      <c r="Q545" s="74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</row>
    <row r="546" ht="15.75" customHeight="1">
      <c r="A546" s="74" t="s">
        <v>172</v>
      </c>
      <c r="B546" s="27" t="s">
        <v>293</v>
      </c>
      <c r="C546" s="183"/>
      <c r="D546" s="74" t="s">
        <v>2</v>
      </c>
      <c r="E546" s="184">
        <v>46204.0</v>
      </c>
      <c r="F546" s="185">
        <f t="shared" si="1"/>
        <v>1</v>
      </c>
      <c r="G546" s="185">
        <f t="shared" si="2"/>
        <v>7</v>
      </c>
      <c r="H546" s="185">
        <f t="shared" si="3"/>
        <v>2026</v>
      </c>
      <c r="I546" s="186">
        <v>6.0</v>
      </c>
      <c r="J546" s="186">
        <f t="shared" si="30"/>
        <v>2026</v>
      </c>
      <c r="K546" s="187"/>
      <c r="L546" s="187">
        <v>1.4</v>
      </c>
      <c r="M546" s="27">
        <v>10.0</v>
      </c>
      <c r="N546" s="187">
        <f t="shared" si="27"/>
        <v>14</v>
      </c>
      <c r="O546" s="58"/>
      <c r="P546" s="74"/>
      <c r="Q546" s="74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</row>
    <row r="547" ht="15.75" customHeight="1">
      <c r="A547" s="74" t="s">
        <v>178</v>
      </c>
      <c r="B547" s="27" t="s">
        <v>310</v>
      </c>
      <c r="C547" s="183"/>
      <c r="D547" s="74" t="s">
        <v>245</v>
      </c>
      <c r="E547" s="184">
        <v>46205.0</v>
      </c>
      <c r="F547" s="185">
        <f t="shared" si="1"/>
        <v>2</v>
      </c>
      <c r="G547" s="185">
        <f t="shared" si="2"/>
        <v>7</v>
      </c>
      <c r="H547" s="185">
        <f t="shared" si="3"/>
        <v>2026</v>
      </c>
      <c r="I547" s="186">
        <v>6.0</v>
      </c>
      <c r="J547" s="186">
        <v>2026.0</v>
      </c>
      <c r="K547" s="187"/>
      <c r="L547" s="187">
        <v>310.0</v>
      </c>
      <c r="M547" s="27">
        <v>1.0</v>
      </c>
      <c r="N547" s="187">
        <f t="shared" si="27"/>
        <v>310</v>
      </c>
      <c r="O547" s="58"/>
      <c r="P547" s="74"/>
      <c r="Q547" s="74" t="s">
        <v>551</v>
      </c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</row>
    <row r="548" ht="15.75" customHeight="1">
      <c r="A548" s="74" t="s">
        <v>22</v>
      </c>
      <c r="B548" s="27" t="s">
        <v>27</v>
      </c>
      <c r="C548" s="183"/>
      <c r="D548" s="74" t="s">
        <v>2</v>
      </c>
      <c r="E548" s="184">
        <v>46205.0</v>
      </c>
      <c r="F548" s="185">
        <f t="shared" si="1"/>
        <v>2</v>
      </c>
      <c r="G548" s="185">
        <f t="shared" si="2"/>
        <v>7</v>
      </c>
      <c r="H548" s="185">
        <f t="shared" si="3"/>
        <v>2026</v>
      </c>
      <c r="I548" s="186">
        <f t="shared" ref="I548:J548" si="31">G548</f>
        <v>7</v>
      </c>
      <c r="J548" s="186">
        <f t="shared" si="31"/>
        <v>2026</v>
      </c>
      <c r="K548" s="187"/>
      <c r="L548" s="187">
        <v>103.08</v>
      </c>
      <c r="M548" s="27">
        <v>1.0</v>
      </c>
      <c r="N548" s="187">
        <f t="shared" si="27"/>
        <v>103.08</v>
      </c>
      <c r="O548" s="58"/>
      <c r="P548" s="74"/>
      <c r="Q548" s="74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</row>
    <row r="549" ht="15.75" customHeight="1">
      <c r="A549" s="74" t="s">
        <v>253</v>
      </c>
      <c r="B549" s="27" t="s">
        <v>266</v>
      </c>
      <c r="C549" s="183"/>
      <c r="D549" s="74" t="s">
        <v>245</v>
      </c>
      <c r="E549" s="184">
        <v>46206.0</v>
      </c>
      <c r="F549" s="185">
        <f t="shared" si="1"/>
        <v>3</v>
      </c>
      <c r="G549" s="185">
        <f t="shared" si="2"/>
        <v>7</v>
      </c>
      <c r="H549" s="185">
        <f t="shared" si="3"/>
        <v>2026</v>
      </c>
      <c r="I549" s="186">
        <f t="shared" ref="I549:J549" si="32">G549</f>
        <v>7</v>
      </c>
      <c r="J549" s="186">
        <f t="shared" si="32"/>
        <v>2026</v>
      </c>
      <c r="K549" s="187"/>
      <c r="L549" s="187">
        <v>500.0</v>
      </c>
      <c r="M549" s="27">
        <v>1.0</v>
      </c>
      <c r="N549" s="187">
        <f t="shared" si="27"/>
        <v>500</v>
      </c>
      <c r="O549" s="58"/>
      <c r="P549" s="74"/>
      <c r="Q549" s="74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</row>
    <row r="550" ht="15.75" customHeight="1">
      <c r="A550" s="74" t="s">
        <v>178</v>
      </c>
      <c r="B550" s="27" t="s">
        <v>311</v>
      </c>
      <c r="C550" s="183"/>
      <c r="D550" s="74" t="s">
        <v>2</v>
      </c>
      <c r="E550" s="184">
        <v>46209.0</v>
      </c>
      <c r="F550" s="185">
        <f t="shared" si="1"/>
        <v>6</v>
      </c>
      <c r="G550" s="185">
        <f t="shared" si="2"/>
        <v>7</v>
      </c>
      <c r="H550" s="185">
        <f t="shared" si="3"/>
        <v>2026</v>
      </c>
      <c r="I550" s="186">
        <v>6.0</v>
      </c>
      <c r="J550" s="186">
        <v>2026.0</v>
      </c>
      <c r="K550" s="187"/>
      <c r="L550" s="187">
        <v>1219.58</v>
      </c>
      <c r="M550" s="27">
        <v>1.0</v>
      </c>
      <c r="N550" s="187">
        <f t="shared" si="27"/>
        <v>1219.58</v>
      </c>
      <c r="O550" s="58"/>
      <c r="P550" s="74"/>
      <c r="Q550" s="74" t="s">
        <v>816</v>
      </c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</row>
    <row r="551" ht="15.75" customHeight="1">
      <c r="A551" s="74" t="s">
        <v>528</v>
      </c>
      <c r="B551" s="27" t="s">
        <v>145</v>
      </c>
      <c r="C551" s="183"/>
      <c r="D551" s="74" t="s">
        <v>245</v>
      </c>
      <c r="E551" s="184">
        <v>46209.0</v>
      </c>
      <c r="F551" s="185">
        <f t="shared" si="1"/>
        <v>6</v>
      </c>
      <c r="G551" s="185">
        <f t="shared" si="2"/>
        <v>7</v>
      </c>
      <c r="H551" s="185">
        <f t="shared" si="3"/>
        <v>2026</v>
      </c>
      <c r="I551" s="186">
        <f t="shared" ref="I551:J551" si="33">G551</f>
        <v>7</v>
      </c>
      <c r="J551" s="186">
        <f t="shared" si="33"/>
        <v>2026</v>
      </c>
      <c r="K551" s="187"/>
      <c r="L551" s="187">
        <f>2.79/6-0.03</f>
        <v>0.435</v>
      </c>
      <c r="M551" s="27">
        <f>6*37</f>
        <v>222</v>
      </c>
      <c r="N551" s="187">
        <f t="shared" si="27"/>
        <v>96.57</v>
      </c>
      <c r="O551" s="58"/>
      <c r="P551" s="74"/>
      <c r="Q551" s="74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</row>
    <row r="552" ht="15.75" customHeight="1">
      <c r="A552" s="74" t="s">
        <v>151</v>
      </c>
      <c r="B552" s="27" t="s">
        <v>181</v>
      </c>
      <c r="C552" s="183"/>
      <c r="D552" s="74" t="s">
        <v>245</v>
      </c>
      <c r="E552" s="184">
        <v>46209.0</v>
      </c>
      <c r="F552" s="185">
        <f t="shared" si="1"/>
        <v>6</v>
      </c>
      <c r="G552" s="185">
        <f t="shared" si="2"/>
        <v>7</v>
      </c>
      <c r="H552" s="185">
        <f t="shared" si="3"/>
        <v>2026</v>
      </c>
      <c r="I552" s="186">
        <f t="shared" ref="I552:J552" si="34">G552</f>
        <v>7</v>
      </c>
      <c r="J552" s="186">
        <f t="shared" si="34"/>
        <v>2026</v>
      </c>
      <c r="K552" s="187"/>
      <c r="L552" s="187">
        <v>1.99</v>
      </c>
      <c r="M552" s="27">
        <v>30.0</v>
      </c>
      <c r="N552" s="187">
        <f t="shared" si="27"/>
        <v>59.7</v>
      </c>
      <c r="O552" s="58"/>
      <c r="P552" s="74"/>
      <c r="Q552" s="74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</row>
    <row r="553" ht="15.75" customHeight="1">
      <c r="A553" s="74" t="s">
        <v>151</v>
      </c>
      <c r="B553" s="27" t="s">
        <v>186</v>
      </c>
      <c r="C553" s="183"/>
      <c r="D553" s="74" t="s">
        <v>245</v>
      </c>
      <c r="E553" s="184">
        <v>46209.0</v>
      </c>
      <c r="F553" s="185">
        <f t="shared" si="1"/>
        <v>6</v>
      </c>
      <c r="G553" s="185">
        <f t="shared" si="2"/>
        <v>7</v>
      </c>
      <c r="H553" s="185">
        <f t="shared" si="3"/>
        <v>2026</v>
      </c>
      <c r="I553" s="186">
        <f t="shared" ref="I553:J553" si="35">G553</f>
        <v>7</v>
      </c>
      <c r="J553" s="186">
        <f t="shared" si="35"/>
        <v>2026</v>
      </c>
      <c r="K553" s="187"/>
      <c r="L553" s="187">
        <v>3.49</v>
      </c>
      <c r="M553" s="27">
        <v>10.0</v>
      </c>
      <c r="N553" s="187">
        <f t="shared" si="27"/>
        <v>34.9</v>
      </c>
      <c r="O553" s="58"/>
      <c r="P553" s="74"/>
      <c r="Q553" s="74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</row>
    <row r="554" ht="15.75" customHeight="1">
      <c r="A554" s="74" t="s">
        <v>151</v>
      </c>
      <c r="B554" s="27" t="s">
        <v>185</v>
      </c>
      <c r="C554" s="183"/>
      <c r="D554" s="74" t="s">
        <v>245</v>
      </c>
      <c r="E554" s="184">
        <v>46209.0</v>
      </c>
      <c r="F554" s="185">
        <f t="shared" si="1"/>
        <v>6</v>
      </c>
      <c r="G554" s="185">
        <f t="shared" si="2"/>
        <v>7</v>
      </c>
      <c r="H554" s="185">
        <f t="shared" si="3"/>
        <v>2026</v>
      </c>
      <c r="I554" s="186">
        <f t="shared" ref="I554:J554" si="36">G554</f>
        <v>7</v>
      </c>
      <c r="J554" s="186">
        <f t="shared" si="36"/>
        <v>2026</v>
      </c>
      <c r="K554" s="187"/>
      <c r="L554" s="187">
        <v>0.86</v>
      </c>
      <c r="M554" s="27">
        <v>36.0</v>
      </c>
      <c r="N554" s="187">
        <f t="shared" si="27"/>
        <v>30.96</v>
      </c>
      <c r="O554" s="58"/>
      <c r="P554" s="74"/>
      <c r="Q554" s="74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</row>
    <row r="555" ht="15.75" customHeight="1">
      <c r="A555" s="74" t="s">
        <v>253</v>
      </c>
      <c r="B555" s="27" t="s">
        <v>266</v>
      </c>
      <c r="C555" s="183"/>
      <c r="D555" s="74" t="s">
        <v>245</v>
      </c>
      <c r="E555" s="184">
        <v>46210.0</v>
      </c>
      <c r="F555" s="185">
        <f t="shared" si="1"/>
        <v>7</v>
      </c>
      <c r="G555" s="185">
        <f t="shared" si="2"/>
        <v>7</v>
      </c>
      <c r="H555" s="185">
        <f t="shared" si="3"/>
        <v>2026</v>
      </c>
      <c r="I555" s="186">
        <f t="shared" ref="I555:J555" si="37">G555</f>
        <v>7</v>
      </c>
      <c r="J555" s="186">
        <f t="shared" si="37"/>
        <v>2026</v>
      </c>
      <c r="K555" s="187"/>
      <c r="L555" s="187">
        <v>1000.0</v>
      </c>
      <c r="M555" s="27">
        <v>1.0</v>
      </c>
      <c r="N555" s="187">
        <f t="shared" si="27"/>
        <v>1000</v>
      </c>
      <c r="O555" s="58"/>
      <c r="P555" s="74"/>
      <c r="Q555" s="74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</row>
    <row r="556" ht="15.75" customHeight="1">
      <c r="A556" s="74" t="s">
        <v>253</v>
      </c>
      <c r="B556" s="27" t="s">
        <v>266</v>
      </c>
      <c r="C556" s="183"/>
      <c r="D556" s="74" t="s">
        <v>245</v>
      </c>
      <c r="E556" s="184">
        <v>46210.0</v>
      </c>
      <c r="F556" s="185">
        <f t="shared" si="1"/>
        <v>7</v>
      </c>
      <c r="G556" s="185">
        <f t="shared" si="2"/>
        <v>7</v>
      </c>
      <c r="H556" s="185">
        <f t="shared" si="3"/>
        <v>2026</v>
      </c>
      <c r="I556" s="186">
        <f t="shared" ref="I556:J556" si="38">G556</f>
        <v>7</v>
      </c>
      <c r="J556" s="186">
        <f t="shared" si="38"/>
        <v>2026</v>
      </c>
      <c r="K556" s="187"/>
      <c r="L556" s="187">
        <v>500.0</v>
      </c>
      <c r="M556" s="27">
        <v>1.0</v>
      </c>
      <c r="N556" s="187">
        <f t="shared" si="27"/>
        <v>500</v>
      </c>
      <c r="O556" s="58"/>
      <c r="P556" s="74"/>
      <c r="Q556" s="74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</row>
    <row r="557" ht="15.75" customHeight="1">
      <c r="A557" s="74" t="s">
        <v>742</v>
      </c>
      <c r="B557" s="27" t="s">
        <v>658</v>
      </c>
      <c r="C557" s="183"/>
      <c r="D557" s="74" t="s">
        <v>245</v>
      </c>
      <c r="E557" s="184">
        <v>46210.0</v>
      </c>
      <c r="F557" s="185">
        <f t="shared" si="1"/>
        <v>7</v>
      </c>
      <c r="G557" s="185">
        <f t="shared" si="2"/>
        <v>7</v>
      </c>
      <c r="H557" s="185">
        <f t="shared" si="3"/>
        <v>2026</v>
      </c>
      <c r="I557" s="186">
        <f t="shared" ref="I557:J557" si="39">G557</f>
        <v>7</v>
      </c>
      <c r="J557" s="186">
        <f t="shared" si="39"/>
        <v>2026</v>
      </c>
      <c r="K557" s="187"/>
      <c r="L557" s="187">
        <f>1.35+5.89</f>
        <v>7.24</v>
      </c>
      <c r="M557" s="27">
        <v>15.0</v>
      </c>
      <c r="N557" s="187">
        <f t="shared" si="27"/>
        <v>108.6</v>
      </c>
      <c r="O557" s="58"/>
      <c r="P557" s="74"/>
      <c r="Q557" s="74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</row>
    <row r="558" ht="15.75" customHeight="1">
      <c r="A558" s="74" t="s">
        <v>153</v>
      </c>
      <c r="B558" s="27" t="s">
        <v>315</v>
      </c>
      <c r="C558" s="183"/>
      <c r="D558" s="74" t="s">
        <v>245</v>
      </c>
      <c r="E558" s="184">
        <v>46210.0</v>
      </c>
      <c r="F558" s="185">
        <f t="shared" si="1"/>
        <v>7</v>
      </c>
      <c r="G558" s="185">
        <f t="shared" si="2"/>
        <v>7</v>
      </c>
      <c r="H558" s="185">
        <f t="shared" si="3"/>
        <v>2026</v>
      </c>
      <c r="I558" s="186">
        <f t="shared" ref="I558:J558" si="40">G558</f>
        <v>7</v>
      </c>
      <c r="J558" s="186">
        <f t="shared" si="40"/>
        <v>2026</v>
      </c>
      <c r="K558" s="187"/>
      <c r="L558" s="187">
        <v>6.0</v>
      </c>
      <c r="M558" s="27">
        <v>1.0</v>
      </c>
      <c r="N558" s="187">
        <f t="shared" si="27"/>
        <v>6</v>
      </c>
      <c r="O558" s="58"/>
      <c r="P558" s="74"/>
      <c r="Q558" s="74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</row>
    <row r="559" ht="15.75" customHeight="1">
      <c r="A559" s="74" t="s">
        <v>136</v>
      </c>
      <c r="B559" s="27" t="s">
        <v>38</v>
      </c>
      <c r="C559" s="183"/>
      <c r="D559" s="74" t="s">
        <v>2</v>
      </c>
      <c r="E559" s="184">
        <v>46210.0</v>
      </c>
      <c r="F559" s="185">
        <f t="shared" si="1"/>
        <v>7</v>
      </c>
      <c r="G559" s="185">
        <f t="shared" si="2"/>
        <v>7</v>
      </c>
      <c r="H559" s="185">
        <f t="shared" si="3"/>
        <v>2026</v>
      </c>
      <c r="I559" s="186">
        <f t="shared" ref="I559:J559" si="41">G559</f>
        <v>7</v>
      </c>
      <c r="J559" s="186">
        <f t="shared" si="41"/>
        <v>2026</v>
      </c>
      <c r="K559" s="187"/>
      <c r="L559" s="187">
        <f>4.99+0.2</f>
        <v>5.19</v>
      </c>
      <c r="M559" s="27">
        <v>1.0</v>
      </c>
      <c r="N559" s="187">
        <f t="shared" si="27"/>
        <v>5.19</v>
      </c>
      <c r="O559" s="58"/>
      <c r="P559" s="74"/>
      <c r="Q559" s="74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</row>
    <row r="560" ht="15.75" customHeight="1">
      <c r="A560" s="74" t="s">
        <v>178</v>
      </c>
      <c r="B560" s="27" t="s">
        <v>311</v>
      </c>
      <c r="C560" s="183"/>
      <c r="D560" s="74" t="s">
        <v>5</v>
      </c>
      <c r="E560" s="184">
        <v>46211.0</v>
      </c>
      <c r="F560" s="185">
        <f t="shared" si="1"/>
        <v>8</v>
      </c>
      <c r="G560" s="185">
        <f t="shared" si="2"/>
        <v>7</v>
      </c>
      <c r="H560" s="185">
        <f t="shared" si="3"/>
        <v>2026</v>
      </c>
      <c r="I560" s="186">
        <f t="shared" ref="I560:J560" si="42">G560</f>
        <v>7</v>
      </c>
      <c r="J560" s="186">
        <f t="shared" si="42"/>
        <v>2026</v>
      </c>
      <c r="K560" s="187"/>
      <c r="L560" s="187">
        <f>440</f>
        <v>440</v>
      </c>
      <c r="M560" s="27">
        <v>1.0</v>
      </c>
      <c r="N560" s="187">
        <f t="shared" si="27"/>
        <v>440</v>
      </c>
      <c r="O560" s="58"/>
      <c r="P560" s="74"/>
      <c r="Q560" s="74" t="s">
        <v>357</v>
      </c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</row>
    <row r="561" ht="15.75" customHeight="1">
      <c r="A561" s="74" t="s">
        <v>178</v>
      </c>
      <c r="B561" s="27" t="s">
        <v>310</v>
      </c>
      <c r="C561" s="183"/>
      <c r="D561" s="74" t="s">
        <v>5</v>
      </c>
      <c r="E561" s="184">
        <v>46211.0</v>
      </c>
      <c r="F561" s="185">
        <f t="shared" si="1"/>
        <v>8</v>
      </c>
      <c r="G561" s="185">
        <f t="shared" si="2"/>
        <v>7</v>
      </c>
      <c r="H561" s="185">
        <f t="shared" si="3"/>
        <v>2026</v>
      </c>
      <c r="I561" s="186">
        <f t="shared" ref="I561:J561" si="43">G561</f>
        <v>7</v>
      </c>
      <c r="J561" s="186">
        <f t="shared" si="43"/>
        <v>2026</v>
      </c>
      <c r="K561" s="187"/>
      <c r="L561" s="187">
        <v>310.0</v>
      </c>
      <c r="M561" s="27">
        <v>1.0</v>
      </c>
      <c r="N561" s="187">
        <f t="shared" si="27"/>
        <v>310</v>
      </c>
      <c r="O561" s="58"/>
      <c r="P561" s="74"/>
      <c r="Q561" s="74" t="s">
        <v>551</v>
      </c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</row>
    <row r="562" ht="15.75" customHeight="1">
      <c r="A562" s="74" t="s">
        <v>178</v>
      </c>
      <c r="B562" s="27" t="s">
        <v>311</v>
      </c>
      <c r="C562" s="183"/>
      <c r="D562" s="74" t="s">
        <v>5</v>
      </c>
      <c r="E562" s="184">
        <v>46211.0</v>
      </c>
      <c r="F562" s="185">
        <f t="shared" si="1"/>
        <v>8</v>
      </c>
      <c r="G562" s="185">
        <f t="shared" si="2"/>
        <v>7</v>
      </c>
      <c r="H562" s="185">
        <f t="shared" si="3"/>
        <v>2026</v>
      </c>
      <c r="I562" s="186">
        <v>6.0</v>
      </c>
      <c r="J562" s="186">
        <v>2026.0</v>
      </c>
      <c r="K562" s="187"/>
      <c r="L562" s="187">
        <v>250.0</v>
      </c>
      <c r="M562" s="27">
        <v>1.0</v>
      </c>
      <c r="N562" s="187">
        <f t="shared" si="27"/>
        <v>250</v>
      </c>
      <c r="O562" s="58"/>
      <c r="P562" s="74"/>
      <c r="Q562" s="74" t="s">
        <v>818</v>
      </c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</row>
    <row r="563" ht="15.75" customHeight="1">
      <c r="A563" s="74" t="s">
        <v>178</v>
      </c>
      <c r="B563" s="27" t="s">
        <v>311</v>
      </c>
      <c r="C563" s="183"/>
      <c r="D563" s="74" t="s">
        <v>245</v>
      </c>
      <c r="E563" s="184">
        <v>46211.0</v>
      </c>
      <c r="F563" s="185">
        <f t="shared" si="1"/>
        <v>8</v>
      </c>
      <c r="G563" s="185">
        <f t="shared" si="2"/>
        <v>7</v>
      </c>
      <c r="H563" s="185">
        <f t="shared" si="3"/>
        <v>2026</v>
      </c>
      <c r="I563" s="186">
        <f t="shared" ref="I563:J563" si="44">G563</f>
        <v>7</v>
      </c>
      <c r="J563" s="186">
        <f t="shared" si="44"/>
        <v>2026</v>
      </c>
      <c r="K563" s="187"/>
      <c r="L563" s="187">
        <v>200.0</v>
      </c>
      <c r="M563" s="27">
        <v>1.0</v>
      </c>
      <c r="N563" s="187">
        <f t="shared" si="27"/>
        <v>200</v>
      </c>
      <c r="O563" s="58"/>
      <c r="P563" s="74"/>
      <c r="Q563" s="74" t="s">
        <v>815</v>
      </c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</row>
    <row r="564" ht="15.75" customHeight="1">
      <c r="A564" s="74" t="s">
        <v>178</v>
      </c>
      <c r="B564" s="27" t="s">
        <v>311</v>
      </c>
      <c r="C564" s="183"/>
      <c r="D564" s="74" t="s">
        <v>245</v>
      </c>
      <c r="E564" s="184">
        <v>46211.0</v>
      </c>
      <c r="F564" s="185">
        <f t="shared" si="1"/>
        <v>8</v>
      </c>
      <c r="G564" s="185">
        <f t="shared" si="2"/>
        <v>7</v>
      </c>
      <c r="H564" s="185">
        <f t="shared" si="3"/>
        <v>2026</v>
      </c>
      <c r="I564" s="186">
        <v>6.0</v>
      </c>
      <c r="J564" s="186">
        <f>H564</f>
        <v>2026</v>
      </c>
      <c r="K564" s="187"/>
      <c r="L564" s="187">
        <v>100.0</v>
      </c>
      <c r="M564" s="27">
        <v>1.0</v>
      </c>
      <c r="N564" s="187">
        <f t="shared" si="27"/>
        <v>100</v>
      </c>
      <c r="O564" s="58"/>
      <c r="P564" s="74"/>
      <c r="Q564" s="74" t="s">
        <v>819</v>
      </c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</row>
    <row r="565" ht="15.75" customHeight="1">
      <c r="A565" s="74" t="s">
        <v>151</v>
      </c>
      <c r="B565" s="27" t="s">
        <v>146</v>
      </c>
      <c r="C565" s="183"/>
      <c r="D565" s="74" t="s">
        <v>245</v>
      </c>
      <c r="E565" s="184">
        <v>46211.0</v>
      </c>
      <c r="F565" s="185">
        <f t="shared" si="1"/>
        <v>8</v>
      </c>
      <c r="G565" s="185">
        <f t="shared" si="2"/>
        <v>7</v>
      </c>
      <c r="H565" s="185">
        <f t="shared" si="3"/>
        <v>2026</v>
      </c>
      <c r="I565" s="186">
        <f t="shared" ref="I565:J565" si="45">G565</f>
        <v>7</v>
      </c>
      <c r="J565" s="186">
        <f t="shared" si="45"/>
        <v>2026</v>
      </c>
      <c r="K565" s="187"/>
      <c r="L565" s="187">
        <v>2.95</v>
      </c>
      <c r="M565" s="27">
        <v>20.0</v>
      </c>
      <c r="N565" s="187">
        <f t="shared" si="27"/>
        <v>59</v>
      </c>
      <c r="O565" s="58"/>
      <c r="P565" s="74"/>
      <c r="Q565" s="74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</row>
    <row r="566" ht="15.75" customHeight="1">
      <c r="A566" s="74" t="s">
        <v>22</v>
      </c>
      <c r="B566" s="27" t="s">
        <v>27</v>
      </c>
      <c r="C566" s="183"/>
      <c r="D566" s="74" t="s">
        <v>245</v>
      </c>
      <c r="E566" s="184">
        <v>46211.0</v>
      </c>
      <c r="F566" s="185">
        <f t="shared" si="1"/>
        <v>8</v>
      </c>
      <c r="G566" s="185">
        <f t="shared" si="2"/>
        <v>7</v>
      </c>
      <c r="H566" s="185">
        <f t="shared" si="3"/>
        <v>2026</v>
      </c>
      <c r="I566" s="186">
        <f t="shared" ref="I566:J566" si="46">G566</f>
        <v>7</v>
      </c>
      <c r="J566" s="186">
        <f t="shared" si="46"/>
        <v>2026</v>
      </c>
      <c r="K566" s="187"/>
      <c r="L566" s="187">
        <v>15.27</v>
      </c>
      <c r="M566" s="27">
        <v>1.0</v>
      </c>
      <c r="N566" s="187">
        <f t="shared" si="27"/>
        <v>15.27</v>
      </c>
      <c r="O566" s="58"/>
      <c r="P566" s="74"/>
      <c r="Q566" s="74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</row>
    <row r="567" ht="15.75" customHeight="1">
      <c r="A567" s="74" t="s">
        <v>22</v>
      </c>
      <c r="B567" s="27" t="s">
        <v>27</v>
      </c>
      <c r="C567" s="183"/>
      <c r="D567" s="74" t="s">
        <v>245</v>
      </c>
      <c r="E567" s="184">
        <v>46211.0</v>
      </c>
      <c r="F567" s="185">
        <f t="shared" si="1"/>
        <v>8</v>
      </c>
      <c r="G567" s="185">
        <f t="shared" si="2"/>
        <v>7</v>
      </c>
      <c r="H567" s="185">
        <f t="shared" si="3"/>
        <v>2026</v>
      </c>
      <c r="I567" s="186">
        <f t="shared" ref="I567:J567" si="47">G567</f>
        <v>7</v>
      </c>
      <c r="J567" s="186">
        <f t="shared" si="47"/>
        <v>2026</v>
      </c>
      <c r="K567" s="187"/>
      <c r="L567" s="187">
        <v>5.16</v>
      </c>
      <c r="M567" s="27">
        <v>1.0</v>
      </c>
      <c r="N567" s="187">
        <f t="shared" si="27"/>
        <v>5.16</v>
      </c>
      <c r="O567" s="58"/>
      <c r="P567" s="74"/>
      <c r="Q567" s="74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</row>
    <row r="568" ht="15.75" customHeight="1">
      <c r="A568" s="74" t="s">
        <v>177</v>
      </c>
      <c r="B568" s="27" t="s">
        <v>47</v>
      </c>
      <c r="C568" s="183"/>
      <c r="D568" s="74" t="s">
        <v>245</v>
      </c>
      <c r="E568" s="184">
        <v>46211.0</v>
      </c>
      <c r="F568" s="185">
        <f t="shared" si="1"/>
        <v>8</v>
      </c>
      <c r="G568" s="185">
        <f t="shared" si="2"/>
        <v>7</v>
      </c>
      <c r="H568" s="185">
        <f t="shared" si="3"/>
        <v>2026</v>
      </c>
      <c r="I568" s="186">
        <f t="shared" ref="I568:J568" si="48">G568</f>
        <v>7</v>
      </c>
      <c r="J568" s="186">
        <f t="shared" si="48"/>
        <v>2026</v>
      </c>
      <c r="K568" s="187"/>
      <c r="L568" s="187">
        <v>13.0</v>
      </c>
      <c r="M568" s="27">
        <v>1.0</v>
      </c>
      <c r="N568" s="187">
        <f t="shared" si="27"/>
        <v>13</v>
      </c>
      <c r="O568" s="58"/>
      <c r="P568" s="74"/>
      <c r="Q568" s="74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</row>
    <row r="569" ht="15.75" customHeight="1">
      <c r="A569" s="74" t="s">
        <v>153</v>
      </c>
      <c r="B569" s="27" t="s">
        <v>313</v>
      </c>
      <c r="C569" s="183"/>
      <c r="D569" s="74" t="s">
        <v>245</v>
      </c>
      <c r="E569" s="184">
        <v>46211.0</v>
      </c>
      <c r="F569" s="185">
        <f t="shared" si="1"/>
        <v>8</v>
      </c>
      <c r="G569" s="185">
        <f t="shared" si="2"/>
        <v>7</v>
      </c>
      <c r="H569" s="185">
        <f t="shared" si="3"/>
        <v>2026</v>
      </c>
      <c r="I569" s="186">
        <f t="shared" ref="I569:J569" si="49">G569</f>
        <v>7</v>
      </c>
      <c r="J569" s="186">
        <f t="shared" si="49"/>
        <v>2026</v>
      </c>
      <c r="K569" s="187"/>
      <c r="L569" s="187">
        <v>3.5</v>
      </c>
      <c r="M569" s="27">
        <v>1.0</v>
      </c>
      <c r="N569" s="187">
        <f t="shared" si="27"/>
        <v>3.5</v>
      </c>
      <c r="O569" s="58"/>
      <c r="P569" s="74"/>
      <c r="Q569" s="74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</row>
    <row r="570" ht="15.75" customHeight="1">
      <c r="A570" s="74" t="s">
        <v>160</v>
      </c>
      <c r="B570" s="27" t="s">
        <v>39</v>
      </c>
      <c r="C570" s="183"/>
      <c r="D570" s="74" t="s">
        <v>2</v>
      </c>
      <c r="E570" s="184">
        <v>46213.0</v>
      </c>
      <c r="F570" s="185">
        <f t="shared" si="1"/>
        <v>10</v>
      </c>
      <c r="G570" s="185">
        <f t="shared" si="2"/>
        <v>7</v>
      </c>
      <c r="H570" s="185">
        <f t="shared" si="3"/>
        <v>2026</v>
      </c>
      <c r="I570" s="186">
        <v>6.0</v>
      </c>
      <c r="J570" s="186">
        <f>H570</f>
        <v>2026</v>
      </c>
      <c r="K570" s="187"/>
      <c r="L570" s="187">
        <v>88.59</v>
      </c>
      <c r="M570" s="27">
        <v>1.0</v>
      </c>
      <c r="N570" s="187">
        <f t="shared" si="27"/>
        <v>88.59</v>
      </c>
      <c r="O570" s="58"/>
      <c r="P570" s="74"/>
      <c r="Q570" s="74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</row>
    <row r="571" ht="15.75" customHeight="1">
      <c r="A571" s="74" t="s">
        <v>22</v>
      </c>
      <c r="B571" s="27" t="s">
        <v>27</v>
      </c>
      <c r="C571" s="183"/>
      <c r="D571" s="74" t="s">
        <v>245</v>
      </c>
      <c r="E571" s="184">
        <v>46213.0</v>
      </c>
      <c r="F571" s="185">
        <f t="shared" si="1"/>
        <v>10</v>
      </c>
      <c r="G571" s="185">
        <f t="shared" si="2"/>
        <v>7</v>
      </c>
      <c r="H571" s="185">
        <f t="shared" si="3"/>
        <v>2026</v>
      </c>
      <c r="I571" s="186">
        <f t="shared" ref="I571:J571" si="50">G571</f>
        <v>7</v>
      </c>
      <c r="J571" s="186">
        <f t="shared" si="50"/>
        <v>2026</v>
      </c>
      <c r="K571" s="187"/>
      <c r="L571" s="187">
        <v>3.29</v>
      </c>
      <c r="M571" s="27">
        <v>1.0</v>
      </c>
      <c r="N571" s="187">
        <f t="shared" si="27"/>
        <v>3.29</v>
      </c>
      <c r="O571" s="58"/>
      <c r="P571" s="74"/>
      <c r="Q571" s="74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</row>
    <row r="572" ht="15.75" customHeight="1">
      <c r="A572" s="74" t="s">
        <v>253</v>
      </c>
      <c r="B572" s="27" t="s">
        <v>266</v>
      </c>
      <c r="C572" s="183"/>
      <c r="D572" s="74" t="s">
        <v>245</v>
      </c>
      <c r="E572" s="184">
        <v>46216.0</v>
      </c>
      <c r="F572" s="185">
        <f t="shared" si="1"/>
        <v>13</v>
      </c>
      <c r="G572" s="185">
        <f t="shared" si="2"/>
        <v>7</v>
      </c>
      <c r="H572" s="185">
        <f t="shared" si="3"/>
        <v>2026</v>
      </c>
      <c r="I572" s="186">
        <f t="shared" ref="I572:J572" si="51">G572</f>
        <v>7</v>
      </c>
      <c r="J572" s="186">
        <f t="shared" si="51"/>
        <v>2026</v>
      </c>
      <c r="K572" s="187"/>
      <c r="L572" s="187">
        <v>500.0</v>
      </c>
      <c r="M572" s="27">
        <v>1.0</v>
      </c>
      <c r="N572" s="187">
        <f t="shared" si="27"/>
        <v>500</v>
      </c>
      <c r="O572" s="58"/>
      <c r="P572" s="74"/>
      <c r="Q572" s="74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</row>
    <row r="573" ht="15.75" customHeight="1">
      <c r="A573" s="74" t="s">
        <v>167</v>
      </c>
      <c r="B573" s="27" t="s">
        <v>40</v>
      </c>
      <c r="C573" s="183"/>
      <c r="D573" s="74" t="s">
        <v>2</v>
      </c>
      <c r="E573" s="184">
        <v>46216.0</v>
      </c>
      <c r="F573" s="185">
        <f t="shared" si="1"/>
        <v>13</v>
      </c>
      <c r="G573" s="185">
        <f t="shared" si="2"/>
        <v>7</v>
      </c>
      <c r="H573" s="185">
        <f t="shared" si="3"/>
        <v>2026</v>
      </c>
      <c r="I573" s="186">
        <v>6.0</v>
      </c>
      <c r="J573" s="186">
        <v>2026.0</v>
      </c>
      <c r="K573" s="187"/>
      <c r="L573" s="187">
        <v>84.25</v>
      </c>
      <c r="M573" s="27">
        <v>1.0</v>
      </c>
      <c r="N573" s="187">
        <f t="shared" si="27"/>
        <v>84.25</v>
      </c>
      <c r="O573" s="58"/>
      <c r="P573" s="74"/>
      <c r="Q573" s="74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</row>
    <row r="574" ht="15.75" customHeight="1">
      <c r="A574" s="74" t="s">
        <v>22</v>
      </c>
      <c r="B574" s="27" t="s">
        <v>27</v>
      </c>
      <c r="C574" s="183"/>
      <c r="D574" s="74" t="s">
        <v>2</v>
      </c>
      <c r="E574" s="184">
        <v>46216.0</v>
      </c>
      <c r="F574" s="185">
        <f t="shared" si="1"/>
        <v>13</v>
      </c>
      <c r="G574" s="185">
        <f t="shared" si="2"/>
        <v>7</v>
      </c>
      <c r="H574" s="185">
        <f t="shared" si="3"/>
        <v>2026</v>
      </c>
      <c r="I574" s="186">
        <f t="shared" ref="I574:J574" si="52">G574</f>
        <v>7</v>
      </c>
      <c r="J574" s="186">
        <f t="shared" si="52"/>
        <v>2026</v>
      </c>
      <c r="K574" s="187"/>
      <c r="L574" s="187">
        <v>8.2</v>
      </c>
      <c r="M574" s="27">
        <v>1.0</v>
      </c>
      <c r="N574" s="187">
        <f t="shared" si="27"/>
        <v>8.2</v>
      </c>
      <c r="O574" s="58"/>
      <c r="P574" s="74"/>
      <c r="Q574" s="74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</row>
    <row r="575" ht="15.75" customHeight="1">
      <c r="A575" s="74" t="s">
        <v>334</v>
      </c>
      <c r="B575" s="27" t="s">
        <v>34</v>
      </c>
      <c r="C575" s="183"/>
      <c r="D575" s="74" t="s">
        <v>245</v>
      </c>
      <c r="E575" s="184">
        <v>46217.0</v>
      </c>
      <c r="F575" s="185">
        <f t="shared" si="1"/>
        <v>14</v>
      </c>
      <c r="G575" s="185">
        <f t="shared" si="2"/>
        <v>7</v>
      </c>
      <c r="H575" s="185">
        <f t="shared" si="3"/>
        <v>2026</v>
      </c>
      <c r="I575" s="186">
        <f t="shared" ref="I575:J575" si="53">G575</f>
        <v>7</v>
      </c>
      <c r="J575" s="186">
        <f t="shared" si="53"/>
        <v>2026</v>
      </c>
      <c r="K575" s="187"/>
      <c r="L575" s="187">
        <v>12.3</v>
      </c>
      <c r="M575" s="27">
        <v>1.0</v>
      </c>
      <c r="N575" s="187">
        <f t="shared" si="27"/>
        <v>12.3</v>
      </c>
      <c r="O575" s="58"/>
      <c r="P575" s="74"/>
      <c r="Q575" s="74" t="s">
        <v>820</v>
      </c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</row>
    <row r="576" ht="15.75" customHeight="1">
      <c r="A576" s="74" t="s">
        <v>167</v>
      </c>
      <c r="B576" s="27" t="s">
        <v>40</v>
      </c>
      <c r="C576" s="183"/>
      <c r="D576" s="74" t="s">
        <v>2</v>
      </c>
      <c r="E576" s="184">
        <v>46218.0</v>
      </c>
      <c r="F576" s="185">
        <f t="shared" si="1"/>
        <v>15</v>
      </c>
      <c r="G576" s="185">
        <f t="shared" si="2"/>
        <v>7</v>
      </c>
      <c r="H576" s="185">
        <f t="shared" si="3"/>
        <v>2026</v>
      </c>
      <c r="I576" s="186">
        <v>6.0</v>
      </c>
      <c r="J576" s="186">
        <v>2026.0</v>
      </c>
      <c r="K576" s="187"/>
      <c r="L576" s="187">
        <v>338.05</v>
      </c>
      <c r="M576" s="27">
        <v>1.0</v>
      </c>
      <c r="N576" s="187">
        <f t="shared" si="27"/>
        <v>338.05</v>
      </c>
      <c r="O576" s="58"/>
      <c r="P576" s="74"/>
      <c r="Q576" s="74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</row>
    <row r="577" ht="15.75" customHeight="1">
      <c r="A577" s="74" t="s">
        <v>151</v>
      </c>
      <c r="B577" s="27" t="s">
        <v>185</v>
      </c>
      <c r="C577" s="183"/>
      <c r="D577" s="74" t="s">
        <v>245</v>
      </c>
      <c r="E577" s="184">
        <v>46218.0</v>
      </c>
      <c r="F577" s="185">
        <f t="shared" si="1"/>
        <v>15</v>
      </c>
      <c r="G577" s="185">
        <f t="shared" si="2"/>
        <v>7</v>
      </c>
      <c r="H577" s="185">
        <f t="shared" si="3"/>
        <v>2026</v>
      </c>
      <c r="I577" s="186">
        <f t="shared" ref="I577:J577" si="54">G577</f>
        <v>7</v>
      </c>
      <c r="J577" s="186">
        <f t="shared" si="54"/>
        <v>2026</v>
      </c>
      <c r="K577" s="187"/>
      <c r="L577" s="187">
        <v>0.86</v>
      </c>
      <c r="M577" s="27">
        <v>48.0</v>
      </c>
      <c r="N577" s="187">
        <f t="shared" si="27"/>
        <v>41.28</v>
      </c>
      <c r="O577" s="58"/>
      <c r="P577" s="74"/>
      <c r="Q577" s="74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</row>
    <row r="578" ht="15.75" customHeight="1">
      <c r="A578" s="74" t="s">
        <v>154</v>
      </c>
      <c r="B578" s="27" t="s">
        <v>230</v>
      </c>
      <c r="C578" s="183"/>
      <c r="D578" s="74" t="s">
        <v>245</v>
      </c>
      <c r="E578" s="184">
        <v>46218.0</v>
      </c>
      <c r="F578" s="185">
        <f t="shared" si="1"/>
        <v>15</v>
      </c>
      <c r="G578" s="185">
        <f t="shared" si="2"/>
        <v>7</v>
      </c>
      <c r="H578" s="185">
        <f t="shared" si="3"/>
        <v>2026</v>
      </c>
      <c r="I578" s="186">
        <f t="shared" ref="I578:J578" si="55">G578</f>
        <v>7</v>
      </c>
      <c r="J578" s="186">
        <f t="shared" si="55"/>
        <v>2026</v>
      </c>
      <c r="K578" s="187"/>
      <c r="L578" s="187">
        <f>10.99-1.5</f>
        <v>9.49</v>
      </c>
      <c r="M578" s="27">
        <v>3.0</v>
      </c>
      <c r="N578" s="187">
        <f t="shared" si="27"/>
        <v>28.47</v>
      </c>
      <c r="O578" s="58"/>
      <c r="P578" s="74"/>
      <c r="Q578" s="74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</row>
    <row r="579" ht="15.75" customHeight="1">
      <c r="A579" s="74" t="s">
        <v>151</v>
      </c>
      <c r="B579" s="27" t="s">
        <v>138</v>
      </c>
      <c r="C579" s="183"/>
      <c r="D579" s="74" t="s">
        <v>245</v>
      </c>
      <c r="E579" s="184">
        <v>46218.0</v>
      </c>
      <c r="F579" s="185">
        <f t="shared" si="1"/>
        <v>15</v>
      </c>
      <c r="G579" s="185">
        <f t="shared" si="2"/>
        <v>7</v>
      </c>
      <c r="H579" s="185">
        <f t="shared" si="3"/>
        <v>2026</v>
      </c>
      <c r="I579" s="186">
        <f t="shared" ref="I579:J579" si="56">G579</f>
        <v>7</v>
      </c>
      <c r="J579" s="186">
        <f t="shared" si="56"/>
        <v>2026</v>
      </c>
      <c r="K579" s="187"/>
      <c r="L579" s="187">
        <v>2.45</v>
      </c>
      <c r="M579" s="27">
        <v>9.0</v>
      </c>
      <c r="N579" s="187">
        <f t="shared" si="27"/>
        <v>22.05</v>
      </c>
      <c r="O579" s="58"/>
      <c r="P579" s="74"/>
      <c r="Q579" s="74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</row>
    <row r="580" ht="15.75" customHeight="1">
      <c r="A580" s="74" t="s">
        <v>175</v>
      </c>
      <c r="B580" s="27" t="s">
        <v>296</v>
      </c>
      <c r="C580" s="183"/>
      <c r="D580" s="74" t="s">
        <v>245</v>
      </c>
      <c r="E580" s="184">
        <v>46218.0</v>
      </c>
      <c r="F580" s="185">
        <f t="shared" si="1"/>
        <v>15</v>
      </c>
      <c r="G580" s="185">
        <f t="shared" si="2"/>
        <v>7</v>
      </c>
      <c r="H580" s="185">
        <f t="shared" si="3"/>
        <v>2026</v>
      </c>
      <c r="I580" s="186">
        <f t="shared" ref="I580:J580" si="57">G580</f>
        <v>7</v>
      </c>
      <c r="J580" s="186">
        <f t="shared" si="57"/>
        <v>2026</v>
      </c>
      <c r="K580" s="187"/>
      <c r="L580" s="187">
        <v>17.45</v>
      </c>
      <c r="M580" s="27">
        <v>1.0</v>
      </c>
      <c r="N580" s="187">
        <f t="shared" si="27"/>
        <v>17.45</v>
      </c>
      <c r="O580" s="58"/>
      <c r="P580" s="74"/>
      <c r="Q580" s="74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</row>
    <row r="581" ht="15.75" customHeight="1">
      <c r="A581" s="74" t="s">
        <v>151</v>
      </c>
      <c r="B581" s="27" t="s">
        <v>187</v>
      </c>
      <c r="C581" s="183"/>
      <c r="D581" s="74" t="s">
        <v>245</v>
      </c>
      <c r="E581" s="184">
        <v>46218.0</v>
      </c>
      <c r="F581" s="185">
        <f t="shared" si="1"/>
        <v>15</v>
      </c>
      <c r="G581" s="185">
        <f t="shared" si="2"/>
        <v>7</v>
      </c>
      <c r="H581" s="185">
        <f t="shared" si="3"/>
        <v>2026</v>
      </c>
      <c r="I581" s="186">
        <f t="shared" ref="I581:J581" si="58">G581</f>
        <v>7</v>
      </c>
      <c r="J581" s="186">
        <f t="shared" si="58"/>
        <v>2026</v>
      </c>
      <c r="K581" s="187"/>
      <c r="L581" s="187">
        <v>5.29</v>
      </c>
      <c r="M581" s="27">
        <v>3.0</v>
      </c>
      <c r="N581" s="187">
        <f t="shared" si="27"/>
        <v>15.87</v>
      </c>
      <c r="O581" s="58"/>
      <c r="P581" s="74"/>
      <c r="Q581" s="74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</row>
    <row r="582" ht="15.75" customHeight="1">
      <c r="A582" s="74" t="s">
        <v>154</v>
      </c>
      <c r="B582" s="27" t="s">
        <v>241</v>
      </c>
      <c r="C582" s="183"/>
      <c r="D582" s="74" t="s">
        <v>245</v>
      </c>
      <c r="E582" s="184">
        <v>46218.0</v>
      </c>
      <c r="F582" s="185">
        <f t="shared" si="1"/>
        <v>15</v>
      </c>
      <c r="G582" s="185">
        <f t="shared" si="2"/>
        <v>7</v>
      </c>
      <c r="H582" s="185">
        <f t="shared" si="3"/>
        <v>2026</v>
      </c>
      <c r="I582" s="186">
        <f t="shared" ref="I582:J582" si="59">G582</f>
        <v>7</v>
      </c>
      <c r="J582" s="186">
        <f t="shared" si="59"/>
        <v>2026</v>
      </c>
      <c r="K582" s="187"/>
      <c r="L582" s="187">
        <v>1.79</v>
      </c>
      <c r="M582" s="27">
        <v>8.0</v>
      </c>
      <c r="N582" s="187">
        <f t="shared" si="27"/>
        <v>14.32</v>
      </c>
      <c r="O582" s="58"/>
      <c r="P582" s="74"/>
      <c r="Q582" s="74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</row>
    <row r="583" ht="15.75" customHeight="1">
      <c r="A583" s="74" t="s">
        <v>175</v>
      </c>
      <c r="B583" s="27" t="s">
        <v>296</v>
      </c>
      <c r="C583" s="183"/>
      <c r="D583" s="74" t="s">
        <v>245</v>
      </c>
      <c r="E583" s="184">
        <v>46218.0</v>
      </c>
      <c r="F583" s="185">
        <f t="shared" si="1"/>
        <v>15</v>
      </c>
      <c r="G583" s="185">
        <f t="shared" si="2"/>
        <v>7</v>
      </c>
      <c r="H583" s="185">
        <f t="shared" si="3"/>
        <v>2026</v>
      </c>
      <c r="I583" s="186">
        <f t="shared" ref="I583:J583" si="60">G583</f>
        <v>7</v>
      </c>
      <c r="J583" s="186">
        <f t="shared" si="60"/>
        <v>2026</v>
      </c>
      <c r="K583" s="187"/>
      <c r="L583" s="187">
        <v>3.8</v>
      </c>
      <c r="M583" s="27">
        <v>1.0</v>
      </c>
      <c r="N583" s="187">
        <f t="shared" si="27"/>
        <v>3.8</v>
      </c>
      <c r="O583" s="58"/>
      <c r="P583" s="74"/>
      <c r="Q583" s="74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</row>
    <row r="584" ht="15.75" customHeight="1">
      <c r="A584" s="74" t="s">
        <v>154</v>
      </c>
      <c r="B584" s="27" t="s">
        <v>241</v>
      </c>
      <c r="C584" s="183"/>
      <c r="D584" s="74" t="s">
        <v>245</v>
      </c>
      <c r="E584" s="184">
        <v>46218.0</v>
      </c>
      <c r="F584" s="185">
        <f t="shared" si="1"/>
        <v>15</v>
      </c>
      <c r="G584" s="185">
        <f t="shared" si="2"/>
        <v>7</v>
      </c>
      <c r="H584" s="185">
        <f t="shared" si="3"/>
        <v>2026</v>
      </c>
      <c r="I584" s="186">
        <f t="shared" ref="I584:J584" si="61">G584</f>
        <v>7</v>
      </c>
      <c r="J584" s="186">
        <f t="shared" si="61"/>
        <v>2026</v>
      </c>
      <c r="K584" s="187"/>
      <c r="L584" s="187">
        <v>1.79</v>
      </c>
      <c r="M584" s="27">
        <v>2.0</v>
      </c>
      <c r="N584" s="187">
        <f t="shared" si="27"/>
        <v>3.58</v>
      </c>
      <c r="O584" s="58"/>
      <c r="P584" s="74"/>
      <c r="Q584" s="74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</row>
    <row r="585" ht="15.75" customHeight="1">
      <c r="A585" s="74" t="s">
        <v>22</v>
      </c>
      <c r="B585" s="27" t="s">
        <v>342</v>
      </c>
      <c r="C585" s="183"/>
      <c r="D585" s="74" t="s">
        <v>5</v>
      </c>
      <c r="E585" s="184">
        <v>46219.0</v>
      </c>
      <c r="F585" s="185">
        <f t="shared" si="1"/>
        <v>16</v>
      </c>
      <c r="G585" s="185">
        <f t="shared" si="2"/>
        <v>7</v>
      </c>
      <c r="H585" s="185">
        <f t="shared" si="3"/>
        <v>2026</v>
      </c>
      <c r="I585" s="186">
        <f t="shared" ref="I585:J585" si="62">G585</f>
        <v>7</v>
      </c>
      <c r="J585" s="186">
        <f t="shared" si="62"/>
        <v>2026</v>
      </c>
      <c r="K585" s="187"/>
      <c r="L585" s="187">
        <v>600.0</v>
      </c>
      <c r="M585" s="27">
        <v>1.0</v>
      </c>
      <c r="N585" s="187">
        <f>M585*L585</f>
        <v>600</v>
      </c>
      <c r="O585" s="58"/>
      <c r="P585" s="74" t="s">
        <v>20</v>
      </c>
      <c r="Q585" s="74" t="s">
        <v>821</v>
      </c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</row>
    <row r="586" ht="15.75" customHeight="1">
      <c r="A586" s="74" t="s">
        <v>22</v>
      </c>
      <c r="B586" s="27" t="s">
        <v>27</v>
      </c>
      <c r="C586" s="183"/>
      <c r="D586" s="74" t="s">
        <v>245</v>
      </c>
      <c r="E586" s="184">
        <v>46219.0</v>
      </c>
      <c r="F586" s="185">
        <f t="shared" si="1"/>
        <v>16</v>
      </c>
      <c r="G586" s="185">
        <f t="shared" si="2"/>
        <v>7</v>
      </c>
      <c r="H586" s="185">
        <f t="shared" si="3"/>
        <v>2026</v>
      </c>
      <c r="I586" s="186">
        <f t="shared" ref="I586:J586" si="63">G586</f>
        <v>7</v>
      </c>
      <c r="J586" s="186">
        <f t="shared" si="63"/>
        <v>2026</v>
      </c>
      <c r="K586" s="187"/>
      <c r="L586" s="187">
        <v>7.78</v>
      </c>
      <c r="M586" s="27">
        <v>1.0</v>
      </c>
      <c r="N586" s="187">
        <f t="shared" ref="N586:N601" si="65">L586*M586</f>
        <v>7.78</v>
      </c>
      <c r="O586" s="58"/>
      <c r="P586" s="74"/>
      <c r="Q586" s="74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</row>
    <row r="587" ht="15.75" customHeight="1">
      <c r="A587" s="74" t="s">
        <v>151</v>
      </c>
      <c r="B587" s="27" t="s">
        <v>188</v>
      </c>
      <c r="C587" s="183"/>
      <c r="D587" s="74" t="s">
        <v>245</v>
      </c>
      <c r="E587" s="184">
        <v>46219.0</v>
      </c>
      <c r="F587" s="185">
        <f t="shared" si="1"/>
        <v>16</v>
      </c>
      <c r="G587" s="185">
        <f t="shared" si="2"/>
        <v>7</v>
      </c>
      <c r="H587" s="185">
        <f t="shared" si="3"/>
        <v>2026</v>
      </c>
      <c r="I587" s="186">
        <f t="shared" ref="I587:J587" si="64">G587</f>
        <v>7</v>
      </c>
      <c r="J587" s="186">
        <f t="shared" si="64"/>
        <v>2026</v>
      </c>
      <c r="K587" s="187"/>
      <c r="L587" s="187">
        <v>2.99</v>
      </c>
      <c r="M587" s="27">
        <v>4.0</v>
      </c>
      <c r="N587" s="187">
        <f t="shared" si="65"/>
        <v>11.96</v>
      </c>
      <c r="O587" s="58"/>
      <c r="P587" s="74"/>
      <c r="Q587" s="74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</row>
    <row r="588" ht="15.75" customHeight="1">
      <c r="A588" s="74" t="s">
        <v>253</v>
      </c>
      <c r="B588" s="27" t="s">
        <v>266</v>
      </c>
      <c r="C588" s="183"/>
      <c r="D588" s="74" t="s">
        <v>245</v>
      </c>
      <c r="E588" s="184">
        <v>46220.0</v>
      </c>
      <c r="F588" s="185">
        <f t="shared" si="1"/>
        <v>17</v>
      </c>
      <c r="G588" s="185">
        <f t="shared" si="2"/>
        <v>7</v>
      </c>
      <c r="H588" s="185">
        <f t="shared" si="3"/>
        <v>2026</v>
      </c>
      <c r="I588" s="186">
        <f t="shared" ref="I588:J588" si="66">G588</f>
        <v>7</v>
      </c>
      <c r="J588" s="186">
        <f t="shared" si="66"/>
        <v>2026</v>
      </c>
      <c r="K588" s="187"/>
      <c r="L588" s="187">
        <v>500.0</v>
      </c>
      <c r="M588" s="27">
        <v>1.0</v>
      </c>
      <c r="N588" s="187">
        <f t="shared" si="65"/>
        <v>500</v>
      </c>
      <c r="O588" s="58"/>
      <c r="P588" s="74"/>
      <c r="Q588" s="74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</row>
    <row r="589" ht="15.75" customHeight="1">
      <c r="A589" s="74" t="s">
        <v>178</v>
      </c>
      <c r="B589" s="27" t="s">
        <v>311</v>
      </c>
      <c r="C589" s="183"/>
      <c r="D589" s="74" t="s">
        <v>5</v>
      </c>
      <c r="E589" s="184">
        <v>46220.0</v>
      </c>
      <c r="F589" s="185">
        <f t="shared" si="1"/>
        <v>17</v>
      </c>
      <c r="G589" s="185">
        <f t="shared" si="2"/>
        <v>7</v>
      </c>
      <c r="H589" s="185">
        <f t="shared" si="3"/>
        <v>2026</v>
      </c>
      <c r="I589" s="186">
        <f t="shared" ref="I589:J589" si="67">G589</f>
        <v>7</v>
      </c>
      <c r="J589" s="186">
        <f t="shared" si="67"/>
        <v>2026</v>
      </c>
      <c r="K589" s="187"/>
      <c r="L589" s="187">
        <v>370.0</v>
      </c>
      <c r="M589" s="27">
        <v>1.0</v>
      </c>
      <c r="N589" s="187">
        <f t="shared" si="65"/>
        <v>370</v>
      </c>
      <c r="O589" s="58"/>
      <c r="P589" s="74"/>
      <c r="Q589" s="74" t="s">
        <v>552</v>
      </c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</row>
    <row r="590" ht="15.75" customHeight="1">
      <c r="A590" s="74" t="s">
        <v>178</v>
      </c>
      <c r="B590" s="27" t="s">
        <v>311</v>
      </c>
      <c r="C590" s="183"/>
      <c r="D590" s="74" t="s">
        <v>5</v>
      </c>
      <c r="E590" s="184">
        <v>46220.0</v>
      </c>
      <c r="F590" s="185">
        <f t="shared" si="1"/>
        <v>17</v>
      </c>
      <c r="G590" s="185">
        <f t="shared" si="2"/>
        <v>7</v>
      </c>
      <c r="H590" s="185">
        <f t="shared" si="3"/>
        <v>2026</v>
      </c>
      <c r="I590" s="186">
        <f t="shared" ref="I590:J590" si="68">G590</f>
        <v>7</v>
      </c>
      <c r="J590" s="186">
        <f t="shared" si="68"/>
        <v>2026</v>
      </c>
      <c r="K590" s="187"/>
      <c r="L590" s="187">
        <v>370.0</v>
      </c>
      <c r="M590" s="27">
        <v>1.0</v>
      </c>
      <c r="N590" s="187">
        <f t="shared" si="65"/>
        <v>370</v>
      </c>
      <c r="O590" s="58"/>
      <c r="P590" s="74"/>
      <c r="Q590" s="74" t="s">
        <v>823</v>
      </c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</row>
    <row r="591" ht="15.75" customHeight="1">
      <c r="A591" s="74" t="s">
        <v>178</v>
      </c>
      <c r="B591" s="27" t="s">
        <v>311</v>
      </c>
      <c r="C591" s="183"/>
      <c r="D591" s="74" t="s">
        <v>5</v>
      </c>
      <c r="E591" s="184">
        <v>46220.0</v>
      </c>
      <c r="F591" s="185">
        <f t="shared" si="1"/>
        <v>17</v>
      </c>
      <c r="G591" s="185">
        <f t="shared" si="2"/>
        <v>7</v>
      </c>
      <c r="H591" s="185">
        <f t="shared" si="3"/>
        <v>2026</v>
      </c>
      <c r="I591" s="186">
        <f t="shared" ref="I591:J591" si="69">G591</f>
        <v>7</v>
      </c>
      <c r="J591" s="186">
        <f t="shared" si="69"/>
        <v>2026</v>
      </c>
      <c r="K591" s="187"/>
      <c r="L591" s="187">
        <v>130.0</v>
      </c>
      <c r="M591" s="27">
        <v>1.0</v>
      </c>
      <c r="N591" s="187">
        <f t="shared" si="65"/>
        <v>130</v>
      </c>
      <c r="O591" s="58"/>
      <c r="P591" s="74"/>
      <c r="Q591" s="74" t="s">
        <v>824</v>
      </c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</row>
    <row r="592" ht="15.75" customHeight="1">
      <c r="A592" s="74" t="s">
        <v>178</v>
      </c>
      <c r="B592" s="27" t="s">
        <v>311</v>
      </c>
      <c r="C592" s="183"/>
      <c r="D592" s="74" t="s">
        <v>5</v>
      </c>
      <c r="E592" s="184">
        <v>46220.0</v>
      </c>
      <c r="F592" s="185">
        <f t="shared" si="1"/>
        <v>17</v>
      </c>
      <c r="G592" s="185">
        <f t="shared" si="2"/>
        <v>7</v>
      </c>
      <c r="H592" s="185">
        <f t="shared" si="3"/>
        <v>2026</v>
      </c>
      <c r="I592" s="186">
        <f t="shared" ref="I592:J592" si="70">G592</f>
        <v>7</v>
      </c>
      <c r="J592" s="186">
        <f t="shared" si="70"/>
        <v>2026</v>
      </c>
      <c r="K592" s="187"/>
      <c r="L592" s="187">
        <v>20.0</v>
      </c>
      <c r="M592" s="27">
        <v>1.0</v>
      </c>
      <c r="N592" s="187">
        <f t="shared" si="65"/>
        <v>20</v>
      </c>
      <c r="O592" s="58"/>
      <c r="P592" s="74"/>
      <c r="Q592" s="74" t="s">
        <v>824</v>
      </c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</row>
    <row r="593" ht="15.75" customHeight="1">
      <c r="A593" s="74" t="s">
        <v>22</v>
      </c>
      <c r="B593" s="27" t="s">
        <v>27</v>
      </c>
      <c r="C593" s="183"/>
      <c r="D593" s="74" t="s">
        <v>245</v>
      </c>
      <c r="E593" s="184">
        <v>46220.0</v>
      </c>
      <c r="F593" s="185">
        <f t="shared" si="1"/>
        <v>17</v>
      </c>
      <c r="G593" s="185">
        <f t="shared" si="2"/>
        <v>7</v>
      </c>
      <c r="H593" s="185">
        <f t="shared" si="3"/>
        <v>2026</v>
      </c>
      <c r="I593" s="186">
        <f t="shared" ref="I593:J593" si="71">G593</f>
        <v>7</v>
      </c>
      <c r="J593" s="186">
        <f t="shared" si="71"/>
        <v>2026</v>
      </c>
      <c r="K593" s="187"/>
      <c r="L593" s="187">
        <v>4.29</v>
      </c>
      <c r="M593" s="27">
        <v>1.0</v>
      </c>
      <c r="N593" s="187">
        <f t="shared" si="65"/>
        <v>4.29</v>
      </c>
      <c r="O593" s="58"/>
      <c r="P593" s="74"/>
      <c r="Q593" s="74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</row>
    <row r="594" ht="15.75" customHeight="1">
      <c r="A594" s="74" t="s">
        <v>167</v>
      </c>
      <c r="B594" s="27" t="s">
        <v>61</v>
      </c>
      <c r="C594" s="183"/>
      <c r="D594" s="74" t="s">
        <v>2</v>
      </c>
      <c r="E594" s="184">
        <v>46221.0</v>
      </c>
      <c r="F594" s="185">
        <f t="shared" si="1"/>
        <v>18</v>
      </c>
      <c r="G594" s="185">
        <f t="shared" si="2"/>
        <v>7</v>
      </c>
      <c r="H594" s="185">
        <f t="shared" si="3"/>
        <v>2026</v>
      </c>
      <c r="I594" s="186">
        <v>6.0</v>
      </c>
      <c r="J594" s="186">
        <f t="shared" ref="J594:J595" si="72">H594</f>
        <v>2026</v>
      </c>
      <c r="K594" s="187"/>
      <c r="L594" s="187">
        <v>1332.0</v>
      </c>
      <c r="M594" s="27">
        <v>1.0</v>
      </c>
      <c r="N594" s="187">
        <f t="shared" si="65"/>
        <v>1332</v>
      </c>
      <c r="O594" s="58"/>
      <c r="P594" s="74"/>
      <c r="Q594" s="74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</row>
    <row r="595" ht="15.75" customHeight="1">
      <c r="A595" s="74" t="s">
        <v>156</v>
      </c>
      <c r="B595" s="27" t="s">
        <v>255</v>
      </c>
      <c r="C595" s="183"/>
      <c r="D595" s="74" t="s">
        <v>2</v>
      </c>
      <c r="E595" s="184">
        <v>46221.0</v>
      </c>
      <c r="F595" s="185">
        <f t="shared" si="1"/>
        <v>18</v>
      </c>
      <c r="G595" s="185">
        <f t="shared" si="2"/>
        <v>7</v>
      </c>
      <c r="H595" s="185">
        <f t="shared" si="3"/>
        <v>2026</v>
      </c>
      <c r="I595" s="186">
        <v>6.0</v>
      </c>
      <c r="J595" s="186">
        <f t="shared" si="72"/>
        <v>2026</v>
      </c>
      <c r="K595" s="187"/>
      <c r="L595" s="187">
        <v>819.0</v>
      </c>
      <c r="M595" s="27">
        <v>1.0</v>
      </c>
      <c r="N595" s="187">
        <f t="shared" si="65"/>
        <v>819</v>
      </c>
      <c r="O595" s="58"/>
      <c r="P595" s="74"/>
      <c r="Q595" s="74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</row>
    <row r="596" ht="15.75" customHeight="1">
      <c r="A596" s="74" t="s">
        <v>334</v>
      </c>
      <c r="B596" s="27" t="s">
        <v>34</v>
      </c>
      <c r="C596" s="183"/>
      <c r="D596" s="74" t="s">
        <v>245</v>
      </c>
      <c r="E596" s="184">
        <v>46221.0</v>
      </c>
      <c r="F596" s="185">
        <f t="shared" si="1"/>
        <v>18</v>
      </c>
      <c r="G596" s="185">
        <f t="shared" si="2"/>
        <v>7</v>
      </c>
      <c r="H596" s="185">
        <f t="shared" si="3"/>
        <v>2026</v>
      </c>
      <c r="I596" s="186">
        <f t="shared" ref="I596:J596" si="73">G596</f>
        <v>7</v>
      </c>
      <c r="J596" s="186">
        <f t="shared" si="73"/>
        <v>2026</v>
      </c>
      <c r="K596" s="187"/>
      <c r="L596" s="187">
        <v>10.0</v>
      </c>
      <c r="M596" s="27">
        <v>1.0</v>
      </c>
      <c r="N596" s="187">
        <f t="shared" si="65"/>
        <v>10</v>
      </c>
      <c r="O596" s="58"/>
      <c r="P596" s="74"/>
      <c r="Q596" s="74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</row>
    <row r="597" ht="15.75" customHeight="1">
      <c r="A597" s="74" t="s">
        <v>253</v>
      </c>
      <c r="B597" s="27" t="s">
        <v>266</v>
      </c>
      <c r="C597" s="183"/>
      <c r="D597" s="74" t="s">
        <v>245</v>
      </c>
      <c r="E597" s="184">
        <v>46222.0</v>
      </c>
      <c r="F597" s="185">
        <f t="shared" si="1"/>
        <v>19</v>
      </c>
      <c r="G597" s="185">
        <f t="shared" si="2"/>
        <v>7</v>
      </c>
      <c r="H597" s="185">
        <f t="shared" si="3"/>
        <v>2026</v>
      </c>
      <c r="I597" s="186">
        <f t="shared" ref="I597:J597" si="74">G597</f>
        <v>7</v>
      </c>
      <c r="J597" s="186">
        <f t="shared" si="74"/>
        <v>2026</v>
      </c>
      <c r="K597" s="187"/>
      <c r="L597" s="187">
        <v>500.0</v>
      </c>
      <c r="M597" s="27">
        <v>1.0</v>
      </c>
      <c r="N597" s="187">
        <f t="shared" si="65"/>
        <v>500</v>
      </c>
      <c r="O597" s="58"/>
      <c r="P597" s="74"/>
      <c r="Q597" s="74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</row>
    <row r="598" ht="15.75" customHeight="1">
      <c r="A598" s="74" t="s">
        <v>253</v>
      </c>
      <c r="B598" s="27" t="s">
        <v>266</v>
      </c>
      <c r="C598" s="183"/>
      <c r="D598" s="74" t="s">
        <v>245</v>
      </c>
      <c r="E598" s="184">
        <v>46223.0</v>
      </c>
      <c r="F598" s="185">
        <f t="shared" si="1"/>
        <v>20</v>
      </c>
      <c r="G598" s="185">
        <f t="shared" si="2"/>
        <v>7</v>
      </c>
      <c r="H598" s="185">
        <f t="shared" si="3"/>
        <v>2026</v>
      </c>
      <c r="I598" s="186">
        <f t="shared" ref="I598:J598" si="75">G598</f>
        <v>7</v>
      </c>
      <c r="J598" s="186">
        <f t="shared" si="75"/>
        <v>2026</v>
      </c>
      <c r="K598" s="187"/>
      <c r="L598" s="187">
        <v>500.0</v>
      </c>
      <c r="M598" s="27">
        <v>1.0</v>
      </c>
      <c r="N598" s="187">
        <f t="shared" si="65"/>
        <v>500</v>
      </c>
      <c r="O598" s="58"/>
      <c r="P598" s="74"/>
      <c r="Q598" s="74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</row>
    <row r="599" ht="15.75" customHeight="1">
      <c r="A599" s="74" t="s">
        <v>156</v>
      </c>
      <c r="B599" s="27" t="s">
        <v>44</v>
      </c>
      <c r="C599" s="183"/>
      <c r="D599" s="74" t="s">
        <v>2</v>
      </c>
      <c r="E599" s="184">
        <v>46223.0</v>
      </c>
      <c r="F599" s="185">
        <f t="shared" si="1"/>
        <v>20</v>
      </c>
      <c r="G599" s="185">
        <f t="shared" si="2"/>
        <v>7</v>
      </c>
      <c r="H599" s="185">
        <f t="shared" si="3"/>
        <v>2026</v>
      </c>
      <c r="I599" s="186">
        <v>6.0</v>
      </c>
      <c r="J599" s="186">
        <f>H599</f>
        <v>2026</v>
      </c>
      <c r="K599" s="187"/>
      <c r="L599" s="187">
        <v>20.0</v>
      </c>
      <c r="M599" s="27">
        <v>1.0</v>
      </c>
      <c r="N599" s="187">
        <f t="shared" si="65"/>
        <v>20</v>
      </c>
      <c r="O599" s="58"/>
      <c r="P599" s="74"/>
      <c r="Q599" s="74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</row>
    <row r="600" ht="15.75" customHeight="1">
      <c r="A600" s="74" t="s">
        <v>22</v>
      </c>
      <c r="B600" s="27" t="s">
        <v>27</v>
      </c>
      <c r="C600" s="183"/>
      <c r="D600" s="74" t="s">
        <v>2</v>
      </c>
      <c r="E600" s="184">
        <v>46223.0</v>
      </c>
      <c r="F600" s="185">
        <f t="shared" si="1"/>
        <v>20</v>
      </c>
      <c r="G600" s="185">
        <f t="shared" si="2"/>
        <v>7</v>
      </c>
      <c r="H600" s="185">
        <f t="shared" si="3"/>
        <v>2026</v>
      </c>
      <c r="I600" s="186">
        <f t="shared" ref="I600:J600" si="76">G600</f>
        <v>7</v>
      </c>
      <c r="J600" s="186">
        <f t="shared" si="76"/>
        <v>2026</v>
      </c>
      <c r="K600" s="187"/>
      <c r="L600" s="187">
        <v>25.44</v>
      </c>
      <c r="M600" s="27">
        <v>1.0</v>
      </c>
      <c r="N600" s="187">
        <f t="shared" si="65"/>
        <v>25.44</v>
      </c>
      <c r="O600" s="58"/>
      <c r="P600" s="74"/>
      <c r="Q600" s="74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</row>
    <row r="601" ht="15.75" customHeight="1">
      <c r="A601" s="74" t="s">
        <v>253</v>
      </c>
      <c r="B601" s="27" t="s">
        <v>266</v>
      </c>
      <c r="C601" s="183"/>
      <c r="D601" s="74" t="s">
        <v>245</v>
      </c>
      <c r="E601" s="184">
        <v>46224.0</v>
      </c>
      <c r="F601" s="185">
        <f t="shared" si="1"/>
        <v>21</v>
      </c>
      <c r="G601" s="185">
        <f t="shared" si="2"/>
        <v>7</v>
      </c>
      <c r="H601" s="185">
        <f t="shared" si="3"/>
        <v>2026</v>
      </c>
      <c r="I601" s="186">
        <f t="shared" ref="I601:J601" si="77">G601</f>
        <v>7</v>
      </c>
      <c r="J601" s="186">
        <f t="shared" si="77"/>
        <v>2026</v>
      </c>
      <c r="K601" s="187"/>
      <c r="L601" s="187">
        <v>500.0</v>
      </c>
      <c r="M601" s="27">
        <v>1.0</v>
      </c>
      <c r="N601" s="187">
        <f t="shared" si="65"/>
        <v>500</v>
      </c>
      <c r="O601" s="58"/>
      <c r="P601" s="74"/>
      <c r="Q601" s="74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</row>
    <row r="602" ht="15.75" customHeight="1">
      <c r="A602" s="74" t="s">
        <v>22</v>
      </c>
      <c r="B602" s="27" t="s">
        <v>342</v>
      </c>
      <c r="C602" s="183"/>
      <c r="D602" s="74" t="s">
        <v>5</v>
      </c>
      <c r="E602" s="184">
        <v>46226.0</v>
      </c>
      <c r="F602" s="185">
        <f t="shared" si="1"/>
        <v>23</v>
      </c>
      <c r="G602" s="185">
        <f t="shared" si="2"/>
        <v>7</v>
      </c>
      <c r="H602" s="185">
        <f t="shared" si="3"/>
        <v>2026</v>
      </c>
      <c r="I602" s="186">
        <f t="shared" ref="I602:J602" si="78">G602</f>
        <v>7</v>
      </c>
      <c r="J602" s="186">
        <f t="shared" si="78"/>
        <v>2026</v>
      </c>
      <c r="K602" s="187"/>
      <c r="L602" s="187">
        <v>100.0</v>
      </c>
      <c r="M602" s="27">
        <v>1.0</v>
      </c>
      <c r="N602" s="187">
        <f>M602*L602</f>
        <v>100</v>
      </c>
      <c r="O602" s="58"/>
      <c r="P602" s="74" t="s">
        <v>20</v>
      </c>
      <c r="Q602" s="74" t="s">
        <v>821</v>
      </c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</row>
    <row r="603" ht="15.75" customHeight="1">
      <c r="A603" s="74" t="s">
        <v>22</v>
      </c>
      <c r="B603" s="27" t="s">
        <v>27</v>
      </c>
      <c r="C603" s="183"/>
      <c r="D603" s="74" t="s">
        <v>2</v>
      </c>
      <c r="E603" s="184">
        <v>46226.0</v>
      </c>
      <c r="F603" s="185">
        <f t="shared" si="1"/>
        <v>23</v>
      </c>
      <c r="G603" s="185">
        <f t="shared" si="2"/>
        <v>7</v>
      </c>
      <c r="H603" s="185">
        <f t="shared" si="3"/>
        <v>2026</v>
      </c>
      <c r="I603" s="186">
        <f t="shared" ref="I603:J603" si="79">G603</f>
        <v>7</v>
      </c>
      <c r="J603" s="186">
        <f t="shared" si="79"/>
        <v>2026</v>
      </c>
      <c r="K603" s="187"/>
      <c r="L603" s="187">
        <v>93.02</v>
      </c>
      <c r="M603" s="27">
        <v>1.0</v>
      </c>
      <c r="N603" s="187">
        <f t="shared" ref="N603:N612" si="81">L603*M603</f>
        <v>93.02</v>
      </c>
      <c r="O603" s="58"/>
      <c r="P603" s="74"/>
      <c r="Q603" s="74" t="s">
        <v>826</v>
      </c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</row>
    <row r="604" ht="15.75" customHeight="1">
      <c r="A604" s="74" t="s">
        <v>22</v>
      </c>
      <c r="B604" s="27" t="s">
        <v>27</v>
      </c>
      <c r="C604" s="183"/>
      <c r="D604" s="74" t="s">
        <v>2</v>
      </c>
      <c r="E604" s="184">
        <v>46226.0</v>
      </c>
      <c r="F604" s="185">
        <f t="shared" si="1"/>
        <v>23</v>
      </c>
      <c r="G604" s="185">
        <f t="shared" si="2"/>
        <v>7</v>
      </c>
      <c r="H604" s="185">
        <f t="shared" si="3"/>
        <v>2026</v>
      </c>
      <c r="I604" s="186">
        <f t="shared" ref="I604:J604" si="80">G604</f>
        <v>7</v>
      </c>
      <c r="J604" s="186">
        <f t="shared" si="80"/>
        <v>2026</v>
      </c>
      <c r="K604" s="187"/>
      <c r="L604" s="187">
        <v>12.82</v>
      </c>
      <c r="M604" s="27">
        <v>1.0</v>
      </c>
      <c r="N604" s="187">
        <f t="shared" si="81"/>
        <v>12.82</v>
      </c>
      <c r="O604" s="58"/>
      <c r="P604" s="74"/>
      <c r="Q604" s="74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</row>
    <row r="605" ht="15.75" customHeight="1">
      <c r="A605" s="74" t="s">
        <v>253</v>
      </c>
      <c r="B605" s="27" t="s">
        <v>266</v>
      </c>
      <c r="C605" s="183"/>
      <c r="D605" s="74" t="s">
        <v>245</v>
      </c>
      <c r="E605" s="184">
        <v>46226.0</v>
      </c>
      <c r="F605" s="185">
        <f t="shared" si="1"/>
        <v>23</v>
      </c>
      <c r="G605" s="185">
        <f t="shared" si="2"/>
        <v>7</v>
      </c>
      <c r="H605" s="185">
        <f t="shared" si="3"/>
        <v>2026</v>
      </c>
      <c r="I605" s="186">
        <f t="shared" ref="I605:J605" si="82">G605</f>
        <v>7</v>
      </c>
      <c r="J605" s="186">
        <f t="shared" si="82"/>
        <v>2026</v>
      </c>
      <c r="K605" s="187"/>
      <c r="L605" s="187">
        <v>10.0</v>
      </c>
      <c r="M605" s="27">
        <v>1.0</v>
      </c>
      <c r="N605" s="187">
        <f t="shared" si="81"/>
        <v>10</v>
      </c>
      <c r="O605" s="58"/>
      <c r="P605" s="74"/>
      <c r="Q605" s="74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</row>
    <row r="606" ht="15.75" customHeight="1">
      <c r="A606" s="74" t="s">
        <v>253</v>
      </c>
      <c r="B606" s="27" t="s">
        <v>266</v>
      </c>
      <c r="C606" s="183"/>
      <c r="D606" s="74" t="s">
        <v>245</v>
      </c>
      <c r="E606" s="184">
        <v>46227.0</v>
      </c>
      <c r="F606" s="185">
        <f t="shared" si="1"/>
        <v>24</v>
      </c>
      <c r="G606" s="185">
        <f t="shared" si="2"/>
        <v>7</v>
      </c>
      <c r="H606" s="185">
        <f t="shared" si="3"/>
        <v>2026</v>
      </c>
      <c r="I606" s="186">
        <f t="shared" ref="I606:J606" si="83">G606</f>
        <v>7</v>
      </c>
      <c r="J606" s="186">
        <f t="shared" si="83"/>
        <v>2026</v>
      </c>
      <c r="K606" s="187"/>
      <c r="L606" s="187">
        <v>1000.0</v>
      </c>
      <c r="M606" s="27">
        <v>1.0</v>
      </c>
      <c r="N606" s="187">
        <f t="shared" si="81"/>
        <v>1000</v>
      </c>
      <c r="O606" s="58"/>
      <c r="P606" s="74"/>
      <c r="Q606" s="74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</row>
    <row r="607" ht="15.75" customHeight="1">
      <c r="A607" s="74" t="s">
        <v>253</v>
      </c>
      <c r="B607" s="27" t="s">
        <v>266</v>
      </c>
      <c r="C607" s="183"/>
      <c r="D607" s="74" t="s">
        <v>245</v>
      </c>
      <c r="E607" s="184">
        <v>46227.0</v>
      </c>
      <c r="F607" s="185">
        <f t="shared" si="1"/>
        <v>24</v>
      </c>
      <c r="G607" s="185">
        <f t="shared" si="2"/>
        <v>7</v>
      </c>
      <c r="H607" s="185">
        <f t="shared" si="3"/>
        <v>2026</v>
      </c>
      <c r="I607" s="186">
        <f t="shared" ref="I607:J607" si="84">G607</f>
        <v>7</v>
      </c>
      <c r="J607" s="186">
        <f t="shared" si="84"/>
        <v>2026</v>
      </c>
      <c r="K607" s="187"/>
      <c r="L607" s="187">
        <v>500.0</v>
      </c>
      <c r="M607" s="27">
        <v>1.0</v>
      </c>
      <c r="N607" s="187">
        <f t="shared" si="81"/>
        <v>500</v>
      </c>
      <c r="O607" s="58"/>
      <c r="P607" s="74"/>
      <c r="Q607" s="74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</row>
    <row r="608" ht="15.75" customHeight="1">
      <c r="A608" s="74" t="s">
        <v>253</v>
      </c>
      <c r="B608" s="27" t="s">
        <v>266</v>
      </c>
      <c r="C608" s="183"/>
      <c r="D608" s="74" t="s">
        <v>245</v>
      </c>
      <c r="E608" s="184">
        <v>46227.0</v>
      </c>
      <c r="F608" s="185">
        <f t="shared" si="1"/>
        <v>24</v>
      </c>
      <c r="G608" s="185">
        <f t="shared" si="2"/>
        <v>7</v>
      </c>
      <c r="H608" s="185">
        <f t="shared" si="3"/>
        <v>2026</v>
      </c>
      <c r="I608" s="186">
        <f t="shared" ref="I608:J608" si="85">G608</f>
        <v>7</v>
      </c>
      <c r="J608" s="186">
        <f t="shared" si="85"/>
        <v>2026</v>
      </c>
      <c r="K608" s="187"/>
      <c r="L608" s="187">
        <v>500.0</v>
      </c>
      <c r="M608" s="27">
        <v>1.0</v>
      </c>
      <c r="N608" s="187">
        <f t="shared" si="81"/>
        <v>500</v>
      </c>
      <c r="O608" s="58"/>
      <c r="P608" s="74"/>
      <c r="Q608" s="74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</row>
    <row r="609" ht="15.75" customHeight="1">
      <c r="A609" s="74" t="s">
        <v>22</v>
      </c>
      <c r="B609" s="27" t="s">
        <v>27</v>
      </c>
      <c r="C609" s="183"/>
      <c r="D609" s="74" t="s">
        <v>2</v>
      </c>
      <c r="E609" s="184">
        <v>46227.0</v>
      </c>
      <c r="F609" s="185">
        <f t="shared" si="1"/>
        <v>24</v>
      </c>
      <c r="G609" s="185">
        <f t="shared" si="2"/>
        <v>7</v>
      </c>
      <c r="H609" s="185">
        <f t="shared" si="3"/>
        <v>2026</v>
      </c>
      <c r="I609" s="186">
        <f t="shared" ref="I609:J609" si="86">G609</f>
        <v>7</v>
      </c>
      <c r="J609" s="186">
        <f t="shared" si="86"/>
        <v>2026</v>
      </c>
      <c r="K609" s="187"/>
      <c r="L609" s="187">
        <v>464.0</v>
      </c>
      <c r="M609" s="27">
        <v>1.0</v>
      </c>
      <c r="N609" s="187">
        <f t="shared" si="81"/>
        <v>464</v>
      </c>
      <c r="O609" s="58"/>
      <c r="P609" s="74"/>
      <c r="Q609" s="74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</row>
    <row r="610" ht="15.75" customHeight="1">
      <c r="A610" s="74" t="s">
        <v>153</v>
      </c>
      <c r="B610" s="27" t="s">
        <v>314</v>
      </c>
      <c r="C610" s="183"/>
      <c r="D610" s="74" t="s">
        <v>245</v>
      </c>
      <c r="E610" s="184">
        <v>46227.0</v>
      </c>
      <c r="F610" s="185">
        <f t="shared" si="1"/>
        <v>24</v>
      </c>
      <c r="G610" s="185">
        <f t="shared" si="2"/>
        <v>7</v>
      </c>
      <c r="H610" s="185">
        <f t="shared" si="3"/>
        <v>2026</v>
      </c>
      <c r="I610" s="186">
        <f t="shared" ref="I610:J610" si="87">G610</f>
        <v>7</v>
      </c>
      <c r="J610" s="186">
        <f t="shared" si="87"/>
        <v>2026</v>
      </c>
      <c r="K610" s="187"/>
      <c r="L610" s="187">
        <v>2.0</v>
      </c>
      <c r="M610" s="27">
        <v>1.0</v>
      </c>
      <c r="N610" s="187">
        <f t="shared" si="81"/>
        <v>2</v>
      </c>
      <c r="O610" s="58"/>
      <c r="P610" s="74"/>
      <c r="Q610" s="74" t="s">
        <v>828</v>
      </c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</row>
    <row r="611" ht="15.75" customHeight="1">
      <c r="A611" s="74" t="s">
        <v>151</v>
      </c>
      <c r="B611" s="27" t="s">
        <v>137</v>
      </c>
      <c r="C611" s="183"/>
      <c r="D611" s="74" t="s">
        <v>245</v>
      </c>
      <c r="E611" s="184">
        <v>46228.0</v>
      </c>
      <c r="F611" s="185">
        <f t="shared" si="1"/>
        <v>25</v>
      </c>
      <c r="G611" s="185">
        <f t="shared" si="2"/>
        <v>7</v>
      </c>
      <c r="H611" s="185">
        <f t="shared" si="3"/>
        <v>2026</v>
      </c>
      <c r="I611" s="186">
        <f t="shared" ref="I611:J611" si="88">G611</f>
        <v>7</v>
      </c>
      <c r="J611" s="186">
        <f t="shared" si="88"/>
        <v>2026</v>
      </c>
      <c r="K611" s="187"/>
      <c r="L611" s="187">
        <v>1.16</v>
      </c>
      <c r="M611" s="27">
        <v>1.0</v>
      </c>
      <c r="N611" s="187">
        <f t="shared" si="81"/>
        <v>1.16</v>
      </c>
      <c r="O611" s="58"/>
      <c r="P611" s="74"/>
      <c r="Q611" s="74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</row>
    <row r="612" ht="15.75" customHeight="1">
      <c r="A612" s="74" t="s">
        <v>253</v>
      </c>
      <c r="B612" s="27" t="s">
        <v>266</v>
      </c>
      <c r="C612" s="183"/>
      <c r="D612" s="74" t="s">
        <v>245</v>
      </c>
      <c r="E612" s="184">
        <v>46229.0</v>
      </c>
      <c r="F612" s="185">
        <f t="shared" si="1"/>
        <v>26</v>
      </c>
      <c r="G612" s="185">
        <f t="shared" si="2"/>
        <v>7</v>
      </c>
      <c r="H612" s="185">
        <f t="shared" si="3"/>
        <v>2026</v>
      </c>
      <c r="I612" s="186">
        <f t="shared" ref="I612:J612" si="89">G612</f>
        <v>7</v>
      </c>
      <c r="J612" s="186">
        <f t="shared" si="89"/>
        <v>2026</v>
      </c>
      <c r="K612" s="187"/>
      <c r="L612" s="187">
        <v>500.0</v>
      </c>
      <c r="M612" s="27">
        <v>1.0</v>
      </c>
      <c r="N612" s="187">
        <f t="shared" si="81"/>
        <v>500</v>
      </c>
      <c r="O612" s="58"/>
      <c r="P612" s="74"/>
      <c r="Q612" s="74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</row>
    <row r="613" ht="15.75" customHeight="1">
      <c r="A613" s="74" t="s">
        <v>178</v>
      </c>
      <c r="B613" s="27" t="s">
        <v>310</v>
      </c>
      <c r="C613" s="183"/>
      <c r="D613" s="74" t="s">
        <v>5</v>
      </c>
      <c r="E613" s="184">
        <v>46229.0</v>
      </c>
      <c r="F613" s="185">
        <f t="shared" si="1"/>
        <v>26</v>
      </c>
      <c r="G613" s="185">
        <f t="shared" si="2"/>
        <v>7</v>
      </c>
      <c r="H613" s="185">
        <f t="shared" si="3"/>
        <v>2026</v>
      </c>
      <c r="I613" s="186">
        <f t="shared" ref="I613:J613" si="90">G613</f>
        <v>7</v>
      </c>
      <c r="J613" s="186">
        <f t="shared" si="90"/>
        <v>2026</v>
      </c>
      <c r="K613" s="187"/>
      <c r="L613" s="187">
        <v>370.0</v>
      </c>
      <c r="M613" s="27">
        <v>1.0</v>
      </c>
      <c r="N613" s="187">
        <v>490.0</v>
      </c>
      <c r="O613" s="58"/>
      <c r="P613" s="74"/>
      <c r="Q613" s="74" t="s">
        <v>551</v>
      </c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</row>
    <row r="614" ht="15.75" customHeight="1">
      <c r="A614" s="74" t="s">
        <v>178</v>
      </c>
      <c r="B614" s="27" t="s">
        <v>310</v>
      </c>
      <c r="C614" s="183"/>
      <c r="D614" s="74" t="s">
        <v>5</v>
      </c>
      <c r="E614" s="184">
        <v>46229.0</v>
      </c>
      <c r="F614" s="185">
        <f t="shared" si="1"/>
        <v>26</v>
      </c>
      <c r="G614" s="185">
        <f t="shared" si="2"/>
        <v>7</v>
      </c>
      <c r="H614" s="185">
        <f t="shared" si="3"/>
        <v>2026</v>
      </c>
      <c r="I614" s="186">
        <f t="shared" ref="I614:J614" si="91">G614</f>
        <v>7</v>
      </c>
      <c r="J614" s="186">
        <f t="shared" si="91"/>
        <v>2026</v>
      </c>
      <c r="K614" s="187"/>
      <c r="L614" s="187">
        <v>480.0</v>
      </c>
      <c r="M614" s="27">
        <v>1.0</v>
      </c>
      <c r="N614" s="187">
        <f t="shared" ref="N614:N615" si="93">M614*L614</f>
        <v>480</v>
      </c>
      <c r="O614" s="58"/>
      <c r="P614" s="74"/>
      <c r="Q614" s="74" t="s">
        <v>357</v>
      </c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</row>
    <row r="615" ht="15.75" customHeight="1">
      <c r="A615" s="74" t="s">
        <v>178</v>
      </c>
      <c r="B615" s="27" t="s">
        <v>310</v>
      </c>
      <c r="C615" s="183"/>
      <c r="D615" s="74" t="s">
        <v>5</v>
      </c>
      <c r="E615" s="184">
        <v>46229.0</v>
      </c>
      <c r="F615" s="185">
        <f t="shared" si="1"/>
        <v>26</v>
      </c>
      <c r="G615" s="185">
        <f t="shared" si="2"/>
        <v>7</v>
      </c>
      <c r="H615" s="185">
        <f t="shared" si="3"/>
        <v>2026</v>
      </c>
      <c r="I615" s="186">
        <f t="shared" ref="I615:J615" si="92">G615</f>
        <v>7</v>
      </c>
      <c r="J615" s="186">
        <f t="shared" si="92"/>
        <v>2026</v>
      </c>
      <c r="K615" s="187"/>
      <c r="L615" s="187">
        <v>325.0</v>
      </c>
      <c r="M615" s="27">
        <v>1.0</v>
      </c>
      <c r="N615" s="187">
        <f t="shared" si="93"/>
        <v>325</v>
      </c>
      <c r="O615" s="58"/>
      <c r="P615" s="74"/>
      <c r="Q615" s="74" t="s">
        <v>824</v>
      </c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</row>
    <row r="616" ht="15.75" customHeight="1">
      <c r="A616" s="74" t="s">
        <v>153</v>
      </c>
      <c r="B616" s="27" t="s">
        <v>315</v>
      </c>
      <c r="C616" s="183"/>
      <c r="D616" s="74" t="s">
        <v>245</v>
      </c>
      <c r="E616" s="184">
        <v>46229.0</v>
      </c>
      <c r="F616" s="185">
        <f t="shared" si="1"/>
        <v>26</v>
      </c>
      <c r="G616" s="185">
        <f t="shared" si="2"/>
        <v>7</v>
      </c>
      <c r="H616" s="185">
        <f t="shared" si="3"/>
        <v>2026</v>
      </c>
      <c r="I616" s="186">
        <f t="shared" ref="I616:J616" si="94">G616</f>
        <v>7</v>
      </c>
      <c r="J616" s="186">
        <f t="shared" si="94"/>
        <v>2026</v>
      </c>
      <c r="K616" s="187"/>
      <c r="L616" s="187">
        <v>2.5</v>
      </c>
      <c r="M616" s="27">
        <v>1.0</v>
      </c>
      <c r="N616" s="187">
        <f t="shared" ref="N616:N646" si="96">L616*M616</f>
        <v>2.5</v>
      </c>
      <c r="O616" s="58"/>
      <c r="P616" s="74"/>
      <c r="Q616" s="74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</row>
    <row r="617" ht="15.75" customHeight="1">
      <c r="A617" s="74" t="s">
        <v>253</v>
      </c>
      <c r="B617" s="27" t="s">
        <v>266</v>
      </c>
      <c r="C617" s="183"/>
      <c r="D617" s="74" t="s">
        <v>245</v>
      </c>
      <c r="E617" s="184">
        <v>46230.0</v>
      </c>
      <c r="F617" s="185">
        <f t="shared" si="1"/>
        <v>27</v>
      </c>
      <c r="G617" s="185">
        <f t="shared" si="2"/>
        <v>7</v>
      </c>
      <c r="H617" s="185">
        <f t="shared" si="3"/>
        <v>2026</v>
      </c>
      <c r="I617" s="186">
        <f t="shared" ref="I617:J617" si="95">G617</f>
        <v>7</v>
      </c>
      <c r="J617" s="186">
        <f t="shared" si="95"/>
        <v>2026</v>
      </c>
      <c r="K617" s="187"/>
      <c r="L617" s="187">
        <v>500.0</v>
      </c>
      <c r="M617" s="27">
        <v>1.0</v>
      </c>
      <c r="N617" s="187">
        <f t="shared" si="96"/>
        <v>500</v>
      </c>
      <c r="O617" s="58"/>
      <c r="P617" s="74"/>
      <c r="Q617" s="74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</row>
    <row r="618" ht="15.75" customHeight="1">
      <c r="A618" s="74" t="s">
        <v>167</v>
      </c>
      <c r="B618" s="27" t="s">
        <v>41</v>
      </c>
      <c r="C618" s="183"/>
      <c r="D618" s="74" t="s">
        <v>2</v>
      </c>
      <c r="E618" s="184">
        <v>46230.0</v>
      </c>
      <c r="F618" s="185">
        <f t="shared" si="1"/>
        <v>27</v>
      </c>
      <c r="G618" s="185">
        <f t="shared" si="2"/>
        <v>7</v>
      </c>
      <c r="H618" s="185">
        <f t="shared" si="3"/>
        <v>2026</v>
      </c>
      <c r="I618" s="186">
        <v>6.0</v>
      </c>
      <c r="J618" s="186">
        <f>H618</f>
        <v>2026</v>
      </c>
      <c r="K618" s="187"/>
      <c r="L618" s="187">
        <v>411.6</v>
      </c>
      <c r="M618" s="27">
        <v>1.0</v>
      </c>
      <c r="N618" s="187">
        <f t="shared" si="96"/>
        <v>411.6</v>
      </c>
      <c r="O618" s="58"/>
      <c r="P618" s="74"/>
      <c r="Q618" s="74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</row>
    <row r="619" ht="15.75" customHeight="1">
      <c r="A619" s="74" t="s">
        <v>151</v>
      </c>
      <c r="B619" s="27" t="s">
        <v>184</v>
      </c>
      <c r="C619" s="183"/>
      <c r="D619" s="74" t="s">
        <v>2</v>
      </c>
      <c r="E619" s="184">
        <v>46231.0</v>
      </c>
      <c r="F619" s="185">
        <f t="shared" si="1"/>
        <v>28</v>
      </c>
      <c r="G619" s="185">
        <f t="shared" si="2"/>
        <v>7</v>
      </c>
      <c r="H619" s="185">
        <f t="shared" si="3"/>
        <v>2026</v>
      </c>
      <c r="I619" s="186">
        <f t="shared" ref="I619:J619" si="97">G619</f>
        <v>7</v>
      </c>
      <c r="J619" s="186">
        <f t="shared" si="97"/>
        <v>2026</v>
      </c>
      <c r="K619" s="187"/>
      <c r="L619" s="187">
        <v>1.99</v>
      </c>
      <c r="M619" s="27">
        <v>20.0</v>
      </c>
      <c r="N619" s="187">
        <f t="shared" si="96"/>
        <v>39.8</v>
      </c>
      <c r="O619" s="58"/>
      <c r="P619" s="74"/>
      <c r="Q619" s="74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</row>
    <row r="620" ht="15.75" customHeight="1">
      <c r="A620" s="74" t="s">
        <v>151</v>
      </c>
      <c r="B620" s="27" t="s">
        <v>184</v>
      </c>
      <c r="C620" s="183"/>
      <c r="D620" s="74" t="s">
        <v>2</v>
      </c>
      <c r="E620" s="184">
        <v>46231.0</v>
      </c>
      <c r="F620" s="185">
        <f t="shared" si="1"/>
        <v>28</v>
      </c>
      <c r="G620" s="185">
        <f t="shared" si="2"/>
        <v>7</v>
      </c>
      <c r="H620" s="185">
        <f t="shared" si="3"/>
        <v>2026</v>
      </c>
      <c r="I620" s="186">
        <f t="shared" ref="I620:J620" si="98">G620</f>
        <v>7</v>
      </c>
      <c r="J620" s="186">
        <f t="shared" si="98"/>
        <v>2026</v>
      </c>
      <c r="K620" s="187"/>
      <c r="L620" s="187">
        <v>1.65</v>
      </c>
      <c r="M620" s="27">
        <v>12.0</v>
      </c>
      <c r="N620" s="187">
        <f t="shared" si="96"/>
        <v>19.8</v>
      </c>
      <c r="O620" s="58"/>
      <c r="P620" s="74"/>
      <c r="Q620" s="74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</row>
    <row r="621" ht="15.75" customHeight="1">
      <c r="A621" s="74" t="s">
        <v>151</v>
      </c>
      <c r="B621" s="27" t="s">
        <v>193</v>
      </c>
      <c r="C621" s="183"/>
      <c r="D621" s="74" t="s">
        <v>2</v>
      </c>
      <c r="E621" s="184">
        <v>46231.0</v>
      </c>
      <c r="F621" s="185">
        <f t="shared" si="1"/>
        <v>28</v>
      </c>
      <c r="G621" s="185">
        <f t="shared" si="2"/>
        <v>7</v>
      </c>
      <c r="H621" s="185">
        <f t="shared" si="3"/>
        <v>2026</v>
      </c>
      <c r="I621" s="186">
        <f t="shared" ref="I621:J621" si="99">G621</f>
        <v>7</v>
      </c>
      <c r="J621" s="186">
        <f t="shared" si="99"/>
        <v>2026</v>
      </c>
      <c r="K621" s="187"/>
      <c r="L621" s="187">
        <v>0.79</v>
      </c>
      <c r="M621" s="27">
        <v>24.0</v>
      </c>
      <c r="N621" s="187">
        <f t="shared" si="96"/>
        <v>18.96</v>
      </c>
      <c r="O621" s="58"/>
      <c r="P621" s="74"/>
      <c r="Q621" s="74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</row>
    <row r="622" ht="15.75" customHeight="1">
      <c r="A622" s="74" t="s">
        <v>154</v>
      </c>
      <c r="B622" s="27" t="s">
        <v>239</v>
      </c>
      <c r="C622" s="183"/>
      <c r="D622" s="74" t="s">
        <v>245</v>
      </c>
      <c r="E622" s="184">
        <v>46231.0</v>
      </c>
      <c r="F622" s="185">
        <f t="shared" si="1"/>
        <v>28</v>
      </c>
      <c r="G622" s="185">
        <f t="shared" si="2"/>
        <v>7</v>
      </c>
      <c r="H622" s="185">
        <f t="shared" si="3"/>
        <v>2026</v>
      </c>
      <c r="I622" s="186">
        <f t="shared" ref="I622:J622" si="100">G622</f>
        <v>7</v>
      </c>
      <c r="J622" s="186">
        <f t="shared" si="100"/>
        <v>2026</v>
      </c>
      <c r="K622" s="187"/>
      <c r="L622" s="187">
        <v>1.15</v>
      </c>
      <c r="M622" s="27">
        <v>16.0</v>
      </c>
      <c r="N622" s="187">
        <f t="shared" si="96"/>
        <v>18.4</v>
      </c>
      <c r="O622" s="58"/>
      <c r="P622" s="74"/>
      <c r="Q622" s="74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</row>
    <row r="623" ht="15.75" customHeight="1">
      <c r="A623" s="74" t="s">
        <v>151</v>
      </c>
      <c r="B623" s="27" t="s">
        <v>146</v>
      </c>
      <c r="C623" s="183"/>
      <c r="D623" s="74" t="s">
        <v>2</v>
      </c>
      <c r="E623" s="184">
        <v>46231.0</v>
      </c>
      <c r="F623" s="185">
        <f t="shared" si="1"/>
        <v>28</v>
      </c>
      <c r="G623" s="185">
        <f t="shared" si="2"/>
        <v>7</v>
      </c>
      <c r="H623" s="185">
        <f t="shared" si="3"/>
        <v>2026</v>
      </c>
      <c r="I623" s="186">
        <f t="shared" ref="I623:J623" si="101">G623</f>
        <v>7</v>
      </c>
      <c r="J623" s="186">
        <f t="shared" si="101"/>
        <v>2026</v>
      </c>
      <c r="K623" s="187"/>
      <c r="L623" s="187">
        <v>2.99</v>
      </c>
      <c r="M623" s="27">
        <v>4.0</v>
      </c>
      <c r="N623" s="187">
        <f t="shared" si="96"/>
        <v>11.96</v>
      </c>
      <c r="O623" s="58"/>
      <c r="P623" s="74"/>
      <c r="Q623" s="74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</row>
    <row r="624" ht="15.75" customHeight="1">
      <c r="A624" s="74" t="s">
        <v>154</v>
      </c>
      <c r="B624" s="27" t="s">
        <v>233</v>
      </c>
      <c r="C624" s="183"/>
      <c r="D624" s="74" t="s">
        <v>2</v>
      </c>
      <c r="E624" s="184">
        <v>46231.0</v>
      </c>
      <c r="F624" s="185">
        <f t="shared" si="1"/>
        <v>28</v>
      </c>
      <c r="G624" s="185">
        <f t="shared" si="2"/>
        <v>7</v>
      </c>
      <c r="H624" s="185">
        <f t="shared" si="3"/>
        <v>2026</v>
      </c>
      <c r="I624" s="186">
        <f t="shared" ref="I624:J624" si="102">G624</f>
        <v>7</v>
      </c>
      <c r="J624" s="186">
        <f t="shared" si="102"/>
        <v>2026</v>
      </c>
      <c r="K624" s="187"/>
      <c r="L624" s="187">
        <v>0.85</v>
      </c>
      <c r="M624" s="27">
        <v>12.0</v>
      </c>
      <c r="N624" s="187">
        <f t="shared" si="96"/>
        <v>10.2</v>
      </c>
      <c r="O624" s="58"/>
      <c r="P624" s="74"/>
      <c r="Q624" s="74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</row>
    <row r="625" ht="15.75" customHeight="1">
      <c r="A625" s="74" t="s">
        <v>154</v>
      </c>
      <c r="B625" s="27" t="s">
        <v>231</v>
      </c>
      <c r="C625" s="183"/>
      <c r="D625" s="74" t="s">
        <v>245</v>
      </c>
      <c r="E625" s="184">
        <v>46231.0</v>
      </c>
      <c r="F625" s="185">
        <f t="shared" si="1"/>
        <v>28</v>
      </c>
      <c r="G625" s="185">
        <f t="shared" si="2"/>
        <v>7</v>
      </c>
      <c r="H625" s="185">
        <f t="shared" si="3"/>
        <v>2026</v>
      </c>
      <c r="I625" s="186">
        <f t="shared" ref="I625:J625" si="103">G625</f>
        <v>7</v>
      </c>
      <c r="J625" s="186">
        <f t="shared" si="103"/>
        <v>2026</v>
      </c>
      <c r="K625" s="187"/>
      <c r="L625" s="187">
        <v>2.69</v>
      </c>
      <c r="M625" s="27">
        <v>3.0</v>
      </c>
      <c r="N625" s="187">
        <f t="shared" si="96"/>
        <v>8.07</v>
      </c>
      <c r="O625" s="58"/>
      <c r="P625" s="74"/>
      <c r="Q625" s="74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</row>
    <row r="626" ht="15.75" customHeight="1">
      <c r="A626" s="74" t="s">
        <v>151</v>
      </c>
      <c r="B626" s="27" t="s">
        <v>193</v>
      </c>
      <c r="C626" s="183"/>
      <c r="D626" s="74" t="s">
        <v>245</v>
      </c>
      <c r="E626" s="184">
        <v>46231.0</v>
      </c>
      <c r="F626" s="185">
        <f t="shared" si="1"/>
        <v>28</v>
      </c>
      <c r="G626" s="185">
        <f t="shared" si="2"/>
        <v>7</v>
      </c>
      <c r="H626" s="185">
        <f t="shared" si="3"/>
        <v>2026</v>
      </c>
      <c r="I626" s="186">
        <f t="shared" ref="I626:J626" si="104">G626</f>
        <v>7</v>
      </c>
      <c r="J626" s="186">
        <f t="shared" si="104"/>
        <v>2026</v>
      </c>
      <c r="K626" s="187"/>
      <c r="L626" s="187">
        <v>0.94</v>
      </c>
      <c r="M626" s="27">
        <v>2.0</v>
      </c>
      <c r="N626" s="187">
        <f t="shared" si="96"/>
        <v>1.88</v>
      </c>
      <c r="O626" s="58"/>
      <c r="P626" s="74"/>
      <c r="Q626" s="74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</row>
    <row r="627" ht="15.75" customHeight="1">
      <c r="A627" s="74" t="s">
        <v>528</v>
      </c>
      <c r="B627" s="27" t="s">
        <v>145</v>
      </c>
      <c r="C627" s="183"/>
      <c r="D627" s="74" t="s">
        <v>245</v>
      </c>
      <c r="E627" s="184">
        <v>46232.0</v>
      </c>
      <c r="F627" s="185">
        <f t="shared" si="1"/>
        <v>29</v>
      </c>
      <c r="G627" s="185">
        <f t="shared" si="2"/>
        <v>7</v>
      </c>
      <c r="H627" s="185">
        <f t="shared" si="3"/>
        <v>2026</v>
      </c>
      <c r="I627" s="186">
        <f t="shared" ref="I627:J627" si="105">G627</f>
        <v>7</v>
      </c>
      <c r="J627" s="186">
        <f t="shared" si="105"/>
        <v>2026</v>
      </c>
      <c r="K627" s="187"/>
      <c r="L627" s="187">
        <f>2.79/6</f>
        <v>0.465</v>
      </c>
      <c r="M627" s="27">
        <f>6*20</f>
        <v>120</v>
      </c>
      <c r="N627" s="187">
        <f t="shared" si="96"/>
        <v>55.8</v>
      </c>
      <c r="O627" s="58"/>
      <c r="P627" s="74"/>
      <c r="Q627" s="74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</row>
    <row r="628" ht="15.75" customHeight="1">
      <c r="A628" s="74" t="s">
        <v>151</v>
      </c>
      <c r="B628" s="27" t="s">
        <v>181</v>
      </c>
      <c r="C628" s="183"/>
      <c r="D628" s="74" t="s">
        <v>245</v>
      </c>
      <c r="E628" s="184">
        <v>46232.0</v>
      </c>
      <c r="F628" s="185">
        <f t="shared" si="1"/>
        <v>29</v>
      </c>
      <c r="G628" s="185">
        <f t="shared" si="2"/>
        <v>7</v>
      </c>
      <c r="H628" s="185">
        <f t="shared" si="3"/>
        <v>2026</v>
      </c>
      <c r="I628" s="186">
        <f t="shared" ref="I628:J628" si="106">G628</f>
        <v>7</v>
      </c>
      <c r="J628" s="186">
        <f t="shared" si="106"/>
        <v>2026</v>
      </c>
      <c r="K628" s="187"/>
      <c r="L628" s="187">
        <v>1.99</v>
      </c>
      <c r="M628" s="27">
        <v>20.0</v>
      </c>
      <c r="N628" s="187">
        <f t="shared" si="96"/>
        <v>39.8</v>
      </c>
      <c r="O628" s="58"/>
      <c r="P628" s="74"/>
      <c r="Q628" s="74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</row>
    <row r="629" ht="15.75" customHeight="1">
      <c r="A629" s="74" t="s">
        <v>151</v>
      </c>
      <c r="B629" s="27" t="s">
        <v>146</v>
      </c>
      <c r="C629" s="183"/>
      <c r="D629" s="74" t="s">
        <v>245</v>
      </c>
      <c r="E629" s="184">
        <v>46232.0</v>
      </c>
      <c r="F629" s="185">
        <f t="shared" si="1"/>
        <v>29</v>
      </c>
      <c r="G629" s="185">
        <f t="shared" si="2"/>
        <v>7</v>
      </c>
      <c r="H629" s="185">
        <f t="shared" si="3"/>
        <v>2026</v>
      </c>
      <c r="I629" s="186">
        <f t="shared" ref="I629:J629" si="107">G629</f>
        <v>7</v>
      </c>
      <c r="J629" s="186">
        <f t="shared" si="107"/>
        <v>2026</v>
      </c>
      <c r="K629" s="187"/>
      <c r="L629" s="187">
        <v>2.95</v>
      </c>
      <c r="M629" s="27">
        <v>9.0</v>
      </c>
      <c r="N629" s="187">
        <f t="shared" si="96"/>
        <v>26.55</v>
      </c>
      <c r="O629" s="58"/>
      <c r="P629" s="74"/>
      <c r="Q629" s="74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</row>
    <row r="630" ht="15.75" customHeight="1">
      <c r="A630" s="74" t="s">
        <v>151</v>
      </c>
      <c r="B630" s="27" t="s">
        <v>146</v>
      </c>
      <c r="C630" s="183"/>
      <c r="D630" s="74" t="s">
        <v>245</v>
      </c>
      <c r="E630" s="184">
        <v>46232.0</v>
      </c>
      <c r="F630" s="185">
        <f t="shared" si="1"/>
        <v>29</v>
      </c>
      <c r="G630" s="185">
        <f t="shared" si="2"/>
        <v>7</v>
      </c>
      <c r="H630" s="185">
        <f t="shared" si="3"/>
        <v>2026</v>
      </c>
      <c r="I630" s="186">
        <f t="shared" ref="I630:J630" si="108">G630</f>
        <v>7</v>
      </c>
      <c r="J630" s="186">
        <f t="shared" si="108"/>
        <v>2026</v>
      </c>
      <c r="K630" s="187"/>
      <c r="L630" s="187">
        <v>2.95</v>
      </c>
      <c r="M630" s="27">
        <v>8.0</v>
      </c>
      <c r="N630" s="187">
        <f t="shared" si="96"/>
        <v>23.6</v>
      </c>
      <c r="O630" s="58"/>
      <c r="P630" s="74"/>
      <c r="Q630" s="74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</row>
    <row r="631" ht="15.75" customHeight="1">
      <c r="A631" s="74" t="s">
        <v>334</v>
      </c>
      <c r="B631" s="27" t="s">
        <v>501</v>
      </c>
      <c r="C631" s="183"/>
      <c r="D631" s="74" t="s">
        <v>2</v>
      </c>
      <c r="E631" s="184">
        <v>46233.0</v>
      </c>
      <c r="F631" s="185">
        <f t="shared" si="1"/>
        <v>30</v>
      </c>
      <c r="G631" s="185">
        <f t="shared" si="2"/>
        <v>7</v>
      </c>
      <c r="H631" s="185">
        <f t="shared" si="3"/>
        <v>2026</v>
      </c>
      <c r="I631" s="186">
        <v>8.0</v>
      </c>
      <c r="J631" s="186">
        <f>H631</f>
        <v>2026</v>
      </c>
      <c r="K631" s="187"/>
      <c r="L631" s="187">
        <v>1150.0</v>
      </c>
      <c r="M631" s="27">
        <v>1.0</v>
      </c>
      <c r="N631" s="187">
        <f t="shared" si="96"/>
        <v>1150</v>
      </c>
      <c r="O631" s="58"/>
      <c r="P631" s="74"/>
      <c r="Q631" s="74" t="s">
        <v>502</v>
      </c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</row>
    <row r="632" ht="15.75" customHeight="1">
      <c r="A632" s="74" t="s">
        <v>178</v>
      </c>
      <c r="B632" s="27" t="s">
        <v>311</v>
      </c>
      <c r="C632" s="183"/>
      <c r="D632" s="74" t="s">
        <v>2</v>
      </c>
      <c r="E632" s="184">
        <v>46233.0</v>
      </c>
      <c r="F632" s="185">
        <f t="shared" si="1"/>
        <v>30</v>
      </c>
      <c r="G632" s="185">
        <f t="shared" si="2"/>
        <v>7</v>
      </c>
      <c r="H632" s="185">
        <f t="shared" si="3"/>
        <v>2026</v>
      </c>
      <c r="I632" s="186">
        <f t="shared" ref="I632:J632" si="109">G632</f>
        <v>7</v>
      </c>
      <c r="J632" s="186">
        <f t="shared" si="109"/>
        <v>2026</v>
      </c>
      <c r="K632" s="187"/>
      <c r="L632" s="187">
        <v>1000.0</v>
      </c>
      <c r="M632" s="27">
        <v>1.0</v>
      </c>
      <c r="N632" s="187">
        <f t="shared" si="96"/>
        <v>1000</v>
      </c>
      <c r="O632" s="58"/>
      <c r="P632" s="74"/>
      <c r="Q632" s="74" t="s">
        <v>819</v>
      </c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</row>
    <row r="633" ht="15.75" customHeight="1">
      <c r="A633" s="74" t="s">
        <v>178</v>
      </c>
      <c r="B633" s="27" t="s">
        <v>311</v>
      </c>
      <c r="C633" s="183"/>
      <c r="D633" s="74" t="s">
        <v>2</v>
      </c>
      <c r="E633" s="184">
        <v>46233.0</v>
      </c>
      <c r="F633" s="185">
        <f t="shared" si="1"/>
        <v>30</v>
      </c>
      <c r="G633" s="185">
        <f t="shared" si="2"/>
        <v>7</v>
      </c>
      <c r="H633" s="185">
        <f t="shared" si="3"/>
        <v>2026</v>
      </c>
      <c r="I633" s="186">
        <f t="shared" ref="I633:J633" si="110">G633</f>
        <v>7</v>
      </c>
      <c r="J633" s="186">
        <f t="shared" si="110"/>
        <v>2026</v>
      </c>
      <c r="K633" s="187"/>
      <c r="L633" s="187">
        <v>1000.0</v>
      </c>
      <c r="M633" s="27">
        <v>1.0</v>
      </c>
      <c r="N633" s="187">
        <f t="shared" si="96"/>
        <v>1000</v>
      </c>
      <c r="O633" s="58"/>
      <c r="P633" s="74"/>
      <c r="Q633" s="74" t="s">
        <v>816</v>
      </c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</row>
    <row r="634" ht="15.75" customHeight="1">
      <c r="A634" s="74" t="s">
        <v>253</v>
      </c>
      <c r="B634" s="27" t="s">
        <v>266</v>
      </c>
      <c r="C634" s="183"/>
      <c r="D634" s="74" t="s">
        <v>245</v>
      </c>
      <c r="E634" s="184">
        <v>46233.0</v>
      </c>
      <c r="F634" s="185">
        <f t="shared" si="1"/>
        <v>30</v>
      </c>
      <c r="G634" s="185">
        <f t="shared" si="2"/>
        <v>7</v>
      </c>
      <c r="H634" s="185">
        <f t="shared" si="3"/>
        <v>2026</v>
      </c>
      <c r="I634" s="186">
        <f t="shared" ref="I634:J634" si="111">G634</f>
        <v>7</v>
      </c>
      <c r="J634" s="186">
        <f t="shared" si="111"/>
        <v>2026</v>
      </c>
      <c r="K634" s="187"/>
      <c r="L634" s="187">
        <v>500.0</v>
      </c>
      <c r="M634" s="27">
        <v>1.0</v>
      </c>
      <c r="N634" s="187">
        <f t="shared" si="96"/>
        <v>500</v>
      </c>
      <c r="O634" s="58"/>
      <c r="P634" s="74"/>
      <c r="Q634" s="74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</row>
    <row r="635" ht="15.75" customHeight="1">
      <c r="A635" s="74" t="s">
        <v>178</v>
      </c>
      <c r="B635" s="27" t="s">
        <v>311</v>
      </c>
      <c r="C635" s="183"/>
      <c r="D635" s="74" t="s">
        <v>5</v>
      </c>
      <c r="E635" s="184">
        <v>46233.0</v>
      </c>
      <c r="F635" s="185">
        <f t="shared" si="1"/>
        <v>30</v>
      </c>
      <c r="G635" s="185">
        <f t="shared" si="2"/>
        <v>7</v>
      </c>
      <c r="H635" s="185">
        <f t="shared" si="3"/>
        <v>2026</v>
      </c>
      <c r="I635" s="186">
        <f t="shared" ref="I635:J635" si="112">G635</f>
        <v>7</v>
      </c>
      <c r="J635" s="186">
        <f t="shared" si="112"/>
        <v>2026</v>
      </c>
      <c r="K635" s="187"/>
      <c r="L635" s="187">
        <v>500.0</v>
      </c>
      <c r="M635" s="27">
        <v>1.0</v>
      </c>
      <c r="N635" s="187">
        <f t="shared" si="96"/>
        <v>500</v>
      </c>
      <c r="O635" s="58"/>
      <c r="P635" s="74"/>
      <c r="Q635" s="74" t="s">
        <v>357</v>
      </c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</row>
    <row r="636" ht="15.75" customHeight="1">
      <c r="A636" s="74" t="s">
        <v>178</v>
      </c>
      <c r="B636" s="27" t="s">
        <v>310</v>
      </c>
      <c r="C636" s="183"/>
      <c r="D636" s="74" t="s">
        <v>5</v>
      </c>
      <c r="E636" s="184">
        <v>46233.0</v>
      </c>
      <c r="F636" s="185">
        <f t="shared" si="1"/>
        <v>30</v>
      </c>
      <c r="G636" s="185">
        <f t="shared" si="2"/>
        <v>7</v>
      </c>
      <c r="H636" s="185">
        <f t="shared" si="3"/>
        <v>2026</v>
      </c>
      <c r="I636" s="186">
        <f t="shared" ref="I636:J636" si="113">G636</f>
        <v>7</v>
      </c>
      <c r="J636" s="186">
        <f t="shared" si="113"/>
        <v>2026</v>
      </c>
      <c r="K636" s="187"/>
      <c r="L636" s="187">
        <v>370.0</v>
      </c>
      <c r="M636" s="27">
        <v>1.0</v>
      </c>
      <c r="N636" s="187">
        <f t="shared" si="96"/>
        <v>370</v>
      </c>
      <c r="O636" s="58"/>
      <c r="P636" s="74"/>
      <c r="Q636" s="74" t="s">
        <v>551</v>
      </c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</row>
    <row r="637" ht="15.75" customHeight="1">
      <c r="A637" s="74" t="s">
        <v>178</v>
      </c>
      <c r="B637" s="27" t="s">
        <v>311</v>
      </c>
      <c r="C637" s="183"/>
      <c r="D637" s="74" t="s">
        <v>5</v>
      </c>
      <c r="E637" s="184">
        <v>46233.0</v>
      </c>
      <c r="F637" s="185">
        <f t="shared" si="1"/>
        <v>30</v>
      </c>
      <c r="G637" s="185">
        <f t="shared" si="2"/>
        <v>7</v>
      </c>
      <c r="H637" s="185">
        <f t="shared" si="3"/>
        <v>2026</v>
      </c>
      <c r="I637" s="186">
        <f t="shared" ref="I637:J637" si="114">G637</f>
        <v>7</v>
      </c>
      <c r="J637" s="186">
        <f t="shared" si="114"/>
        <v>2026</v>
      </c>
      <c r="K637" s="187"/>
      <c r="L637" s="187">
        <v>250.0</v>
      </c>
      <c r="M637" s="27">
        <v>1.0</v>
      </c>
      <c r="N637" s="187">
        <f t="shared" si="96"/>
        <v>250</v>
      </c>
      <c r="O637" s="58"/>
      <c r="P637" s="74"/>
      <c r="Q637" s="74" t="s">
        <v>818</v>
      </c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</row>
    <row r="638" ht="15.75" customHeight="1">
      <c r="A638" s="74" t="s">
        <v>167</v>
      </c>
      <c r="B638" s="27" t="s">
        <v>32</v>
      </c>
      <c r="C638" s="183"/>
      <c r="D638" s="74" t="s">
        <v>2</v>
      </c>
      <c r="E638" s="184">
        <v>46233.0</v>
      </c>
      <c r="F638" s="185">
        <f t="shared" si="1"/>
        <v>30</v>
      </c>
      <c r="G638" s="185">
        <f t="shared" si="2"/>
        <v>7</v>
      </c>
      <c r="H638" s="185">
        <f t="shared" si="3"/>
        <v>2026</v>
      </c>
      <c r="I638" s="186">
        <f t="shared" ref="I638:J638" si="115">G638</f>
        <v>7</v>
      </c>
      <c r="J638" s="186">
        <f t="shared" si="115"/>
        <v>2026</v>
      </c>
      <c r="K638" s="187"/>
      <c r="L638" s="187">
        <v>230.0</v>
      </c>
      <c r="M638" s="27">
        <v>1.0</v>
      </c>
      <c r="N638" s="187">
        <f t="shared" si="96"/>
        <v>230</v>
      </c>
      <c r="O638" s="58"/>
      <c r="P638" s="74"/>
      <c r="Q638" s="74" t="s">
        <v>834</v>
      </c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</row>
    <row r="639" ht="15.75" customHeight="1">
      <c r="A639" s="74" t="s">
        <v>167</v>
      </c>
      <c r="B639" s="27" t="s">
        <v>32</v>
      </c>
      <c r="C639" s="183"/>
      <c r="D639" s="74" t="s">
        <v>2</v>
      </c>
      <c r="E639" s="184">
        <v>46233.0</v>
      </c>
      <c r="F639" s="185">
        <f t="shared" si="1"/>
        <v>30</v>
      </c>
      <c r="G639" s="185">
        <f t="shared" si="2"/>
        <v>7</v>
      </c>
      <c r="H639" s="185">
        <f t="shared" si="3"/>
        <v>2026</v>
      </c>
      <c r="I639" s="186">
        <f t="shared" ref="I639:J639" si="116">G639</f>
        <v>7</v>
      </c>
      <c r="J639" s="186">
        <f t="shared" si="116"/>
        <v>2026</v>
      </c>
      <c r="K639" s="187"/>
      <c r="L639" s="187">
        <v>160.0</v>
      </c>
      <c r="M639" s="27">
        <v>1.0</v>
      </c>
      <c r="N639" s="187">
        <f t="shared" si="96"/>
        <v>160</v>
      </c>
      <c r="O639" s="58"/>
      <c r="P639" s="74"/>
      <c r="Q639" s="74" t="s">
        <v>835</v>
      </c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</row>
    <row r="640" ht="15.75" customHeight="1">
      <c r="A640" s="74" t="s">
        <v>172</v>
      </c>
      <c r="B640" s="27" t="s">
        <v>290</v>
      </c>
      <c r="C640" s="183"/>
      <c r="D640" s="74" t="s">
        <v>2</v>
      </c>
      <c r="E640" s="184">
        <v>46233.0</v>
      </c>
      <c r="F640" s="185">
        <f t="shared" si="1"/>
        <v>30</v>
      </c>
      <c r="G640" s="185">
        <f t="shared" si="2"/>
        <v>7</v>
      </c>
      <c r="H640" s="185">
        <f t="shared" si="3"/>
        <v>2026</v>
      </c>
      <c r="I640" s="186">
        <f t="shared" ref="I640:J640" si="117">G640</f>
        <v>7</v>
      </c>
      <c r="J640" s="186">
        <f t="shared" si="117"/>
        <v>2026</v>
      </c>
      <c r="K640" s="187"/>
      <c r="L640" s="187">
        <v>18.6</v>
      </c>
      <c r="M640" s="27">
        <v>4.0</v>
      </c>
      <c r="N640" s="187">
        <f t="shared" si="96"/>
        <v>74.4</v>
      </c>
      <c r="O640" s="58"/>
      <c r="P640" s="74"/>
      <c r="Q640" s="74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</row>
    <row r="641" ht="15.75" customHeight="1">
      <c r="A641" s="74" t="s">
        <v>167</v>
      </c>
      <c r="B641" s="27" t="s">
        <v>161</v>
      </c>
      <c r="C641" s="183"/>
      <c r="D641" s="74" t="s">
        <v>245</v>
      </c>
      <c r="E641" s="184">
        <v>46233.0</v>
      </c>
      <c r="F641" s="185">
        <f t="shared" si="1"/>
        <v>30</v>
      </c>
      <c r="G641" s="185">
        <f t="shared" si="2"/>
        <v>7</v>
      </c>
      <c r="H641" s="185">
        <f t="shared" si="3"/>
        <v>2026</v>
      </c>
      <c r="I641" s="186">
        <f t="shared" ref="I641:J641" si="118">G641</f>
        <v>7</v>
      </c>
      <c r="J641" s="186">
        <f t="shared" si="118"/>
        <v>2026</v>
      </c>
      <c r="K641" s="187"/>
      <c r="L641" s="187">
        <v>40.0</v>
      </c>
      <c r="M641" s="27">
        <v>1.0</v>
      </c>
      <c r="N641" s="187">
        <f t="shared" si="96"/>
        <v>40</v>
      </c>
      <c r="O641" s="58"/>
      <c r="P641" s="74"/>
      <c r="Q641" s="74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</row>
    <row r="642" ht="15.75" customHeight="1">
      <c r="A642" s="74" t="s">
        <v>172</v>
      </c>
      <c r="B642" s="27" t="s">
        <v>281</v>
      </c>
      <c r="C642" s="183"/>
      <c r="D642" s="74" t="s">
        <v>2</v>
      </c>
      <c r="E642" s="184">
        <v>46233.0</v>
      </c>
      <c r="F642" s="185">
        <f t="shared" si="1"/>
        <v>30</v>
      </c>
      <c r="G642" s="185">
        <f t="shared" si="2"/>
        <v>7</v>
      </c>
      <c r="H642" s="185">
        <f t="shared" si="3"/>
        <v>2026</v>
      </c>
      <c r="I642" s="186">
        <f t="shared" ref="I642:J642" si="119">G642</f>
        <v>7</v>
      </c>
      <c r="J642" s="186">
        <f t="shared" si="119"/>
        <v>2026</v>
      </c>
      <c r="K642" s="187"/>
      <c r="L642" s="187">
        <v>26.77</v>
      </c>
      <c r="M642" s="27">
        <v>1.0</v>
      </c>
      <c r="N642" s="187">
        <f t="shared" si="96"/>
        <v>26.77</v>
      </c>
      <c r="O642" s="58"/>
      <c r="P642" s="74"/>
      <c r="Q642" s="74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</row>
    <row r="643" ht="15.75" customHeight="1">
      <c r="A643" s="74" t="s">
        <v>172</v>
      </c>
      <c r="B643" s="27" t="s">
        <v>285</v>
      </c>
      <c r="C643" s="183"/>
      <c r="D643" s="74" t="s">
        <v>2</v>
      </c>
      <c r="E643" s="184">
        <v>46233.0</v>
      </c>
      <c r="F643" s="185">
        <f t="shared" si="1"/>
        <v>30</v>
      </c>
      <c r="G643" s="185">
        <f t="shared" si="2"/>
        <v>7</v>
      </c>
      <c r="H643" s="185">
        <f t="shared" si="3"/>
        <v>2026</v>
      </c>
      <c r="I643" s="186">
        <f t="shared" ref="I643:J643" si="120">G643</f>
        <v>7</v>
      </c>
      <c r="J643" s="186">
        <f t="shared" si="120"/>
        <v>2026</v>
      </c>
      <c r="K643" s="187"/>
      <c r="L643" s="187">
        <v>21.4</v>
      </c>
      <c r="M643" s="27">
        <v>1.0</v>
      </c>
      <c r="N643" s="187">
        <f t="shared" si="96"/>
        <v>21.4</v>
      </c>
      <c r="O643" s="58"/>
      <c r="P643" s="74"/>
      <c r="Q643" s="74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</row>
    <row r="644" ht="15.75" customHeight="1">
      <c r="A644" s="74" t="s">
        <v>172</v>
      </c>
      <c r="B644" s="27" t="s">
        <v>291</v>
      </c>
      <c r="C644" s="183"/>
      <c r="D644" s="74" t="s">
        <v>2</v>
      </c>
      <c r="E644" s="184">
        <v>46233.0</v>
      </c>
      <c r="F644" s="185">
        <f t="shared" si="1"/>
        <v>30</v>
      </c>
      <c r="G644" s="185">
        <f t="shared" si="2"/>
        <v>7</v>
      </c>
      <c r="H644" s="185">
        <f t="shared" si="3"/>
        <v>2026</v>
      </c>
      <c r="I644" s="186">
        <f t="shared" ref="I644:J644" si="121">G644</f>
        <v>7</v>
      </c>
      <c r="J644" s="186">
        <f t="shared" si="121"/>
        <v>2026</v>
      </c>
      <c r="K644" s="187"/>
      <c r="L644" s="187">
        <v>20.6</v>
      </c>
      <c r="M644" s="27">
        <v>1.0</v>
      </c>
      <c r="N644" s="187">
        <f t="shared" si="96"/>
        <v>20.6</v>
      </c>
      <c r="O644" s="58"/>
      <c r="P644" s="74"/>
      <c r="Q644" s="74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</row>
    <row r="645" ht="15.75" customHeight="1">
      <c r="A645" s="74" t="s">
        <v>22</v>
      </c>
      <c r="B645" s="27" t="s">
        <v>27</v>
      </c>
      <c r="C645" s="183"/>
      <c r="D645" s="74" t="s">
        <v>2</v>
      </c>
      <c r="E645" s="184">
        <v>46233.0</v>
      </c>
      <c r="F645" s="185">
        <f t="shared" si="1"/>
        <v>30</v>
      </c>
      <c r="G645" s="185">
        <f t="shared" si="2"/>
        <v>7</v>
      </c>
      <c r="H645" s="185">
        <f t="shared" si="3"/>
        <v>2026</v>
      </c>
      <c r="I645" s="186">
        <f t="shared" ref="I645:J645" si="122">G645</f>
        <v>7</v>
      </c>
      <c r="J645" s="186">
        <f t="shared" si="122"/>
        <v>2026</v>
      </c>
      <c r="K645" s="187"/>
      <c r="L645" s="187">
        <v>459.95</v>
      </c>
      <c r="M645" s="27">
        <v>1.0</v>
      </c>
      <c r="N645" s="187">
        <f t="shared" si="96"/>
        <v>459.95</v>
      </c>
      <c r="O645" s="58"/>
      <c r="P645" s="74"/>
      <c r="Q645" s="74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</row>
    <row r="646" ht="15.75" customHeight="1">
      <c r="A646" s="74" t="s">
        <v>334</v>
      </c>
      <c r="B646" s="27" t="s">
        <v>43</v>
      </c>
      <c r="C646" s="183"/>
      <c r="D646" s="74" t="s">
        <v>2</v>
      </c>
      <c r="E646" s="184">
        <v>46233.0</v>
      </c>
      <c r="F646" s="185">
        <f t="shared" si="1"/>
        <v>30</v>
      </c>
      <c r="G646" s="185">
        <f t="shared" si="2"/>
        <v>7</v>
      </c>
      <c r="H646" s="185">
        <f t="shared" si="3"/>
        <v>2026</v>
      </c>
      <c r="I646" s="186">
        <f t="shared" ref="I646:J646" si="123">G646</f>
        <v>7</v>
      </c>
      <c r="J646" s="186">
        <f t="shared" si="123"/>
        <v>2026</v>
      </c>
      <c r="K646" s="187"/>
      <c r="L646" s="187">
        <v>1500.0</v>
      </c>
      <c r="M646" s="27">
        <v>1.0</v>
      </c>
      <c r="N646" s="187">
        <f t="shared" si="96"/>
        <v>1500</v>
      </c>
      <c r="O646" s="58"/>
      <c r="P646" s="74"/>
      <c r="Q646" s="74" t="s">
        <v>837</v>
      </c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</row>
    <row r="647" ht="15.75" customHeight="1">
      <c r="A647" s="74" t="s">
        <v>334</v>
      </c>
      <c r="B647" s="27" t="s">
        <v>34</v>
      </c>
      <c r="C647" s="183"/>
      <c r="D647" s="74" t="s">
        <v>12</v>
      </c>
      <c r="E647" s="184">
        <v>46234.0</v>
      </c>
      <c r="F647" s="185">
        <f t="shared" si="1"/>
        <v>31</v>
      </c>
      <c r="G647" s="185">
        <f t="shared" si="2"/>
        <v>7</v>
      </c>
      <c r="H647" s="185">
        <f t="shared" si="3"/>
        <v>2026</v>
      </c>
      <c r="I647" s="186">
        <f t="shared" ref="I647:J647" si="124">G647</f>
        <v>7</v>
      </c>
      <c r="J647" s="186">
        <f t="shared" si="124"/>
        <v>2026</v>
      </c>
      <c r="K647" s="187"/>
      <c r="L647" s="187">
        <v>1278.15</v>
      </c>
      <c r="M647" s="27">
        <v>1.0</v>
      </c>
      <c r="N647" s="187">
        <f>M647*L647</f>
        <v>1278.15</v>
      </c>
      <c r="O647" s="58"/>
      <c r="P647" s="74"/>
      <c r="Q647" s="74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</row>
    <row r="648" ht="15.75" customHeight="1">
      <c r="A648" s="74" t="s">
        <v>253</v>
      </c>
      <c r="B648" s="27" t="s">
        <v>266</v>
      </c>
      <c r="C648" s="183"/>
      <c r="D648" s="74" t="s">
        <v>245</v>
      </c>
      <c r="E648" s="184">
        <v>46234.0</v>
      </c>
      <c r="F648" s="185">
        <f t="shared" si="1"/>
        <v>31</v>
      </c>
      <c r="G648" s="185">
        <f t="shared" si="2"/>
        <v>7</v>
      </c>
      <c r="H648" s="185">
        <f t="shared" si="3"/>
        <v>2026</v>
      </c>
      <c r="I648" s="186">
        <f t="shared" ref="I648:J648" si="125">G648</f>
        <v>7</v>
      </c>
      <c r="J648" s="186">
        <f t="shared" si="125"/>
        <v>2026</v>
      </c>
      <c r="K648" s="187"/>
      <c r="L648" s="187">
        <v>500.0</v>
      </c>
      <c r="M648" s="27">
        <v>1.0</v>
      </c>
      <c r="N648" s="187">
        <f>L648*M648</f>
        <v>500</v>
      </c>
      <c r="O648" s="58"/>
      <c r="P648" s="74"/>
      <c r="Q648" s="74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</row>
    <row r="649" ht="15.75" customHeight="1">
      <c r="A649" s="74" t="s">
        <v>160</v>
      </c>
      <c r="B649" s="27" t="s">
        <v>39</v>
      </c>
      <c r="C649" s="183"/>
      <c r="D649" s="74" t="s">
        <v>2</v>
      </c>
      <c r="E649" s="184">
        <v>46234.0</v>
      </c>
      <c r="F649" s="185">
        <f t="shared" si="1"/>
        <v>31</v>
      </c>
      <c r="G649" s="185">
        <f t="shared" si="2"/>
        <v>7</v>
      </c>
      <c r="H649" s="185">
        <f t="shared" si="3"/>
        <v>2026</v>
      </c>
      <c r="I649" s="186">
        <f t="shared" ref="I649:J649" si="126">G649</f>
        <v>7</v>
      </c>
      <c r="J649" s="186">
        <f t="shared" si="126"/>
        <v>2026</v>
      </c>
      <c r="K649" s="187"/>
      <c r="L649" s="187">
        <v>411.0</v>
      </c>
      <c r="M649" s="27">
        <v>1.0</v>
      </c>
      <c r="N649" s="187">
        <f>M649*L649</f>
        <v>411</v>
      </c>
      <c r="O649" s="58"/>
      <c r="P649" s="74"/>
      <c r="Q649" s="74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</row>
    <row r="650" ht="15.75" customHeight="1">
      <c r="A650" s="74" t="s">
        <v>167</v>
      </c>
      <c r="B650" s="27" t="s">
        <v>49</v>
      </c>
      <c r="C650" s="183"/>
      <c r="D650" s="74" t="s">
        <v>2</v>
      </c>
      <c r="E650" s="184">
        <v>46234.0</v>
      </c>
      <c r="F650" s="185">
        <f t="shared" si="1"/>
        <v>31</v>
      </c>
      <c r="G650" s="185">
        <f t="shared" si="2"/>
        <v>7</v>
      </c>
      <c r="H650" s="185">
        <f t="shared" si="3"/>
        <v>2026</v>
      </c>
      <c r="I650" s="231">
        <v>8.0</v>
      </c>
      <c r="J650" s="186">
        <f t="shared" ref="J650:J651" si="127">H650</f>
        <v>2026</v>
      </c>
      <c r="K650" s="187"/>
      <c r="L650" s="187">
        <v>87.3</v>
      </c>
      <c r="M650" s="27">
        <v>1.0</v>
      </c>
      <c r="N650" s="187">
        <f>L650*M650</f>
        <v>87.3</v>
      </c>
      <c r="O650" s="58"/>
      <c r="P650" s="74"/>
      <c r="Q650" s="74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</row>
    <row r="651" ht="15.75" customHeight="1">
      <c r="A651" s="74" t="s">
        <v>178</v>
      </c>
      <c r="B651" s="27" t="s">
        <v>311</v>
      </c>
      <c r="C651" s="183"/>
      <c r="D651" s="74" t="s">
        <v>2</v>
      </c>
      <c r="E651" s="184">
        <v>46235.0</v>
      </c>
      <c r="F651" s="185">
        <f t="shared" si="1"/>
        <v>1</v>
      </c>
      <c r="G651" s="185">
        <f t="shared" si="2"/>
        <v>8</v>
      </c>
      <c r="H651" s="185">
        <f t="shared" si="3"/>
        <v>2026</v>
      </c>
      <c r="I651" s="186">
        <v>7.0</v>
      </c>
      <c r="J651" s="186">
        <f t="shared" si="127"/>
        <v>2026</v>
      </c>
      <c r="K651" s="187"/>
      <c r="L651" s="187">
        <v>2410.8</v>
      </c>
      <c r="M651" s="27">
        <v>1.0</v>
      </c>
      <c r="N651" s="187">
        <f>M651*L651</f>
        <v>2410.8</v>
      </c>
      <c r="O651" s="58"/>
      <c r="P651" s="74"/>
      <c r="Q651" s="74" t="s">
        <v>840</v>
      </c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</row>
    <row r="652" ht="15.75" customHeight="1">
      <c r="A652" s="74" t="s">
        <v>253</v>
      </c>
      <c r="B652" s="27" t="s">
        <v>266</v>
      </c>
      <c r="C652" s="183"/>
      <c r="D652" s="74" t="s">
        <v>245</v>
      </c>
      <c r="E652" s="184">
        <v>46235.0</v>
      </c>
      <c r="F652" s="185">
        <v>1.0</v>
      </c>
      <c r="G652" s="185">
        <v>8.0</v>
      </c>
      <c r="H652" s="185">
        <v>2026.0</v>
      </c>
      <c r="I652" s="186">
        <v>8.0</v>
      </c>
      <c r="J652" s="186">
        <v>2026.0</v>
      </c>
      <c r="K652" s="187"/>
      <c r="L652" s="187">
        <v>1000.0</v>
      </c>
      <c r="M652" s="27">
        <v>1.0</v>
      </c>
      <c r="N652" s="187">
        <v>1000.0</v>
      </c>
      <c r="O652" s="58"/>
      <c r="P652" s="74"/>
      <c r="Q652" s="74" t="s">
        <v>841</v>
      </c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</row>
    <row r="653" ht="15.75" customHeight="1">
      <c r="A653" s="74" t="s">
        <v>167</v>
      </c>
      <c r="B653" s="27" t="s">
        <v>32</v>
      </c>
      <c r="C653" s="183"/>
      <c r="D653" s="74" t="s">
        <v>2</v>
      </c>
      <c r="E653" s="184">
        <v>46235.0</v>
      </c>
      <c r="F653" s="185">
        <v>1.0</v>
      </c>
      <c r="G653" s="185">
        <v>8.0</v>
      </c>
      <c r="H653" s="185">
        <v>2026.0</v>
      </c>
      <c r="I653" s="186">
        <v>8.0</v>
      </c>
      <c r="J653" s="186">
        <v>2026.0</v>
      </c>
      <c r="K653" s="187"/>
      <c r="L653" s="187">
        <v>333.0</v>
      </c>
      <c r="M653" s="27">
        <v>1.0</v>
      </c>
      <c r="N653" s="187">
        <v>333.0</v>
      </c>
      <c r="O653" s="58"/>
      <c r="P653" s="74"/>
      <c r="Q653" s="74" t="s">
        <v>842</v>
      </c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</row>
    <row r="654" ht="15.75" customHeight="1">
      <c r="A654" s="74" t="s">
        <v>167</v>
      </c>
      <c r="B654" s="27" t="s">
        <v>32</v>
      </c>
      <c r="C654" s="183"/>
      <c r="D654" s="74" t="s">
        <v>2</v>
      </c>
      <c r="E654" s="184">
        <v>46235.0</v>
      </c>
      <c r="F654" s="185">
        <v>1.0</v>
      </c>
      <c r="G654" s="185">
        <v>8.0</v>
      </c>
      <c r="H654" s="185">
        <v>2026.0</v>
      </c>
      <c r="I654" s="186">
        <v>8.0</v>
      </c>
      <c r="J654" s="186">
        <v>2026.0</v>
      </c>
      <c r="K654" s="187"/>
      <c r="L654" s="187">
        <v>230.0</v>
      </c>
      <c r="M654" s="27">
        <v>1.0</v>
      </c>
      <c r="N654" s="187">
        <v>230.0</v>
      </c>
      <c r="O654" s="58"/>
      <c r="P654" s="74"/>
      <c r="Q654" s="74" t="s">
        <v>843</v>
      </c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</row>
    <row r="655" ht="15.75" customHeight="1">
      <c r="A655" s="74" t="s">
        <v>151</v>
      </c>
      <c r="B655" s="27" t="s">
        <v>188</v>
      </c>
      <c r="C655" s="183"/>
      <c r="D655" s="74" t="s">
        <v>245</v>
      </c>
      <c r="E655" s="184">
        <v>46235.0</v>
      </c>
      <c r="F655" s="185">
        <v>1.0</v>
      </c>
      <c r="G655" s="185">
        <v>8.0</v>
      </c>
      <c r="H655" s="185">
        <v>2026.0</v>
      </c>
      <c r="I655" s="186">
        <v>8.0</v>
      </c>
      <c r="J655" s="186">
        <v>2026.0</v>
      </c>
      <c r="K655" s="187"/>
      <c r="L655" s="187">
        <v>20.93</v>
      </c>
      <c r="M655" s="27">
        <v>1.0</v>
      </c>
      <c r="N655" s="187">
        <v>20.93</v>
      </c>
      <c r="O655" s="58"/>
      <c r="P655" s="74"/>
      <c r="Q655" s="74" t="s">
        <v>844</v>
      </c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</row>
    <row r="656" ht="15.75" customHeight="1">
      <c r="A656" s="74" t="s">
        <v>22</v>
      </c>
      <c r="B656" s="27" t="s">
        <v>25</v>
      </c>
      <c r="C656" s="183"/>
      <c r="D656" s="74" t="s">
        <v>2</v>
      </c>
      <c r="E656" s="184">
        <v>46235.0</v>
      </c>
      <c r="F656" s="185">
        <v>1.0</v>
      </c>
      <c r="G656" s="185">
        <v>8.0</v>
      </c>
      <c r="H656" s="185">
        <v>2026.0</v>
      </c>
      <c r="I656" s="186">
        <v>8.0</v>
      </c>
      <c r="J656" s="186">
        <v>2026.0</v>
      </c>
      <c r="K656" s="187"/>
      <c r="L656" s="187">
        <v>3180.0</v>
      </c>
      <c r="M656" s="27">
        <v>1.0</v>
      </c>
      <c r="N656" s="187">
        <v>3180.0</v>
      </c>
      <c r="O656" s="58"/>
      <c r="P656" s="74"/>
      <c r="Q656" s="74" t="s">
        <v>845</v>
      </c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</row>
    <row r="657" ht="15.75" customHeight="1">
      <c r="A657" s="74" t="s">
        <v>167</v>
      </c>
      <c r="B657" s="27" t="s">
        <v>32</v>
      </c>
      <c r="C657" s="183"/>
      <c r="D657" s="74" t="s">
        <v>12</v>
      </c>
      <c r="E657" s="184">
        <v>46235.0</v>
      </c>
      <c r="F657" s="185">
        <v>1.0</v>
      </c>
      <c r="G657" s="185">
        <v>8.0</v>
      </c>
      <c r="H657" s="185">
        <v>2026.0</v>
      </c>
      <c r="I657" s="186">
        <v>8.0</v>
      </c>
      <c r="J657" s="186">
        <v>2026.0</v>
      </c>
      <c r="K657" s="187"/>
      <c r="L657" s="187">
        <v>-333.0</v>
      </c>
      <c r="M657" s="27">
        <v>1.0</v>
      </c>
      <c r="N657" s="187">
        <v>-333.0</v>
      </c>
      <c r="O657" s="58"/>
      <c r="P657" s="74"/>
      <c r="Q657" s="74" t="s">
        <v>846</v>
      </c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</row>
    <row r="658" ht="15.75" customHeight="1">
      <c r="A658" s="74" t="s">
        <v>253</v>
      </c>
      <c r="B658" s="27" t="s">
        <v>266</v>
      </c>
      <c r="C658" s="183"/>
      <c r="D658" s="74" t="s">
        <v>245</v>
      </c>
      <c r="E658" s="184">
        <v>46237.0</v>
      </c>
      <c r="F658" s="185">
        <v>3.0</v>
      </c>
      <c r="G658" s="185">
        <v>8.0</v>
      </c>
      <c r="H658" s="185">
        <v>2026.0</v>
      </c>
      <c r="I658" s="186">
        <v>8.0</v>
      </c>
      <c r="J658" s="186">
        <v>2026.0</v>
      </c>
      <c r="K658" s="187"/>
      <c r="L658" s="187">
        <v>500.0</v>
      </c>
      <c r="M658" s="27">
        <v>1.0</v>
      </c>
      <c r="N658" s="187">
        <v>500.0</v>
      </c>
      <c r="O658" s="58"/>
      <c r="P658" s="74"/>
      <c r="Q658" s="74" t="s">
        <v>847</v>
      </c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</row>
    <row r="659" ht="15.75" customHeight="1">
      <c r="A659" s="74" t="s">
        <v>167</v>
      </c>
      <c r="B659" s="27" t="s">
        <v>37</v>
      </c>
      <c r="C659" s="183"/>
      <c r="D659" s="74" t="s">
        <v>2</v>
      </c>
      <c r="E659" s="184">
        <v>46237.0</v>
      </c>
      <c r="F659" s="185">
        <v>3.0</v>
      </c>
      <c r="G659" s="185">
        <v>8.0</v>
      </c>
      <c r="H659" s="185">
        <v>2026.0</v>
      </c>
      <c r="I659" s="186">
        <v>7.0</v>
      </c>
      <c r="J659" s="186">
        <v>2026.0</v>
      </c>
      <c r="K659" s="187"/>
      <c r="L659" s="187">
        <v>63.76</v>
      </c>
      <c r="M659" s="27">
        <v>1.0</v>
      </c>
      <c r="N659" s="187">
        <v>63.76</v>
      </c>
      <c r="O659" s="58"/>
      <c r="P659" s="74"/>
      <c r="Q659" s="74" t="s">
        <v>848</v>
      </c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</row>
    <row r="660" ht="15.75" customHeight="1">
      <c r="A660" s="74" t="s">
        <v>22</v>
      </c>
      <c r="B660" s="27" t="s">
        <v>342</v>
      </c>
      <c r="C660" s="183"/>
      <c r="D660" s="74" t="s">
        <v>5</v>
      </c>
      <c r="E660" s="184">
        <v>46237.0</v>
      </c>
      <c r="F660" s="185">
        <v>3.0</v>
      </c>
      <c r="G660" s="185">
        <v>8.0</v>
      </c>
      <c r="H660" s="185">
        <v>2026.0</v>
      </c>
      <c r="I660" s="186">
        <v>8.0</v>
      </c>
      <c r="J660" s="186">
        <v>2026.0</v>
      </c>
      <c r="K660" s="187"/>
      <c r="L660" s="187">
        <v>50.0</v>
      </c>
      <c r="M660" s="27">
        <v>1.0</v>
      </c>
      <c r="N660" s="187">
        <v>50.0</v>
      </c>
      <c r="O660" s="58"/>
      <c r="P660" s="74" t="s">
        <v>20</v>
      </c>
      <c r="Q660" s="74" t="s">
        <v>849</v>
      </c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</row>
    <row r="661" ht="15.75" customHeight="1">
      <c r="A661" s="74" t="s">
        <v>253</v>
      </c>
      <c r="B661" s="27" t="s">
        <v>266</v>
      </c>
      <c r="C661" s="183"/>
      <c r="D661" s="74" t="s">
        <v>245</v>
      </c>
      <c r="E661" s="184">
        <v>46238.0</v>
      </c>
      <c r="F661" s="185">
        <v>4.0</v>
      </c>
      <c r="G661" s="185">
        <v>8.0</v>
      </c>
      <c r="H661" s="185">
        <v>2026.0</v>
      </c>
      <c r="I661" s="186">
        <v>8.0</v>
      </c>
      <c r="J661" s="186">
        <v>2026.0</v>
      </c>
      <c r="K661" s="187"/>
      <c r="L661" s="187">
        <v>500.0</v>
      </c>
      <c r="M661" s="27">
        <v>1.0</v>
      </c>
      <c r="N661" s="187">
        <v>500.0</v>
      </c>
      <c r="O661" s="58"/>
      <c r="P661" s="74"/>
      <c r="Q661" s="74" t="s">
        <v>850</v>
      </c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</row>
    <row r="662" ht="15.75" customHeight="1">
      <c r="A662" s="74" t="s">
        <v>334</v>
      </c>
      <c r="B662" s="27" t="s">
        <v>34</v>
      </c>
      <c r="C662" s="183"/>
      <c r="D662" s="74" t="s">
        <v>2</v>
      </c>
      <c r="E662" s="184">
        <v>46238.0</v>
      </c>
      <c r="F662" s="185">
        <v>4.0</v>
      </c>
      <c r="G662" s="185">
        <v>8.0</v>
      </c>
      <c r="H662" s="185">
        <v>2026.0</v>
      </c>
      <c r="I662" s="186">
        <v>8.0</v>
      </c>
      <c r="J662" s="186">
        <v>2026.0</v>
      </c>
      <c r="K662" s="187"/>
      <c r="L662" s="187">
        <v>53.5</v>
      </c>
      <c r="M662" s="27">
        <v>1.0</v>
      </c>
      <c r="N662" s="187">
        <v>53.5</v>
      </c>
      <c r="O662" s="58"/>
      <c r="P662" s="74"/>
      <c r="Q662" s="74" t="s">
        <v>852</v>
      </c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</row>
    <row r="663" ht="15.75" customHeight="1">
      <c r="A663" s="74" t="s">
        <v>153</v>
      </c>
      <c r="B663" s="27" t="s">
        <v>313</v>
      </c>
      <c r="C663" s="183"/>
      <c r="D663" s="74" t="s">
        <v>245</v>
      </c>
      <c r="E663" s="184">
        <v>46238.0</v>
      </c>
      <c r="F663" s="185">
        <v>4.0</v>
      </c>
      <c r="G663" s="185">
        <v>8.0</v>
      </c>
      <c r="H663" s="185">
        <v>2026.0</v>
      </c>
      <c r="I663" s="186">
        <v>8.0</v>
      </c>
      <c r="J663" s="186">
        <v>2026.0</v>
      </c>
      <c r="K663" s="187"/>
      <c r="L663" s="187">
        <v>35.0</v>
      </c>
      <c r="M663" s="27">
        <v>1.0</v>
      </c>
      <c r="N663" s="187">
        <v>35.0</v>
      </c>
      <c r="O663" s="58"/>
      <c r="P663" s="74"/>
      <c r="Q663" s="74" t="s">
        <v>853</v>
      </c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</row>
    <row r="664" ht="15.75" customHeight="1">
      <c r="A664" s="74" t="s">
        <v>154</v>
      </c>
      <c r="B664" s="27" t="s">
        <v>246</v>
      </c>
      <c r="C664" s="183"/>
      <c r="D664" s="74" t="s">
        <v>245</v>
      </c>
      <c r="E664" s="184">
        <v>46238.0</v>
      </c>
      <c r="F664" s="185">
        <v>4.0</v>
      </c>
      <c r="G664" s="185">
        <v>8.0</v>
      </c>
      <c r="H664" s="185">
        <v>2026.0</v>
      </c>
      <c r="I664" s="186">
        <v>8.0</v>
      </c>
      <c r="J664" s="186">
        <v>2026.0</v>
      </c>
      <c r="K664" s="187"/>
      <c r="L664" s="187">
        <v>14.85</v>
      </c>
      <c r="M664" s="27">
        <v>1.0</v>
      </c>
      <c r="N664" s="187">
        <v>14.85</v>
      </c>
      <c r="O664" s="58"/>
      <c r="P664" s="74"/>
      <c r="Q664" s="74" t="s">
        <v>854</v>
      </c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</row>
    <row r="665" ht="15.75" customHeight="1">
      <c r="A665" s="74" t="s">
        <v>175</v>
      </c>
      <c r="B665" s="27" t="s">
        <v>299</v>
      </c>
      <c r="C665" s="183"/>
      <c r="D665" s="74" t="s">
        <v>245</v>
      </c>
      <c r="E665" s="184">
        <v>46238.0</v>
      </c>
      <c r="F665" s="185">
        <v>4.0</v>
      </c>
      <c r="G665" s="185">
        <v>8.0</v>
      </c>
      <c r="H665" s="185">
        <v>2026.0</v>
      </c>
      <c r="I665" s="186">
        <v>8.0</v>
      </c>
      <c r="J665" s="186">
        <v>2026.0</v>
      </c>
      <c r="K665" s="187"/>
      <c r="L665" s="187">
        <v>13.6</v>
      </c>
      <c r="M665" s="27">
        <v>1.0</v>
      </c>
      <c r="N665" s="187">
        <v>13.6</v>
      </c>
      <c r="O665" s="58"/>
      <c r="P665" s="74"/>
      <c r="Q665" s="74" t="s">
        <v>855</v>
      </c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</row>
    <row r="666" ht="15.75" customHeight="1">
      <c r="A666" s="74" t="s">
        <v>253</v>
      </c>
      <c r="B666" s="27" t="s">
        <v>266</v>
      </c>
      <c r="C666" s="183"/>
      <c r="D666" s="74" t="s">
        <v>245</v>
      </c>
      <c r="E666" s="184">
        <v>46239.0</v>
      </c>
      <c r="F666" s="185">
        <v>5.0</v>
      </c>
      <c r="G666" s="185">
        <v>8.0</v>
      </c>
      <c r="H666" s="185">
        <v>2026.0</v>
      </c>
      <c r="I666" s="186">
        <v>8.0</v>
      </c>
      <c r="J666" s="186">
        <v>2026.0</v>
      </c>
      <c r="K666" s="187"/>
      <c r="L666" s="187">
        <v>500.0</v>
      </c>
      <c r="M666" s="27">
        <v>1.0</v>
      </c>
      <c r="N666" s="187">
        <v>500.0</v>
      </c>
      <c r="O666" s="58"/>
      <c r="P666" s="74"/>
      <c r="Q666" s="74" t="s">
        <v>857</v>
      </c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</row>
    <row r="667" ht="15.75" customHeight="1">
      <c r="A667" s="74" t="s">
        <v>528</v>
      </c>
      <c r="B667" s="27" t="s">
        <v>145</v>
      </c>
      <c r="C667" s="183"/>
      <c r="D667" s="74" t="s">
        <v>245</v>
      </c>
      <c r="E667" s="184">
        <v>46240.0</v>
      </c>
      <c r="F667" s="185">
        <v>6.0</v>
      </c>
      <c r="G667" s="185">
        <v>8.0</v>
      </c>
      <c r="H667" s="185">
        <v>2026.0</v>
      </c>
      <c r="I667" s="186">
        <v>8.0</v>
      </c>
      <c r="J667" s="186">
        <v>2026.0</v>
      </c>
      <c r="K667" s="187"/>
      <c r="L667" s="187">
        <v>78.12</v>
      </c>
      <c r="M667" s="27">
        <v>1.0</v>
      </c>
      <c r="N667" s="187">
        <v>78.12</v>
      </c>
      <c r="O667" s="58"/>
      <c r="P667" s="74"/>
      <c r="Q667" s="74" t="s">
        <v>858</v>
      </c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</row>
    <row r="668" ht="15.75" customHeight="1">
      <c r="A668" s="74" t="s">
        <v>151</v>
      </c>
      <c r="B668" s="27" t="s">
        <v>185</v>
      </c>
      <c r="C668" s="183"/>
      <c r="D668" s="74" t="s">
        <v>245</v>
      </c>
      <c r="E668" s="184">
        <v>46240.0</v>
      </c>
      <c r="F668" s="185">
        <v>6.0</v>
      </c>
      <c r="G668" s="185">
        <v>8.0</v>
      </c>
      <c r="H668" s="185">
        <v>2026.0</v>
      </c>
      <c r="I668" s="186">
        <v>8.0</v>
      </c>
      <c r="J668" s="186">
        <v>2026.0</v>
      </c>
      <c r="K668" s="187"/>
      <c r="L668" s="187">
        <v>61.92</v>
      </c>
      <c r="M668" s="27">
        <v>1.0</v>
      </c>
      <c r="N668" s="187">
        <v>61.92</v>
      </c>
      <c r="O668" s="58"/>
      <c r="P668" s="74"/>
      <c r="Q668" s="74" t="s">
        <v>858</v>
      </c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</row>
    <row r="669" ht="15.75" customHeight="1">
      <c r="A669" s="74" t="s">
        <v>151</v>
      </c>
      <c r="B669" s="27" t="s">
        <v>138</v>
      </c>
      <c r="C669" s="183"/>
      <c r="D669" s="74" t="s">
        <v>245</v>
      </c>
      <c r="E669" s="184">
        <v>46240.0</v>
      </c>
      <c r="F669" s="185">
        <v>6.0</v>
      </c>
      <c r="G669" s="185">
        <v>8.0</v>
      </c>
      <c r="H669" s="185">
        <v>2026.0</v>
      </c>
      <c r="I669" s="186">
        <v>8.0</v>
      </c>
      <c r="J669" s="186">
        <v>2026.0</v>
      </c>
      <c r="K669" s="187"/>
      <c r="L669" s="187">
        <v>20.9</v>
      </c>
      <c r="M669" s="27">
        <v>1.0</v>
      </c>
      <c r="N669" s="187">
        <v>20.9</v>
      </c>
      <c r="O669" s="58"/>
      <c r="P669" s="74"/>
      <c r="Q669" s="74" t="s">
        <v>858</v>
      </c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</row>
    <row r="670" ht="15.75" customHeight="1">
      <c r="A670" s="74" t="s">
        <v>151</v>
      </c>
      <c r="B670" s="27" t="s">
        <v>181</v>
      </c>
      <c r="C670" s="183"/>
      <c r="D670" s="74" t="s">
        <v>245</v>
      </c>
      <c r="E670" s="184">
        <v>46240.0</v>
      </c>
      <c r="F670" s="185">
        <v>6.0</v>
      </c>
      <c r="G670" s="185">
        <v>8.0</v>
      </c>
      <c r="H670" s="185">
        <v>2026.0</v>
      </c>
      <c r="I670" s="186">
        <v>8.0</v>
      </c>
      <c r="J670" s="186">
        <v>2026.0</v>
      </c>
      <c r="K670" s="187"/>
      <c r="L670" s="187">
        <v>19.9</v>
      </c>
      <c r="M670" s="27">
        <v>1.0</v>
      </c>
      <c r="N670" s="187">
        <v>19.9</v>
      </c>
      <c r="O670" s="58"/>
      <c r="P670" s="74"/>
      <c r="Q670" s="74" t="s">
        <v>858</v>
      </c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</row>
    <row r="671" ht="15.75" customHeight="1">
      <c r="A671" s="74" t="s">
        <v>151</v>
      </c>
      <c r="B671" s="27" t="s">
        <v>191</v>
      </c>
      <c r="C671" s="183"/>
      <c r="D671" s="74" t="s">
        <v>245</v>
      </c>
      <c r="E671" s="184">
        <v>46240.0</v>
      </c>
      <c r="F671" s="185">
        <v>6.0</v>
      </c>
      <c r="G671" s="185">
        <v>8.0</v>
      </c>
      <c r="H671" s="185">
        <v>2026.0</v>
      </c>
      <c r="I671" s="186">
        <v>8.0</v>
      </c>
      <c r="J671" s="186">
        <v>2026.0</v>
      </c>
      <c r="K671" s="187"/>
      <c r="L671" s="187">
        <v>14.9</v>
      </c>
      <c r="M671" s="27">
        <v>1.0</v>
      </c>
      <c r="N671" s="187">
        <v>14.9</v>
      </c>
      <c r="O671" s="58"/>
      <c r="P671" s="74"/>
      <c r="Q671" s="74" t="s">
        <v>858</v>
      </c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</row>
    <row r="672" ht="15.75" customHeight="1">
      <c r="A672" s="74" t="s">
        <v>136</v>
      </c>
      <c r="B672" s="27" t="s">
        <v>38</v>
      </c>
      <c r="C672" s="183"/>
      <c r="D672" s="74" t="s">
        <v>2</v>
      </c>
      <c r="E672" s="184">
        <v>46241.0</v>
      </c>
      <c r="F672" s="185">
        <v>7.0</v>
      </c>
      <c r="G672" s="185">
        <v>8.0</v>
      </c>
      <c r="H672" s="185">
        <v>2026.0</v>
      </c>
      <c r="I672" s="186">
        <v>8.0</v>
      </c>
      <c r="J672" s="186">
        <v>2026.0</v>
      </c>
      <c r="K672" s="187"/>
      <c r="L672" s="187">
        <v>5.19</v>
      </c>
      <c r="M672" s="27">
        <v>1.0</v>
      </c>
      <c r="N672" s="187">
        <v>5.19</v>
      </c>
      <c r="O672" s="58"/>
      <c r="P672" s="74"/>
      <c r="Q672" s="74" t="s">
        <v>860</v>
      </c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</row>
    <row r="673" ht="15.75" customHeight="1">
      <c r="A673" s="74" t="s">
        <v>177</v>
      </c>
      <c r="B673" s="27" t="s">
        <v>47</v>
      </c>
      <c r="C673" s="183"/>
      <c r="D673" s="74" t="s">
        <v>245</v>
      </c>
      <c r="E673" s="184">
        <v>46241.0</v>
      </c>
      <c r="F673" s="185">
        <v>7.0</v>
      </c>
      <c r="G673" s="185">
        <v>8.0</v>
      </c>
      <c r="H673" s="185">
        <v>2026.0</v>
      </c>
      <c r="I673" s="186">
        <v>8.0</v>
      </c>
      <c r="J673" s="186">
        <v>2026.0</v>
      </c>
      <c r="K673" s="187"/>
      <c r="L673" s="187">
        <v>3.93</v>
      </c>
      <c r="M673" s="27">
        <v>1.0</v>
      </c>
      <c r="N673" s="187">
        <v>3.93</v>
      </c>
      <c r="O673" s="58"/>
      <c r="P673" s="74"/>
      <c r="Q673" s="74" t="s">
        <v>861</v>
      </c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</row>
    <row r="674" ht="15.75" customHeight="1">
      <c r="A674" s="74" t="s">
        <v>253</v>
      </c>
      <c r="B674" s="27" t="s">
        <v>266</v>
      </c>
      <c r="C674" s="183"/>
      <c r="D674" s="74" t="s">
        <v>245</v>
      </c>
      <c r="E674" s="184">
        <v>46243.0</v>
      </c>
      <c r="F674" s="185">
        <v>9.0</v>
      </c>
      <c r="G674" s="185">
        <v>8.0</v>
      </c>
      <c r="H674" s="185">
        <v>2026.0</v>
      </c>
      <c r="I674" s="186">
        <v>8.0</v>
      </c>
      <c r="J674" s="186">
        <v>2026.0</v>
      </c>
      <c r="K674" s="187"/>
      <c r="L674" s="187">
        <v>500.0</v>
      </c>
      <c r="M674" s="27">
        <v>1.0</v>
      </c>
      <c r="N674" s="187">
        <v>500.0</v>
      </c>
      <c r="O674" s="58"/>
      <c r="P674" s="74"/>
      <c r="Q674" s="74" t="s">
        <v>862</v>
      </c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</row>
    <row r="675" ht="15.75" customHeight="1">
      <c r="A675" s="74" t="s">
        <v>178</v>
      </c>
      <c r="B675" s="27" t="s">
        <v>310</v>
      </c>
      <c r="C675" s="183"/>
      <c r="D675" s="74" t="s">
        <v>245</v>
      </c>
      <c r="E675" s="184">
        <v>46243.0</v>
      </c>
      <c r="F675" s="185">
        <v>9.0</v>
      </c>
      <c r="G675" s="185">
        <v>8.0</v>
      </c>
      <c r="H675" s="185">
        <v>2026.0</v>
      </c>
      <c r="I675" s="186">
        <v>8.0</v>
      </c>
      <c r="J675" s="186">
        <v>2026.0</v>
      </c>
      <c r="K675" s="187"/>
      <c r="L675" s="187">
        <v>310.0</v>
      </c>
      <c r="M675" s="27">
        <v>1.0</v>
      </c>
      <c r="N675" s="187">
        <v>310.0</v>
      </c>
      <c r="O675" s="58"/>
      <c r="P675" s="74"/>
      <c r="Q675" s="74" t="s">
        <v>863</v>
      </c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</row>
    <row r="676" ht="15.75" customHeight="1">
      <c r="A676" s="74" t="s">
        <v>178</v>
      </c>
      <c r="B676" s="27" t="s">
        <v>309</v>
      </c>
      <c r="C676" s="183"/>
      <c r="D676" s="74" t="s">
        <v>245</v>
      </c>
      <c r="E676" s="184">
        <v>46243.0</v>
      </c>
      <c r="F676" s="185">
        <v>9.0</v>
      </c>
      <c r="G676" s="185">
        <v>8.0</v>
      </c>
      <c r="H676" s="185">
        <v>2026.0</v>
      </c>
      <c r="I676" s="186">
        <v>5.0</v>
      </c>
      <c r="J676" s="186">
        <v>2026.0</v>
      </c>
      <c r="K676" s="187"/>
      <c r="L676" s="187">
        <v>250.0</v>
      </c>
      <c r="M676" s="27">
        <v>1.0</v>
      </c>
      <c r="N676" s="187">
        <v>250.0</v>
      </c>
      <c r="O676" s="58"/>
      <c r="P676" s="74"/>
      <c r="Q676" s="74" t="s">
        <v>865</v>
      </c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</row>
    <row r="677" ht="15.75" customHeight="1">
      <c r="A677" s="74" t="s">
        <v>253</v>
      </c>
      <c r="B677" s="27" t="s">
        <v>266</v>
      </c>
      <c r="C677" s="183"/>
      <c r="D677" s="74" t="s">
        <v>245</v>
      </c>
      <c r="E677" s="184">
        <v>46244.0</v>
      </c>
      <c r="F677" s="185">
        <v>10.0</v>
      </c>
      <c r="G677" s="185">
        <v>8.0</v>
      </c>
      <c r="H677" s="185">
        <v>2026.0</v>
      </c>
      <c r="I677" s="186">
        <v>8.0</v>
      </c>
      <c r="J677" s="186">
        <v>2026.0</v>
      </c>
      <c r="K677" s="187"/>
      <c r="L677" s="187">
        <v>500.0</v>
      </c>
      <c r="M677" s="27">
        <v>1.0</v>
      </c>
      <c r="N677" s="187">
        <v>500.0</v>
      </c>
      <c r="O677" s="58"/>
      <c r="P677" s="74"/>
      <c r="Q677" s="74" t="s">
        <v>866</v>
      </c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</row>
    <row r="678" ht="15.75" customHeight="1">
      <c r="A678" s="74" t="s">
        <v>253</v>
      </c>
      <c r="B678" s="27" t="s">
        <v>266</v>
      </c>
      <c r="C678" s="183"/>
      <c r="D678" s="74" t="s">
        <v>245</v>
      </c>
      <c r="E678" s="184">
        <v>46244.0</v>
      </c>
      <c r="F678" s="185">
        <v>10.0</v>
      </c>
      <c r="G678" s="185">
        <v>8.0</v>
      </c>
      <c r="H678" s="185">
        <v>2026.0</v>
      </c>
      <c r="I678" s="186">
        <v>8.0</v>
      </c>
      <c r="J678" s="186">
        <v>2026.0</v>
      </c>
      <c r="K678" s="187"/>
      <c r="L678" s="187">
        <v>500.0</v>
      </c>
      <c r="M678" s="27">
        <v>1.0</v>
      </c>
      <c r="N678" s="187">
        <v>500.0</v>
      </c>
      <c r="O678" s="58"/>
      <c r="P678" s="74"/>
      <c r="Q678" s="74" t="s">
        <v>868</v>
      </c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</row>
    <row r="679" ht="15.75" customHeight="1">
      <c r="A679" s="74" t="s">
        <v>22</v>
      </c>
      <c r="B679" s="27" t="s">
        <v>342</v>
      </c>
      <c r="C679" s="183"/>
      <c r="D679" s="74" t="s">
        <v>5</v>
      </c>
      <c r="E679" s="184">
        <v>46244.0</v>
      </c>
      <c r="F679" s="185">
        <v>10.0</v>
      </c>
      <c r="G679" s="185">
        <v>8.0</v>
      </c>
      <c r="H679" s="185">
        <v>2026.0</v>
      </c>
      <c r="I679" s="186">
        <v>8.0</v>
      </c>
      <c r="J679" s="186">
        <v>2026.0</v>
      </c>
      <c r="K679" s="187"/>
      <c r="L679" s="187">
        <v>270.0</v>
      </c>
      <c r="M679" s="27">
        <v>1.0</v>
      </c>
      <c r="N679" s="187">
        <v>270.0</v>
      </c>
      <c r="O679" s="58"/>
      <c r="P679" s="74" t="s">
        <v>20</v>
      </c>
      <c r="Q679" s="74" t="s">
        <v>869</v>
      </c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</row>
    <row r="680" ht="15.75" customHeight="1">
      <c r="A680" s="74" t="s">
        <v>167</v>
      </c>
      <c r="B680" s="27" t="s">
        <v>40</v>
      </c>
      <c r="C680" s="183"/>
      <c r="D680" s="74" t="s">
        <v>2</v>
      </c>
      <c r="E680" s="184">
        <v>46245.0</v>
      </c>
      <c r="F680" s="185">
        <v>11.0</v>
      </c>
      <c r="G680" s="185">
        <v>8.0</v>
      </c>
      <c r="H680" s="185">
        <v>2026.0</v>
      </c>
      <c r="I680" s="186">
        <v>7.0</v>
      </c>
      <c r="J680" s="186">
        <v>2026.0</v>
      </c>
      <c r="K680" s="187"/>
      <c r="L680" s="187">
        <v>81.97</v>
      </c>
      <c r="M680" s="27">
        <v>1.0</v>
      </c>
      <c r="N680" s="187">
        <v>81.97</v>
      </c>
      <c r="O680" s="58"/>
      <c r="P680" s="74"/>
      <c r="Q680" s="74" t="s">
        <v>871</v>
      </c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</row>
    <row r="681" ht="15.75" customHeight="1">
      <c r="A681" s="74" t="s">
        <v>617</v>
      </c>
      <c r="B681" s="27" t="s">
        <v>770</v>
      </c>
      <c r="C681" s="183"/>
      <c r="D681" s="74" t="s">
        <v>245</v>
      </c>
      <c r="E681" s="184">
        <v>46245.0</v>
      </c>
      <c r="F681" s="185">
        <v>11.0</v>
      </c>
      <c r="G681" s="185">
        <v>8.0</v>
      </c>
      <c r="H681" s="185">
        <v>2026.0</v>
      </c>
      <c r="I681" s="186">
        <v>8.0</v>
      </c>
      <c r="J681" s="186">
        <v>2026.0</v>
      </c>
      <c r="K681" s="187"/>
      <c r="L681" s="187">
        <v>11.85</v>
      </c>
      <c r="M681" s="27">
        <v>1.0</v>
      </c>
      <c r="N681" s="187">
        <v>11.85</v>
      </c>
      <c r="O681" s="58"/>
      <c r="P681" s="74"/>
      <c r="Q681" s="74" t="s">
        <v>872</v>
      </c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</row>
    <row r="682" ht="15.75" customHeight="1">
      <c r="A682" s="74" t="s">
        <v>253</v>
      </c>
      <c r="B682" s="27" t="s">
        <v>266</v>
      </c>
      <c r="C682" s="183"/>
      <c r="D682" s="74" t="s">
        <v>245</v>
      </c>
      <c r="E682" s="184">
        <v>46246.0</v>
      </c>
      <c r="F682" s="185">
        <v>12.0</v>
      </c>
      <c r="G682" s="185">
        <v>8.0</v>
      </c>
      <c r="H682" s="185">
        <v>2026.0</v>
      </c>
      <c r="I682" s="186">
        <v>8.0</v>
      </c>
      <c r="J682" s="186">
        <v>2026.0</v>
      </c>
      <c r="K682" s="187"/>
      <c r="L682" s="187">
        <v>500.0</v>
      </c>
      <c r="M682" s="27">
        <v>1.0</v>
      </c>
      <c r="N682" s="187">
        <v>500.0</v>
      </c>
      <c r="O682" s="58"/>
      <c r="P682" s="74"/>
      <c r="Q682" s="74" t="s">
        <v>874</v>
      </c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</row>
    <row r="683" ht="15.75" customHeight="1">
      <c r="A683" s="74" t="s">
        <v>175</v>
      </c>
      <c r="B683" s="27" t="s">
        <v>299</v>
      </c>
      <c r="C683" s="183"/>
      <c r="D683" s="74" t="s">
        <v>2</v>
      </c>
      <c r="E683" s="184">
        <v>46246.0</v>
      </c>
      <c r="F683" s="185">
        <v>12.0</v>
      </c>
      <c r="G683" s="185">
        <v>8.0</v>
      </c>
      <c r="H683" s="185">
        <v>2026.0</v>
      </c>
      <c r="I683" s="186">
        <v>8.0</v>
      </c>
      <c r="J683" s="186">
        <v>2026.0</v>
      </c>
      <c r="K683" s="187"/>
      <c r="L683" s="187">
        <v>205.3</v>
      </c>
      <c r="M683" s="27">
        <v>1.0</v>
      </c>
      <c r="N683" s="187">
        <v>205.3</v>
      </c>
      <c r="O683" s="58"/>
      <c r="P683" s="74"/>
      <c r="Q683" s="74" t="s">
        <v>875</v>
      </c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</row>
    <row r="684" ht="15.75" customHeight="1">
      <c r="A684" s="74" t="s">
        <v>160</v>
      </c>
      <c r="B684" s="27" t="s">
        <v>39</v>
      </c>
      <c r="C684" s="183"/>
      <c r="D684" s="74" t="s">
        <v>2</v>
      </c>
      <c r="E684" s="184">
        <v>46246.0</v>
      </c>
      <c r="F684" s="185">
        <v>12.0</v>
      </c>
      <c r="G684" s="185">
        <v>8.0</v>
      </c>
      <c r="H684" s="185">
        <v>2026.0</v>
      </c>
      <c r="I684" s="186">
        <v>8.0</v>
      </c>
      <c r="J684" s="186">
        <v>2026.0</v>
      </c>
      <c r="K684" s="187"/>
      <c r="L684" s="187">
        <v>88.59</v>
      </c>
      <c r="M684" s="27">
        <v>1.0</v>
      </c>
      <c r="N684" s="187">
        <v>88.59</v>
      </c>
      <c r="O684" s="58"/>
      <c r="P684" s="74"/>
      <c r="Q684" s="74" t="s">
        <v>876</v>
      </c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</row>
    <row r="685" ht="15.75" customHeight="1">
      <c r="A685" s="74" t="s">
        <v>151</v>
      </c>
      <c r="B685" s="27" t="s">
        <v>191</v>
      </c>
      <c r="C685" s="183"/>
      <c r="D685" s="74" t="s">
        <v>245</v>
      </c>
      <c r="E685" s="184">
        <v>46246.0</v>
      </c>
      <c r="F685" s="185">
        <v>12.0</v>
      </c>
      <c r="G685" s="185">
        <v>8.0</v>
      </c>
      <c r="H685" s="185">
        <v>2026.0</v>
      </c>
      <c r="I685" s="186">
        <v>8.0</v>
      </c>
      <c r="J685" s="186">
        <v>2026.0</v>
      </c>
      <c r="K685" s="187"/>
      <c r="L685" s="187">
        <v>4.8</v>
      </c>
      <c r="M685" s="27">
        <v>1.0</v>
      </c>
      <c r="N685" s="187">
        <v>4.8</v>
      </c>
      <c r="O685" s="58"/>
      <c r="P685" s="74"/>
      <c r="Q685" s="74" t="s">
        <v>878</v>
      </c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</row>
    <row r="686" ht="15.75" customHeight="1">
      <c r="A686" s="74" t="s">
        <v>178</v>
      </c>
      <c r="B686" s="27" t="s">
        <v>310</v>
      </c>
      <c r="C686" s="183"/>
      <c r="D686" s="74" t="s">
        <v>245</v>
      </c>
      <c r="E686" s="184">
        <v>46247.0</v>
      </c>
      <c r="F686" s="185">
        <v>13.0</v>
      </c>
      <c r="G686" s="185">
        <v>8.0</v>
      </c>
      <c r="H686" s="185">
        <v>2026.0</v>
      </c>
      <c r="I686" s="186">
        <v>8.0</v>
      </c>
      <c r="J686" s="186">
        <v>2026.0</v>
      </c>
      <c r="K686" s="187"/>
      <c r="L686" s="187">
        <v>60.0</v>
      </c>
      <c r="M686" s="27">
        <v>1.0</v>
      </c>
      <c r="N686" s="187">
        <v>60.0</v>
      </c>
      <c r="O686" s="58"/>
      <c r="P686" s="74"/>
      <c r="Q686" s="74" t="s">
        <v>881</v>
      </c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</row>
    <row r="687" ht="15.75" customHeight="1">
      <c r="A687" s="74" t="s">
        <v>253</v>
      </c>
      <c r="B687" s="27" t="s">
        <v>266</v>
      </c>
      <c r="C687" s="183"/>
      <c r="D687" s="74" t="s">
        <v>245</v>
      </c>
      <c r="E687" s="184">
        <v>46248.0</v>
      </c>
      <c r="F687" s="185">
        <v>14.0</v>
      </c>
      <c r="G687" s="185">
        <v>8.0</v>
      </c>
      <c r="H687" s="185">
        <v>2026.0</v>
      </c>
      <c r="I687" s="186">
        <v>8.0</v>
      </c>
      <c r="J687" s="186">
        <v>2026.0</v>
      </c>
      <c r="K687" s="187"/>
      <c r="L687" s="187">
        <v>500.0</v>
      </c>
      <c r="M687" s="27">
        <v>1.0</v>
      </c>
      <c r="N687" s="187">
        <v>500.0</v>
      </c>
      <c r="O687" s="58"/>
      <c r="P687" s="74"/>
      <c r="Q687" s="74" t="s">
        <v>882</v>
      </c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</row>
    <row r="688" ht="15.75" customHeight="1">
      <c r="A688" s="74" t="s">
        <v>167</v>
      </c>
      <c r="B688" s="27" t="s">
        <v>40</v>
      </c>
      <c r="C688" s="183"/>
      <c r="D688" s="74" t="s">
        <v>2</v>
      </c>
      <c r="E688" s="184">
        <v>46248.0</v>
      </c>
      <c r="F688" s="185">
        <v>14.0</v>
      </c>
      <c r="G688" s="185">
        <v>8.0</v>
      </c>
      <c r="H688" s="185">
        <v>2026.0</v>
      </c>
      <c r="I688" s="186">
        <v>7.0</v>
      </c>
      <c r="J688" s="186">
        <v>2026.0</v>
      </c>
      <c r="K688" s="187"/>
      <c r="L688" s="187">
        <v>386.95</v>
      </c>
      <c r="M688" s="27">
        <v>1.0</v>
      </c>
      <c r="N688" s="187">
        <v>386.95</v>
      </c>
      <c r="O688" s="58"/>
      <c r="P688" s="74"/>
      <c r="Q688" s="74" t="s">
        <v>883</v>
      </c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</row>
    <row r="689" ht="15.75" customHeight="1">
      <c r="A689" s="74" t="s">
        <v>153</v>
      </c>
      <c r="B689" s="27" t="s">
        <v>315</v>
      </c>
      <c r="C689" s="183"/>
      <c r="D689" s="74" t="s">
        <v>245</v>
      </c>
      <c r="E689" s="184">
        <v>46248.0</v>
      </c>
      <c r="F689" s="185">
        <v>14.0</v>
      </c>
      <c r="G689" s="185">
        <v>8.0</v>
      </c>
      <c r="H689" s="185">
        <v>2026.0</v>
      </c>
      <c r="I689" s="186">
        <v>8.0</v>
      </c>
      <c r="J689" s="186">
        <v>2026.0</v>
      </c>
      <c r="K689" s="187"/>
      <c r="L689" s="187">
        <v>29.5</v>
      </c>
      <c r="M689" s="27">
        <v>1.0</v>
      </c>
      <c r="N689" s="187">
        <v>29.5</v>
      </c>
      <c r="O689" s="58"/>
      <c r="P689" s="74"/>
      <c r="Q689" s="74" t="s">
        <v>884</v>
      </c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</row>
    <row r="690" ht="15.75" customHeight="1">
      <c r="A690" s="74" t="s">
        <v>253</v>
      </c>
      <c r="B690" s="27" t="s">
        <v>266</v>
      </c>
      <c r="C690" s="183"/>
      <c r="D690" s="74" t="s">
        <v>245</v>
      </c>
      <c r="E690" s="184">
        <v>46249.0</v>
      </c>
      <c r="F690" s="185">
        <v>15.0</v>
      </c>
      <c r="G690" s="185">
        <v>8.0</v>
      </c>
      <c r="H690" s="185">
        <v>2026.0</v>
      </c>
      <c r="I690" s="186">
        <v>8.0</v>
      </c>
      <c r="J690" s="186">
        <v>2026.0</v>
      </c>
      <c r="K690" s="187"/>
      <c r="L690" s="187">
        <v>1000.0</v>
      </c>
      <c r="M690" s="27">
        <v>1.0</v>
      </c>
      <c r="N690" s="187">
        <v>1000.0</v>
      </c>
      <c r="O690" s="58"/>
      <c r="P690" s="74"/>
      <c r="Q690" s="74" t="s">
        <v>885</v>
      </c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</row>
    <row r="691" ht="15.75" customHeight="1">
      <c r="A691" s="74" t="s">
        <v>151</v>
      </c>
      <c r="B691" s="27" t="s">
        <v>137</v>
      </c>
      <c r="C691" s="183"/>
      <c r="D691" s="74" t="s">
        <v>245</v>
      </c>
      <c r="E691" s="184">
        <v>46249.0</v>
      </c>
      <c r="F691" s="185">
        <v>15.0</v>
      </c>
      <c r="G691" s="185">
        <v>8.0</v>
      </c>
      <c r="H691" s="185">
        <v>2026.0</v>
      </c>
      <c r="I691" s="186">
        <v>8.0</v>
      </c>
      <c r="J691" s="186">
        <v>2026.0</v>
      </c>
      <c r="K691" s="187"/>
      <c r="L691" s="187">
        <v>1.24</v>
      </c>
      <c r="M691" s="27">
        <v>1.0</v>
      </c>
      <c r="N691" s="187">
        <v>1.24</v>
      </c>
      <c r="O691" s="58"/>
      <c r="P691" s="74"/>
      <c r="Q691" s="74" t="s">
        <v>887</v>
      </c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</row>
    <row r="692" ht="15.75" customHeight="1">
      <c r="A692" s="74" t="s">
        <v>167</v>
      </c>
      <c r="B692" s="27" t="s">
        <v>61</v>
      </c>
      <c r="C692" s="183"/>
      <c r="D692" s="74" t="s">
        <v>2</v>
      </c>
      <c r="E692" s="184">
        <v>46250.0</v>
      </c>
      <c r="F692" s="185">
        <v>16.0</v>
      </c>
      <c r="G692" s="185">
        <v>8.0</v>
      </c>
      <c r="H692" s="185">
        <v>2026.0</v>
      </c>
      <c r="I692" s="186">
        <v>7.0</v>
      </c>
      <c r="J692" s="186">
        <v>2026.0</v>
      </c>
      <c r="K692" s="187"/>
      <c r="L692" s="187">
        <v>1184.0</v>
      </c>
      <c r="M692" s="27">
        <v>1.0</v>
      </c>
      <c r="N692" s="187">
        <v>1184.0</v>
      </c>
      <c r="O692" s="58"/>
      <c r="P692" s="74"/>
      <c r="Q692" s="74" t="s">
        <v>888</v>
      </c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</row>
    <row r="693" ht="15.75" customHeight="1">
      <c r="A693" s="74" t="s">
        <v>178</v>
      </c>
      <c r="B693" s="27" t="s">
        <v>310</v>
      </c>
      <c r="C693" s="183"/>
      <c r="D693" s="74" t="s">
        <v>245</v>
      </c>
      <c r="E693" s="184">
        <v>46250.0</v>
      </c>
      <c r="F693" s="185">
        <v>16.0</v>
      </c>
      <c r="G693" s="185">
        <v>8.0</v>
      </c>
      <c r="H693" s="185">
        <v>2026.0</v>
      </c>
      <c r="I693" s="186">
        <v>8.0</v>
      </c>
      <c r="J693" s="186">
        <v>2026.0</v>
      </c>
      <c r="K693" s="187"/>
      <c r="L693" s="187">
        <v>370.0</v>
      </c>
      <c r="M693" s="27">
        <v>1.0</v>
      </c>
      <c r="N693" s="187">
        <v>370.0</v>
      </c>
      <c r="O693" s="58"/>
      <c r="P693" s="74"/>
      <c r="Q693" s="74" t="s">
        <v>889</v>
      </c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</row>
    <row r="694" ht="15.75" customHeight="1">
      <c r="A694" s="74" t="s">
        <v>156</v>
      </c>
      <c r="B694" s="27" t="s">
        <v>254</v>
      </c>
      <c r="C694" s="183"/>
      <c r="D694" s="74" t="s">
        <v>2</v>
      </c>
      <c r="E694" s="184">
        <v>46250.0</v>
      </c>
      <c r="F694" s="185">
        <v>16.0</v>
      </c>
      <c r="G694" s="185">
        <v>8.0</v>
      </c>
      <c r="H694" s="185">
        <v>2026.0</v>
      </c>
      <c r="I694" s="186">
        <v>8.0</v>
      </c>
      <c r="J694" s="186">
        <v>2026.0</v>
      </c>
      <c r="K694" s="187"/>
      <c r="L694" s="187">
        <v>334.45</v>
      </c>
      <c r="M694" s="27">
        <v>1.0</v>
      </c>
      <c r="N694" s="187">
        <v>334.45</v>
      </c>
      <c r="O694" s="58"/>
      <c r="P694" s="74">
        <v>334.45</v>
      </c>
      <c r="Q694" s="74" t="s">
        <v>254</v>
      </c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</row>
    <row r="695" ht="15.75" customHeight="1">
      <c r="A695" s="74" t="s">
        <v>528</v>
      </c>
      <c r="B695" s="27" t="s">
        <v>145</v>
      </c>
      <c r="C695" s="183"/>
      <c r="D695" s="74" t="s">
        <v>245</v>
      </c>
      <c r="E695" s="184">
        <v>46250.0</v>
      </c>
      <c r="F695" s="185">
        <v>16.0</v>
      </c>
      <c r="G695" s="185">
        <v>8.0</v>
      </c>
      <c r="H695" s="185">
        <v>2026.0</v>
      </c>
      <c r="I695" s="186">
        <v>8.0</v>
      </c>
      <c r="J695" s="186">
        <v>2026.0</v>
      </c>
      <c r="K695" s="187"/>
      <c r="L695" s="187">
        <v>106.02</v>
      </c>
      <c r="M695" s="27">
        <v>1.0</v>
      </c>
      <c r="N695" s="187">
        <v>106.02</v>
      </c>
      <c r="O695" s="58"/>
      <c r="P695" s="74"/>
      <c r="Q695" s="74" t="s">
        <v>892</v>
      </c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</row>
    <row r="696" ht="15.75" customHeight="1">
      <c r="A696" s="74" t="s">
        <v>151</v>
      </c>
      <c r="B696" s="27" t="s">
        <v>186</v>
      </c>
      <c r="C696" s="183"/>
      <c r="D696" s="74" t="s">
        <v>245</v>
      </c>
      <c r="E696" s="184">
        <v>46250.0</v>
      </c>
      <c r="F696" s="185">
        <v>16.0</v>
      </c>
      <c r="G696" s="185">
        <v>8.0</v>
      </c>
      <c r="H696" s="185">
        <v>2026.0</v>
      </c>
      <c r="I696" s="186">
        <v>8.0</v>
      </c>
      <c r="J696" s="186">
        <v>2026.0</v>
      </c>
      <c r="K696" s="187"/>
      <c r="L696" s="187">
        <v>34.9</v>
      </c>
      <c r="M696" s="27">
        <v>1.0</v>
      </c>
      <c r="N696" s="187">
        <v>34.9</v>
      </c>
      <c r="O696" s="58"/>
      <c r="P696" s="74"/>
      <c r="Q696" s="74" t="s">
        <v>892</v>
      </c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</row>
    <row r="697" ht="15.75" customHeight="1">
      <c r="A697" s="74" t="s">
        <v>151</v>
      </c>
      <c r="B697" s="27" t="s">
        <v>185</v>
      </c>
      <c r="C697" s="183"/>
      <c r="D697" s="74" t="s">
        <v>245</v>
      </c>
      <c r="E697" s="184">
        <v>46250.0</v>
      </c>
      <c r="F697" s="185">
        <v>16.0</v>
      </c>
      <c r="G697" s="185">
        <v>8.0</v>
      </c>
      <c r="H697" s="185">
        <v>2026.0</v>
      </c>
      <c r="I697" s="186">
        <v>8.0</v>
      </c>
      <c r="J697" s="186">
        <v>2026.0</v>
      </c>
      <c r="K697" s="187"/>
      <c r="L697" s="187">
        <v>30.96</v>
      </c>
      <c r="M697" s="27">
        <v>1.0</v>
      </c>
      <c r="N697" s="187">
        <v>30.96</v>
      </c>
      <c r="O697" s="58"/>
      <c r="P697" s="74"/>
      <c r="Q697" s="74">
        <v>46250.0</v>
      </c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</row>
    <row r="698" ht="15.75" customHeight="1">
      <c r="A698" s="74" t="s">
        <v>22</v>
      </c>
      <c r="B698" s="27" t="s">
        <v>342</v>
      </c>
      <c r="C698" s="183"/>
      <c r="D698" s="74" t="s">
        <v>5</v>
      </c>
      <c r="E698" s="184">
        <v>46250.0</v>
      </c>
      <c r="F698" s="185">
        <v>16.0</v>
      </c>
      <c r="G698" s="185">
        <v>8.0</v>
      </c>
      <c r="H698" s="185">
        <v>2026.0</v>
      </c>
      <c r="I698" s="186">
        <v>8.0</v>
      </c>
      <c r="J698" s="186">
        <v>2026.0</v>
      </c>
      <c r="K698" s="187"/>
      <c r="L698" s="187">
        <v>340.0</v>
      </c>
      <c r="M698" s="27">
        <v>1.0</v>
      </c>
      <c r="N698" s="187">
        <v>340.0</v>
      </c>
      <c r="O698" s="58"/>
      <c r="P698" s="74" t="s">
        <v>20</v>
      </c>
      <c r="Q698" s="74" t="s">
        <v>869</v>
      </c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</row>
    <row r="699" ht="15.75" customHeight="1">
      <c r="A699" s="74" t="s">
        <v>151</v>
      </c>
      <c r="B699" s="27" t="s">
        <v>146</v>
      </c>
      <c r="C699" s="183"/>
      <c r="D699" s="74" t="s">
        <v>245</v>
      </c>
      <c r="E699" s="184">
        <v>46250.0</v>
      </c>
      <c r="F699" s="185">
        <v>16.0</v>
      </c>
      <c r="G699" s="185">
        <v>8.0</v>
      </c>
      <c r="H699" s="185">
        <v>2026.0</v>
      </c>
      <c r="I699" s="186">
        <v>8.0</v>
      </c>
      <c r="J699" s="186">
        <v>2026.0</v>
      </c>
      <c r="K699" s="187"/>
      <c r="L699" s="187">
        <v>2.59</v>
      </c>
      <c r="M699" s="27">
        <v>1.0</v>
      </c>
      <c r="N699" s="187">
        <v>2.59</v>
      </c>
      <c r="O699" s="58"/>
      <c r="P699" s="74"/>
      <c r="Q699" s="74" t="s">
        <v>892</v>
      </c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</row>
    <row r="700" ht="15.75" customHeight="1">
      <c r="A700" s="74" t="s">
        <v>253</v>
      </c>
      <c r="B700" s="27" t="s">
        <v>266</v>
      </c>
      <c r="C700" s="183"/>
      <c r="D700" s="74" t="s">
        <v>245</v>
      </c>
      <c r="E700" s="184">
        <v>46251.0</v>
      </c>
      <c r="F700" s="185">
        <v>17.0</v>
      </c>
      <c r="G700" s="185">
        <v>8.0</v>
      </c>
      <c r="H700" s="185">
        <v>2026.0</v>
      </c>
      <c r="I700" s="186">
        <v>8.0</v>
      </c>
      <c r="J700" s="186">
        <v>2026.0</v>
      </c>
      <c r="K700" s="187"/>
      <c r="L700" s="187">
        <v>1000.0</v>
      </c>
      <c r="M700" s="27">
        <v>1.0</v>
      </c>
      <c r="N700" s="187">
        <v>1000.0</v>
      </c>
      <c r="O700" s="58"/>
      <c r="P700" s="74"/>
      <c r="Q700" s="74" t="s">
        <v>898</v>
      </c>
      <c r="R700" s="27"/>
      <c r="S700" s="27"/>
      <c r="T700" s="27" t="s">
        <v>899</v>
      </c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</row>
    <row r="701" ht="15.75" customHeight="1">
      <c r="A701" s="74" t="s">
        <v>334</v>
      </c>
      <c r="B701" s="27" t="s">
        <v>34</v>
      </c>
      <c r="C701" s="183"/>
      <c r="D701" s="74" t="s">
        <v>245</v>
      </c>
      <c r="E701" s="184">
        <v>46251.0</v>
      </c>
      <c r="F701" s="185">
        <v>17.0</v>
      </c>
      <c r="G701" s="185">
        <v>8.0</v>
      </c>
      <c r="H701" s="185">
        <v>2026.0</v>
      </c>
      <c r="I701" s="186">
        <v>8.0</v>
      </c>
      <c r="J701" s="186">
        <v>2026.0</v>
      </c>
      <c r="K701" s="187"/>
      <c r="L701" s="187">
        <v>20.0</v>
      </c>
      <c r="M701" s="27">
        <v>1.0</v>
      </c>
      <c r="N701" s="187">
        <v>20.0</v>
      </c>
      <c r="O701" s="58"/>
      <c r="P701" s="74"/>
      <c r="Q701" s="74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</row>
    <row r="702" ht="15.75" customHeight="1">
      <c r="A702" s="74" t="s">
        <v>22</v>
      </c>
      <c r="B702" s="27" t="s">
        <v>342</v>
      </c>
      <c r="C702" s="183"/>
      <c r="D702" s="74" t="s">
        <v>5</v>
      </c>
      <c r="E702" s="184">
        <v>46251.0</v>
      </c>
      <c r="F702" s="185">
        <v>17.0</v>
      </c>
      <c r="G702" s="185">
        <v>8.0</v>
      </c>
      <c r="H702" s="185">
        <v>2026.0</v>
      </c>
      <c r="I702" s="186">
        <v>8.0</v>
      </c>
      <c r="J702" s="186">
        <v>2026.0</v>
      </c>
      <c r="K702" s="187"/>
      <c r="L702" s="187">
        <v>100.0</v>
      </c>
      <c r="M702" s="27">
        <v>1.0</v>
      </c>
      <c r="N702" s="187">
        <v>100.0</v>
      </c>
      <c r="O702" s="58"/>
      <c r="P702" s="74" t="s">
        <v>20</v>
      </c>
      <c r="Q702" s="74" t="s">
        <v>901</v>
      </c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</row>
    <row r="703" ht="15.75" customHeight="1">
      <c r="A703" s="74" t="s">
        <v>22</v>
      </c>
      <c r="B703" s="27" t="s">
        <v>27</v>
      </c>
      <c r="C703" s="183"/>
      <c r="D703" s="74" t="s">
        <v>2</v>
      </c>
      <c r="E703" s="184">
        <v>46251.0</v>
      </c>
      <c r="F703" s="185">
        <v>17.0</v>
      </c>
      <c r="G703" s="185">
        <v>8.0</v>
      </c>
      <c r="H703" s="185">
        <v>2026.0</v>
      </c>
      <c r="I703" s="186">
        <v>8.0</v>
      </c>
      <c r="J703" s="186">
        <v>2026.0</v>
      </c>
      <c r="K703" s="187"/>
      <c r="L703" s="187">
        <v>35.81</v>
      </c>
      <c r="M703" s="27">
        <v>1.0</v>
      </c>
      <c r="N703" s="187">
        <v>35.81</v>
      </c>
      <c r="O703" s="58"/>
      <c r="P703" s="74"/>
      <c r="Q703" s="74" t="s">
        <v>903</v>
      </c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</row>
    <row r="704" ht="15.75" customHeight="1">
      <c r="A704" s="74" t="s">
        <v>151</v>
      </c>
      <c r="B704" s="27" t="s">
        <v>182</v>
      </c>
      <c r="C704" s="183"/>
      <c r="D704" s="74" t="s">
        <v>245</v>
      </c>
      <c r="E704" s="184">
        <v>46251.0</v>
      </c>
      <c r="F704" s="185">
        <v>17.0</v>
      </c>
      <c r="G704" s="185">
        <v>8.0</v>
      </c>
      <c r="H704" s="185">
        <v>2026.0</v>
      </c>
      <c r="I704" s="186">
        <v>8.0</v>
      </c>
      <c r="J704" s="186">
        <v>2026.0</v>
      </c>
      <c r="K704" s="187"/>
      <c r="L704" s="187">
        <v>1.76</v>
      </c>
      <c r="M704" s="27">
        <v>1.0</v>
      </c>
      <c r="N704" s="187">
        <v>1.76</v>
      </c>
      <c r="O704" s="58"/>
      <c r="P704" s="74"/>
      <c r="Q704" s="74" t="s">
        <v>904</v>
      </c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</row>
    <row r="705" ht="15.75" customHeight="1">
      <c r="A705" s="74" t="s">
        <v>253</v>
      </c>
      <c r="B705" s="27" t="s">
        <v>266</v>
      </c>
      <c r="C705" s="183"/>
      <c r="D705" s="74" t="s">
        <v>245</v>
      </c>
      <c r="E705" s="184">
        <v>46252.0</v>
      </c>
      <c r="F705" s="185">
        <v>18.0</v>
      </c>
      <c r="G705" s="185">
        <v>8.0</v>
      </c>
      <c r="H705" s="185">
        <v>2026.0</v>
      </c>
      <c r="I705" s="186">
        <v>8.0</v>
      </c>
      <c r="J705" s="186">
        <v>2026.0</v>
      </c>
      <c r="K705" s="187"/>
      <c r="L705" s="187">
        <v>500.0</v>
      </c>
      <c r="M705" s="27">
        <v>1.0</v>
      </c>
      <c r="N705" s="187">
        <v>500.0</v>
      </c>
      <c r="O705" s="58"/>
      <c r="P705" s="74"/>
      <c r="Q705" s="74" t="s">
        <v>905</v>
      </c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</row>
    <row r="706" ht="15.75" customHeight="1">
      <c r="A706" s="74" t="s">
        <v>172</v>
      </c>
      <c r="B706" s="27" t="s">
        <v>290</v>
      </c>
      <c r="C706" s="183"/>
      <c r="D706" s="74" t="s">
        <v>2</v>
      </c>
      <c r="E706" s="184">
        <v>46252.0</v>
      </c>
      <c r="F706" s="185">
        <v>18.0</v>
      </c>
      <c r="G706" s="185">
        <v>8.0</v>
      </c>
      <c r="H706" s="185">
        <v>2026.0</v>
      </c>
      <c r="I706" s="186">
        <v>8.0</v>
      </c>
      <c r="J706" s="186">
        <v>2026.0</v>
      </c>
      <c r="K706" s="187"/>
      <c r="L706" s="187">
        <v>55.8</v>
      </c>
      <c r="M706" s="27">
        <v>1.0</v>
      </c>
      <c r="N706" s="187">
        <v>55.8</v>
      </c>
      <c r="O706" s="58"/>
      <c r="P706" s="74"/>
      <c r="Q706" s="74" t="s">
        <v>906</v>
      </c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</row>
    <row r="707" ht="15.75" customHeight="1">
      <c r="A707" s="74" t="s">
        <v>172</v>
      </c>
      <c r="B707" s="27" t="s">
        <v>291</v>
      </c>
      <c r="C707" s="183"/>
      <c r="D707" s="74" t="s">
        <v>2</v>
      </c>
      <c r="E707" s="184">
        <v>46252.0</v>
      </c>
      <c r="F707" s="185">
        <v>18.0</v>
      </c>
      <c r="G707" s="185">
        <v>8.0</v>
      </c>
      <c r="H707" s="185">
        <v>2026.0</v>
      </c>
      <c r="I707" s="186">
        <v>8.0</v>
      </c>
      <c r="J707" s="186">
        <v>2026.0</v>
      </c>
      <c r="K707" s="187"/>
      <c r="L707" s="187">
        <v>41.2</v>
      </c>
      <c r="M707" s="27">
        <v>1.0</v>
      </c>
      <c r="N707" s="187">
        <v>41.2</v>
      </c>
      <c r="O707" s="58"/>
      <c r="P707" s="74"/>
      <c r="Q707" s="74" t="s">
        <v>906</v>
      </c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</row>
    <row r="708" ht="15.75" customHeight="1">
      <c r="A708" s="74" t="s">
        <v>172</v>
      </c>
      <c r="B708" s="27" t="s">
        <v>281</v>
      </c>
      <c r="C708" s="183"/>
      <c r="D708" s="74" t="s">
        <v>2</v>
      </c>
      <c r="E708" s="184">
        <v>46252.0</v>
      </c>
      <c r="F708" s="185">
        <v>18.0</v>
      </c>
      <c r="G708" s="185">
        <v>8.0</v>
      </c>
      <c r="H708" s="185">
        <v>2026.0</v>
      </c>
      <c r="I708" s="186">
        <v>8.0</v>
      </c>
      <c r="J708" s="186">
        <v>2026.0</v>
      </c>
      <c r="K708" s="187"/>
      <c r="L708" s="187">
        <v>39.08</v>
      </c>
      <c r="M708" s="27">
        <v>1.0</v>
      </c>
      <c r="N708" s="187">
        <v>39.08</v>
      </c>
      <c r="O708" s="58"/>
      <c r="P708" s="74"/>
      <c r="Q708" s="74" t="s">
        <v>906</v>
      </c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</row>
    <row r="709" ht="15.75" customHeight="1">
      <c r="A709" s="74" t="s">
        <v>172</v>
      </c>
      <c r="B709" s="27" t="s">
        <v>288</v>
      </c>
      <c r="C709" s="183"/>
      <c r="D709" s="74" t="s">
        <v>2</v>
      </c>
      <c r="E709" s="184">
        <v>46252.0</v>
      </c>
      <c r="F709" s="185">
        <v>18.0</v>
      </c>
      <c r="G709" s="185">
        <v>8.0</v>
      </c>
      <c r="H709" s="185">
        <v>2026.0</v>
      </c>
      <c r="I709" s="186">
        <v>8.0</v>
      </c>
      <c r="J709" s="186">
        <v>2026.0</v>
      </c>
      <c r="K709" s="187"/>
      <c r="L709" s="187">
        <v>35.9</v>
      </c>
      <c r="M709" s="27">
        <v>1.0</v>
      </c>
      <c r="N709" s="187">
        <v>35.9</v>
      </c>
      <c r="O709" s="58"/>
      <c r="P709" s="74"/>
      <c r="Q709" s="74" t="s">
        <v>906</v>
      </c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</row>
    <row r="710" ht="15.75" customHeight="1">
      <c r="A710" s="74" t="s">
        <v>172</v>
      </c>
      <c r="B710" s="27" t="s">
        <v>285</v>
      </c>
      <c r="C710" s="183"/>
      <c r="D710" s="74" t="s">
        <v>2</v>
      </c>
      <c r="E710" s="184">
        <v>46252.0</v>
      </c>
      <c r="F710" s="185">
        <v>18.0</v>
      </c>
      <c r="G710" s="185">
        <v>8.0</v>
      </c>
      <c r="H710" s="185">
        <v>2026.0</v>
      </c>
      <c r="I710" s="186">
        <v>8.0</v>
      </c>
      <c r="J710" s="186">
        <v>2026.0</v>
      </c>
      <c r="K710" s="187"/>
      <c r="L710" s="187">
        <v>21.4</v>
      </c>
      <c r="M710" s="27">
        <v>1.0</v>
      </c>
      <c r="N710" s="187">
        <v>21.4</v>
      </c>
      <c r="O710" s="58"/>
      <c r="P710" s="74"/>
      <c r="Q710" s="74" t="s">
        <v>906</v>
      </c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</row>
    <row r="711" ht="15.75" customHeight="1">
      <c r="A711" s="74" t="s">
        <v>172</v>
      </c>
      <c r="B711" s="27" t="s">
        <v>280</v>
      </c>
      <c r="C711" s="183"/>
      <c r="D711" s="74" t="s">
        <v>2</v>
      </c>
      <c r="E711" s="184">
        <v>46252.0</v>
      </c>
      <c r="F711" s="185">
        <v>18.0</v>
      </c>
      <c r="G711" s="185">
        <v>8.0</v>
      </c>
      <c r="H711" s="185">
        <v>2026.0</v>
      </c>
      <c r="I711" s="186">
        <v>8.0</v>
      </c>
      <c r="J711" s="186">
        <v>2026.0</v>
      </c>
      <c r="K711" s="187"/>
      <c r="L711" s="187">
        <v>15.6</v>
      </c>
      <c r="M711" s="27">
        <v>1.0</v>
      </c>
      <c r="N711" s="187">
        <v>15.6</v>
      </c>
      <c r="O711" s="58"/>
      <c r="P711" s="74"/>
      <c r="Q711" s="74" t="s">
        <v>906</v>
      </c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</row>
    <row r="712" ht="15.75" customHeight="1">
      <c r="A712" s="74" t="s">
        <v>22</v>
      </c>
      <c r="B712" s="27" t="s">
        <v>27</v>
      </c>
      <c r="C712" s="183"/>
      <c r="D712" s="74" t="s">
        <v>5</v>
      </c>
      <c r="E712" s="184">
        <v>46252.0</v>
      </c>
      <c r="F712" s="185">
        <v>18.0</v>
      </c>
      <c r="G712" s="185">
        <v>8.0</v>
      </c>
      <c r="H712" s="185">
        <v>2026.0</v>
      </c>
      <c r="I712" s="186">
        <v>8.0</v>
      </c>
      <c r="J712" s="186">
        <v>2026.0</v>
      </c>
      <c r="K712" s="187"/>
      <c r="L712" s="187">
        <v>120.0</v>
      </c>
      <c r="M712" s="27">
        <v>1.0</v>
      </c>
      <c r="N712" s="187">
        <v>120.0</v>
      </c>
      <c r="O712" s="58"/>
      <c r="P712" s="74" t="s">
        <v>20</v>
      </c>
      <c r="Q712" s="74" t="s">
        <v>908</v>
      </c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</row>
    <row r="713" ht="15.75" customHeight="1">
      <c r="A713" s="74" t="s">
        <v>151</v>
      </c>
      <c r="B713" s="27" t="s">
        <v>182</v>
      </c>
      <c r="C713" s="183"/>
      <c r="D713" s="74" t="s">
        <v>245</v>
      </c>
      <c r="E713" s="184">
        <v>46252.0</v>
      </c>
      <c r="F713" s="185">
        <v>18.0</v>
      </c>
      <c r="G713" s="185">
        <v>8.0</v>
      </c>
      <c r="H713" s="185">
        <v>2026.0</v>
      </c>
      <c r="I713" s="186">
        <v>8.0</v>
      </c>
      <c r="J713" s="186">
        <v>2026.0</v>
      </c>
      <c r="K713" s="187"/>
      <c r="L713" s="187">
        <v>2.37</v>
      </c>
      <c r="M713" s="27">
        <v>1.0</v>
      </c>
      <c r="N713" s="187">
        <v>2.37</v>
      </c>
      <c r="O713" s="58"/>
      <c r="P713" s="74"/>
      <c r="Q713" s="74" t="s">
        <v>910</v>
      </c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</row>
    <row r="714" ht="15.75" customHeight="1">
      <c r="A714" s="74" t="s">
        <v>253</v>
      </c>
      <c r="B714" s="27" t="s">
        <v>266</v>
      </c>
      <c r="C714" s="183"/>
      <c r="D714" s="74" t="s">
        <v>245</v>
      </c>
      <c r="E714" s="184">
        <v>46253.0</v>
      </c>
      <c r="F714" s="185">
        <v>19.0</v>
      </c>
      <c r="G714" s="185">
        <v>8.0</v>
      </c>
      <c r="H714" s="185">
        <v>2026.0</v>
      </c>
      <c r="I714" s="186">
        <v>8.0</v>
      </c>
      <c r="J714" s="186">
        <v>2026.0</v>
      </c>
      <c r="K714" s="187"/>
      <c r="L714" s="187">
        <v>500.0</v>
      </c>
      <c r="M714" s="27">
        <v>1.0</v>
      </c>
      <c r="N714" s="187">
        <v>500.0</v>
      </c>
      <c r="O714" s="58"/>
      <c r="P714" s="74"/>
      <c r="Q714" s="74" t="s">
        <v>912</v>
      </c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</row>
    <row r="715" ht="15.75" customHeight="1">
      <c r="A715" s="74" t="s">
        <v>151</v>
      </c>
      <c r="B715" s="27" t="s">
        <v>137</v>
      </c>
      <c r="C715" s="183"/>
      <c r="D715" s="74" t="s">
        <v>245</v>
      </c>
      <c r="E715" s="184">
        <v>46253.0</v>
      </c>
      <c r="F715" s="185">
        <v>19.0</v>
      </c>
      <c r="G715" s="185">
        <v>8.0</v>
      </c>
      <c r="H715" s="185">
        <v>2026.0</v>
      </c>
      <c r="I715" s="186">
        <v>8.0</v>
      </c>
      <c r="J715" s="186">
        <v>2026.0</v>
      </c>
      <c r="K715" s="187"/>
      <c r="L715" s="187">
        <v>1.0</v>
      </c>
      <c r="M715" s="27">
        <v>1.0</v>
      </c>
      <c r="N715" s="187">
        <v>1.0</v>
      </c>
      <c r="O715" s="58"/>
      <c r="P715" s="74"/>
      <c r="Q715" s="74" t="s">
        <v>913</v>
      </c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</row>
    <row r="716" ht="15.75" customHeight="1">
      <c r="A716" s="74" t="s">
        <v>156</v>
      </c>
      <c r="B716" s="27" t="s">
        <v>255</v>
      </c>
      <c r="C716" s="183"/>
      <c r="D716" s="74" t="s">
        <v>2</v>
      </c>
      <c r="E716" s="184">
        <v>46255.0</v>
      </c>
      <c r="F716" s="185">
        <v>21.0</v>
      </c>
      <c r="G716" s="185">
        <v>8.0</v>
      </c>
      <c r="H716" s="185">
        <v>2026.0</v>
      </c>
      <c r="I716" s="186">
        <v>8.0</v>
      </c>
      <c r="J716" s="186">
        <v>2026.0</v>
      </c>
      <c r="K716" s="187"/>
      <c r="L716" s="187">
        <v>819.0</v>
      </c>
      <c r="M716" s="27">
        <v>1.0</v>
      </c>
      <c r="N716" s="187">
        <v>819.0</v>
      </c>
      <c r="O716" s="58"/>
      <c r="P716" s="74"/>
      <c r="Q716" s="74" t="s">
        <v>915</v>
      </c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</row>
    <row r="717" ht="15.75" customHeight="1">
      <c r="A717" s="74" t="s">
        <v>178</v>
      </c>
      <c r="B717" s="27" t="s">
        <v>310</v>
      </c>
      <c r="C717" s="183"/>
      <c r="D717" s="74" t="s">
        <v>5</v>
      </c>
      <c r="E717" s="184">
        <v>46255.0</v>
      </c>
      <c r="F717" s="185">
        <v>21.0</v>
      </c>
      <c r="G717" s="185">
        <v>8.0</v>
      </c>
      <c r="H717" s="185">
        <v>2026.0</v>
      </c>
      <c r="I717" s="186">
        <v>8.0</v>
      </c>
      <c r="J717" s="186">
        <v>2026.0</v>
      </c>
      <c r="K717" s="187"/>
      <c r="L717" s="187">
        <v>310.0</v>
      </c>
      <c r="M717" s="27">
        <v>1.0</v>
      </c>
      <c r="N717" s="187">
        <v>310.0</v>
      </c>
      <c r="O717" s="58"/>
      <c r="P717" s="74"/>
      <c r="Q717" s="74" t="s">
        <v>916</v>
      </c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</row>
    <row r="718" ht="15.75" customHeight="1">
      <c r="A718" s="74" t="s">
        <v>151</v>
      </c>
      <c r="B718" s="27" t="s">
        <v>146</v>
      </c>
      <c r="C718" s="183"/>
      <c r="D718" s="74" t="s">
        <v>245</v>
      </c>
      <c r="E718" s="184">
        <v>46255.0</v>
      </c>
      <c r="F718" s="185">
        <v>21.0</v>
      </c>
      <c r="G718" s="185">
        <v>8.0</v>
      </c>
      <c r="H718" s="185">
        <v>2026.0</v>
      </c>
      <c r="I718" s="186">
        <v>8.0</v>
      </c>
      <c r="J718" s="186">
        <v>2026.0</v>
      </c>
      <c r="K718" s="187"/>
      <c r="L718" s="187">
        <v>56.05</v>
      </c>
      <c r="M718" s="27">
        <v>1.0</v>
      </c>
      <c r="N718" s="187">
        <v>56.05</v>
      </c>
      <c r="O718" s="58"/>
      <c r="P718" s="74"/>
      <c r="Q718" s="74" t="s">
        <v>917</v>
      </c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</row>
    <row r="719" ht="15.75" customHeight="1">
      <c r="A719" s="74" t="s">
        <v>151</v>
      </c>
      <c r="B719" s="27" t="s">
        <v>146</v>
      </c>
      <c r="C719" s="183"/>
      <c r="D719" s="74" t="s">
        <v>245</v>
      </c>
      <c r="E719" s="184">
        <v>46255.0</v>
      </c>
      <c r="F719" s="185">
        <v>21.0</v>
      </c>
      <c r="G719" s="185">
        <v>8.0</v>
      </c>
      <c r="H719" s="185">
        <v>2026.0</v>
      </c>
      <c r="I719" s="186">
        <v>8.0</v>
      </c>
      <c r="J719" s="186">
        <v>2026.0</v>
      </c>
      <c r="K719" s="187"/>
      <c r="L719" s="187">
        <v>26.55</v>
      </c>
      <c r="M719" s="27">
        <v>1.0</v>
      </c>
      <c r="N719" s="187">
        <v>26.55</v>
      </c>
      <c r="O719" s="58"/>
      <c r="P719" s="74"/>
      <c r="Q719" s="74" t="s">
        <v>917</v>
      </c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</row>
    <row r="720" ht="15.75" customHeight="1">
      <c r="A720" s="74" t="s">
        <v>154</v>
      </c>
      <c r="B720" s="27" t="s">
        <v>230</v>
      </c>
      <c r="C720" s="183"/>
      <c r="D720" s="74" t="s">
        <v>245</v>
      </c>
      <c r="E720" s="184">
        <v>46255.0</v>
      </c>
      <c r="F720" s="185">
        <v>21.0</v>
      </c>
      <c r="G720" s="185">
        <v>8.0</v>
      </c>
      <c r="H720" s="185">
        <v>2026.0</v>
      </c>
      <c r="I720" s="186">
        <v>8.0</v>
      </c>
      <c r="J720" s="186">
        <v>2026.0</v>
      </c>
      <c r="K720" s="187"/>
      <c r="L720" s="187">
        <v>8.99</v>
      </c>
      <c r="M720" s="27">
        <v>1.0</v>
      </c>
      <c r="N720" s="187">
        <v>8.99</v>
      </c>
      <c r="O720" s="58"/>
      <c r="P720" s="74"/>
      <c r="Q720" s="74" t="s">
        <v>918</v>
      </c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</row>
    <row r="721" ht="15.75" customHeight="1">
      <c r="A721" s="74" t="s">
        <v>175</v>
      </c>
      <c r="B721" s="27" t="s">
        <v>296</v>
      </c>
      <c r="C721" s="183"/>
      <c r="D721" s="74" t="s">
        <v>245</v>
      </c>
      <c r="E721" s="184">
        <v>46255.0</v>
      </c>
      <c r="F721" s="185">
        <v>21.0</v>
      </c>
      <c r="G721" s="185">
        <v>8.0</v>
      </c>
      <c r="H721" s="185">
        <v>2026.0</v>
      </c>
      <c r="I721" s="186">
        <v>8.0</v>
      </c>
      <c r="J721" s="186">
        <v>2026.0</v>
      </c>
      <c r="K721" s="187"/>
      <c r="L721" s="187">
        <v>4.25</v>
      </c>
      <c r="M721" s="27">
        <v>1.0</v>
      </c>
      <c r="N721" s="187">
        <v>4.25</v>
      </c>
      <c r="O721" s="58"/>
      <c r="P721" s="74"/>
      <c r="Q721" s="74" t="s">
        <v>920</v>
      </c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</row>
    <row r="722" ht="15.75" customHeight="1">
      <c r="A722" s="74" t="s">
        <v>154</v>
      </c>
      <c r="B722" s="27" t="s">
        <v>231</v>
      </c>
      <c r="C722" s="183"/>
      <c r="D722" s="74" t="s">
        <v>245</v>
      </c>
      <c r="E722" s="184">
        <v>46255.0</v>
      </c>
      <c r="F722" s="185">
        <v>21.0</v>
      </c>
      <c r="G722" s="185">
        <v>8.0</v>
      </c>
      <c r="H722" s="185">
        <v>2026.0</v>
      </c>
      <c r="I722" s="186">
        <v>8.0</v>
      </c>
      <c r="J722" s="186">
        <v>2026.0</v>
      </c>
      <c r="K722" s="187"/>
      <c r="L722" s="187">
        <v>1.98</v>
      </c>
      <c r="M722" s="27">
        <v>1.0</v>
      </c>
      <c r="N722" s="187">
        <v>1.98</v>
      </c>
      <c r="O722" s="58"/>
      <c r="P722" s="74"/>
      <c r="Q722" s="74" t="s">
        <v>918</v>
      </c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</row>
    <row r="723" ht="15.75" customHeight="1">
      <c r="A723" s="74" t="s">
        <v>154</v>
      </c>
      <c r="B723" s="27" t="s">
        <v>231</v>
      </c>
      <c r="C723" s="183"/>
      <c r="D723" s="74" t="s">
        <v>245</v>
      </c>
      <c r="E723" s="184">
        <v>46255.0</v>
      </c>
      <c r="F723" s="185">
        <v>21.0</v>
      </c>
      <c r="G723" s="185">
        <v>8.0</v>
      </c>
      <c r="H723" s="185">
        <v>2026.0</v>
      </c>
      <c r="I723" s="186">
        <v>8.0</v>
      </c>
      <c r="J723" s="186">
        <v>2026.0</v>
      </c>
      <c r="K723" s="187"/>
      <c r="L723" s="187">
        <v>1.98</v>
      </c>
      <c r="M723" s="27">
        <v>1.0</v>
      </c>
      <c r="N723" s="187">
        <v>1.98</v>
      </c>
      <c r="O723" s="58"/>
      <c r="P723" s="74"/>
      <c r="Q723" s="74" t="s">
        <v>921</v>
      </c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</row>
    <row r="724" ht="15.75" customHeight="1">
      <c r="A724" s="74" t="s">
        <v>151</v>
      </c>
      <c r="B724" s="27" t="s">
        <v>137</v>
      </c>
      <c r="C724" s="183"/>
      <c r="D724" s="74" t="s">
        <v>245</v>
      </c>
      <c r="E724" s="184">
        <v>46255.0</v>
      </c>
      <c r="F724" s="185">
        <v>21.0</v>
      </c>
      <c r="G724" s="185">
        <v>8.0</v>
      </c>
      <c r="H724" s="185">
        <v>2026.0</v>
      </c>
      <c r="I724" s="186">
        <v>8.0</v>
      </c>
      <c r="J724" s="186">
        <v>2026.0</v>
      </c>
      <c r="K724" s="187"/>
      <c r="L724" s="187">
        <v>0.7</v>
      </c>
      <c r="M724" s="27">
        <v>1.0</v>
      </c>
      <c r="N724" s="187">
        <v>0.7</v>
      </c>
      <c r="O724" s="58"/>
      <c r="P724" s="74"/>
      <c r="Q724" s="74" t="s">
        <v>923</v>
      </c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</row>
    <row r="725" ht="15.75" customHeight="1">
      <c r="A725" s="74" t="s">
        <v>151</v>
      </c>
      <c r="B725" s="27" t="s">
        <v>137</v>
      </c>
      <c r="C725" s="183"/>
      <c r="D725" s="74" t="s">
        <v>245</v>
      </c>
      <c r="E725" s="184">
        <v>46255.0</v>
      </c>
      <c r="F725" s="185">
        <v>21.0</v>
      </c>
      <c r="G725" s="185">
        <v>8.0</v>
      </c>
      <c r="H725" s="185">
        <v>2026.0</v>
      </c>
      <c r="I725" s="186">
        <v>8.0</v>
      </c>
      <c r="J725" s="186">
        <v>2026.0</v>
      </c>
      <c r="K725" s="187"/>
      <c r="L725" s="187">
        <v>0.7</v>
      </c>
      <c r="M725" s="27">
        <v>1.0</v>
      </c>
      <c r="N725" s="187">
        <v>0.7</v>
      </c>
      <c r="O725" s="58"/>
      <c r="P725" s="74"/>
      <c r="Q725" s="74">
        <v>46255.0</v>
      </c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</row>
    <row r="726" ht="15.75" customHeight="1">
      <c r="A726" s="74" t="s">
        <v>253</v>
      </c>
      <c r="B726" s="27" t="s">
        <v>266</v>
      </c>
      <c r="C726" s="183"/>
      <c r="D726" s="74" t="s">
        <v>245</v>
      </c>
      <c r="E726" s="184">
        <v>46256.0</v>
      </c>
      <c r="F726" s="185">
        <v>22.0</v>
      </c>
      <c r="G726" s="185">
        <v>8.0</v>
      </c>
      <c r="H726" s="185">
        <v>2026.0</v>
      </c>
      <c r="I726" s="186">
        <v>8.0</v>
      </c>
      <c r="J726" s="186">
        <v>2026.0</v>
      </c>
      <c r="K726" s="187"/>
      <c r="L726" s="187">
        <v>500.0</v>
      </c>
      <c r="M726" s="27">
        <v>1.0</v>
      </c>
      <c r="N726" s="187">
        <v>500.0</v>
      </c>
      <c r="O726" s="58"/>
      <c r="P726" s="74"/>
      <c r="Q726" s="74" t="s">
        <v>924</v>
      </c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</row>
    <row r="727" ht="15.75" customHeight="1">
      <c r="A727" s="74" t="s">
        <v>153</v>
      </c>
      <c r="B727" s="27" t="s">
        <v>925</v>
      </c>
      <c r="C727" s="183"/>
      <c r="D727" s="74" t="s">
        <v>245</v>
      </c>
      <c r="E727" s="184">
        <v>46258.0</v>
      </c>
      <c r="F727" s="185">
        <v>23.0</v>
      </c>
      <c r="G727" s="185">
        <v>8.0</v>
      </c>
      <c r="H727" s="185">
        <v>2026.0</v>
      </c>
      <c r="I727" s="186">
        <v>8.0</v>
      </c>
      <c r="J727" s="186">
        <v>2026.0</v>
      </c>
      <c r="K727" s="187"/>
      <c r="L727" s="187">
        <v>120.0</v>
      </c>
      <c r="M727" s="27">
        <v>1.0</v>
      </c>
      <c r="N727" s="187">
        <v>120.0</v>
      </c>
      <c r="O727" s="58"/>
      <c r="P727" s="74"/>
      <c r="Q727" s="74" t="s">
        <v>926</v>
      </c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</row>
    <row r="728" ht="15.75" customHeight="1">
      <c r="A728" s="74" t="s">
        <v>617</v>
      </c>
      <c r="B728" s="27" t="s">
        <v>664</v>
      </c>
      <c r="C728" s="183"/>
      <c r="D728" s="74" t="s">
        <v>2</v>
      </c>
      <c r="E728" s="184">
        <v>46258.0</v>
      </c>
      <c r="F728" s="185">
        <v>24.0</v>
      </c>
      <c r="G728" s="185">
        <v>8.0</v>
      </c>
      <c r="H728" s="185">
        <v>2026.0</v>
      </c>
      <c r="I728" s="186">
        <v>8.0</v>
      </c>
      <c r="J728" s="186">
        <v>2026.0</v>
      </c>
      <c r="K728" s="187"/>
      <c r="L728" s="187">
        <v>60.75</v>
      </c>
      <c r="M728" s="27">
        <v>1.0</v>
      </c>
      <c r="N728" s="187">
        <v>60.75</v>
      </c>
      <c r="O728" s="58"/>
      <c r="P728" s="74"/>
      <c r="Q728" s="74" t="s">
        <v>928</v>
      </c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</row>
    <row r="729" ht="15.75" customHeight="1">
      <c r="A729" s="74" t="s">
        <v>22</v>
      </c>
      <c r="B729" s="27" t="s">
        <v>342</v>
      </c>
      <c r="C729" s="183"/>
      <c r="D729" s="74" t="s">
        <v>5</v>
      </c>
      <c r="E729" s="184">
        <v>46258.0</v>
      </c>
      <c r="F729" s="185">
        <v>24.0</v>
      </c>
      <c r="G729" s="185">
        <v>8.0</v>
      </c>
      <c r="H729" s="185">
        <v>2026.0</v>
      </c>
      <c r="I729" s="186">
        <v>8.0</v>
      </c>
      <c r="J729" s="186">
        <v>2026.0</v>
      </c>
      <c r="K729" s="187"/>
      <c r="L729" s="187">
        <v>60.0</v>
      </c>
      <c r="M729" s="27">
        <v>1.0</v>
      </c>
      <c r="N729" s="187">
        <v>60.0</v>
      </c>
      <c r="O729" s="58"/>
      <c r="P729" s="74" t="s">
        <v>20</v>
      </c>
      <c r="Q729" s="74" t="s">
        <v>929</v>
      </c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</row>
    <row r="730" ht="15.75" customHeight="1">
      <c r="A730" s="74" t="s">
        <v>253</v>
      </c>
      <c r="B730" s="27" t="s">
        <v>266</v>
      </c>
      <c r="C730" s="183"/>
      <c r="D730" s="74" t="s">
        <v>245</v>
      </c>
      <c r="E730" s="184">
        <v>46259.0</v>
      </c>
      <c r="F730" s="185">
        <v>25.0</v>
      </c>
      <c r="G730" s="185">
        <v>8.0</v>
      </c>
      <c r="H730" s="185">
        <v>2026.0</v>
      </c>
      <c r="I730" s="186">
        <v>8.0</v>
      </c>
      <c r="J730" s="186">
        <v>2026.0</v>
      </c>
      <c r="K730" s="187"/>
      <c r="L730" s="187">
        <v>500.0</v>
      </c>
      <c r="M730" s="27">
        <v>1.0</v>
      </c>
      <c r="N730" s="187">
        <v>500.0</v>
      </c>
      <c r="O730" s="58"/>
      <c r="P730" s="74"/>
      <c r="Q730" s="74" t="s">
        <v>930</v>
      </c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</row>
    <row r="731" ht="15.75" customHeight="1">
      <c r="A731" s="74" t="s">
        <v>156</v>
      </c>
      <c r="B731" s="27" t="s">
        <v>44</v>
      </c>
      <c r="C731" s="183"/>
      <c r="D731" s="74" t="s">
        <v>2</v>
      </c>
      <c r="E731" s="184">
        <v>46260.0</v>
      </c>
      <c r="F731" s="185">
        <v>26.0</v>
      </c>
      <c r="G731" s="185">
        <v>8.0</v>
      </c>
      <c r="H731" s="185">
        <v>2026.0</v>
      </c>
      <c r="I731" s="186">
        <v>8.0</v>
      </c>
      <c r="J731" s="186">
        <v>2026.0</v>
      </c>
      <c r="K731" s="187"/>
      <c r="L731" s="187">
        <v>2018.19</v>
      </c>
      <c r="M731" s="27">
        <v>1.0</v>
      </c>
      <c r="N731" s="187">
        <v>2018.19</v>
      </c>
      <c r="O731" s="58"/>
      <c r="P731" s="74"/>
      <c r="Q731" s="74" t="s">
        <v>931</v>
      </c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</row>
    <row r="732" ht="15.75" customHeight="1">
      <c r="A732" s="74" t="s">
        <v>178</v>
      </c>
      <c r="B732" s="27" t="s">
        <v>311</v>
      </c>
      <c r="C732" s="183"/>
      <c r="D732" s="74" t="s">
        <v>2</v>
      </c>
      <c r="E732" s="184">
        <v>46260.0</v>
      </c>
      <c r="F732" s="185">
        <v>26.0</v>
      </c>
      <c r="G732" s="185">
        <v>8.0</v>
      </c>
      <c r="H732" s="185">
        <v>2026.0</v>
      </c>
      <c r="I732" s="186">
        <v>8.0</v>
      </c>
      <c r="J732" s="186">
        <v>2026.0</v>
      </c>
      <c r="K732" s="187"/>
      <c r="L732" s="187">
        <v>1000.0</v>
      </c>
      <c r="M732" s="27">
        <v>1.0</v>
      </c>
      <c r="N732" s="187">
        <v>1000.0</v>
      </c>
      <c r="O732" s="58"/>
      <c r="P732" s="74"/>
      <c r="Q732" s="74" t="s">
        <v>932</v>
      </c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</row>
    <row r="733" ht="15.75" customHeight="1">
      <c r="A733" s="74" t="s">
        <v>178</v>
      </c>
      <c r="B733" s="27" t="s">
        <v>311</v>
      </c>
      <c r="C733" s="183"/>
      <c r="D733" s="74" t="s">
        <v>2</v>
      </c>
      <c r="E733" s="184">
        <v>46260.0</v>
      </c>
      <c r="F733" s="185">
        <v>26.0</v>
      </c>
      <c r="G733" s="185">
        <v>8.0</v>
      </c>
      <c r="H733" s="185">
        <v>2026.0</v>
      </c>
      <c r="I733" s="186">
        <v>8.0</v>
      </c>
      <c r="J733" s="186">
        <v>2026.0</v>
      </c>
      <c r="K733" s="187"/>
      <c r="L733" s="187">
        <v>1000.0</v>
      </c>
      <c r="M733" s="27">
        <v>1.0</v>
      </c>
      <c r="N733" s="187">
        <v>1000.0</v>
      </c>
      <c r="O733" s="58"/>
      <c r="P733" s="74"/>
      <c r="Q733" s="74" t="s">
        <v>933</v>
      </c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</row>
    <row r="734" ht="15.75" customHeight="1">
      <c r="A734" s="74" t="s">
        <v>167</v>
      </c>
      <c r="B734" s="27" t="s">
        <v>41</v>
      </c>
      <c r="C734" s="183"/>
      <c r="D734" s="74" t="s">
        <v>2</v>
      </c>
      <c r="E734" s="184">
        <v>46260.0</v>
      </c>
      <c r="F734" s="185">
        <v>26.0</v>
      </c>
      <c r="G734" s="185">
        <v>8.0</v>
      </c>
      <c r="H734" s="185">
        <v>2026.0</v>
      </c>
      <c r="I734" s="186">
        <v>7.0</v>
      </c>
      <c r="J734" s="186">
        <v>2026.0</v>
      </c>
      <c r="K734" s="187"/>
      <c r="L734" s="187">
        <v>589.55</v>
      </c>
      <c r="M734" s="27">
        <v>1.0</v>
      </c>
      <c r="N734" s="187">
        <v>589.55</v>
      </c>
      <c r="O734" s="58"/>
      <c r="P734" s="74"/>
      <c r="Q734" s="74" t="s">
        <v>934</v>
      </c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</row>
    <row r="735" ht="15.75" customHeight="1">
      <c r="A735" s="74" t="s">
        <v>253</v>
      </c>
      <c r="B735" s="27" t="s">
        <v>266</v>
      </c>
      <c r="C735" s="183"/>
      <c r="D735" s="74" t="s">
        <v>245</v>
      </c>
      <c r="E735" s="184">
        <v>46261.0</v>
      </c>
      <c r="F735" s="185">
        <v>27.0</v>
      </c>
      <c r="G735" s="185">
        <v>8.0</v>
      </c>
      <c r="H735" s="185">
        <v>2026.0</v>
      </c>
      <c r="I735" s="186">
        <v>8.0</v>
      </c>
      <c r="J735" s="186">
        <v>2026.0</v>
      </c>
      <c r="K735" s="187"/>
      <c r="L735" s="187">
        <v>500.0</v>
      </c>
      <c r="M735" s="27">
        <v>1.0</v>
      </c>
      <c r="N735" s="187">
        <v>500.0</v>
      </c>
      <c r="O735" s="58"/>
      <c r="P735" s="74"/>
      <c r="Q735" s="74" t="s">
        <v>935</v>
      </c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</row>
    <row r="736" ht="15.75" customHeight="1">
      <c r="A736" s="74" t="s">
        <v>151</v>
      </c>
      <c r="B736" s="27" t="s">
        <v>181</v>
      </c>
      <c r="C736" s="183"/>
      <c r="D736" s="74" t="s">
        <v>245</v>
      </c>
      <c r="E736" s="184">
        <v>46262.0</v>
      </c>
      <c r="F736" s="185">
        <v>28.0</v>
      </c>
      <c r="G736" s="185">
        <v>8.0</v>
      </c>
      <c r="H736" s="185">
        <v>2026.0</v>
      </c>
      <c r="I736" s="186">
        <v>8.0</v>
      </c>
      <c r="J736" s="186">
        <v>2026.0</v>
      </c>
      <c r="K736" s="187"/>
      <c r="L736" s="187">
        <v>17.38</v>
      </c>
      <c r="M736" s="27">
        <v>1.0</v>
      </c>
      <c r="N736" s="187">
        <v>17.38</v>
      </c>
      <c r="O736" s="58"/>
      <c r="P736" s="74"/>
      <c r="Q736" s="74" t="s">
        <v>936</v>
      </c>
      <c r="R736" s="27"/>
      <c r="S736" s="27"/>
      <c r="T736" s="27" t="s">
        <v>899</v>
      </c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</row>
    <row r="737" ht="15.75" customHeight="1">
      <c r="A737" s="74" t="s">
        <v>253</v>
      </c>
      <c r="B737" s="27" t="s">
        <v>266</v>
      </c>
      <c r="C737" s="183"/>
      <c r="D737" s="74" t="s">
        <v>245</v>
      </c>
      <c r="E737" s="184">
        <v>46263.0</v>
      </c>
      <c r="F737" s="185">
        <v>29.0</v>
      </c>
      <c r="G737" s="185">
        <v>8.0</v>
      </c>
      <c r="H737" s="185">
        <v>2026.0</v>
      </c>
      <c r="I737" s="186">
        <v>8.0</v>
      </c>
      <c r="J737" s="186">
        <v>2026.0</v>
      </c>
      <c r="K737" s="187"/>
      <c r="L737" s="187">
        <v>500.0</v>
      </c>
      <c r="M737" s="27">
        <v>1.0</v>
      </c>
      <c r="N737" s="187">
        <v>500.0</v>
      </c>
      <c r="O737" s="58"/>
      <c r="P737" s="74"/>
      <c r="Q737" s="74" t="s">
        <v>937</v>
      </c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</row>
    <row r="738" ht="15.75" customHeight="1">
      <c r="A738" s="74" t="s">
        <v>22</v>
      </c>
      <c r="B738" s="27" t="s">
        <v>342</v>
      </c>
      <c r="C738" s="183"/>
      <c r="D738" s="74" t="s">
        <v>5</v>
      </c>
      <c r="E738" s="184">
        <v>46263.0</v>
      </c>
      <c r="F738" s="185">
        <v>29.0</v>
      </c>
      <c r="G738" s="185">
        <v>8.0</v>
      </c>
      <c r="H738" s="185">
        <v>2026.0</v>
      </c>
      <c r="I738" s="186">
        <v>8.0</v>
      </c>
      <c r="J738" s="186">
        <v>2026.0</v>
      </c>
      <c r="K738" s="187"/>
      <c r="L738" s="187">
        <v>160.0</v>
      </c>
      <c r="M738" s="27">
        <v>1.0</v>
      </c>
      <c r="N738" s="187">
        <v>160.0</v>
      </c>
      <c r="O738" s="58"/>
      <c r="P738" s="74" t="s">
        <v>20</v>
      </c>
      <c r="Q738" s="74" t="s">
        <v>938</v>
      </c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</row>
    <row r="739" ht="15.75" customHeight="1">
      <c r="A739" s="74" t="s">
        <v>22</v>
      </c>
      <c r="B739" s="27" t="s">
        <v>27</v>
      </c>
      <c r="C739" s="183"/>
      <c r="D739" s="74" t="s">
        <v>2</v>
      </c>
      <c r="E739" s="184">
        <v>46263.0</v>
      </c>
      <c r="F739" s="185">
        <v>29.0</v>
      </c>
      <c r="G739" s="185">
        <v>8.0</v>
      </c>
      <c r="H739" s="185">
        <v>2026.0</v>
      </c>
      <c r="I739" s="186">
        <v>8.0</v>
      </c>
      <c r="J739" s="186">
        <v>2026.0</v>
      </c>
      <c r="K739" s="187"/>
      <c r="L739" s="187">
        <v>6.52</v>
      </c>
      <c r="M739" s="27">
        <v>1.0</v>
      </c>
      <c r="N739" s="187">
        <v>6.52</v>
      </c>
      <c r="O739" s="58"/>
      <c r="P739" s="74"/>
      <c r="Q739" s="74" t="s">
        <v>939</v>
      </c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</row>
    <row r="740" ht="15.75" customHeight="1">
      <c r="A740" s="74" t="s">
        <v>151</v>
      </c>
      <c r="B740" s="27" t="s">
        <v>182</v>
      </c>
      <c r="C740" s="183"/>
      <c r="D740" s="74" t="s">
        <v>245</v>
      </c>
      <c r="E740" s="184">
        <v>46263.0</v>
      </c>
      <c r="F740" s="185">
        <v>29.0</v>
      </c>
      <c r="G740" s="185">
        <v>8.0</v>
      </c>
      <c r="H740" s="185">
        <v>2026.0</v>
      </c>
      <c r="I740" s="186">
        <v>8.0</v>
      </c>
      <c r="J740" s="186">
        <v>2026.0</v>
      </c>
      <c r="K740" s="187"/>
      <c r="L740" s="187">
        <v>4.38</v>
      </c>
      <c r="M740" s="27">
        <v>1.0</v>
      </c>
      <c r="N740" s="187">
        <v>4.38</v>
      </c>
      <c r="O740" s="58"/>
      <c r="P740" s="74"/>
      <c r="Q740" s="74" t="s">
        <v>940</v>
      </c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</row>
    <row r="741" ht="15.75" customHeight="1">
      <c r="A741" s="74" t="s">
        <v>178</v>
      </c>
      <c r="B741" s="27" t="s">
        <v>309</v>
      </c>
      <c r="C741" s="183"/>
      <c r="D741" s="74" t="s">
        <v>2</v>
      </c>
      <c r="E741" s="184">
        <v>46264.0</v>
      </c>
      <c r="F741" s="185">
        <v>30.0</v>
      </c>
      <c r="G741" s="185">
        <v>8.0</v>
      </c>
      <c r="H741" s="185">
        <v>2026.0</v>
      </c>
      <c r="I741" s="186">
        <v>8.0</v>
      </c>
      <c r="J741" s="186">
        <v>2026.0</v>
      </c>
      <c r="K741" s="187"/>
      <c r="L741" s="187">
        <v>1900.0</v>
      </c>
      <c r="M741" s="27">
        <v>1.0</v>
      </c>
      <c r="N741" s="187">
        <v>1900.0</v>
      </c>
      <c r="O741" s="58"/>
      <c r="P741" s="74"/>
      <c r="Q741" s="74" t="s">
        <v>941</v>
      </c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</row>
    <row r="742" ht="15.75" customHeight="1">
      <c r="A742" s="74" t="s">
        <v>178</v>
      </c>
      <c r="B742" s="27" t="s">
        <v>310</v>
      </c>
      <c r="C742" s="183"/>
      <c r="D742" s="74" t="s">
        <v>5</v>
      </c>
      <c r="E742" s="184">
        <v>46264.0</v>
      </c>
      <c r="F742" s="185">
        <v>30.0</v>
      </c>
      <c r="G742" s="185">
        <v>8.0</v>
      </c>
      <c r="H742" s="185">
        <v>2026.0</v>
      </c>
      <c r="I742" s="186">
        <v>8.0</v>
      </c>
      <c r="J742" s="186">
        <v>2026.0</v>
      </c>
      <c r="K742" s="187"/>
      <c r="L742" s="187">
        <v>370.0</v>
      </c>
      <c r="M742" s="27">
        <v>1.0</v>
      </c>
      <c r="N742" s="187">
        <v>370.0</v>
      </c>
      <c r="O742" s="58"/>
      <c r="P742" s="74"/>
      <c r="Q742" s="74" t="s">
        <v>942</v>
      </c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</row>
    <row r="743" ht="15.75" customHeight="1">
      <c r="A743" s="74" t="s">
        <v>178</v>
      </c>
      <c r="B743" s="27" t="s">
        <v>311</v>
      </c>
      <c r="C743" s="183"/>
      <c r="D743" s="74" t="s">
        <v>5</v>
      </c>
      <c r="E743" s="184">
        <v>46264.0</v>
      </c>
      <c r="F743" s="185">
        <v>30.0</v>
      </c>
      <c r="G743" s="185">
        <v>8.0</v>
      </c>
      <c r="H743" s="185">
        <v>2026.0</v>
      </c>
      <c r="I743" s="186">
        <v>8.0</v>
      </c>
      <c r="J743" s="186">
        <v>2026.0</v>
      </c>
      <c r="K743" s="187"/>
      <c r="L743" s="187">
        <v>150.0</v>
      </c>
      <c r="M743" s="27">
        <v>1.0</v>
      </c>
      <c r="N743" s="187">
        <v>150.0</v>
      </c>
      <c r="O743" s="58"/>
      <c r="P743" s="74"/>
      <c r="Q743" s="74" t="s">
        <v>944</v>
      </c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</row>
    <row r="744" ht="15.75" customHeight="1">
      <c r="A744" s="74" t="s">
        <v>178</v>
      </c>
      <c r="B744" s="27" t="s">
        <v>154</v>
      </c>
      <c r="C744" s="183"/>
      <c r="D744" s="74" t="s">
        <v>2</v>
      </c>
      <c r="E744" s="184">
        <v>46265.0</v>
      </c>
      <c r="F744" s="185">
        <v>31.0</v>
      </c>
      <c r="G744" s="185">
        <v>8.0</v>
      </c>
      <c r="H744" s="185">
        <v>2026.0</v>
      </c>
      <c r="I744" s="186">
        <v>8.0</v>
      </c>
      <c r="J744" s="186">
        <v>2026.0</v>
      </c>
      <c r="K744" s="187"/>
      <c r="L744" s="187">
        <v>2410.8</v>
      </c>
      <c r="M744" s="27">
        <v>1.0</v>
      </c>
      <c r="N744" s="187">
        <v>2410.8</v>
      </c>
      <c r="O744" s="58"/>
      <c r="P744" s="74"/>
      <c r="Q744" s="74" t="s">
        <v>945</v>
      </c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</row>
    <row r="745" ht="15.75" customHeight="1">
      <c r="A745" s="74" t="s">
        <v>334</v>
      </c>
      <c r="B745" s="27" t="s">
        <v>34</v>
      </c>
      <c r="C745" s="183"/>
      <c r="D745" s="74" t="s">
        <v>12</v>
      </c>
      <c r="E745" s="184">
        <v>46265.0</v>
      </c>
      <c r="F745" s="185">
        <v>31.0</v>
      </c>
      <c r="G745" s="185">
        <v>8.0</v>
      </c>
      <c r="H745" s="185">
        <v>2026.0</v>
      </c>
      <c r="I745" s="186">
        <v>8.0</v>
      </c>
      <c r="J745" s="186">
        <v>2026.0</v>
      </c>
      <c r="K745" s="187"/>
      <c r="L745" s="187">
        <v>870.0</v>
      </c>
      <c r="M745" s="27">
        <v>1.0</v>
      </c>
      <c r="N745" s="187">
        <v>870.0</v>
      </c>
      <c r="O745" s="58"/>
      <c r="P745" s="74"/>
      <c r="Q745" s="74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</row>
    <row r="746" ht="15.75" customHeight="1">
      <c r="A746" s="74" t="s">
        <v>253</v>
      </c>
      <c r="B746" s="27" t="s">
        <v>222</v>
      </c>
      <c r="C746" s="183"/>
      <c r="D746" s="74" t="s">
        <v>5</v>
      </c>
      <c r="E746" s="184">
        <v>46265.0</v>
      </c>
      <c r="F746" s="185">
        <v>31.0</v>
      </c>
      <c r="G746" s="185">
        <v>8.0</v>
      </c>
      <c r="H746" s="185">
        <v>2026.0</v>
      </c>
      <c r="I746" s="186">
        <v>8.0</v>
      </c>
      <c r="J746" s="186">
        <v>2026.0</v>
      </c>
      <c r="K746" s="187"/>
      <c r="L746" s="187">
        <v>1100.09</v>
      </c>
      <c r="M746" s="27">
        <v>1.0</v>
      </c>
      <c r="N746" s="187">
        <v>1100.09</v>
      </c>
      <c r="O746" s="58"/>
      <c r="P746" s="74"/>
      <c r="Q746" s="74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</row>
    <row r="747" ht="15.75" customHeight="1">
      <c r="A747" s="74" t="s">
        <v>253</v>
      </c>
      <c r="B747" s="27" t="s">
        <v>266</v>
      </c>
      <c r="C747" s="183"/>
      <c r="D747" s="74" t="s">
        <v>245</v>
      </c>
      <c r="E747" s="184">
        <v>46265.0</v>
      </c>
      <c r="F747" s="185">
        <v>31.0</v>
      </c>
      <c r="G747" s="185">
        <v>8.0</v>
      </c>
      <c r="H747" s="185">
        <v>2026.0</v>
      </c>
      <c r="I747" s="186">
        <v>8.0</v>
      </c>
      <c r="J747" s="186">
        <v>2026.0</v>
      </c>
      <c r="K747" s="187"/>
      <c r="L747" s="187">
        <v>1100.09</v>
      </c>
      <c r="M747" s="27">
        <v>1.0</v>
      </c>
      <c r="N747" s="187">
        <v>1100.09</v>
      </c>
      <c r="O747" s="58"/>
      <c r="P747" s="74"/>
      <c r="Q747" s="74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</row>
    <row r="748" ht="15.75" customHeight="1">
      <c r="A748" s="74" t="s">
        <v>253</v>
      </c>
      <c r="B748" s="27" t="s">
        <v>266</v>
      </c>
      <c r="C748" s="183"/>
      <c r="D748" s="74" t="s">
        <v>245</v>
      </c>
      <c r="E748" s="184">
        <v>46265.0</v>
      </c>
      <c r="F748" s="185">
        <v>31.0</v>
      </c>
      <c r="G748" s="185">
        <v>8.0</v>
      </c>
      <c r="H748" s="185">
        <v>2026.0</v>
      </c>
      <c r="I748" s="186">
        <v>8.0</v>
      </c>
      <c r="J748" s="186">
        <v>2026.0</v>
      </c>
      <c r="K748" s="187"/>
      <c r="L748" s="187">
        <v>500.0</v>
      </c>
      <c r="M748" s="27">
        <v>1.0</v>
      </c>
      <c r="N748" s="187">
        <v>500.0</v>
      </c>
      <c r="O748" s="58"/>
      <c r="P748" s="74"/>
      <c r="Q748" s="74" t="s">
        <v>947</v>
      </c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</row>
    <row r="749" ht="15.75" customHeight="1">
      <c r="A749" s="74" t="s">
        <v>156</v>
      </c>
      <c r="B749" s="27" t="s">
        <v>44</v>
      </c>
      <c r="C749" s="183"/>
      <c r="D749" s="74" t="s">
        <v>2</v>
      </c>
      <c r="E749" s="184">
        <v>46265.0</v>
      </c>
      <c r="F749" s="185">
        <v>31.0</v>
      </c>
      <c r="G749" s="185">
        <v>8.0</v>
      </c>
      <c r="H749" s="185">
        <v>2026.0</v>
      </c>
      <c r="I749" s="186">
        <v>8.0</v>
      </c>
      <c r="J749" s="186">
        <v>2026.0</v>
      </c>
      <c r="K749" s="187"/>
      <c r="L749" s="187">
        <v>379.28</v>
      </c>
      <c r="M749" s="27">
        <v>1.0</v>
      </c>
      <c r="N749" s="187">
        <v>379.28</v>
      </c>
      <c r="O749" s="58"/>
      <c r="P749" s="74"/>
      <c r="Q749" s="74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</row>
    <row r="750" ht="15.75" customHeight="1">
      <c r="A750" s="74" t="s">
        <v>178</v>
      </c>
      <c r="B750" s="27" t="s">
        <v>311</v>
      </c>
      <c r="C750" s="183"/>
      <c r="D750" s="74" t="s">
        <v>245</v>
      </c>
      <c r="E750" s="184">
        <v>46265.0</v>
      </c>
      <c r="F750" s="185">
        <v>31.0</v>
      </c>
      <c r="G750" s="185">
        <v>8.0</v>
      </c>
      <c r="H750" s="185">
        <v>2026.0</v>
      </c>
      <c r="I750" s="186">
        <v>8.0</v>
      </c>
      <c r="J750" s="186">
        <v>2026.0</v>
      </c>
      <c r="K750" s="187"/>
      <c r="L750" s="187">
        <v>250.0</v>
      </c>
      <c r="M750" s="27">
        <v>1.0</v>
      </c>
      <c r="N750" s="187">
        <v>250.0</v>
      </c>
      <c r="O750" s="58"/>
      <c r="P750" s="74"/>
      <c r="Q750" s="74" t="s">
        <v>949</v>
      </c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</row>
    <row r="751" ht="15.75" customHeight="1">
      <c r="A751" s="74" t="s">
        <v>167</v>
      </c>
      <c r="B751" s="27" t="s">
        <v>49</v>
      </c>
      <c r="C751" s="183"/>
      <c r="D751" s="74" t="s">
        <v>2</v>
      </c>
      <c r="E751" s="184">
        <v>46265.0</v>
      </c>
      <c r="F751" s="185">
        <v>31.0</v>
      </c>
      <c r="G751" s="185">
        <v>8.0</v>
      </c>
      <c r="H751" s="185">
        <v>2026.0</v>
      </c>
      <c r="I751" s="231">
        <v>9.0</v>
      </c>
      <c r="J751" s="186">
        <v>2026.0</v>
      </c>
      <c r="K751" s="187"/>
      <c r="L751" s="187">
        <v>87.3</v>
      </c>
      <c r="M751" s="27">
        <v>1.0</v>
      </c>
      <c r="N751" s="187">
        <v>87.3</v>
      </c>
      <c r="O751" s="58"/>
      <c r="P751" s="74"/>
      <c r="Q751" s="74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</row>
    <row r="752" ht="15.75" customHeight="1">
      <c r="A752" s="74" t="s">
        <v>22</v>
      </c>
      <c r="B752" s="27" t="s">
        <v>27</v>
      </c>
      <c r="C752" s="183"/>
      <c r="D752" s="74" t="s">
        <v>2</v>
      </c>
      <c r="E752" s="184">
        <v>46265.0</v>
      </c>
      <c r="F752" s="185">
        <v>31.0</v>
      </c>
      <c r="G752" s="185">
        <v>8.0</v>
      </c>
      <c r="H752" s="185">
        <v>2026.0</v>
      </c>
      <c r="I752" s="186">
        <v>8.0</v>
      </c>
      <c r="J752" s="186">
        <v>2026.0</v>
      </c>
      <c r="K752" s="187"/>
      <c r="L752" s="187">
        <v>95.0</v>
      </c>
      <c r="M752" s="27">
        <v>1.0</v>
      </c>
      <c r="N752" s="187">
        <v>95.0</v>
      </c>
      <c r="O752" s="58"/>
      <c r="P752" s="74"/>
      <c r="Q752" s="74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</row>
    <row r="753" ht="15.75" customHeight="1">
      <c r="A753" s="74" t="s">
        <v>253</v>
      </c>
      <c r="B753" s="27" t="s">
        <v>272</v>
      </c>
      <c r="C753" s="183"/>
      <c r="D753" s="74" t="s">
        <v>274</v>
      </c>
      <c r="E753" s="184">
        <v>46266.0</v>
      </c>
      <c r="F753" s="185">
        <f>day(E753)</f>
        <v>1</v>
      </c>
      <c r="G753" s="185">
        <f>MONTH(E753)</f>
        <v>9</v>
      </c>
      <c r="H753" s="185">
        <f>YEAR(E753)</f>
        <v>2026</v>
      </c>
      <c r="I753" s="186">
        <v>9.0</v>
      </c>
      <c r="J753" s="186">
        <v>2026.0</v>
      </c>
      <c r="K753" s="187"/>
      <c r="L753" s="187">
        <v>5000.0</v>
      </c>
      <c r="M753" s="27">
        <v>1.0</v>
      </c>
      <c r="N753" s="187">
        <f>L753*M753</f>
        <v>5000</v>
      </c>
      <c r="O753" s="58"/>
      <c r="P753" s="74" t="s">
        <v>21</v>
      </c>
      <c r="Q753" s="74" t="s">
        <v>331</v>
      </c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</row>
    <row r="754" ht="15.75" customHeight="1">
      <c r="A754" s="74" t="s">
        <v>167</v>
      </c>
      <c r="B754" s="27" t="s">
        <v>32</v>
      </c>
      <c r="C754" s="183"/>
      <c r="D754" s="74" t="s">
        <v>2</v>
      </c>
      <c r="E754" s="184">
        <v>46266.0</v>
      </c>
      <c r="F754" s="185">
        <v>1.0</v>
      </c>
      <c r="G754" s="185">
        <v>9.0</v>
      </c>
      <c r="H754" s="185">
        <v>2026.0</v>
      </c>
      <c r="I754" s="186">
        <v>9.0</v>
      </c>
      <c r="J754" s="186">
        <v>2026.0</v>
      </c>
      <c r="K754" s="187"/>
      <c r="L754" s="187">
        <v>230.0</v>
      </c>
      <c r="M754" s="27">
        <v>1.0</v>
      </c>
      <c r="N754" s="187">
        <v>230.0</v>
      </c>
      <c r="O754" s="58"/>
      <c r="P754" s="74"/>
      <c r="Q754" s="74" t="s">
        <v>951</v>
      </c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</row>
    <row r="755" ht="15.75" customHeight="1">
      <c r="A755" s="74" t="s">
        <v>334</v>
      </c>
      <c r="B755" s="27" t="s">
        <v>34</v>
      </c>
      <c r="C755" s="183"/>
      <c r="D755" s="74" t="s">
        <v>2</v>
      </c>
      <c r="E755" s="184">
        <v>46266.0</v>
      </c>
      <c r="F755" s="185">
        <f>day(E755)</f>
        <v>1</v>
      </c>
      <c r="G755" s="185">
        <f>MONTH(E755)</f>
        <v>9</v>
      </c>
      <c r="H755" s="185">
        <f>YEAR(E755)</f>
        <v>2026</v>
      </c>
      <c r="I755" s="186">
        <v>9.0</v>
      </c>
      <c r="J755" s="186">
        <v>2026.0</v>
      </c>
      <c r="K755" s="187"/>
      <c r="L755" s="187">
        <v>-70.0</v>
      </c>
      <c r="M755" s="27">
        <v>1.0</v>
      </c>
      <c r="N755" s="187">
        <v>-70.0</v>
      </c>
      <c r="O755" s="58"/>
      <c r="P755" s="74" t="s">
        <v>952</v>
      </c>
      <c r="Q755" s="74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</row>
    <row r="756" ht="15.75" customHeight="1">
      <c r="A756" s="74" t="s">
        <v>151</v>
      </c>
      <c r="B756" s="27" t="s">
        <v>137</v>
      </c>
      <c r="C756" s="183"/>
      <c r="D756" s="74" t="s">
        <v>245</v>
      </c>
      <c r="E756" s="184">
        <v>46266.0</v>
      </c>
      <c r="F756" s="185">
        <v>1.0</v>
      </c>
      <c r="G756" s="185">
        <v>9.0</v>
      </c>
      <c r="H756" s="185">
        <v>2026.0</v>
      </c>
      <c r="I756" s="186">
        <v>9.0</v>
      </c>
      <c r="J756" s="186">
        <v>2026.0</v>
      </c>
      <c r="K756" s="187"/>
      <c r="L756" s="187" t="s">
        <v>953</v>
      </c>
      <c r="M756" s="27">
        <v>1.0</v>
      </c>
      <c r="N756" s="187">
        <v>0.5</v>
      </c>
      <c r="O756" s="58"/>
      <c r="P756" s="74" t="s">
        <v>954</v>
      </c>
      <c r="Q756" s="74" t="s">
        <v>955</v>
      </c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</row>
    <row r="757" ht="15.75" customHeight="1">
      <c r="A757" s="74" t="s">
        <v>153</v>
      </c>
      <c r="B757" s="27" t="s">
        <v>925</v>
      </c>
      <c r="C757" s="183"/>
      <c r="D757" s="74" t="s">
        <v>245</v>
      </c>
      <c r="E757" s="184">
        <v>46266.0</v>
      </c>
      <c r="F757" s="185">
        <v>1.0</v>
      </c>
      <c r="G757" s="185">
        <v>9.0</v>
      </c>
      <c r="H757" s="185">
        <v>2026.0</v>
      </c>
      <c r="I757" s="186">
        <v>8.0</v>
      </c>
      <c r="J757" s="186">
        <v>2026.0</v>
      </c>
      <c r="K757" s="187"/>
      <c r="L757" s="187">
        <v>-120.0</v>
      </c>
      <c r="M757" s="27">
        <v>1.0</v>
      </c>
      <c r="N757" s="187">
        <v>-120.0</v>
      </c>
      <c r="O757" s="58"/>
      <c r="P757" s="74"/>
      <c r="Q757" s="74" t="s">
        <v>926</v>
      </c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</row>
    <row r="758" ht="15.75" customHeight="1">
      <c r="A758" s="74" t="s">
        <v>167</v>
      </c>
      <c r="B758" s="27" t="s">
        <v>37</v>
      </c>
      <c r="C758" s="183"/>
      <c r="D758" s="74" t="s">
        <v>2</v>
      </c>
      <c r="E758" s="184">
        <v>46267.0</v>
      </c>
      <c r="F758" s="185">
        <v>2.0</v>
      </c>
      <c r="G758" s="185">
        <v>9.0</v>
      </c>
      <c r="H758" s="185">
        <v>2026.0</v>
      </c>
      <c r="I758" s="186">
        <v>8.0</v>
      </c>
      <c r="J758" s="186">
        <v>2026.0</v>
      </c>
      <c r="K758" s="187"/>
      <c r="L758" s="187" t="s">
        <v>956</v>
      </c>
      <c r="M758" s="27">
        <v>1.0</v>
      </c>
      <c r="N758" s="187">
        <v>64.2</v>
      </c>
      <c r="O758" s="58"/>
      <c r="P758" s="74"/>
      <c r="Q758" s="74" t="s">
        <v>848</v>
      </c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</row>
    <row r="759" ht="15.75" customHeight="1">
      <c r="A759" s="74" t="s">
        <v>151</v>
      </c>
      <c r="B759" s="27" t="s">
        <v>188</v>
      </c>
      <c r="C759" s="183"/>
      <c r="D759" s="74" t="s">
        <v>245</v>
      </c>
      <c r="E759" s="184">
        <v>46267.0</v>
      </c>
      <c r="F759" s="185">
        <v>2.0</v>
      </c>
      <c r="G759" s="185">
        <v>9.0</v>
      </c>
      <c r="H759" s="185">
        <v>2026.0</v>
      </c>
      <c r="I759" s="186">
        <v>9.0</v>
      </c>
      <c r="J759" s="186">
        <v>2026.0</v>
      </c>
      <c r="K759" s="187"/>
      <c r="L759" s="187" t="s">
        <v>957</v>
      </c>
      <c r="M759" s="27">
        <v>6.0</v>
      </c>
      <c r="N759" s="187">
        <v>17.94</v>
      </c>
      <c r="O759" s="58"/>
      <c r="P759" s="74" t="s">
        <v>958</v>
      </c>
      <c r="Q759" s="74" t="s">
        <v>959</v>
      </c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</row>
    <row r="760" ht="15.75" customHeight="1">
      <c r="A760" s="74" t="s">
        <v>151</v>
      </c>
      <c r="B760" s="27" t="s">
        <v>181</v>
      </c>
      <c r="C760" s="183"/>
      <c r="D760" s="74" t="s">
        <v>245</v>
      </c>
      <c r="E760" s="184">
        <v>46267.0</v>
      </c>
      <c r="F760" s="185">
        <v>2.0</v>
      </c>
      <c r="G760" s="185">
        <v>9.0</v>
      </c>
      <c r="H760" s="185">
        <v>2026.0</v>
      </c>
      <c r="I760" s="186">
        <v>9.0</v>
      </c>
      <c r="J760" s="186">
        <v>2026.0</v>
      </c>
      <c r="K760" s="187"/>
      <c r="L760" s="187" t="s">
        <v>961</v>
      </c>
      <c r="M760" s="27">
        <v>10.0</v>
      </c>
      <c r="N760" s="187">
        <v>14.9</v>
      </c>
      <c r="O760" s="58"/>
      <c r="P760" s="74" t="s">
        <v>962</v>
      </c>
      <c r="Q760" s="74" t="s">
        <v>963</v>
      </c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</row>
    <row r="761" ht="15.75" customHeight="1">
      <c r="A761" s="74" t="s">
        <v>22</v>
      </c>
      <c r="B761" s="27" t="s">
        <v>27</v>
      </c>
      <c r="C761" s="183"/>
      <c r="D761" s="74" t="s">
        <v>2</v>
      </c>
      <c r="E761" s="184">
        <v>46267.0</v>
      </c>
      <c r="F761" s="185">
        <v>2.0</v>
      </c>
      <c r="G761" s="185">
        <v>9.0</v>
      </c>
      <c r="H761" s="185">
        <v>2026.0</v>
      </c>
      <c r="I761" s="186">
        <v>9.0</v>
      </c>
      <c r="J761" s="186">
        <v>2026.0</v>
      </c>
      <c r="K761" s="187"/>
      <c r="L761" s="187" t="s">
        <v>964</v>
      </c>
      <c r="M761" s="27">
        <v>1.0</v>
      </c>
      <c r="N761" s="187">
        <v>12.64</v>
      </c>
      <c r="O761" s="58"/>
      <c r="P761" s="74"/>
      <c r="Q761" s="74" t="s">
        <v>965</v>
      </c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</row>
    <row r="762" ht="15.75" customHeight="1">
      <c r="A762" s="74" t="s">
        <v>151</v>
      </c>
      <c r="B762" s="27" t="s">
        <v>185</v>
      </c>
      <c r="C762" s="183"/>
      <c r="D762" s="74" t="s">
        <v>245</v>
      </c>
      <c r="E762" s="184">
        <v>46267.0</v>
      </c>
      <c r="F762" s="185">
        <v>2.0</v>
      </c>
      <c r="G762" s="185">
        <v>9.0</v>
      </c>
      <c r="H762" s="185">
        <v>2026.0</v>
      </c>
      <c r="I762" s="186">
        <v>9.0</v>
      </c>
      <c r="J762" s="186">
        <v>2026.0</v>
      </c>
      <c r="K762" s="187"/>
      <c r="L762" s="187" t="s">
        <v>966</v>
      </c>
      <c r="M762" s="27">
        <v>3.0</v>
      </c>
      <c r="N762" s="187">
        <v>2.82</v>
      </c>
      <c r="O762" s="58"/>
      <c r="P762" s="74" t="s">
        <v>962</v>
      </c>
      <c r="Q762" s="74" t="s">
        <v>963</v>
      </c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</row>
    <row r="763" ht="15.75" customHeight="1">
      <c r="A763" s="74" t="s">
        <v>253</v>
      </c>
      <c r="B763" s="27" t="s">
        <v>266</v>
      </c>
      <c r="C763" s="183"/>
      <c r="D763" s="74" t="s">
        <v>245</v>
      </c>
      <c r="E763" s="184">
        <v>46268.0</v>
      </c>
      <c r="F763" s="185">
        <v>3.0</v>
      </c>
      <c r="G763" s="185">
        <v>9.0</v>
      </c>
      <c r="H763" s="185">
        <v>2026.0</v>
      </c>
      <c r="I763" s="186">
        <v>9.0</v>
      </c>
      <c r="J763" s="186">
        <v>2026.0</v>
      </c>
      <c r="K763" s="187"/>
      <c r="L763" s="187">
        <v>500.0</v>
      </c>
      <c r="M763" s="27">
        <v>1.0</v>
      </c>
      <c r="N763" s="187">
        <v>500.0</v>
      </c>
      <c r="O763" s="58"/>
      <c r="P763" s="74" t="s">
        <v>967</v>
      </c>
      <c r="Q763" s="74" t="s">
        <v>968</v>
      </c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</row>
    <row r="764" ht="15.75" customHeight="1">
      <c r="A764" s="74" t="s">
        <v>164</v>
      </c>
      <c r="B764" s="27" t="s">
        <v>270</v>
      </c>
      <c r="C764" s="183"/>
      <c r="D764" s="74" t="s">
        <v>2</v>
      </c>
      <c r="E764" s="184">
        <v>46268.0</v>
      </c>
      <c r="F764" s="185">
        <v>3.0</v>
      </c>
      <c r="G764" s="185">
        <v>9.0</v>
      </c>
      <c r="H764" s="185">
        <v>2026.0</v>
      </c>
      <c r="I764" s="186">
        <v>9.0</v>
      </c>
      <c r="J764" s="186">
        <v>2026.0</v>
      </c>
      <c r="K764" s="187"/>
      <c r="L764" s="187" t="s">
        <v>969</v>
      </c>
      <c r="M764" s="27">
        <v>1.0</v>
      </c>
      <c r="N764" s="187">
        <v>30.78</v>
      </c>
      <c r="O764" s="58"/>
      <c r="P764" s="74"/>
      <c r="Q764" s="74" t="s">
        <v>970</v>
      </c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</row>
    <row r="765" ht="15.75" customHeight="1">
      <c r="A765" s="74" t="s">
        <v>617</v>
      </c>
      <c r="B765" s="27" t="s">
        <v>776</v>
      </c>
      <c r="C765" s="183"/>
      <c r="D765" s="74" t="s">
        <v>245</v>
      </c>
      <c r="E765" s="184">
        <v>46268.0</v>
      </c>
      <c r="F765" s="185">
        <v>3.0</v>
      </c>
      <c r="G765" s="185">
        <v>9.0</v>
      </c>
      <c r="H765" s="185">
        <v>2026.0</v>
      </c>
      <c r="I765" s="186">
        <v>9.0</v>
      </c>
      <c r="J765" s="186">
        <v>2026.0</v>
      </c>
      <c r="K765" s="187"/>
      <c r="L765" s="187">
        <v>1.0</v>
      </c>
      <c r="M765" s="27">
        <v>16.0</v>
      </c>
      <c r="N765" s="187">
        <v>16.0</v>
      </c>
      <c r="O765" s="58"/>
      <c r="P765" s="74" t="s">
        <v>971</v>
      </c>
      <c r="Q765" s="74" t="s">
        <v>972</v>
      </c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</row>
    <row r="766" ht="15.75" customHeight="1">
      <c r="A766" s="74" t="s">
        <v>253</v>
      </c>
      <c r="B766" s="27" t="s">
        <v>266</v>
      </c>
      <c r="C766" s="183"/>
      <c r="D766" s="74" t="s">
        <v>245</v>
      </c>
      <c r="E766" s="184">
        <v>46269.0</v>
      </c>
      <c r="F766" s="185">
        <v>4.0</v>
      </c>
      <c r="G766" s="185">
        <v>9.0</v>
      </c>
      <c r="H766" s="185">
        <v>2026.0</v>
      </c>
      <c r="I766" s="186">
        <v>9.0</v>
      </c>
      <c r="J766" s="186">
        <v>2026.0</v>
      </c>
      <c r="K766" s="187"/>
      <c r="L766" s="187">
        <v>500.0</v>
      </c>
      <c r="M766" s="27">
        <v>1.0</v>
      </c>
      <c r="N766" s="187">
        <v>500.0</v>
      </c>
      <c r="O766" s="58"/>
      <c r="P766" s="74" t="s">
        <v>967</v>
      </c>
      <c r="Q766" s="74" t="s">
        <v>973</v>
      </c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</row>
    <row r="767" ht="15.75" customHeight="1">
      <c r="A767" s="74" t="s">
        <v>151</v>
      </c>
      <c r="B767" s="27" t="s">
        <v>184</v>
      </c>
      <c r="C767" s="183"/>
      <c r="D767" s="74" t="s">
        <v>245</v>
      </c>
      <c r="E767" s="184">
        <v>46269.0</v>
      </c>
      <c r="F767" s="185">
        <v>4.0</v>
      </c>
      <c r="G767" s="185">
        <v>9.0</v>
      </c>
      <c r="H767" s="185">
        <v>2026.0</v>
      </c>
      <c r="I767" s="186">
        <v>9.0</v>
      </c>
      <c r="J767" s="186">
        <v>2026.0</v>
      </c>
      <c r="K767" s="187"/>
      <c r="L767" s="187" t="s">
        <v>975</v>
      </c>
      <c r="M767" s="27">
        <v>21.0</v>
      </c>
      <c r="N767" s="187">
        <v>34.65</v>
      </c>
      <c r="O767" s="58"/>
      <c r="P767" s="74" t="s">
        <v>427</v>
      </c>
      <c r="Q767" s="74" t="s">
        <v>976</v>
      </c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</row>
    <row r="768" ht="15.75" customHeight="1">
      <c r="A768" s="74" t="s">
        <v>154</v>
      </c>
      <c r="B768" s="27" t="s">
        <v>231</v>
      </c>
      <c r="C768" s="183"/>
      <c r="D768" s="74" t="s">
        <v>245</v>
      </c>
      <c r="E768" s="184">
        <v>46269.0</v>
      </c>
      <c r="F768" s="185">
        <v>4.0</v>
      </c>
      <c r="G768" s="185">
        <v>9.0</v>
      </c>
      <c r="H768" s="185">
        <v>2026.0</v>
      </c>
      <c r="I768" s="186">
        <v>9.0</v>
      </c>
      <c r="J768" s="186">
        <v>2026.0</v>
      </c>
      <c r="K768" s="187"/>
      <c r="L768" s="187" t="s">
        <v>977</v>
      </c>
      <c r="M768" s="27">
        <v>1.0</v>
      </c>
      <c r="N768" s="187">
        <v>27.19</v>
      </c>
      <c r="O768" s="58"/>
      <c r="P768" s="74" t="s">
        <v>978</v>
      </c>
      <c r="Q768" s="74" t="s">
        <v>979</v>
      </c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</row>
    <row r="769" ht="15.75" customHeight="1">
      <c r="A769" s="74" t="s">
        <v>151</v>
      </c>
      <c r="B769" s="27" t="s">
        <v>184</v>
      </c>
      <c r="C769" s="183"/>
      <c r="D769" s="74" t="s">
        <v>245</v>
      </c>
      <c r="E769" s="184">
        <v>46269.0</v>
      </c>
      <c r="F769" s="185">
        <v>4.0</v>
      </c>
      <c r="G769" s="185">
        <v>9.0</v>
      </c>
      <c r="H769" s="185">
        <v>2026.0</v>
      </c>
      <c r="I769" s="186">
        <v>9.0</v>
      </c>
      <c r="J769" s="186">
        <v>2026.0</v>
      </c>
      <c r="K769" s="187"/>
      <c r="L769" s="187" t="s">
        <v>980</v>
      </c>
      <c r="M769" s="27">
        <v>12.0</v>
      </c>
      <c r="N769" s="187">
        <v>23.88</v>
      </c>
      <c r="O769" s="58"/>
      <c r="P769" s="74" t="s">
        <v>427</v>
      </c>
      <c r="Q769" s="74" t="s">
        <v>976</v>
      </c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</row>
    <row r="770" ht="15.75" customHeight="1">
      <c r="A770" s="74" t="s">
        <v>151</v>
      </c>
      <c r="B770" s="27" t="s">
        <v>185</v>
      </c>
      <c r="C770" s="183"/>
      <c r="D770" s="74" t="s">
        <v>245</v>
      </c>
      <c r="E770" s="184">
        <v>46269.0</v>
      </c>
      <c r="F770" s="185">
        <v>4.0</v>
      </c>
      <c r="G770" s="185">
        <v>9.0</v>
      </c>
      <c r="H770" s="185">
        <v>2026.0</v>
      </c>
      <c r="I770" s="186">
        <v>9.0</v>
      </c>
      <c r="J770" s="186">
        <v>2026.0</v>
      </c>
      <c r="K770" s="187"/>
      <c r="L770" s="187" t="s">
        <v>982</v>
      </c>
      <c r="M770" s="27">
        <v>24.0</v>
      </c>
      <c r="N770" s="187">
        <v>18.96</v>
      </c>
      <c r="O770" s="58"/>
      <c r="P770" s="74" t="s">
        <v>427</v>
      </c>
      <c r="Q770" s="74" t="s">
        <v>976</v>
      </c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</row>
    <row r="771" ht="15.75" customHeight="1">
      <c r="A771" s="74" t="s">
        <v>154</v>
      </c>
      <c r="B771" s="27" t="s">
        <v>241</v>
      </c>
      <c r="C771" s="183"/>
      <c r="D771" s="74" t="s">
        <v>245</v>
      </c>
      <c r="E771" s="184">
        <v>46269.0</v>
      </c>
      <c r="F771" s="185">
        <v>4.0</v>
      </c>
      <c r="G771" s="185">
        <v>9.0</v>
      </c>
      <c r="H771" s="185">
        <v>2026.0</v>
      </c>
      <c r="I771" s="186">
        <v>9.0</v>
      </c>
      <c r="J771" s="186">
        <v>2026.0</v>
      </c>
      <c r="K771" s="187"/>
      <c r="L771" s="187" t="s">
        <v>983</v>
      </c>
      <c r="M771" s="27">
        <v>6.0</v>
      </c>
      <c r="N771" s="187">
        <v>10.74</v>
      </c>
      <c r="O771" s="58"/>
      <c r="P771" s="74" t="s">
        <v>427</v>
      </c>
      <c r="Q771" s="74" t="s">
        <v>976</v>
      </c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</row>
    <row r="772" ht="15.75" customHeight="1">
      <c r="A772" s="74" t="s">
        <v>151</v>
      </c>
      <c r="B772" s="27" t="s">
        <v>173</v>
      </c>
      <c r="C772" s="183"/>
      <c r="D772" s="74" t="s">
        <v>245</v>
      </c>
      <c r="E772" s="184">
        <v>46269.0</v>
      </c>
      <c r="F772" s="185">
        <v>4.0</v>
      </c>
      <c r="G772" s="185">
        <v>9.0</v>
      </c>
      <c r="H772" s="185">
        <v>2026.0</v>
      </c>
      <c r="I772" s="186">
        <v>9.0</v>
      </c>
      <c r="J772" s="186">
        <v>2026.0</v>
      </c>
      <c r="K772" s="187"/>
      <c r="L772" s="187" t="s">
        <v>957</v>
      </c>
      <c r="M772" s="27">
        <v>3.0</v>
      </c>
      <c r="N772" s="187">
        <v>8.97</v>
      </c>
      <c r="O772" s="58"/>
      <c r="P772" s="74" t="s">
        <v>427</v>
      </c>
      <c r="Q772" s="74" t="s">
        <v>976</v>
      </c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</row>
    <row r="773" ht="15.75" customHeight="1">
      <c r="A773" s="74" t="s">
        <v>154</v>
      </c>
      <c r="B773" s="27" t="s">
        <v>241</v>
      </c>
      <c r="C773" s="183"/>
      <c r="D773" s="74" t="s">
        <v>245</v>
      </c>
      <c r="E773" s="184">
        <v>46269.0</v>
      </c>
      <c r="F773" s="185">
        <v>4.0</v>
      </c>
      <c r="G773" s="185">
        <v>9.0</v>
      </c>
      <c r="H773" s="185">
        <v>2026.0</v>
      </c>
      <c r="I773" s="186">
        <v>9.0</v>
      </c>
      <c r="J773" s="186">
        <v>2026.0</v>
      </c>
      <c r="K773" s="187"/>
      <c r="L773" s="187" t="s">
        <v>983</v>
      </c>
      <c r="M773" s="27">
        <v>5.0</v>
      </c>
      <c r="N773" s="187">
        <v>8.95</v>
      </c>
      <c r="O773" s="58"/>
      <c r="P773" s="74" t="s">
        <v>427</v>
      </c>
      <c r="Q773" s="74" t="s">
        <v>976</v>
      </c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</row>
    <row r="774" ht="15.75" customHeight="1">
      <c r="A774" s="74" t="s">
        <v>253</v>
      </c>
      <c r="B774" s="27" t="s">
        <v>266</v>
      </c>
      <c r="C774" s="183"/>
      <c r="D774" s="74" t="s">
        <v>245</v>
      </c>
      <c r="E774" s="184">
        <v>46270.0</v>
      </c>
      <c r="F774" s="185">
        <v>5.0</v>
      </c>
      <c r="G774" s="185">
        <v>9.0</v>
      </c>
      <c r="H774" s="185">
        <v>2026.0</v>
      </c>
      <c r="I774" s="186">
        <v>9.0</v>
      </c>
      <c r="J774" s="186">
        <v>2026.0</v>
      </c>
      <c r="K774" s="187"/>
      <c r="L774" s="187">
        <v>500.0</v>
      </c>
      <c r="M774" s="27">
        <v>1.0</v>
      </c>
      <c r="N774" s="187">
        <v>500.0</v>
      </c>
      <c r="O774" s="58"/>
      <c r="P774" s="74" t="s">
        <v>967</v>
      </c>
      <c r="Q774" s="74" t="s">
        <v>985</v>
      </c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</row>
    <row r="775" ht="15.75" customHeight="1">
      <c r="A775" s="74" t="s">
        <v>22</v>
      </c>
      <c r="B775" s="27" t="s">
        <v>342</v>
      </c>
      <c r="C775" s="183"/>
      <c r="D775" s="74" t="s">
        <v>5</v>
      </c>
      <c r="E775" s="184">
        <v>46270.0</v>
      </c>
      <c r="F775" s="185">
        <v>5.0</v>
      </c>
      <c r="G775" s="185">
        <v>9.0</v>
      </c>
      <c r="H775" s="185">
        <v>2026.0</v>
      </c>
      <c r="I775" s="186">
        <v>9.0</v>
      </c>
      <c r="J775" s="186">
        <v>2026.0</v>
      </c>
      <c r="K775" s="187"/>
      <c r="L775" s="187">
        <v>90.0</v>
      </c>
      <c r="M775" s="27">
        <v>1.0</v>
      </c>
      <c r="N775" s="187">
        <v>90.0</v>
      </c>
      <c r="O775" s="58"/>
      <c r="P775" s="74" t="s">
        <v>20</v>
      </c>
      <c r="Q775" s="74" t="s">
        <v>358</v>
      </c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</row>
    <row r="776" ht="15.75" customHeight="1">
      <c r="A776" s="74" t="s">
        <v>178</v>
      </c>
      <c r="B776" s="27" t="s">
        <v>310</v>
      </c>
      <c r="C776" s="183"/>
      <c r="D776" s="74" t="s">
        <v>245</v>
      </c>
      <c r="E776" s="184">
        <v>46271.0</v>
      </c>
      <c r="F776" s="185">
        <v>6.0</v>
      </c>
      <c r="G776" s="185">
        <v>9.0</v>
      </c>
      <c r="H776" s="185">
        <v>2026.0</v>
      </c>
      <c r="I776" s="186">
        <v>9.0</v>
      </c>
      <c r="J776" s="186">
        <v>2026.0</v>
      </c>
      <c r="K776" s="187"/>
      <c r="L776" s="187">
        <v>370.0</v>
      </c>
      <c r="M776" s="27">
        <v>1.0</v>
      </c>
      <c r="N776" s="187">
        <v>370.0</v>
      </c>
      <c r="O776" s="58"/>
      <c r="P776" s="74" t="s">
        <v>178</v>
      </c>
      <c r="Q776" s="74" t="s">
        <v>987</v>
      </c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</row>
    <row r="777" ht="15.75" customHeight="1">
      <c r="A777" s="74" t="s">
        <v>178</v>
      </c>
      <c r="B777" s="27" t="s">
        <v>311</v>
      </c>
      <c r="C777" s="183"/>
      <c r="D777" s="74" t="s">
        <v>245</v>
      </c>
      <c r="E777" s="184">
        <v>46271.0</v>
      </c>
      <c r="F777" s="185">
        <v>6.0</v>
      </c>
      <c r="G777" s="185">
        <v>9.0</v>
      </c>
      <c r="H777" s="185">
        <v>2026.0</v>
      </c>
      <c r="I777" s="186">
        <v>9.0</v>
      </c>
      <c r="J777" s="186">
        <v>2026.0</v>
      </c>
      <c r="K777" s="187"/>
      <c r="L777" s="187">
        <v>75.0</v>
      </c>
      <c r="M777" s="27">
        <v>1.0</v>
      </c>
      <c r="N777" s="187">
        <v>75.0</v>
      </c>
      <c r="O777" s="58"/>
      <c r="P777" s="74" t="s">
        <v>178</v>
      </c>
      <c r="Q777" s="74" t="s">
        <v>988</v>
      </c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</row>
    <row r="778" ht="15.75" customHeight="1">
      <c r="A778" s="74" t="s">
        <v>160</v>
      </c>
      <c r="B778" s="27" t="s">
        <v>261</v>
      </c>
      <c r="C778" s="183"/>
      <c r="D778" s="74" t="s">
        <v>2</v>
      </c>
      <c r="E778" s="184">
        <v>46272.0</v>
      </c>
      <c r="F778" s="185">
        <v>7.0</v>
      </c>
      <c r="G778" s="185">
        <v>9.0</v>
      </c>
      <c r="H778" s="185">
        <v>2026.0</v>
      </c>
      <c r="I778" s="186">
        <v>9.0</v>
      </c>
      <c r="J778" s="186">
        <v>2026.0</v>
      </c>
      <c r="K778" s="187"/>
      <c r="L778" s="187" t="s">
        <v>990</v>
      </c>
      <c r="M778" s="27">
        <v>1.0</v>
      </c>
      <c r="N778" s="187">
        <v>246.04</v>
      </c>
      <c r="O778" s="58"/>
      <c r="P778" s="74"/>
      <c r="Q778" s="74" t="s">
        <v>991</v>
      </c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</row>
    <row r="779" ht="15.75" customHeight="1">
      <c r="A779" s="74" t="s">
        <v>178</v>
      </c>
      <c r="B779" s="27" t="s">
        <v>309</v>
      </c>
      <c r="C779" s="183"/>
      <c r="D779" s="74" t="s">
        <v>2</v>
      </c>
      <c r="E779" s="184">
        <v>46272.0</v>
      </c>
      <c r="F779" s="185">
        <v>7.0</v>
      </c>
      <c r="G779" s="185">
        <v>9.0</v>
      </c>
      <c r="H779" s="185">
        <v>2026.0</v>
      </c>
      <c r="I779" s="186">
        <v>9.0</v>
      </c>
      <c r="J779" s="186">
        <v>2026.0</v>
      </c>
      <c r="K779" s="187"/>
      <c r="L779" s="187">
        <v>174.0</v>
      </c>
      <c r="M779" s="27">
        <v>1.0</v>
      </c>
      <c r="N779" s="187">
        <v>174.0</v>
      </c>
      <c r="O779" s="58"/>
      <c r="P779" s="74" t="s">
        <v>994</v>
      </c>
      <c r="Q779" s="74" t="s">
        <v>995</v>
      </c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</row>
    <row r="780" ht="15.75" customHeight="1">
      <c r="A780" s="74" t="s">
        <v>178</v>
      </c>
      <c r="B780" s="27" t="s">
        <v>309</v>
      </c>
      <c r="C780" s="183"/>
      <c r="D780" s="74" t="s">
        <v>2</v>
      </c>
      <c r="E780" s="184">
        <v>46272.0</v>
      </c>
      <c r="F780" s="185">
        <v>7.0</v>
      </c>
      <c r="G780" s="185">
        <v>9.0</v>
      </c>
      <c r="H780" s="185">
        <v>2026.0</v>
      </c>
      <c r="I780" s="186">
        <v>9.0</v>
      </c>
      <c r="J780" s="186">
        <v>2026.0</v>
      </c>
      <c r="K780" s="187"/>
      <c r="L780" s="187">
        <v>1.0</v>
      </c>
      <c r="M780" s="27">
        <v>1.0</v>
      </c>
      <c r="N780" s="187">
        <v>1.0</v>
      </c>
      <c r="O780" s="58"/>
      <c r="P780" s="74"/>
      <c r="Q780" s="74" t="s">
        <v>815</v>
      </c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</row>
    <row r="781" ht="15.75" customHeight="1">
      <c r="A781" s="74" t="s">
        <v>528</v>
      </c>
      <c r="B781" s="27" t="s">
        <v>145</v>
      </c>
      <c r="C781" s="183"/>
      <c r="D781" s="74" t="s">
        <v>245</v>
      </c>
      <c r="E781" s="184">
        <v>46273.0</v>
      </c>
      <c r="F781" s="185">
        <v>8.0</v>
      </c>
      <c r="G781" s="185">
        <v>9.0</v>
      </c>
      <c r="H781" s="185">
        <v>2026.0</v>
      </c>
      <c r="I781" s="186">
        <v>9.0</v>
      </c>
      <c r="J781" s="186">
        <v>2026.0</v>
      </c>
      <c r="K781" s="187"/>
      <c r="L781" s="187" t="s">
        <v>996</v>
      </c>
      <c r="M781" s="27">
        <v>32.0</v>
      </c>
      <c r="N781" s="187">
        <v>89.28</v>
      </c>
      <c r="O781" s="58"/>
      <c r="P781" s="74" t="s">
        <v>997</v>
      </c>
      <c r="Q781" s="74" t="s">
        <v>998</v>
      </c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</row>
    <row r="782" ht="15.75" customHeight="1">
      <c r="A782" s="74" t="s">
        <v>151</v>
      </c>
      <c r="B782" s="27" t="s">
        <v>185</v>
      </c>
      <c r="C782" s="183"/>
      <c r="D782" s="74" t="s">
        <v>245</v>
      </c>
      <c r="E782" s="184">
        <v>46273.0</v>
      </c>
      <c r="F782" s="185">
        <v>8.0</v>
      </c>
      <c r="G782" s="185">
        <v>9.0</v>
      </c>
      <c r="H782" s="185">
        <v>2026.0</v>
      </c>
      <c r="I782" s="186">
        <v>9.0</v>
      </c>
      <c r="J782" s="186">
        <v>2026.0</v>
      </c>
      <c r="K782" s="187"/>
      <c r="L782" s="187" t="s">
        <v>999</v>
      </c>
      <c r="M782" s="27">
        <v>48.0</v>
      </c>
      <c r="N782" s="187">
        <v>41.28</v>
      </c>
      <c r="O782" s="58"/>
      <c r="P782" s="74" t="s">
        <v>997</v>
      </c>
      <c r="Q782" s="74" t="s">
        <v>998</v>
      </c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</row>
    <row r="783" ht="15.75" customHeight="1">
      <c r="A783" s="74" t="s">
        <v>151</v>
      </c>
      <c r="B783" s="27" t="s">
        <v>186</v>
      </c>
      <c r="C783" s="183"/>
      <c r="D783" s="74" t="s">
        <v>245</v>
      </c>
      <c r="E783" s="184">
        <v>46273.0</v>
      </c>
      <c r="F783" s="185">
        <v>8.0</v>
      </c>
      <c r="G783" s="185">
        <v>9.0</v>
      </c>
      <c r="H783" s="185">
        <v>2026.0</v>
      </c>
      <c r="I783" s="186">
        <v>9.0</v>
      </c>
      <c r="J783" s="186">
        <v>2026.0</v>
      </c>
      <c r="K783" s="187"/>
      <c r="L783" s="187" t="s">
        <v>1000</v>
      </c>
      <c r="M783" s="27">
        <v>10.0</v>
      </c>
      <c r="N783" s="187">
        <v>34.9</v>
      </c>
      <c r="O783" s="58"/>
      <c r="P783" s="74" t="s">
        <v>997</v>
      </c>
      <c r="Q783" s="74" t="s">
        <v>998</v>
      </c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</row>
    <row r="784" ht="15.75" customHeight="1">
      <c r="A784" s="74" t="s">
        <v>617</v>
      </c>
      <c r="B784" s="27" t="s">
        <v>770</v>
      </c>
      <c r="C784" s="183"/>
      <c r="D784" s="74" t="s">
        <v>2</v>
      </c>
      <c r="E784" s="184">
        <v>46273.0</v>
      </c>
      <c r="F784" s="185">
        <v>8.0</v>
      </c>
      <c r="G784" s="185">
        <v>9.0</v>
      </c>
      <c r="H784" s="185">
        <v>2026.0</v>
      </c>
      <c r="I784" s="186">
        <v>9.0</v>
      </c>
      <c r="J784" s="186">
        <v>2026.0</v>
      </c>
      <c r="K784" s="187"/>
      <c r="L784" s="187">
        <v>46275.0</v>
      </c>
      <c r="M784" s="27">
        <v>1.0</v>
      </c>
      <c r="N784" s="187">
        <v>10.9</v>
      </c>
      <c r="O784" s="58"/>
      <c r="P784" s="74"/>
      <c r="Q784" s="74" t="s">
        <v>1001</v>
      </c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</row>
    <row r="785" ht="15.75" customHeight="1">
      <c r="A785" s="74" t="s">
        <v>108</v>
      </c>
      <c r="B785" s="27" t="s">
        <v>108</v>
      </c>
      <c r="C785" s="183"/>
      <c r="D785" s="74" t="s">
        <v>245</v>
      </c>
      <c r="E785" s="184">
        <v>46273.0</v>
      </c>
      <c r="F785" s="185">
        <v>8.0</v>
      </c>
      <c r="G785" s="185">
        <v>9.0</v>
      </c>
      <c r="H785" s="185">
        <v>2026.0</v>
      </c>
      <c r="I785" s="186">
        <v>9.0</v>
      </c>
      <c r="J785" s="186">
        <v>2026.0</v>
      </c>
      <c r="K785" s="187"/>
      <c r="L785" s="187">
        <v>8.0</v>
      </c>
      <c r="M785" s="27">
        <v>1.0</v>
      </c>
      <c r="N785" s="187">
        <v>8.0</v>
      </c>
      <c r="O785" s="58"/>
      <c r="P785" s="74" t="s">
        <v>1002</v>
      </c>
      <c r="Q785" s="74" t="s">
        <v>1003</v>
      </c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</row>
    <row r="786" ht="15.75" customHeight="1">
      <c r="A786" s="74" t="s">
        <v>22</v>
      </c>
      <c r="B786" s="27" t="s">
        <v>27</v>
      </c>
      <c r="C786" s="183"/>
      <c r="D786" s="74" t="s">
        <v>2</v>
      </c>
      <c r="E786" s="184">
        <v>46273.0</v>
      </c>
      <c r="F786" s="185">
        <v>8.0</v>
      </c>
      <c r="G786" s="185">
        <v>9.0</v>
      </c>
      <c r="H786" s="185">
        <v>2026.0</v>
      </c>
      <c r="I786" s="186">
        <v>9.0</v>
      </c>
      <c r="J786" s="186">
        <v>2026.0</v>
      </c>
      <c r="K786" s="187"/>
      <c r="L786" s="187">
        <v>7.0</v>
      </c>
      <c r="M786" s="27">
        <v>1.0</v>
      </c>
      <c r="N786" s="187">
        <v>7.0</v>
      </c>
      <c r="O786" s="58"/>
      <c r="P786" s="74"/>
      <c r="Q786" s="74" t="s">
        <v>377</v>
      </c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</row>
    <row r="787" ht="15.75" customHeight="1">
      <c r="A787" s="74" t="s">
        <v>136</v>
      </c>
      <c r="B787" s="27" t="s">
        <v>38</v>
      </c>
      <c r="C787" s="183"/>
      <c r="D787" s="74" t="s">
        <v>2</v>
      </c>
      <c r="E787" s="184">
        <v>46273.0</v>
      </c>
      <c r="F787" s="185">
        <v>8.0</v>
      </c>
      <c r="G787" s="185">
        <v>9.0</v>
      </c>
      <c r="H787" s="185">
        <v>2026.0</v>
      </c>
      <c r="I787" s="186">
        <v>9.0</v>
      </c>
      <c r="J787" s="186">
        <v>2026.0</v>
      </c>
      <c r="K787" s="187"/>
      <c r="L787" s="187" t="s">
        <v>1005</v>
      </c>
      <c r="M787" s="27">
        <v>1.0</v>
      </c>
      <c r="N787" s="187">
        <v>5.19</v>
      </c>
      <c r="O787" s="58"/>
      <c r="P787" s="74"/>
      <c r="Q787" s="74" t="s">
        <v>1007</v>
      </c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</row>
    <row r="788" ht="15.75" customHeight="1">
      <c r="A788" s="74" t="s">
        <v>151</v>
      </c>
      <c r="B788" s="27" t="s">
        <v>182</v>
      </c>
      <c r="C788" s="183"/>
      <c r="D788" s="74" t="s">
        <v>245</v>
      </c>
      <c r="E788" s="184">
        <v>46273.0</v>
      </c>
      <c r="F788" s="185">
        <v>8.0</v>
      </c>
      <c r="G788" s="185">
        <v>9.0</v>
      </c>
      <c r="H788" s="185">
        <v>2026.0</v>
      </c>
      <c r="I788" s="186">
        <v>9.0</v>
      </c>
      <c r="J788" s="186">
        <v>2026.0</v>
      </c>
      <c r="K788" s="187"/>
      <c r="L788" s="187" t="s">
        <v>1008</v>
      </c>
      <c r="M788" s="27">
        <v>1.0</v>
      </c>
      <c r="N788" s="187">
        <v>1.93</v>
      </c>
      <c r="O788" s="58"/>
      <c r="P788" s="74" t="s">
        <v>1009</v>
      </c>
      <c r="Q788" s="74" t="s">
        <v>1010</v>
      </c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</row>
    <row r="789" ht="15.75" customHeight="1">
      <c r="A789" s="74" t="s">
        <v>334</v>
      </c>
      <c r="B789" s="27" t="s">
        <v>501</v>
      </c>
      <c r="C789" s="183"/>
      <c r="D789" s="74" t="s">
        <v>2</v>
      </c>
      <c r="E789" s="184">
        <v>46273.0</v>
      </c>
      <c r="F789" s="185">
        <v>8.0</v>
      </c>
      <c r="G789" s="185">
        <v>9.0</v>
      </c>
      <c r="H789" s="185">
        <v>2026.0</v>
      </c>
      <c r="I789" s="186">
        <v>9.0</v>
      </c>
      <c r="J789" s="186">
        <v>2026.0</v>
      </c>
      <c r="K789" s="187"/>
      <c r="L789" s="187">
        <v>1150.0</v>
      </c>
      <c r="M789" s="27">
        <v>1.0</v>
      </c>
      <c r="N789" s="187">
        <v>1150.0</v>
      </c>
      <c r="O789" s="58"/>
      <c r="P789" s="74"/>
      <c r="Q789" s="74" t="s">
        <v>1011</v>
      </c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</row>
    <row r="790" ht="15.75" customHeight="1">
      <c r="A790" s="74" t="s">
        <v>253</v>
      </c>
      <c r="B790" s="27" t="s">
        <v>266</v>
      </c>
      <c r="C790" s="183"/>
      <c r="D790" s="74" t="s">
        <v>245</v>
      </c>
      <c r="E790" s="184">
        <v>46274.0</v>
      </c>
      <c r="F790" s="185">
        <v>9.0</v>
      </c>
      <c r="G790" s="185">
        <v>9.0</v>
      </c>
      <c r="H790" s="185">
        <v>2026.0</v>
      </c>
      <c r="I790" s="186">
        <v>9.0</v>
      </c>
      <c r="J790" s="186">
        <v>2026.0</v>
      </c>
      <c r="K790" s="187"/>
      <c r="L790" s="187">
        <v>500.0</v>
      </c>
      <c r="M790" s="27">
        <v>1.0</v>
      </c>
      <c r="N790" s="187">
        <v>500.0</v>
      </c>
      <c r="O790" s="58"/>
      <c r="P790" s="74" t="s">
        <v>1012</v>
      </c>
      <c r="Q790" s="74" t="s">
        <v>1013</v>
      </c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</row>
    <row r="791" ht="15.75" customHeight="1">
      <c r="A791" s="74" t="s">
        <v>160</v>
      </c>
      <c r="B791" s="27" t="s">
        <v>264</v>
      </c>
      <c r="C791" s="183"/>
      <c r="D791" s="74" t="s">
        <v>2</v>
      </c>
      <c r="E791" s="184">
        <v>46274.0</v>
      </c>
      <c r="F791" s="185">
        <v>9.0</v>
      </c>
      <c r="G791" s="185">
        <v>9.0</v>
      </c>
      <c r="H791" s="185">
        <v>2026.0</v>
      </c>
      <c r="I791" s="186">
        <v>9.0</v>
      </c>
      <c r="J791" s="186">
        <v>2026.0</v>
      </c>
      <c r="K791" s="187"/>
      <c r="L791" s="187" t="s">
        <v>1015</v>
      </c>
      <c r="M791" s="27">
        <v>1.0</v>
      </c>
      <c r="N791" s="187">
        <v>191.99</v>
      </c>
      <c r="O791" s="58"/>
      <c r="P791" s="74"/>
      <c r="Q791" s="74" t="s">
        <v>443</v>
      </c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</row>
    <row r="792" ht="15.75" customHeight="1">
      <c r="A792" s="74" t="s">
        <v>22</v>
      </c>
      <c r="B792" s="27" t="s">
        <v>27</v>
      </c>
      <c r="C792" s="183"/>
      <c r="D792" s="74" t="s">
        <v>2</v>
      </c>
      <c r="E792" s="184">
        <v>46274.0</v>
      </c>
      <c r="F792" s="185">
        <v>9.0</v>
      </c>
      <c r="G792" s="185">
        <v>9.0</v>
      </c>
      <c r="H792" s="185">
        <v>2026.0</v>
      </c>
      <c r="I792" s="186">
        <v>9.0</v>
      </c>
      <c r="J792" s="186">
        <v>2026.0</v>
      </c>
      <c r="K792" s="187"/>
      <c r="L792" s="187" t="s">
        <v>1017</v>
      </c>
      <c r="M792" s="27">
        <v>1.0</v>
      </c>
      <c r="N792" s="187">
        <v>24.51</v>
      </c>
      <c r="O792" s="58"/>
      <c r="P792" s="74"/>
      <c r="Q792" s="74" t="s">
        <v>965</v>
      </c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</row>
    <row r="793" ht="15.75" customHeight="1">
      <c r="A793" s="74" t="s">
        <v>22</v>
      </c>
      <c r="B793" s="27" t="s">
        <v>27</v>
      </c>
      <c r="C793" s="183"/>
      <c r="D793" s="74" t="s">
        <v>2</v>
      </c>
      <c r="E793" s="184">
        <v>46274.0</v>
      </c>
      <c r="F793" s="185">
        <v>9.0</v>
      </c>
      <c r="G793" s="185">
        <v>9.0</v>
      </c>
      <c r="H793" s="185">
        <v>2026.0</v>
      </c>
      <c r="I793" s="186">
        <v>9.0</v>
      </c>
      <c r="J793" s="186">
        <v>2026.0</v>
      </c>
      <c r="K793" s="187"/>
      <c r="L793" s="187">
        <v>46278.0</v>
      </c>
      <c r="M793" s="27">
        <v>1.0</v>
      </c>
      <c r="N793" s="187">
        <v>13.9</v>
      </c>
      <c r="O793" s="58"/>
      <c r="P793" s="74"/>
      <c r="Q793" s="74" t="s">
        <v>1018</v>
      </c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</row>
    <row r="794" ht="15.75" customHeight="1">
      <c r="A794" s="74" t="s">
        <v>151</v>
      </c>
      <c r="B794" s="27" t="s">
        <v>182</v>
      </c>
      <c r="C794" s="183"/>
      <c r="D794" s="74" t="s">
        <v>245</v>
      </c>
      <c r="E794" s="184">
        <v>46274.0</v>
      </c>
      <c r="F794" s="185">
        <v>9.0</v>
      </c>
      <c r="G794" s="185">
        <v>9.0</v>
      </c>
      <c r="H794" s="185">
        <v>2026.0</v>
      </c>
      <c r="I794" s="186">
        <v>9.0</v>
      </c>
      <c r="J794" s="186">
        <v>2026.0</v>
      </c>
      <c r="K794" s="187"/>
      <c r="L794" s="187" t="s">
        <v>999</v>
      </c>
      <c r="M794" s="27">
        <v>1.0</v>
      </c>
      <c r="N794" s="187">
        <v>0.86</v>
      </c>
      <c r="O794" s="58"/>
      <c r="P794" s="74" t="s">
        <v>1009</v>
      </c>
      <c r="Q794" s="74" t="s">
        <v>1020</v>
      </c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</row>
    <row r="795" ht="15.75" customHeight="1">
      <c r="A795" s="74" t="s">
        <v>253</v>
      </c>
      <c r="B795" s="27" t="s">
        <v>266</v>
      </c>
      <c r="C795" s="183"/>
      <c r="D795" s="74" t="s">
        <v>245</v>
      </c>
      <c r="E795" s="184">
        <v>46275.0</v>
      </c>
      <c r="F795" s="185">
        <v>10.0</v>
      </c>
      <c r="G795" s="185">
        <v>9.0</v>
      </c>
      <c r="H795" s="185">
        <v>2026.0</v>
      </c>
      <c r="I795" s="186">
        <v>9.0</v>
      </c>
      <c r="J795" s="186">
        <v>2026.0</v>
      </c>
      <c r="K795" s="187"/>
      <c r="L795" s="187">
        <v>500.0</v>
      </c>
      <c r="M795" s="27">
        <v>1.0</v>
      </c>
      <c r="N795" s="187">
        <v>500.0</v>
      </c>
      <c r="O795" s="58"/>
      <c r="P795" s="74" t="s">
        <v>1021</v>
      </c>
      <c r="Q795" s="74" t="s">
        <v>1022</v>
      </c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</row>
    <row r="796" ht="15.75" customHeight="1">
      <c r="A796" s="74" t="s">
        <v>151</v>
      </c>
      <c r="B796" s="27" t="s">
        <v>182</v>
      </c>
      <c r="C796" s="183"/>
      <c r="D796" s="74" t="s">
        <v>245</v>
      </c>
      <c r="E796" s="184">
        <v>46275.0</v>
      </c>
      <c r="F796" s="185">
        <v>10.0</v>
      </c>
      <c r="G796" s="185">
        <v>9.0</v>
      </c>
      <c r="H796" s="185">
        <v>2026.0</v>
      </c>
      <c r="I796" s="186">
        <v>9.0</v>
      </c>
      <c r="J796" s="186">
        <v>2026.0</v>
      </c>
      <c r="K796" s="187"/>
      <c r="L796" s="187" t="s">
        <v>1024</v>
      </c>
      <c r="M796" s="27">
        <v>1.0</v>
      </c>
      <c r="N796" s="187">
        <v>0.24</v>
      </c>
      <c r="O796" s="58"/>
      <c r="P796" s="74" t="s">
        <v>1009</v>
      </c>
      <c r="Q796" s="74" t="s">
        <v>1025</v>
      </c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</row>
    <row r="797" ht="15.75" customHeight="1">
      <c r="A797" s="74" t="s">
        <v>160</v>
      </c>
      <c r="B797" s="27" t="s">
        <v>39</v>
      </c>
      <c r="C797" s="183"/>
      <c r="D797" s="74" t="s">
        <v>2</v>
      </c>
      <c r="E797" s="184">
        <v>46276.0</v>
      </c>
      <c r="F797" s="185">
        <v>11.0</v>
      </c>
      <c r="G797" s="185">
        <v>9.0</v>
      </c>
      <c r="H797" s="185">
        <v>2026.0</v>
      </c>
      <c r="I797" s="186">
        <v>9.0</v>
      </c>
      <c r="J797" s="186">
        <v>2026.0</v>
      </c>
      <c r="K797" s="187"/>
      <c r="L797" s="187" t="s">
        <v>1026</v>
      </c>
      <c r="M797" s="27">
        <v>1.0</v>
      </c>
      <c r="N797" s="187">
        <v>88.59</v>
      </c>
      <c r="O797" s="58"/>
      <c r="P797" s="74"/>
      <c r="Q797" s="74" t="s">
        <v>876</v>
      </c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</row>
    <row r="798" ht="15.75" customHeight="1">
      <c r="A798" s="74" t="s">
        <v>167</v>
      </c>
      <c r="B798" s="27" t="s">
        <v>40</v>
      </c>
      <c r="C798" s="183"/>
      <c r="D798" s="74" t="s">
        <v>2</v>
      </c>
      <c r="E798" s="184">
        <v>46276.0</v>
      </c>
      <c r="F798" s="185">
        <v>11.0</v>
      </c>
      <c r="G798" s="185">
        <v>9.0</v>
      </c>
      <c r="H798" s="185">
        <v>2026.0</v>
      </c>
      <c r="I798" s="186">
        <v>9.0</v>
      </c>
      <c r="J798" s="186">
        <v>2026.0</v>
      </c>
      <c r="K798" s="187"/>
      <c r="L798" s="187">
        <v>84.25</v>
      </c>
      <c r="M798" s="27">
        <v>1.0</v>
      </c>
      <c r="N798" s="187">
        <v>84.25</v>
      </c>
      <c r="O798" s="58"/>
      <c r="P798" s="74"/>
      <c r="Q798" s="74" t="s">
        <v>1027</v>
      </c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</row>
    <row r="799" ht="15.75" customHeight="1">
      <c r="A799" s="74" t="s">
        <v>151</v>
      </c>
      <c r="B799" s="27" t="s">
        <v>146</v>
      </c>
      <c r="C799" s="183"/>
      <c r="D799" s="74" t="s">
        <v>245</v>
      </c>
      <c r="E799" s="184">
        <v>46276.0</v>
      </c>
      <c r="F799" s="185">
        <v>11.0</v>
      </c>
      <c r="G799" s="185">
        <v>9.0</v>
      </c>
      <c r="H799" s="185">
        <v>2026.0</v>
      </c>
      <c r="I799" s="186">
        <v>9.0</v>
      </c>
      <c r="J799" s="186">
        <v>2026.0</v>
      </c>
      <c r="K799" s="187"/>
      <c r="L799" s="187" t="s">
        <v>1029</v>
      </c>
      <c r="M799" s="27">
        <v>18.0</v>
      </c>
      <c r="N799" s="187">
        <v>53.1</v>
      </c>
      <c r="O799" s="58"/>
      <c r="P799" s="74" t="s">
        <v>1030</v>
      </c>
      <c r="Q799" s="74" t="s">
        <v>1031</v>
      </c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</row>
    <row r="800" ht="15.75" customHeight="1">
      <c r="A800" s="74" t="s">
        <v>1033</v>
      </c>
      <c r="B800" s="27" t="s">
        <v>1033</v>
      </c>
      <c r="C800" s="183"/>
      <c r="D800" s="74" t="s">
        <v>2</v>
      </c>
      <c r="E800" s="184">
        <v>46276.0</v>
      </c>
      <c r="F800" s="185">
        <v>11.0</v>
      </c>
      <c r="G800" s="185">
        <v>9.0</v>
      </c>
      <c r="H800" s="185">
        <v>2026.0</v>
      </c>
      <c r="I800" s="186">
        <v>9.0</v>
      </c>
      <c r="J800" s="186">
        <v>2026.0</v>
      </c>
      <c r="K800" s="187"/>
      <c r="L800" s="187" t="s">
        <v>1034</v>
      </c>
      <c r="M800" s="27">
        <v>1.0</v>
      </c>
      <c r="N800" s="187">
        <v>3.97</v>
      </c>
      <c r="O800" s="58"/>
      <c r="P800" s="74"/>
      <c r="Q800" s="74" t="s">
        <v>49</v>
      </c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</row>
    <row r="801" ht="15.75" customHeight="1">
      <c r="A801" s="74" t="s">
        <v>528</v>
      </c>
      <c r="B801" s="27" t="s">
        <v>455</v>
      </c>
      <c r="C801" s="183"/>
      <c r="D801" s="74" t="s">
        <v>245</v>
      </c>
      <c r="E801" s="184">
        <v>46277.0</v>
      </c>
      <c r="F801" s="185">
        <v>12.0</v>
      </c>
      <c r="G801" s="185">
        <v>9.0</v>
      </c>
      <c r="H801" s="185">
        <v>2026.0</v>
      </c>
      <c r="I801" s="186">
        <v>9.0</v>
      </c>
      <c r="J801" s="186">
        <v>2026.0</v>
      </c>
      <c r="K801" s="187"/>
      <c r="L801" s="187">
        <v>5.0</v>
      </c>
      <c r="M801" s="27">
        <v>10.0</v>
      </c>
      <c r="N801" s="187">
        <v>50.0</v>
      </c>
      <c r="O801" s="58"/>
      <c r="P801" s="74" t="s">
        <v>1036</v>
      </c>
      <c r="Q801" s="74" t="s">
        <v>1037</v>
      </c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</row>
    <row r="802" ht="15.75" customHeight="1">
      <c r="A802" s="74" t="s">
        <v>151</v>
      </c>
      <c r="B802" s="27" t="s">
        <v>181</v>
      </c>
      <c r="C802" s="183"/>
      <c r="D802" s="74" t="s">
        <v>245</v>
      </c>
      <c r="E802" s="184">
        <v>46277.0</v>
      </c>
      <c r="F802" s="185">
        <v>12.0</v>
      </c>
      <c r="G802" s="185">
        <v>9.0</v>
      </c>
      <c r="H802" s="185">
        <v>2026.0</v>
      </c>
      <c r="I802" s="186">
        <v>9.0</v>
      </c>
      <c r="J802" s="186">
        <v>2026.0</v>
      </c>
      <c r="K802" s="187"/>
      <c r="L802" s="187" t="s">
        <v>1038</v>
      </c>
      <c r="M802" s="27">
        <v>10.0</v>
      </c>
      <c r="N802" s="187">
        <v>9.2</v>
      </c>
      <c r="O802" s="58"/>
      <c r="P802" s="74" t="s">
        <v>1039</v>
      </c>
      <c r="Q802" s="74" t="s">
        <v>1040</v>
      </c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</row>
    <row r="803" ht="15.75" customHeight="1">
      <c r="A803" s="74" t="s">
        <v>22</v>
      </c>
      <c r="B803" s="27" t="s">
        <v>342</v>
      </c>
      <c r="C803" s="183"/>
      <c r="D803" s="74" t="s">
        <v>5</v>
      </c>
      <c r="E803" s="184">
        <v>46277.0</v>
      </c>
      <c r="F803" s="185">
        <v>12.0</v>
      </c>
      <c r="G803" s="185">
        <v>9.0</v>
      </c>
      <c r="H803" s="185">
        <v>2026.0</v>
      </c>
      <c r="I803" s="186">
        <v>9.0</v>
      </c>
      <c r="J803" s="186">
        <v>2026.0</v>
      </c>
      <c r="K803" s="187"/>
      <c r="L803" s="187">
        <v>90.0</v>
      </c>
      <c r="M803" s="27">
        <v>1.0</v>
      </c>
      <c r="N803" s="187">
        <v>90.0</v>
      </c>
      <c r="O803" s="58"/>
      <c r="P803" s="74" t="s">
        <v>20</v>
      </c>
      <c r="Q803" s="74" t="s">
        <v>901</v>
      </c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</row>
    <row r="804" ht="15.75" customHeight="1">
      <c r="A804" s="74" t="s">
        <v>22</v>
      </c>
      <c r="B804" s="27" t="s">
        <v>25</v>
      </c>
      <c r="C804" s="183"/>
      <c r="D804" s="74" t="s">
        <v>2</v>
      </c>
      <c r="E804" s="184">
        <v>46277.0</v>
      </c>
      <c r="F804" s="185">
        <v>12.0</v>
      </c>
      <c r="G804" s="185">
        <v>9.0</v>
      </c>
      <c r="H804" s="185">
        <v>2026.0</v>
      </c>
      <c r="I804" s="186">
        <v>9.0</v>
      </c>
      <c r="J804" s="186">
        <v>2026.0</v>
      </c>
      <c r="K804" s="187"/>
      <c r="L804" s="187" t="s">
        <v>1043</v>
      </c>
      <c r="M804" s="27">
        <v>1.0</v>
      </c>
      <c r="N804" s="187">
        <v>77.19</v>
      </c>
      <c r="O804" s="58"/>
      <c r="P804" s="74"/>
      <c r="Q804" s="74" t="s">
        <v>1044</v>
      </c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</row>
    <row r="805" ht="15.75" customHeight="1">
      <c r="A805" s="74" t="s">
        <v>151</v>
      </c>
      <c r="B805" s="27" t="s">
        <v>182</v>
      </c>
      <c r="C805" s="183"/>
      <c r="D805" s="74" t="s">
        <v>245</v>
      </c>
      <c r="E805" s="184">
        <v>46277.0</v>
      </c>
      <c r="F805" s="185">
        <v>12.0</v>
      </c>
      <c r="G805" s="185">
        <v>9.0</v>
      </c>
      <c r="H805" s="185">
        <v>2026.0</v>
      </c>
      <c r="I805" s="186">
        <v>9.0</v>
      </c>
      <c r="J805" s="186">
        <v>2026.0</v>
      </c>
      <c r="K805" s="187"/>
      <c r="L805" s="187" t="s">
        <v>1045</v>
      </c>
      <c r="M805" s="27">
        <v>1.0</v>
      </c>
      <c r="N805" s="187">
        <v>1.59</v>
      </c>
      <c r="O805" s="58"/>
      <c r="P805" s="74" t="s">
        <v>1039</v>
      </c>
      <c r="Q805" s="74" t="s">
        <v>1040</v>
      </c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</row>
    <row r="806" ht="15.75" customHeight="1">
      <c r="A806" s="74" t="s">
        <v>178</v>
      </c>
      <c r="B806" s="27" t="s">
        <v>310</v>
      </c>
      <c r="C806" s="183"/>
      <c r="D806" s="74" t="s">
        <v>245</v>
      </c>
      <c r="E806" s="184">
        <v>46278.0</v>
      </c>
      <c r="F806" s="185">
        <v>13.0</v>
      </c>
      <c r="G806" s="185">
        <v>9.0</v>
      </c>
      <c r="H806" s="185">
        <v>2026.0</v>
      </c>
      <c r="I806" s="186">
        <v>9.0</v>
      </c>
      <c r="J806" s="186">
        <v>2026.0</v>
      </c>
      <c r="K806" s="187"/>
      <c r="L806" s="187">
        <v>310.0</v>
      </c>
      <c r="M806" s="27">
        <v>1.0</v>
      </c>
      <c r="N806" s="187">
        <v>310.0</v>
      </c>
      <c r="O806" s="58"/>
      <c r="P806" s="74"/>
      <c r="Q806" s="74" t="s">
        <v>823</v>
      </c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</row>
    <row r="807" ht="15.75" customHeight="1">
      <c r="A807" s="74" t="s">
        <v>253</v>
      </c>
      <c r="B807" s="27" t="s">
        <v>266</v>
      </c>
      <c r="C807" s="183"/>
      <c r="D807" s="74" t="s">
        <v>245</v>
      </c>
      <c r="E807" s="184">
        <v>46279.0</v>
      </c>
      <c r="F807" s="185">
        <v>14.0</v>
      </c>
      <c r="G807" s="185">
        <v>9.0</v>
      </c>
      <c r="H807" s="185">
        <v>2026.0</v>
      </c>
      <c r="I807" s="186">
        <v>9.0</v>
      </c>
      <c r="J807" s="186">
        <v>2026.0</v>
      </c>
      <c r="K807" s="187"/>
      <c r="L807" s="187">
        <v>500.0</v>
      </c>
      <c r="M807" s="27">
        <v>1.0</v>
      </c>
      <c r="N807" s="187">
        <v>500.0</v>
      </c>
      <c r="O807" s="58"/>
      <c r="P807" s="74" t="s">
        <v>1047</v>
      </c>
      <c r="Q807" s="74" t="s">
        <v>1048</v>
      </c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</row>
    <row r="808" ht="15.75" customHeight="1">
      <c r="A808" s="74" t="s">
        <v>167</v>
      </c>
      <c r="B808" s="27" t="s">
        <v>40</v>
      </c>
      <c r="C808" s="183"/>
      <c r="D808" s="74" t="s">
        <v>2</v>
      </c>
      <c r="E808" s="184">
        <v>46279.0</v>
      </c>
      <c r="F808" s="185">
        <v>14.0</v>
      </c>
      <c r="G808" s="185">
        <v>9.0</v>
      </c>
      <c r="H808" s="185">
        <v>2026.0</v>
      </c>
      <c r="I808" s="186">
        <v>8.0</v>
      </c>
      <c r="J808" s="186">
        <v>2026.0</v>
      </c>
      <c r="K808" s="187"/>
      <c r="L808" s="187">
        <v>416.07</v>
      </c>
      <c r="M808" s="27">
        <v>1.0</v>
      </c>
      <c r="N808" s="187">
        <v>416.07</v>
      </c>
      <c r="O808" s="58"/>
      <c r="P808" s="74"/>
      <c r="Q808" s="74" t="s">
        <v>1050</v>
      </c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</row>
    <row r="809" ht="15.75" customHeight="1">
      <c r="A809" s="74" t="s">
        <v>1051</v>
      </c>
      <c r="B809" s="27" t="s">
        <v>630</v>
      </c>
      <c r="C809" s="183"/>
      <c r="D809" s="74" t="s">
        <v>245</v>
      </c>
      <c r="E809" s="184">
        <v>46279.0</v>
      </c>
      <c r="F809" s="185">
        <v>14.0</v>
      </c>
      <c r="G809" s="185">
        <v>9.0</v>
      </c>
      <c r="H809" s="185">
        <v>2026.0</v>
      </c>
      <c r="I809" s="186">
        <v>9.0</v>
      </c>
      <c r="J809" s="186">
        <v>2026.0</v>
      </c>
      <c r="K809" s="187"/>
      <c r="L809" s="187" t="s">
        <v>1053</v>
      </c>
      <c r="M809" s="27">
        <v>1.0</v>
      </c>
      <c r="N809" s="187">
        <v>3.72</v>
      </c>
      <c r="O809" s="58"/>
      <c r="P809" s="74" t="s">
        <v>1054</v>
      </c>
      <c r="Q809" s="74" t="s">
        <v>1055</v>
      </c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</row>
    <row r="810" ht="15.75" customHeight="1">
      <c r="A810" s="74" t="s">
        <v>178</v>
      </c>
      <c r="B810" s="27" t="s">
        <v>310</v>
      </c>
      <c r="C810" s="183"/>
      <c r="D810" s="74" t="s">
        <v>2</v>
      </c>
      <c r="E810" s="184">
        <v>46280.0</v>
      </c>
      <c r="F810" s="185">
        <v>15.0</v>
      </c>
      <c r="G810" s="185">
        <v>9.0</v>
      </c>
      <c r="H810" s="185">
        <v>2026.0</v>
      </c>
      <c r="I810" s="186">
        <v>9.0</v>
      </c>
      <c r="J810" s="186">
        <v>2026.0</v>
      </c>
      <c r="K810" s="187"/>
      <c r="L810" s="187">
        <v>50.0</v>
      </c>
      <c r="M810" s="27">
        <v>1.0</v>
      </c>
      <c r="N810" s="187">
        <v>50.0</v>
      </c>
      <c r="O810" s="58"/>
      <c r="P810" s="74"/>
      <c r="Q810" s="74" t="s">
        <v>824</v>
      </c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</row>
    <row r="811" ht="15.75" customHeight="1">
      <c r="A811" s="74" t="s">
        <v>22</v>
      </c>
      <c r="B811" s="27" t="s">
        <v>342</v>
      </c>
      <c r="C811" s="183"/>
      <c r="D811" s="74" t="s">
        <v>5</v>
      </c>
      <c r="E811" s="184">
        <v>46280.0</v>
      </c>
      <c r="F811" s="185">
        <v>15.0</v>
      </c>
      <c r="G811" s="185">
        <v>9.0</v>
      </c>
      <c r="H811" s="185">
        <v>2026.0</v>
      </c>
      <c r="I811" s="186">
        <v>9.0</v>
      </c>
      <c r="J811" s="186">
        <v>2026.0</v>
      </c>
      <c r="K811" s="187"/>
      <c r="L811" s="187">
        <v>150.0</v>
      </c>
      <c r="M811" s="27">
        <v>1.0</v>
      </c>
      <c r="N811" s="187">
        <v>150.0</v>
      </c>
      <c r="O811" s="58"/>
      <c r="P811" s="74" t="s">
        <v>20</v>
      </c>
      <c r="Q811" s="74" t="s">
        <v>1058</v>
      </c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</row>
    <row r="812" ht="15.75" customHeight="1">
      <c r="A812" s="74" t="s">
        <v>22</v>
      </c>
      <c r="B812" s="27" t="s">
        <v>342</v>
      </c>
      <c r="C812" s="183"/>
      <c r="D812" s="74" t="s">
        <v>5</v>
      </c>
      <c r="E812" s="184">
        <v>46280.0</v>
      </c>
      <c r="F812" s="185">
        <v>15.0</v>
      </c>
      <c r="G812" s="185">
        <v>9.0</v>
      </c>
      <c r="H812" s="185">
        <v>2026.0</v>
      </c>
      <c r="I812" s="186">
        <v>9.0</v>
      </c>
      <c r="J812" s="186">
        <v>2026.0</v>
      </c>
      <c r="K812" s="187"/>
      <c r="L812" s="187">
        <v>10.0</v>
      </c>
      <c r="M812" s="27">
        <v>1.0</v>
      </c>
      <c r="N812" s="187">
        <v>10.0</v>
      </c>
      <c r="O812" s="58"/>
      <c r="P812" s="74" t="s">
        <v>20</v>
      </c>
      <c r="Q812" s="74" t="s">
        <v>1059</v>
      </c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</row>
    <row r="813" ht="15.75" customHeight="1">
      <c r="A813" s="74" t="s">
        <v>253</v>
      </c>
      <c r="B813" s="27" t="s">
        <v>266</v>
      </c>
      <c r="C813" s="183"/>
      <c r="D813" s="74" t="s">
        <v>245</v>
      </c>
      <c r="E813" s="184">
        <v>46281.0</v>
      </c>
      <c r="F813" s="185">
        <v>16.0</v>
      </c>
      <c r="G813" s="185">
        <v>9.0</v>
      </c>
      <c r="H813" s="185">
        <v>2026.0</v>
      </c>
      <c r="I813" s="186">
        <v>9.0</v>
      </c>
      <c r="J813" s="186">
        <v>2026.0</v>
      </c>
      <c r="K813" s="187"/>
      <c r="L813" s="187">
        <v>500.0</v>
      </c>
      <c r="M813" s="27">
        <v>1.0</v>
      </c>
      <c r="N813" s="187">
        <v>500.0</v>
      </c>
      <c r="O813" s="58"/>
      <c r="P813" s="74" t="s">
        <v>1060</v>
      </c>
      <c r="Q813" s="74" t="s">
        <v>1061</v>
      </c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</row>
    <row r="814" ht="15.75" customHeight="1">
      <c r="A814" s="74" t="s">
        <v>172</v>
      </c>
      <c r="B814" s="27" t="s">
        <v>290</v>
      </c>
      <c r="C814" s="183"/>
      <c r="D814" s="74" t="s">
        <v>2</v>
      </c>
      <c r="E814" s="184">
        <v>46282.0</v>
      </c>
      <c r="F814" s="185">
        <v>17.0</v>
      </c>
      <c r="G814" s="185">
        <v>9.0</v>
      </c>
      <c r="H814" s="185">
        <v>2026.0</v>
      </c>
      <c r="I814" s="186">
        <v>9.0</v>
      </c>
      <c r="J814" s="186">
        <v>2026.0</v>
      </c>
      <c r="K814" s="187"/>
      <c r="L814" s="187" t="s">
        <v>1062</v>
      </c>
      <c r="M814" s="27">
        <v>1.0</v>
      </c>
      <c r="N814" s="187">
        <v>74.4</v>
      </c>
      <c r="O814" s="58"/>
      <c r="P814" s="74"/>
      <c r="Q814" s="74" t="s">
        <v>1063</v>
      </c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</row>
    <row r="815" ht="15.75" customHeight="1">
      <c r="A815" s="74" t="s">
        <v>172</v>
      </c>
      <c r="B815" s="27" t="s">
        <v>291</v>
      </c>
      <c r="C815" s="183"/>
      <c r="D815" s="74" t="s">
        <v>2</v>
      </c>
      <c r="E815" s="184">
        <v>46282.0</v>
      </c>
      <c r="F815" s="185">
        <v>17.0</v>
      </c>
      <c r="G815" s="185">
        <v>9.0</v>
      </c>
      <c r="H815" s="185">
        <v>2026.0</v>
      </c>
      <c r="I815" s="186">
        <v>9.0</v>
      </c>
      <c r="J815" s="186">
        <v>2026.0</v>
      </c>
      <c r="K815" s="187"/>
      <c r="L815" s="187" t="s">
        <v>1064</v>
      </c>
      <c r="M815" s="27">
        <v>1.0</v>
      </c>
      <c r="N815" s="187">
        <v>61.8</v>
      </c>
      <c r="O815" s="58"/>
      <c r="P815" s="74"/>
      <c r="Q815" s="74" t="s">
        <v>1063</v>
      </c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</row>
    <row r="816" ht="15.75" customHeight="1">
      <c r="A816" s="74" t="s">
        <v>172</v>
      </c>
      <c r="B816" s="27" t="s">
        <v>281</v>
      </c>
      <c r="C816" s="183"/>
      <c r="D816" s="74" t="s">
        <v>2</v>
      </c>
      <c r="E816" s="184">
        <v>46282.0</v>
      </c>
      <c r="F816" s="185">
        <v>17.0</v>
      </c>
      <c r="G816" s="185">
        <v>9.0</v>
      </c>
      <c r="H816" s="185">
        <v>2026.0</v>
      </c>
      <c r="I816" s="186">
        <v>9.0</v>
      </c>
      <c r="J816" s="186">
        <v>2026.0</v>
      </c>
      <c r="K816" s="187"/>
      <c r="L816" s="187" t="s">
        <v>1066</v>
      </c>
      <c r="M816" s="27">
        <v>1.0</v>
      </c>
      <c r="N816" s="187">
        <v>44.39</v>
      </c>
      <c r="O816" s="58"/>
      <c r="P816" s="74" t="s">
        <v>1068</v>
      </c>
      <c r="Q816" s="74" t="s">
        <v>1063</v>
      </c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</row>
    <row r="817" ht="15.75" customHeight="1">
      <c r="A817" s="74" t="s">
        <v>172</v>
      </c>
      <c r="B817" s="27" t="s">
        <v>285</v>
      </c>
      <c r="C817" s="183"/>
      <c r="D817" s="74" t="s">
        <v>2</v>
      </c>
      <c r="E817" s="184">
        <v>46282.0</v>
      </c>
      <c r="F817" s="185">
        <v>17.0</v>
      </c>
      <c r="G817" s="185">
        <v>9.0</v>
      </c>
      <c r="H817" s="185">
        <v>2026.0</v>
      </c>
      <c r="I817" s="186">
        <v>9.0</v>
      </c>
      <c r="J817" s="186">
        <v>2026.0</v>
      </c>
      <c r="K817" s="187"/>
      <c r="L817" s="187" t="s">
        <v>1069</v>
      </c>
      <c r="M817" s="27">
        <v>1.0</v>
      </c>
      <c r="N817" s="187">
        <v>42.8</v>
      </c>
      <c r="O817" s="58"/>
      <c r="P817" s="74"/>
      <c r="Q817" s="74" t="s">
        <v>1063</v>
      </c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</row>
    <row r="818" ht="15.75" customHeight="1">
      <c r="A818" s="74" t="s">
        <v>154</v>
      </c>
      <c r="B818" s="27" t="s">
        <v>248</v>
      </c>
      <c r="C818" s="183"/>
      <c r="D818" s="74" t="s">
        <v>245</v>
      </c>
      <c r="E818" s="184">
        <v>46282.0</v>
      </c>
      <c r="F818" s="185">
        <v>17.0</v>
      </c>
      <c r="G818" s="185">
        <v>9.0</v>
      </c>
      <c r="H818" s="185">
        <v>2026.0</v>
      </c>
      <c r="I818" s="186">
        <v>9.0</v>
      </c>
      <c r="J818" s="186">
        <v>2026.0</v>
      </c>
      <c r="K818" s="187"/>
      <c r="L818" s="187" t="s">
        <v>1072</v>
      </c>
      <c r="M818" s="27">
        <v>3.0</v>
      </c>
      <c r="N818" s="187">
        <v>30.87</v>
      </c>
      <c r="O818" s="58"/>
      <c r="P818" s="74" t="s">
        <v>1030</v>
      </c>
      <c r="Q818" s="74" t="s">
        <v>1073</v>
      </c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</row>
    <row r="819" ht="15.75" customHeight="1">
      <c r="A819" s="74" t="s">
        <v>172</v>
      </c>
      <c r="B819" s="27" t="s">
        <v>292</v>
      </c>
      <c r="C819" s="183"/>
      <c r="D819" s="74" t="s">
        <v>2</v>
      </c>
      <c r="E819" s="184">
        <v>46282.0</v>
      </c>
      <c r="F819" s="185">
        <v>17.0</v>
      </c>
      <c r="G819" s="185">
        <v>9.0</v>
      </c>
      <c r="H819" s="185">
        <v>2026.0</v>
      </c>
      <c r="I819" s="186">
        <v>9.0</v>
      </c>
      <c r="J819" s="186">
        <v>2026.0</v>
      </c>
      <c r="K819" s="187"/>
      <c r="L819" s="187">
        <v>14.0</v>
      </c>
      <c r="M819" s="27">
        <v>1.0</v>
      </c>
      <c r="N819" s="187">
        <v>14.0</v>
      </c>
      <c r="O819" s="58"/>
      <c r="P819" s="74"/>
      <c r="Q819" s="74" t="s">
        <v>1063</v>
      </c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</row>
    <row r="820" ht="15.75" customHeight="1">
      <c r="A820" s="74" t="s">
        <v>151</v>
      </c>
      <c r="B820" s="27" t="s">
        <v>187</v>
      </c>
      <c r="C820" s="183"/>
      <c r="D820" s="74" t="s">
        <v>245</v>
      </c>
      <c r="E820" s="184">
        <v>46282.0</v>
      </c>
      <c r="F820" s="185">
        <v>17.0</v>
      </c>
      <c r="G820" s="185">
        <v>9.0</v>
      </c>
      <c r="H820" s="185">
        <v>2026.0</v>
      </c>
      <c r="I820" s="186">
        <v>9.0</v>
      </c>
      <c r="J820" s="186">
        <v>2026.0</v>
      </c>
      <c r="K820" s="187"/>
      <c r="L820" s="187" t="s">
        <v>1074</v>
      </c>
      <c r="M820" s="27">
        <v>1.0</v>
      </c>
      <c r="N820" s="187">
        <v>5.29</v>
      </c>
      <c r="O820" s="58"/>
      <c r="P820" s="74" t="s">
        <v>1030</v>
      </c>
      <c r="Q820" s="74" t="s">
        <v>1073</v>
      </c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</row>
    <row r="821" ht="15.75" customHeight="1">
      <c r="A821" s="74" t="s">
        <v>154</v>
      </c>
      <c r="B821" s="27" t="s">
        <v>243</v>
      </c>
      <c r="C821" s="183"/>
      <c r="D821" s="74" t="s">
        <v>245</v>
      </c>
      <c r="E821" s="184">
        <v>46282.0</v>
      </c>
      <c r="F821" s="185">
        <v>17.0</v>
      </c>
      <c r="G821" s="185">
        <v>9.0</v>
      </c>
      <c r="H821" s="185">
        <v>2026.0</v>
      </c>
      <c r="I821" s="186">
        <v>9.0</v>
      </c>
      <c r="J821" s="186">
        <v>2026.0</v>
      </c>
      <c r="K821" s="187"/>
      <c r="L821" s="187" t="s">
        <v>1075</v>
      </c>
      <c r="M821" s="27">
        <v>5.0</v>
      </c>
      <c r="N821" s="187">
        <v>4.45</v>
      </c>
      <c r="O821" s="58"/>
      <c r="P821" s="74" t="s">
        <v>1030</v>
      </c>
      <c r="Q821" s="74" t="s">
        <v>1073</v>
      </c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</row>
    <row r="822" ht="15.75" customHeight="1">
      <c r="A822" s="74" t="s">
        <v>151</v>
      </c>
      <c r="B822" s="27" t="s">
        <v>140</v>
      </c>
      <c r="C822" s="183"/>
      <c r="D822" s="74" t="s">
        <v>245</v>
      </c>
      <c r="E822" s="184">
        <v>46282.0</v>
      </c>
      <c r="F822" s="185">
        <v>17.0</v>
      </c>
      <c r="G822" s="185">
        <v>9.0</v>
      </c>
      <c r="H822" s="185">
        <v>2026.0</v>
      </c>
      <c r="I822" s="186">
        <v>9.0</v>
      </c>
      <c r="J822" s="186">
        <v>2026.0</v>
      </c>
      <c r="K822" s="187"/>
      <c r="L822" s="187" t="s">
        <v>1076</v>
      </c>
      <c r="M822" s="27">
        <v>2.0</v>
      </c>
      <c r="N822" s="187">
        <v>4.36</v>
      </c>
      <c r="O822" s="58"/>
      <c r="P822" s="74" t="s">
        <v>1030</v>
      </c>
      <c r="Q822" s="74" t="s">
        <v>1073</v>
      </c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</row>
    <row r="823" ht="15.75" customHeight="1">
      <c r="A823" s="74" t="s">
        <v>22</v>
      </c>
      <c r="B823" s="27" t="s">
        <v>27</v>
      </c>
      <c r="C823" s="183"/>
      <c r="D823" s="74" t="s">
        <v>2</v>
      </c>
      <c r="E823" s="184">
        <v>46282.0</v>
      </c>
      <c r="F823" s="185">
        <v>17.0</v>
      </c>
      <c r="G823" s="185">
        <v>9.0</v>
      </c>
      <c r="H823" s="185">
        <v>2026.0</v>
      </c>
      <c r="I823" s="186">
        <v>9.0</v>
      </c>
      <c r="J823" s="186">
        <v>2026.0</v>
      </c>
      <c r="K823" s="187"/>
      <c r="L823" s="187" t="s">
        <v>1077</v>
      </c>
      <c r="M823" s="27">
        <v>1.0</v>
      </c>
      <c r="N823" s="187">
        <v>412.05</v>
      </c>
      <c r="O823" s="58"/>
      <c r="P823" s="74"/>
      <c r="Q823" s="74" t="s">
        <v>1078</v>
      </c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</row>
    <row r="824" ht="15.75" customHeight="1">
      <c r="A824" s="74" t="s">
        <v>22</v>
      </c>
      <c r="B824" s="27" t="s">
        <v>25</v>
      </c>
      <c r="C824" s="183"/>
      <c r="D824" s="74" t="s">
        <v>2</v>
      </c>
      <c r="E824" s="184">
        <v>46282.0</v>
      </c>
      <c r="F824" s="185">
        <v>17.0</v>
      </c>
      <c r="G824" s="185">
        <v>9.0</v>
      </c>
      <c r="H824" s="185">
        <v>2026.0</v>
      </c>
      <c r="I824" s="186">
        <v>9.0</v>
      </c>
      <c r="J824" s="186">
        <v>2026.0</v>
      </c>
      <c r="K824" s="187"/>
      <c r="L824" s="187" t="s">
        <v>1079</v>
      </c>
      <c r="M824" s="27">
        <v>1.0</v>
      </c>
      <c r="N824" s="187">
        <v>103.08</v>
      </c>
      <c r="O824" s="58"/>
      <c r="P824" s="74"/>
      <c r="Q824" s="74" t="s">
        <v>1080</v>
      </c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</row>
    <row r="825" ht="15.75" customHeight="1">
      <c r="A825" s="74" t="s">
        <v>253</v>
      </c>
      <c r="B825" s="27" t="s">
        <v>266</v>
      </c>
      <c r="C825" s="183"/>
      <c r="D825" s="74" t="s">
        <v>245</v>
      </c>
      <c r="E825" s="184">
        <v>46283.0</v>
      </c>
      <c r="F825" s="185">
        <v>18.0</v>
      </c>
      <c r="G825" s="185">
        <v>9.0</v>
      </c>
      <c r="H825" s="185">
        <v>2026.0</v>
      </c>
      <c r="I825" s="186">
        <v>9.0</v>
      </c>
      <c r="J825" s="186">
        <v>2026.0</v>
      </c>
      <c r="K825" s="187"/>
      <c r="L825" s="187">
        <v>500.0</v>
      </c>
      <c r="M825" s="27">
        <v>1.0</v>
      </c>
      <c r="N825" s="187">
        <v>500.0</v>
      </c>
      <c r="O825" s="58"/>
      <c r="P825" s="74" t="s">
        <v>1082</v>
      </c>
      <c r="Q825" s="74" t="s">
        <v>1083</v>
      </c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</row>
    <row r="826" ht="15.75" customHeight="1">
      <c r="A826" s="74" t="s">
        <v>153</v>
      </c>
      <c r="B826" s="27" t="s">
        <v>314</v>
      </c>
      <c r="C826" s="183"/>
      <c r="D826" s="74" t="s">
        <v>245</v>
      </c>
      <c r="E826" s="184">
        <v>46283.0</v>
      </c>
      <c r="F826" s="185">
        <v>18.0</v>
      </c>
      <c r="G826" s="185">
        <v>9.0</v>
      </c>
      <c r="H826" s="185">
        <v>2026.0</v>
      </c>
      <c r="I826" s="186">
        <v>9.0</v>
      </c>
      <c r="J826" s="186">
        <v>2026.0</v>
      </c>
      <c r="K826" s="187"/>
      <c r="L826" s="187" t="s">
        <v>961</v>
      </c>
      <c r="M826" s="27">
        <v>3.0</v>
      </c>
      <c r="N826" s="187">
        <v>4.47</v>
      </c>
      <c r="O826" s="58"/>
      <c r="P826" s="74" t="s">
        <v>1084</v>
      </c>
      <c r="Q826" s="74" t="s">
        <v>1085</v>
      </c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</row>
    <row r="827" ht="15.75" customHeight="1">
      <c r="A827" s="74" t="s">
        <v>253</v>
      </c>
      <c r="B827" s="27" t="s">
        <v>266</v>
      </c>
      <c r="C827" s="183"/>
      <c r="D827" s="74" t="s">
        <v>245</v>
      </c>
      <c r="E827" s="184">
        <v>46284.0</v>
      </c>
      <c r="F827" s="185">
        <v>19.0</v>
      </c>
      <c r="G827" s="185">
        <v>9.0</v>
      </c>
      <c r="H827" s="185">
        <v>2026.0</v>
      </c>
      <c r="I827" s="186">
        <v>9.0</v>
      </c>
      <c r="J827" s="186">
        <v>2026.0</v>
      </c>
      <c r="K827" s="187"/>
      <c r="L827" s="187">
        <v>500.0</v>
      </c>
      <c r="M827" s="27">
        <v>1.0</v>
      </c>
      <c r="N827" s="187">
        <v>500.0</v>
      </c>
      <c r="O827" s="58"/>
      <c r="P827" s="74" t="s">
        <v>1087</v>
      </c>
      <c r="Q827" s="74" t="s">
        <v>1088</v>
      </c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</row>
    <row r="828" ht="15.75" customHeight="1">
      <c r="A828" s="74" t="s">
        <v>22</v>
      </c>
      <c r="B828" s="27" t="s">
        <v>342</v>
      </c>
      <c r="C828" s="183"/>
      <c r="D828" s="74" t="s">
        <v>5</v>
      </c>
      <c r="E828" s="184">
        <v>46284.0</v>
      </c>
      <c r="F828" s="185">
        <v>19.0</v>
      </c>
      <c r="G828" s="185">
        <v>9.0</v>
      </c>
      <c r="H828" s="185">
        <v>2026.0</v>
      </c>
      <c r="I828" s="186">
        <v>9.0</v>
      </c>
      <c r="J828" s="186">
        <v>2026.0</v>
      </c>
      <c r="K828" s="187"/>
      <c r="L828" s="187">
        <v>1000.0</v>
      </c>
      <c r="M828" s="27">
        <v>1.0</v>
      </c>
      <c r="N828" s="187">
        <v>1000.0</v>
      </c>
      <c r="O828" s="58"/>
      <c r="P828" s="74" t="s">
        <v>20</v>
      </c>
      <c r="Q828" s="74" t="s">
        <v>1090</v>
      </c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</row>
    <row r="829" ht="15.75" customHeight="1">
      <c r="A829" s="74" t="s">
        <v>22</v>
      </c>
      <c r="B829" s="27" t="s">
        <v>342</v>
      </c>
      <c r="C829" s="183"/>
      <c r="D829" s="74" t="s">
        <v>5</v>
      </c>
      <c r="E829" s="184">
        <v>46284.0</v>
      </c>
      <c r="F829" s="185">
        <v>19.0</v>
      </c>
      <c r="G829" s="185">
        <v>9.0</v>
      </c>
      <c r="H829" s="185">
        <v>2026.0</v>
      </c>
      <c r="I829" s="186">
        <v>9.0</v>
      </c>
      <c r="J829" s="186">
        <v>2026.0</v>
      </c>
      <c r="K829" s="187"/>
      <c r="L829" s="187">
        <v>500.0</v>
      </c>
      <c r="M829" s="27">
        <v>1.0</v>
      </c>
      <c r="N829" s="187">
        <v>500.0</v>
      </c>
      <c r="O829" s="58"/>
      <c r="P829" s="74" t="s">
        <v>21</v>
      </c>
      <c r="Q829" s="74" t="s">
        <v>1090</v>
      </c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</row>
    <row r="830" ht="15.75" customHeight="1">
      <c r="A830" s="74" t="s">
        <v>22</v>
      </c>
      <c r="B830" s="27" t="s">
        <v>27</v>
      </c>
      <c r="C830" s="183"/>
      <c r="D830" s="74" t="s">
        <v>5</v>
      </c>
      <c r="E830" s="184">
        <v>46284.0</v>
      </c>
      <c r="F830" s="185">
        <v>19.0</v>
      </c>
      <c r="G830" s="185">
        <v>9.0</v>
      </c>
      <c r="H830" s="185">
        <v>2026.0</v>
      </c>
      <c r="I830" s="186">
        <v>9.0</v>
      </c>
      <c r="J830" s="186">
        <v>2026.0</v>
      </c>
      <c r="K830" s="187"/>
      <c r="L830" s="187">
        <v>125.0</v>
      </c>
      <c r="M830" s="27">
        <v>1.0</v>
      </c>
      <c r="N830" s="187">
        <v>125.0</v>
      </c>
      <c r="O830" s="58"/>
      <c r="P830" s="74" t="s">
        <v>20</v>
      </c>
      <c r="Q830" s="74" t="s">
        <v>1092</v>
      </c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</row>
    <row r="831" ht="15.75" customHeight="1">
      <c r="A831" s="74" t="s">
        <v>178</v>
      </c>
      <c r="B831" s="27" t="s">
        <v>310</v>
      </c>
      <c r="C831" s="183"/>
      <c r="D831" s="74" t="s">
        <v>5</v>
      </c>
      <c r="E831" s="184">
        <v>46285.0</v>
      </c>
      <c r="F831" s="185">
        <v>20.0</v>
      </c>
      <c r="G831" s="185">
        <v>9.0</v>
      </c>
      <c r="H831" s="185">
        <v>2026.0</v>
      </c>
      <c r="I831" s="186">
        <v>9.0</v>
      </c>
      <c r="J831" s="186">
        <v>2026.0</v>
      </c>
      <c r="K831" s="187"/>
      <c r="L831" s="187">
        <v>310.0</v>
      </c>
      <c r="M831" s="27">
        <v>1.0</v>
      </c>
      <c r="N831" s="187">
        <v>310.0</v>
      </c>
      <c r="O831" s="58"/>
      <c r="P831" s="74"/>
      <c r="Q831" s="74" t="s">
        <v>1094</v>
      </c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</row>
    <row r="832" ht="15.75" customHeight="1">
      <c r="A832" s="74" t="s">
        <v>151</v>
      </c>
      <c r="B832" s="27" t="s">
        <v>137</v>
      </c>
      <c r="C832" s="183"/>
      <c r="D832" s="74" t="s">
        <v>245</v>
      </c>
      <c r="E832" s="184">
        <v>46285.0</v>
      </c>
      <c r="F832" s="185">
        <v>20.0</v>
      </c>
      <c r="G832" s="185">
        <v>9.0</v>
      </c>
      <c r="H832" s="185">
        <v>2026.0</v>
      </c>
      <c r="I832" s="186">
        <v>9.0</v>
      </c>
      <c r="J832" s="186">
        <v>2026.0</v>
      </c>
      <c r="K832" s="187"/>
      <c r="L832" s="187">
        <v>2.0</v>
      </c>
      <c r="M832" s="27">
        <v>1.0</v>
      </c>
      <c r="N832" s="187">
        <v>2.0</v>
      </c>
      <c r="O832" s="58"/>
      <c r="P832" s="74" t="s">
        <v>1096</v>
      </c>
      <c r="Q832" s="74" t="s">
        <v>1097</v>
      </c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</row>
    <row r="833" ht="15.75" customHeight="1">
      <c r="A833" s="74" t="s">
        <v>253</v>
      </c>
      <c r="B833" s="27" t="s">
        <v>266</v>
      </c>
      <c r="C833" s="183"/>
      <c r="D833" s="74" t="s">
        <v>245</v>
      </c>
      <c r="E833" s="184">
        <v>46286.0</v>
      </c>
      <c r="F833" s="185">
        <v>21.0</v>
      </c>
      <c r="G833" s="185">
        <v>9.0</v>
      </c>
      <c r="H833" s="185">
        <v>2026.0</v>
      </c>
      <c r="I833" s="186">
        <v>9.0</v>
      </c>
      <c r="J833" s="186">
        <v>2026.0</v>
      </c>
      <c r="K833" s="187"/>
      <c r="L833" s="187">
        <v>500.0</v>
      </c>
      <c r="M833" s="27">
        <v>1.0</v>
      </c>
      <c r="N833" s="187">
        <v>500.0</v>
      </c>
      <c r="O833" s="58"/>
      <c r="P833" s="74" t="s">
        <v>1099</v>
      </c>
      <c r="Q833" s="74" t="s">
        <v>1100</v>
      </c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</row>
    <row r="834" ht="15.75" customHeight="1">
      <c r="A834" s="74" t="s">
        <v>156</v>
      </c>
      <c r="B834" s="27" t="s">
        <v>44</v>
      </c>
      <c r="C834" s="183"/>
      <c r="D834" s="74" t="s">
        <v>2</v>
      </c>
      <c r="E834" s="184">
        <v>46286.0</v>
      </c>
      <c r="F834" s="185">
        <v>21.0</v>
      </c>
      <c r="G834" s="185">
        <v>9.0</v>
      </c>
      <c r="H834" s="185">
        <v>2026.0</v>
      </c>
      <c r="I834" s="186">
        <v>9.0</v>
      </c>
      <c r="J834" s="186">
        <v>2026.0</v>
      </c>
      <c r="K834" s="187"/>
      <c r="L834" s="187" t="s">
        <v>1102</v>
      </c>
      <c r="M834" s="27">
        <v>1.0</v>
      </c>
      <c r="N834" s="187">
        <v>379.28</v>
      </c>
      <c r="O834" s="58"/>
      <c r="P834" s="74"/>
      <c r="Q834" s="74" t="s">
        <v>1103</v>
      </c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</row>
    <row r="835" ht="15.75" customHeight="1">
      <c r="A835" s="74" t="s">
        <v>151</v>
      </c>
      <c r="B835" s="27" t="s">
        <v>137</v>
      </c>
      <c r="C835" s="183"/>
      <c r="D835" s="74" t="s">
        <v>245</v>
      </c>
      <c r="E835" s="184">
        <v>46286.0</v>
      </c>
      <c r="F835" s="185">
        <v>21.0</v>
      </c>
      <c r="G835" s="185">
        <v>9.0</v>
      </c>
      <c r="H835" s="185">
        <v>2026.0</v>
      </c>
      <c r="I835" s="186">
        <v>9.0</v>
      </c>
      <c r="J835" s="186">
        <v>2026.0</v>
      </c>
      <c r="K835" s="187"/>
      <c r="L835" s="187" t="s">
        <v>1105</v>
      </c>
      <c r="M835" s="27">
        <v>1.0</v>
      </c>
      <c r="N835" s="187">
        <v>1.39</v>
      </c>
      <c r="O835" s="58"/>
      <c r="P835" s="74" t="s">
        <v>1106</v>
      </c>
      <c r="Q835" s="74" t="s">
        <v>1107</v>
      </c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</row>
    <row r="836" ht="15.75" customHeight="1">
      <c r="A836" s="74" t="s">
        <v>22</v>
      </c>
      <c r="B836" s="27" t="s">
        <v>27</v>
      </c>
      <c r="C836" s="183"/>
      <c r="D836" s="74" t="s">
        <v>2</v>
      </c>
      <c r="E836" s="184">
        <v>46286.0</v>
      </c>
      <c r="F836" s="185">
        <v>21.0</v>
      </c>
      <c r="G836" s="185">
        <v>9.0</v>
      </c>
      <c r="H836" s="185">
        <v>2026.0</v>
      </c>
      <c r="I836" s="186">
        <v>9.0</v>
      </c>
      <c r="J836" s="186">
        <v>2026.0</v>
      </c>
      <c r="K836" s="187"/>
      <c r="L836" s="187" t="s">
        <v>1110</v>
      </c>
      <c r="M836" s="27">
        <v>1.0</v>
      </c>
      <c r="N836" s="187">
        <v>299.24</v>
      </c>
      <c r="O836" s="58"/>
      <c r="P836" s="74"/>
      <c r="Q836" s="74" t="s">
        <v>1111</v>
      </c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</row>
    <row r="837" ht="15.75" customHeight="1">
      <c r="A837" s="74" t="s">
        <v>178</v>
      </c>
      <c r="B837" s="27" t="s">
        <v>310</v>
      </c>
      <c r="C837" s="183"/>
      <c r="D837" s="74" t="s">
        <v>2</v>
      </c>
      <c r="E837" s="184">
        <v>46287.0</v>
      </c>
      <c r="F837" s="185">
        <v>22.0</v>
      </c>
      <c r="G837" s="185">
        <v>9.0</v>
      </c>
      <c r="H837" s="185">
        <v>2026.0</v>
      </c>
      <c r="I837" s="186">
        <v>9.0</v>
      </c>
      <c r="J837" s="186">
        <v>2026.0</v>
      </c>
      <c r="K837" s="187"/>
      <c r="L837" s="187">
        <v>50.0</v>
      </c>
      <c r="M837" s="27">
        <v>1.0</v>
      </c>
      <c r="N837" s="187">
        <v>50.0</v>
      </c>
      <c r="O837" s="58"/>
      <c r="P837" s="74"/>
      <c r="Q837" s="74" t="s">
        <v>815</v>
      </c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</row>
    <row r="838" ht="15.75" customHeight="1">
      <c r="A838" s="74" t="s">
        <v>151</v>
      </c>
      <c r="B838" s="27" t="s">
        <v>182</v>
      </c>
      <c r="C838" s="183"/>
      <c r="D838" s="74" t="s">
        <v>245</v>
      </c>
      <c r="E838" s="184">
        <v>46287.0</v>
      </c>
      <c r="F838" s="185">
        <v>22.0</v>
      </c>
      <c r="G838" s="185">
        <v>9.0</v>
      </c>
      <c r="H838" s="185">
        <v>2026.0</v>
      </c>
      <c r="I838" s="186">
        <v>9.0</v>
      </c>
      <c r="J838" s="186">
        <v>2026.0</v>
      </c>
      <c r="K838" s="187"/>
      <c r="L838" s="187">
        <v>46114.0</v>
      </c>
      <c r="M838" s="27">
        <v>1.0</v>
      </c>
      <c r="N838" s="187">
        <v>2.4</v>
      </c>
      <c r="O838" s="58"/>
      <c r="P838" s="74" t="s">
        <v>1114</v>
      </c>
      <c r="Q838" s="74" t="s">
        <v>1115</v>
      </c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</row>
    <row r="839" ht="15.75" customHeight="1">
      <c r="A839" s="74" t="s">
        <v>253</v>
      </c>
      <c r="B839" s="27" t="s">
        <v>266</v>
      </c>
      <c r="C839" s="183"/>
      <c r="D839" s="74" t="s">
        <v>245</v>
      </c>
      <c r="E839" s="184">
        <v>46288.0</v>
      </c>
      <c r="F839" s="185">
        <v>23.0</v>
      </c>
      <c r="G839" s="185">
        <v>9.0</v>
      </c>
      <c r="H839" s="185">
        <v>2026.0</v>
      </c>
      <c r="I839" s="186">
        <v>9.0</v>
      </c>
      <c r="J839" s="186">
        <v>2026.0</v>
      </c>
      <c r="K839" s="187"/>
      <c r="L839" s="187">
        <v>500.0</v>
      </c>
      <c r="M839" s="27">
        <v>1.0</v>
      </c>
      <c r="N839" s="187">
        <v>500.0</v>
      </c>
      <c r="O839" s="58"/>
      <c r="P839" s="74" t="s">
        <v>1117</v>
      </c>
      <c r="Q839" s="74" t="s">
        <v>1118</v>
      </c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</row>
    <row r="840" ht="15.75" customHeight="1">
      <c r="A840" s="74" t="s">
        <v>151</v>
      </c>
      <c r="B840" s="27" t="s">
        <v>185</v>
      </c>
      <c r="C840" s="183"/>
      <c r="D840" s="74" t="s">
        <v>245</v>
      </c>
      <c r="E840" s="184">
        <v>46288.0</v>
      </c>
      <c r="F840" s="185">
        <v>23.0</v>
      </c>
      <c r="G840" s="185">
        <v>9.0</v>
      </c>
      <c r="H840" s="185">
        <v>2026.0</v>
      </c>
      <c r="I840" s="186">
        <v>9.0</v>
      </c>
      <c r="J840" s="186">
        <v>2026.0</v>
      </c>
      <c r="K840" s="187"/>
      <c r="L840" s="187" t="s">
        <v>999</v>
      </c>
      <c r="M840" s="27">
        <v>72.0</v>
      </c>
      <c r="N840" s="187">
        <v>61.92</v>
      </c>
      <c r="O840" s="58"/>
      <c r="P840" s="74" t="s">
        <v>1030</v>
      </c>
      <c r="Q840" s="74" t="s">
        <v>1119</v>
      </c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</row>
    <row r="841" ht="15.75" customHeight="1">
      <c r="A841" s="74" t="s">
        <v>151</v>
      </c>
      <c r="B841" s="27" t="s">
        <v>146</v>
      </c>
      <c r="C841" s="183"/>
      <c r="D841" s="74" t="s">
        <v>245</v>
      </c>
      <c r="E841" s="184">
        <v>46288.0</v>
      </c>
      <c r="F841" s="185">
        <v>23.0</v>
      </c>
      <c r="G841" s="185">
        <v>9.0</v>
      </c>
      <c r="H841" s="185">
        <v>2026.0</v>
      </c>
      <c r="I841" s="186">
        <v>9.0</v>
      </c>
      <c r="J841" s="186">
        <v>2026.0</v>
      </c>
      <c r="K841" s="187"/>
      <c r="L841" s="187" t="s">
        <v>1029</v>
      </c>
      <c r="M841" s="27">
        <v>12.0</v>
      </c>
      <c r="N841" s="187">
        <v>35.4</v>
      </c>
      <c r="O841" s="58"/>
      <c r="P841" s="74" t="s">
        <v>1030</v>
      </c>
      <c r="Q841" s="74" t="s">
        <v>1119</v>
      </c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</row>
    <row r="842" ht="15.75" customHeight="1">
      <c r="A842" s="74" t="s">
        <v>151</v>
      </c>
      <c r="B842" s="27" t="s">
        <v>193</v>
      </c>
      <c r="C842" s="183"/>
      <c r="D842" s="74" t="s">
        <v>245</v>
      </c>
      <c r="E842" s="184">
        <v>46288.0</v>
      </c>
      <c r="F842" s="185">
        <v>23.0</v>
      </c>
      <c r="G842" s="185">
        <v>9.0</v>
      </c>
      <c r="H842" s="185">
        <v>2026.0</v>
      </c>
      <c r="I842" s="186">
        <v>9.0</v>
      </c>
      <c r="J842" s="186">
        <v>2026.0</v>
      </c>
      <c r="K842" s="187"/>
      <c r="L842" s="187" t="s">
        <v>982</v>
      </c>
      <c r="M842" s="27">
        <v>24.0</v>
      </c>
      <c r="N842" s="187">
        <v>18.96</v>
      </c>
      <c r="O842" s="58"/>
      <c r="P842" s="74" t="s">
        <v>1030</v>
      </c>
      <c r="Q842" s="74" t="s">
        <v>1119</v>
      </c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</row>
    <row r="843" ht="15.75" customHeight="1">
      <c r="A843" s="74" t="s">
        <v>151</v>
      </c>
      <c r="B843" s="27" t="s">
        <v>181</v>
      </c>
      <c r="C843" s="183"/>
      <c r="D843" s="74" t="s">
        <v>245</v>
      </c>
      <c r="E843" s="184">
        <v>46288.0</v>
      </c>
      <c r="F843" s="185">
        <v>23.0</v>
      </c>
      <c r="G843" s="185">
        <v>9.0</v>
      </c>
      <c r="H843" s="185">
        <v>2026.0</v>
      </c>
      <c r="I843" s="186">
        <v>9.0</v>
      </c>
      <c r="J843" s="186">
        <v>2026.0</v>
      </c>
      <c r="K843" s="187"/>
      <c r="L843" s="187" t="s">
        <v>961</v>
      </c>
      <c r="M843" s="27">
        <v>7.0</v>
      </c>
      <c r="N843" s="187">
        <v>10.43</v>
      </c>
      <c r="O843" s="58"/>
      <c r="P843" s="74" t="s">
        <v>1039</v>
      </c>
      <c r="Q843" s="74" t="s">
        <v>1120</v>
      </c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</row>
    <row r="844" ht="15.75" customHeight="1">
      <c r="A844" s="74" t="s">
        <v>151</v>
      </c>
      <c r="B844" s="27" t="s">
        <v>173</v>
      </c>
      <c r="C844" s="183"/>
      <c r="D844" s="74" t="s">
        <v>245</v>
      </c>
      <c r="E844" s="184">
        <v>46288.0</v>
      </c>
      <c r="F844" s="185">
        <v>23.0</v>
      </c>
      <c r="G844" s="185">
        <v>9.0</v>
      </c>
      <c r="H844" s="185">
        <v>2026.0</v>
      </c>
      <c r="I844" s="186">
        <v>9.0</v>
      </c>
      <c r="J844" s="186">
        <v>2026.0</v>
      </c>
      <c r="K844" s="187"/>
      <c r="L844" s="187" t="s">
        <v>957</v>
      </c>
      <c r="M844" s="27">
        <v>3.0</v>
      </c>
      <c r="N844" s="187">
        <v>8.97</v>
      </c>
      <c r="O844" s="58"/>
      <c r="P844" s="74" t="s">
        <v>1030</v>
      </c>
      <c r="Q844" s="74" t="s">
        <v>1119</v>
      </c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</row>
    <row r="845" ht="15.75" customHeight="1">
      <c r="A845" s="74" t="s">
        <v>151</v>
      </c>
      <c r="B845" s="27" t="s">
        <v>192</v>
      </c>
      <c r="C845" s="183"/>
      <c r="D845" s="74" t="s">
        <v>245</v>
      </c>
      <c r="E845" s="184">
        <v>46288.0</v>
      </c>
      <c r="F845" s="185">
        <v>23.0</v>
      </c>
      <c r="G845" s="185">
        <v>9.0</v>
      </c>
      <c r="H845" s="185">
        <v>2026.0</v>
      </c>
      <c r="I845" s="186">
        <v>9.0</v>
      </c>
      <c r="J845" s="186">
        <v>2026.0</v>
      </c>
      <c r="K845" s="187"/>
      <c r="L845" s="187" t="s">
        <v>982</v>
      </c>
      <c r="M845" s="27">
        <v>5.0</v>
      </c>
      <c r="N845" s="187">
        <v>3.95</v>
      </c>
      <c r="O845" s="58"/>
      <c r="P845" s="74" t="s">
        <v>1030</v>
      </c>
      <c r="Q845" s="74" t="s">
        <v>1119</v>
      </c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</row>
    <row r="846" ht="15.75" customHeight="1">
      <c r="A846" s="74" t="s">
        <v>154</v>
      </c>
      <c r="B846" s="27" t="s">
        <v>220</v>
      </c>
      <c r="C846" s="183"/>
      <c r="D846" s="74" t="s">
        <v>245</v>
      </c>
      <c r="E846" s="184">
        <v>46288.0</v>
      </c>
      <c r="F846" s="185">
        <v>23.0</v>
      </c>
      <c r="G846" s="185">
        <v>9.0</v>
      </c>
      <c r="H846" s="185">
        <v>2026.0</v>
      </c>
      <c r="I846" s="186">
        <v>9.0</v>
      </c>
      <c r="J846" s="186">
        <v>2026.0</v>
      </c>
      <c r="K846" s="187"/>
      <c r="L846" s="187">
        <v>46205.0</v>
      </c>
      <c r="M846" s="27">
        <v>1.0</v>
      </c>
      <c r="N846" s="187">
        <v>2.07</v>
      </c>
      <c r="O846" s="58"/>
      <c r="P846" s="74" t="s">
        <v>1030</v>
      </c>
      <c r="Q846" s="74" t="s">
        <v>1119</v>
      </c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</row>
    <row r="847" ht="15.75" customHeight="1">
      <c r="A847" s="74" t="s">
        <v>167</v>
      </c>
      <c r="B847" s="27" t="s">
        <v>32</v>
      </c>
      <c r="C847" s="183"/>
      <c r="D847" s="74" t="s">
        <v>2</v>
      </c>
      <c r="E847" s="184">
        <v>46289.0</v>
      </c>
      <c r="F847" s="185">
        <v>24.0</v>
      </c>
      <c r="G847" s="185">
        <v>9.0</v>
      </c>
      <c r="H847" s="185">
        <v>2026.0</v>
      </c>
      <c r="I847" s="186">
        <v>8.0</v>
      </c>
      <c r="J847" s="186">
        <v>2026.0</v>
      </c>
      <c r="K847" s="187"/>
      <c r="L847" s="187">
        <v>1000.0</v>
      </c>
      <c r="M847" s="27">
        <v>1.0</v>
      </c>
      <c r="N847" s="187">
        <v>1000.0</v>
      </c>
      <c r="O847" s="58"/>
      <c r="P847" s="74">
        <v>1.0</v>
      </c>
      <c r="Q847" s="74" t="s">
        <v>305</v>
      </c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</row>
    <row r="848" ht="15.75" customHeight="1">
      <c r="A848" s="74" t="s">
        <v>253</v>
      </c>
      <c r="B848" s="27" t="s">
        <v>266</v>
      </c>
      <c r="C848" s="183"/>
      <c r="D848" s="74" t="s">
        <v>245</v>
      </c>
      <c r="E848" s="184">
        <v>46289.0</v>
      </c>
      <c r="F848" s="185">
        <v>24.0</v>
      </c>
      <c r="G848" s="185">
        <v>9.0</v>
      </c>
      <c r="H848" s="185">
        <v>2026.0</v>
      </c>
      <c r="I848" s="186">
        <v>9.0</v>
      </c>
      <c r="J848" s="186">
        <v>2026.0</v>
      </c>
      <c r="K848" s="187"/>
      <c r="L848" s="187">
        <v>500.0</v>
      </c>
      <c r="M848" s="27">
        <v>1.0</v>
      </c>
      <c r="N848" s="187">
        <v>500.0</v>
      </c>
      <c r="O848" s="58"/>
      <c r="P848" s="74" t="s">
        <v>1121</v>
      </c>
      <c r="Q848" s="74" t="s">
        <v>1122</v>
      </c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</row>
    <row r="849" ht="15.75" customHeight="1">
      <c r="A849" s="74" t="s">
        <v>167</v>
      </c>
      <c r="B849" s="27" t="s">
        <v>161</v>
      </c>
      <c r="C849" s="183"/>
      <c r="D849" s="74" t="s">
        <v>245</v>
      </c>
      <c r="E849" s="184">
        <v>46289.0</v>
      </c>
      <c r="F849" s="185">
        <v>24.0</v>
      </c>
      <c r="G849" s="185">
        <v>9.0</v>
      </c>
      <c r="H849" s="185">
        <v>2026.0</v>
      </c>
      <c r="I849" s="186">
        <v>9.0</v>
      </c>
      <c r="J849" s="186">
        <v>2026.0</v>
      </c>
      <c r="K849" s="187"/>
      <c r="L849" s="187">
        <v>40.0</v>
      </c>
      <c r="M849" s="27">
        <v>2.0</v>
      </c>
      <c r="N849" s="187">
        <v>80.0</v>
      </c>
      <c r="O849" s="58"/>
      <c r="P849" s="74" t="s">
        <v>1123</v>
      </c>
      <c r="Q849" s="74" t="s">
        <v>1124</v>
      </c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</row>
    <row r="850" ht="15.75" customHeight="1">
      <c r="A850" s="74" t="s">
        <v>151</v>
      </c>
      <c r="B850" s="27" t="s">
        <v>137</v>
      </c>
      <c r="C850" s="183"/>
      <c r="D850" s="74" t="s">
        <v>245</v>
      </c>
      <c r="E850" s="184">
        <v>46290.0</v>
      </c>
      <c r="F850" s="185">
        <v>25.0</v>
      </c>
      <c r="G850" s="185">
        <v>9.0</v>
      </c>
      <c r="H850" s="185">
        <v>2026.0</v>
      </c>
      <c r="I850" s="186">
        <v>9.0</v>
      </c>
      <c r="J850" s="186">
        <v>2026.0</v>
      </c>
      <c r="K850" s="187"/>
      <c r="L850" s="187" t="s">
        <v>1125</v>
      </c>
      <c r="M850" s="27">
        <v>1.0</v>
      </c>
      <c r="N850" s="187">
        <v>0.66</v>
      </c>
      <c r="O850" s="58"/>
      <c r="P850" s="74" t="s">
        <v>1126</v>
      </c>
      <c r="Q850" s="74" t="s">
        <v>1127</v>
      </c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</row>
    <row r="851" ht="15.75" customHeight="1">
      <c r="A851" s="74" t="s">
        <v>253</v>
      </c>
      <c r="B851" s="27" t="s">
        <v>266</v>
      </c>
      <c r="C851" s="183"/>
      <c r="D851" s="74" t="s">
        <v>245</v>
      </c>
      <c r="E851" s="184">
        <v>46292.0</v>
      </c>
      <c r="F851" s="185">
        <v>27.0</v>
      </c>
      <c r="G851" s="185">
        <v>9.0</v>
      </c>
      <c r="H851" s="185">
        <v>2026.0</v>
      </c>
      <c r="I851" s="186">
        <v>9.0</v>
      </c>
      <c r="J851" s="186">
        <v>2026.0</v>
      </c>
      <c r="K851" s="187"/>
      <c r="L851" s="187">
        <v>500.0</v>
      </c>
      <c r="M851" s="27">
        <v>1.0</v>
      </c>
      <c r="N851" s="187">
        <v>500.0</v>
      </c>
      <c r="O851" s="58"/>
      <c r="P851" s="74" t="s">
        <v>1128</v>
      </c>
      <c r="Q851" s="74" t="s">
        <v>1129</v>
      </c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</row>
    <row r="852" ht="15.75" customHeight="1">
      <c r="A852" s="74" t="s">
        <v>178</v>
      </c>
      <c r="B852" s="27" t="s">
        <v>310</v>
      </c>
      <c r="C852" s="183"/>
      <c r="D852" s="74" t="s">
        <v>245</v>
      </c>
      <c r="E852" s="184">
        <v>46292.0</v>
      </c>
      <c r="F852" s="185">
        <v>27.0</v>
      </c>
      <c r="G852" s="185">
        <v>9.0</v>
      </c>
      <c r="H852" s="185">
        <v>2026.0</v>
      </c>
      <c r="I852" s="186">
        <v>9.0</v>
      </c>
      <c r="J852" s="186">
        <v>2026.0</v>
      </c>
      <c r="K852" s="187"/>
      <c r="L852" s="187">
        <v>310.0</v>
      </c>
      <c r="M852" s="27">
        <v>1.0</v>
      </c>
      <c r="N852" s="187">
        <v>310.0</v>
      </c>
      <c r="O852" s="58"/>
      <c r="P852" s="74" t="s">
        <v>1130</v>
      </c>
      <c r="Q852" s="74" t="s">
        <v>1131</v>
      </c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</row>
    <row r="853" ht="15.75" customHeight="1">
      <c r="A853" s="74" t="s">
        <v>167</v>
      </c>
      <c r="B853" s="27" t="s">
        <v>41</v>
      </c>
      <c r="C853" s="183"/>
      <c r="D853" s="74" t="s">
        <v>2</v>
      </c>
      <c r="E853" s="184">
        <v>46293.0</v>
      </c>
      <c r="F853" s="185">
        <v>28.0</v>
      </c>
      <c r="G853" s="185">
        <v>9.0</v>
      </c>
      <c r="H853" s="185">
        <v>2026.0</v>
      </c>
      <c r="I853" s="186">
        <v>8.0</v>
      </c>
      <c r="J853" s="186">
        <v>2026.0</v>
      </c>
      <c r="K853" s="187"/>
      <c r="L853" s="187" t="s">
        <v>1132</v>
      </c>
      <c r="M853" s="27">
        <v>1.0</v>
      </c>
      <c r="N853" s="187">
        <v>669.65</v>
      </c>
      <c r="O853" s="58"/>
      <c r="P853" s="74"/>
      <c r="Q853" s="74" t="s">
        <v>1133</v>
      </c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</row>
    <row r="854" ht="15.75" customHeight="1">
      <c r="A854" s="74" t="s">
        <v>151</v>
      </c>
      <c r="B854" s="27" t="s">
        <v>181</v>
      </c>
      <c r="C854" s="183"/>
      <c r="D854" s="74" t="s">
        <v>245</v>
      </c>
      <c r="E854" s="184">
        <v>46293.0</v>
      </c>
      <c r="F854" s="185">
        <v>28.0</v>
      </c>
      <c r="G854" s="185">
        <v>9.0</v>
      </c>
      <c r="H854" s="185">
        <v>2026.0</v>
      </c>
      <c r="I854" s="186">
        <v>9.0</v>
      </c>
      <c r="J854" s="186">
        <v>2026.0</v>
      </c>
      <c r="K854" s="187"/>
      <c r="L854" s="187" t="s">
        <v>1134</v>
      </c>
      <c r="M854" s="27">
        <v>10.0</v>
      </c>
      <c r="N854" s="187">
        <v>11.9</v>
      </c>
      <c r="O854" s="58"/>
      <c r="P854" s="74" t="s">
        <v>1039</v>
      </c>
      <c r="Q854" s="74" t="s">
        <v>1135</v>
      </c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</row>
    <row r="855" ht="15.75" customHeight="1">
      <c r="A855" s="74" t="s">
        <v>151</v>
      </c>
      <c r="B855" s="27" t="s">
        <v>182</v>
      </c>
      <c r="C855" s="183"/>
      <c r="D855" s="74" t="s">
        <v>245</v>
      </c>
      <c r="E855" s="184">
        <v>46293.0</v>
      </c>
      <c r="F855" s="185">
        <v>28.0</v>
      </c>
      <c r="G855" s="185">
        <v>9.0</v>
      </c>
      <c r="H855" s="185">
        <v>2026.0</v>
      </c>
      <c r="I855" s="186">
        <v>9.0</v>
      </c>
      <c r="J855" s="186">
        <v>2026.0</v>
      </c>
      <c r="K855" s="187"/>
      <c r="L855" s="187" t="s">
        <v>1136</v>
      </c>
      <c r="M855" s="27">
        <v>1.0</v>
      </c>
      <c r="N855" s="187">
        <v>4.15</v>
      </c>
      <c r="O855" s="58"/>
      <c r="P855" s="74" t="s">
        <v>1039</v>
      </c>
      <c r="Q855" s="74" t="s">
        <v>1135</v>
      </c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</row>
    <row r="856" ht="15.75" customHeight="1">
      <c r="A856" s="74" t="s">
        <v>151</v>
      </c>
      <c r="B856" s="27" t="s">
        <v>137</v>
      </c>
      <c r="C856" s="183"/>
      <c r="D856" s="74" t="s">
        <v>245</v>
      </c>
      <c r="E856" s="184">
        <v>46293.0</v>
      </c>
      <c r="F856" s="185">
        <v>28.0</v>
      </c>
      <c r="G856" s="185">
        <v>9.0</v>
      </c>
      <c r="H856" s="185">
        <v>2026.0</v>
      </c>
      <c r="I856" s="186">
        <v>9.0</v>
      </c>
      <c r="J856" s="186">
        <v>2026.0</v>
      </c>
      <c r="K856" s="187"/>
      <c r="L856" s="187" t="s">
        <v>1137</v>
      </c>
      <c r="M856" s="27">
        <v>1.0</v>
      </c>
      <c r="N856" s="187">
        <v>0.6</v>
      </c>
      <c r="O856" s="58"/>
      <c r="P856" s="74" t="s">
        <v>1039</v>
      </c>
      <c r="Q856" s="74" t="s">
        <v>1135</v>
      </c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</row>
    <row r="857" ht="15.75" customHeight="1">
      <c r="A857" s="74" t="s">
        <v>22</v>
      </c>
      <c r="B857" s="27" t="s">
        <v>27</v>
      </c>
      <c r="C857" s="183"/>
      <c r="D857" s="74" t="s">
        <v>2</v>
      </c>
      <c r="E857" s="184">
        <v>46294.0</v>
      </c>
      <c r="F857" s="185">
        <v>29.0</v>
      </c>
      <c r="G857" s="185">
        <v>9.0</v>
      </c>
      <c r="H857" s="185">
        <v>2026.0</v>
      </c>
      <c r="I857" s="186">
        <v>9.0</v>
      </c>
      <c r="J857" s="186">
        <v>2026.0</v>
      </c>
      <c r="K857" s="187"/>
      <c r="L857" s="187" t="s">
        <v>1138</v>
      </c>
      <c r="M857" s="27">
        <v>1.0</v>
      </c>
      <c r="N857" s="187">
        <v>27.95</v>
      </c>
      <c r="O857" s="58"/>
      <c r="P857" s="74"/>
      <c r="Q857" s="74" t="s">
        <v>395</v>
      </c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</row>
    <row r="858" ht="15.75" customHeight="1">
      <c r="A858" s="74" t="s">
        <v>334</v>
      </c>
      <c r="B858" s="27" t="s">
        <v>34</v>
      </c>
      <c r="C858" s="183"/>
      <c r="D858" s="74" t="s">
        <v>12</v>
      </c>
      <c r="E858" s="184">
        <v>46295.0</v>
      </c>
      <c r="F858" s="185">
        <v>30.0</v>
      </c>
      <c r="G858" s="185">
        <v>9.0</v>
      </c>
      <c r="H858" s="185">
        <v>2026.0</v>
      </c>
      <c r="I858" s="186">
        <v>9.0</v>
      </c>
      <c r="J858" s="186">
        <v>2026.0</v>
      </c>
      <c r="K858" s="187"/>
      <c r="L858" s="187">
        <v>1839.0</v>
      </c>
      <c r="M858" s="27">
        <v>1.0</v>
      </c>
      <c r="N858" s="187">
        <v>1839.0</v>
      </c>
      <c r="O858" s="58"/>
      <c r="P858" s="74"/>
      <c r="Q858" s="74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</row>
    <row r="859" ht="15.75" customHeight="1">
      <c r="A859" s="74" t="s">
        <v>178</v>
      </c>
      <c r="B859" s="27" t="s">
        <v>311</v>
      </c>
      <c r="C859" s="183"/>
      <c r="D859" s="74" t="s">
        <v>2</v>
      </c>
      <c r="E859" s="184">
        <v>46295.0</v>
      </c>
      <c r="F859" s="185">
        <v>30.0</v>
      </c>
      <c r="G859" s="185">
        <v>9.0</v>
      </c>
      <c r="H859" s="185">
        <v>2026.0</v>
      </c>
      <c r="I859" s="186">
        <v>9.0</v>
      </c>
      <c r="J859" s="186">
        <v>2026.0</v>
      </c>
      <c r="K859" s="187"/>
      <c r="L859" s="187">
        <v>1000.0</v>
      </c>
      <c r="M859" s="27">
        <v>1.0</v>
      </c>
      <c r="N859" s="187">
        <v>1000.0</v>
      </c>
      <c r="O859" s="58"/>
      <c r="P859" s="74"/>
      <c r="Q859" s="74" t="s">
        <v>1139</v>
      </c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</row>
    <row r="860" ht="15.75" customHeight="1">
      <c r="A860" s="74" t="s">
        <v>253</v>
      </c>
      <c r="B860" s="27" t="s">
        <v>266</v>
      </c>
      <c r="C860" s="183"/>
      <c r="D860" s="74" t="s">
        <v>245</v>
      </c>
      <c r="E860" s="184">
        <v>46295.0</v>
      </c>
      <c r="F860" s="185">
        <v>30.0</v>
      </c>
      <c r="G860" s="185">
        <v>9.0</v>
      </c>
      <c r="H860" s="185">
        <v>2026.0</v>
      </c>
      <c r="I860" s="186">
        <v>9.0</v>
      </c>
      <c r="J860" s="186">
        <v>2026.0</v>
      </c>
      <c r="K860" s="187"/>
      <c r="L860" s="187">
        <v>500.0</v>
      </c>
      <c r="M860" s="27">
        <v>1.0</v>
      </c>
      <c r="N860" s="187">
        <v>500.0</v>
      </c>
      <c r="O860" s="58"/>
      <c r="P860" s="74" t="s">
        <v>1140</v>
      </c>
      <c r="Q860" s="74" t="s">
        <v>1141</v>
      </c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</row>
    <row r="861" ht="15.75" customHeight="1">
      <c r="A861" s="74" t="s">
        <v>178</v>
      </c>
      <c r="B861" s="27" t="s">
        <v>311</v>
      </c>
      <c r="C861" s="183"/>
      <c r="D861" s="74" t="s">
        <v>5</v>
      </c>
      <c r="E861" s="184">
        <v>46295.0</v>
      </c>
      <c r="F861" s="185">
        <v>30.0</v>
      </c>
      <c r="G861" s="185">
        <v>9.0</v>
      </c>
      <c r="H861" s="185">
        <v>2026.0</v>
      </c>
      <c r="I861" s="186">
        <v>9.0</v>
      </c>
      <c r="J861" s="186">
        <v>2026.0</v>
      </c>
      <c r="K861" s="187"/>
      <c r="L861" s="187">
        <v>250.0</v>
      </c>
      <c r="M861" s="27">
        <v>1.0</v>
      </c>
      <c r="N861" s="187">
        <v>250.0</v>
      </c>
      <c r="O861" s="58"/>
      <c r="P861" s="74"/>
      <c r="Q861" s="74" t="s">
        <v>1142</v>
      </c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</row>
    <row r="862" ht="15.75" customHeight="1">
      <c r="A862" s="74" t="s">
        <v>178</v>
      </c>
      <c r="B862" s="27" t="s">
        <v>154</v>
      </c>
      <c r="C862" s="183"/>
      <c r="D862" s="74" t="s">
        <v>2</v>
      </c>
      <c r="E862" s="184">
        <v>46295.0</v>
      </c>
      <c r="F862" s="185">
        <v>30.0</v>
      </c>
      <c r="G862" s="185">
        <v>9.0</v>
      </c>
      <c r="H862" s="185">
        <v>2026.0</v>
      </c>
      <c r="I862" s="186">
        <v>9.0</v>
      </c>
      <c r="J862" s="186">
        <v>2026.0</v>
      </c>
      <c r="K862" s="187"/>
      <c r="L862" s="187">
        <v>100.0</v>
      </c>
      <c r="M862" s="27">
        <v>1.0</v>
      </c>
      <c r="N862" s="187">
        <v>100.0</v>
      </c>
      <c r="O862" s="58"/>
      <c r="P862" s="74"/>
      <c r="Q862" s="74" t="s">
        <v>824</v>
      </c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</row>
    <row r="863" ht="15.75" customHeight="1">
      <c r="A863" s="74" t="s">
        <v>175</v>
      </c>
      <c r="B863" s="27" t="s">
        <v>299</v>
      </c>
      <c r="C863" s="183"/>
      <c r="D863" s="74" t="s">
        <v>245</v>
      </c>
      <c r="E863" s="184">
        <v>46295.0</v>
      </c>
      <c r="F863" s="185">
        <v>30.0</v>
      </c>
      <c r="G863" s="185">
        <v>9.0</v>
      </c>
      <c r="H863" s="185">
        <v>2026.0</v>
      </c>
      <c r="I863" s="186">
        <v>9.0</v>
      </c>
      <c r="J863" s="186">
        <v>2026.0</v>
      </c>
      <c r="K863" s="187"/>
      <c r="L863" s="187">
        <v>46074.0</v>
      </c>
      <c r="M863" s="27">
        <v>1.0</v>
      </c>
      <c r="N863" s="187">
        <v>21.2</v>
      </c>
      <c r="O863" s="58"/>
      <c r="P863" s="74" t="s">
        <v>299</v>
      </c>
      <c r="Q863" s="74" t="s">
        <v>1144</v>
      </c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</row>
    <row r="864" ht="15.75" customHeight="1">
      <c r="A864" s="74" t="s">
        <v>178</v>
      </c>
      <c r="B864" s="27" t="s">
        <v>154</v>
      </c>
      <c r="C864" s="183"/>
      <c r="D864" s="74" t="s">
        <v>2</v>
      </c>
      <c r="E864" s="184">
        <v>46296.0</v>
      </c>
      <c r="F864" s="185">
        <v>1.0</v>
      </c>
      <c r="G864" s="185">
        <v>10.0</v>
      </c>
      <c r="H864" s="185">
        <v>2026.0</v>
      </c>
      <c r="I864" s="186">
        <v>9.0</v>
      </c>
      <c r="J864" s="186">
        <v>2026.0</v>
      </c>
      <c r="K864" s="187"/>
      <c r="L864" s="187">
        <v>2410.8</v>
      </c>
      <c r="M864" s="27">
        <v>1.0</v>
      </c>
      <c r="N864" s="187">
        <v>2410.8</v>
      </c>
      <c r="O864" s="58"/>
      <c r="P864" s="74"/>
      <c r="Q864" s="74" t="s">
        <v>1145</v>
      </c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</row>
    <row r="865" ht="15.75" customHeight="1">
      <c r="A865" s="74" t="s">
        <v>178</v>
      </c>
      <c r="B865" s="27" t="s">
        <v>309</v>
      </c>
      <c r="C865" s="183"/>
      <c r="D865" s="74" t="s">
        <v>2</v>
      </c>
      <c r="E865" s="184">
        <v>46296.0</v>
      </c>
      <c r="F865" s="185">
        <v>1.0</v>
      </c>
      <c r="G865" s="185">
        <v>10.0</v>
      </c>
      <c r="H865" s="185">
        <v>2026.0</v>
      </c>
      <c r="I865" s="186">
        <v>9.0</v>
      </c>
      <c r="J865" s="186">
        <v>2026.0</v>
      </c>
      <c r="K865" s="187"/>
      <c r="L865" s="187">
        <v>1900.0</v>
      </c>
      <c r="M865" s="27">
        <v>1.0</v>
      </c>
      <c r="N865" s="187">
        <v>1900.0</v>
      </c>
      <c r="O865" s="58"/>
      <c r="P865" s="74"/>
      <c r="Q865" s="74" t="s">
        <v>1146</v>
      </c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</row>
    <row r="866" ht="15.75" customHeight="1">
      <c r="A866" s="74" t="s">
        <v>178</v>
      </c>
      <c r="B866" s="27" t="s">
        <v>311</v>
      </c>
      <c r="C866" s="183"/>
      <c r="D866" s="74" t="s">
        <v>2</v>
      </c>
      <c r="E866" s="184">
        <v>46296.0</v>
      </c>
      <c r="F866" s="185">
        <v>1.0</v>
      </c>
      <c r="G866" s="185">
        <v>10.0</v>
      </c>
      <c r="H866" s="185">
        <v>2026.0</v>
      </c>
      <c r="I866" s="186">
        <v>9.0</v>
      </c>
      <c r="J866" s="186">
        <v>2026.0</v>
      </c>
      <c r="K866" s="187"/>
      <c r="L866" s="187">
        <v>955.0</v>
      </c>
      <c r="M866" s="27">
        <v>1.0</v>
      </c>
      <c r="N866" s="187">
        <v>955.0</v>
      </c>
      <c r="O866" s="58"/>
      <c r="P866" s="74"/>
      <c r="Q866" s="74" t="s">
        <v>1147</v>
      </c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</row>
    <row r="867" ht="15.75" customHeight="1">
      <c r="A867" s="277" t="s">
        <v>153</v>
      </c>
      <c r="B867" s="74" t="s">
        <v>314</v>
      </c>
      <c r="C867" s="183"/>
      <c r="D867" s="74" t="s">
        <v>2</v>
      </c>
      <c r="E867" s="184">
        <v>46296.0</v>
      </c>
      <c r="F867" s="185">
        <v>1.0</v>
      </c>
      <c r="G867" s="185">
        <v>10.0</v>
      </c>
      <c r="H867" s="185">
        <v>2026.0</v>
      </c>
      <c r="I867" s="186">
        <v>9.0</v>
      </c>
      <c r="J867" s="186">
        <v>2026.0</v>
      </c>
      <c r="K867" s="187"/>
      <c r="L867" s="187">
        <v>17.25</v>
      </c>
      <c r="M867" s="27">
        <v>1.0</v>
      </c>
      <c r="N867" s="187">
        <v>17.25</v>
      </c>
      <c r="O867" s="58"/>
      <c r="P867" s="74" t="s">
        <v>1148</v>
      </c>
      <c r="Q867" s="74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</row>
    <row r="868" ht="15.75" customHeight="1">
      <c r="A868" s="277" t="s">
        <v>167</v>
      </c>
      <c r="B868" s="293" t="s">
        <v>61</v>
      </c>
      <c r="C868" s="183"/>
      <c r="D868" s="277" t="s">
        <v>2</v>
      </c>
      <c r="E868" s="294">
        <v>46305.0</v>
      </c>
      <c r="F868" s="295">
        <v>10.0</v>
      </c>
      <c r="G868" s="295">
        <v>10.0</v>
      </c>
      <c r="H868" s="295">
        <v>2026.0</v>
      </c>
      <c r="I868" s="231">
        <v>8.0</v>
      </c>
      <c r="J868" s="231">
        <v>2026.0</v>
      </c>
      <c r="K868" s="187"/>
      <c r="L868" s="296">
        <v>1160.0</v>
      </c>
      <c r="M868" s="130">
        <v>1.0</v>
      </c>
      <c r="N868" s="296">
        <v>1160.0</v>
      </c>
      <c r="O868" s="58"/>
      <c r="P868" s="74"/>
      <c r="Q868" s="74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</row>
    <row r="869" ht="15.75" customHeight="1">
      <c r="A869" s="277" t="s">
        <v>167</v>
      </c>
      <c r="B869" s="293" t="s">
        <v>61</v>
      </c>
      <c r="C869" s="183"/>
      <c r="D869" s="277" t="s">
        <v>2</v>
      </c>
      <c r="E869" s="294">
        <v>46305.0</v>
      </c>
      <c r="F869" s="295">
        <v>10.0</v>
      </c>
      <c r="G869" s="295">
        <v>10.0</v>
      </c>
      <c r="H869" s="295">
        <v>2026.0</v>
      </c>
      <c r="I869" s="297">
        <v>9.0</v>
      </c>
      <c r="J869" s="231">
        <v>2026.0</v>
      </c>
      <c r="K869" s="187"/>
      <c r="L869" s="296">
        <v>1250.0</v>
      </c>
      <c r="M869" s="130">
        <v>1.0</v>
      </c>
      <c r="N869" s="296">
        <v>1250.0</v>
      </c>
      <c r="O869" s="58"/>
      <c r="P869" s="74"/>
      <c r="Q869" s="74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</row>
    <row r="870" ht="15.75" customHeight="1">
      <c r="A870" s="74"/>
      <c r="B870" s="27"/>
      <c r="C870" s="183"/>
      <c r="D870" s="74"/>
      <c r="E870" s="184"/>
      <c r="F870" s="185"/>
      <c r="G870" s="185"/>
      <c r="H870" s="185"/>
      <c r="I870" s="186"/>
      <c r="J870" s="186"/>
      <c r="K870" s="187"/>
      <c r="L870" s="187"/>
      <c r="M870" s="27"/>
      <c r="N870" s="187"/>
      <c r="O870" s="58"/>
      <c r="P870" s="74"/>
      <c r="Q870" s="74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</row>
    <row r="871" ht="15.75" customHeight="1">
      <c r="A871" s="74"/>
      <c r="B871" s="27"/>
      <c r="C871" s="183"/>
      <c r="D871" s="74"/>
      <c r="E871" s="184"/>
      <c r="F871" s="185"/>
      <c r="G871" s="185"/>
      <c r="H871" s="185"/>
      <c r="I871" s="186"/>
      <c r="J871" s="186"/>
      <c r="K871" s="187"/>
      <c r="L871" s="187"/>
      <c r="M871" s="27"/>
      <c r="N871" s="187"/>
      <c r="O871" s="58"/>
      <c r="P871" s="74"/>
      <c r="Q871" s="74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</row>
    <row r="872" ht="15.75" customHeight="1">
      <c r="A872" s="74"/>
      <c r="B872" s="27"/>
      <c r="C872" s="183"/>
      <c r="D872" s="74"/>
      <c r="E872" s="184"/>
      <c r="F872" s="185"/>
      <c r="G872" s="185"/>
      <c r="H872" s="185"/>
      <c r="I872" s="186"/>
      <c r="J872" s="186"/>
      <c r="K872" s="187"/>
      <c r="L872" s="187"/>
      <c r="M872" s="27"/>
      <c r="N872" s="187"/>
      <c r="O872" s="58"/>
      <c r="P872" s="74"/>
      <c r="Q872" s="74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</row>
    <row r="873" ht="15.75" customHeight="1">
      <c r="A873" s="74"/>
      <c r="B873" s="27"/>
      <c r="C873" s="183"/>
      <c r="D873" s="74"/>
      <c r="E873" s="184"/>
      <c r="F873" s="185"/>
      <c r="G873" s="185"/>
      <c r="H873" s="185"/>
      <c r="I873" s="186"/>
      <c r="J873" s="186"/>
      <c r="K873" s="187"/>
      <c r="L873" s="187"/>
      <c r="M873" s="27"/>
      <c r="N873" s="187"/>
      <c r="O873" s="58"/>
      <c r="P873" s="74"/>
      <c r="Q873" s="74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</row>
    <row r="874" ht="15.75" customHeight="1">
      <c r="A874" s="74"/>
      <c r="B874" s="27"/>
      <c r="C874" s="183"/>
      <c r="D874" s="74"/>
      <c r="E874" s="184"/>
      <c r="F874" s="185"/>
      <c r="G874" s="185"/>
      <c r="H874" s="185"/>
      <c r="I874" s="186"/>
      <c r="J874" s="186"/>
      <c r="K874" s="187"/>
      <c r="L874" s="187"/>
      <c r="M874" s="27"/>
      <c r="N874" s="187"/>
      <c r="O874" s="58"/>
      <c r="P874" s="74"/>
      <c r="Q874" s="74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</row>
    <row r="875" ht="15.75" customHeight="1">
      <c r="A875" s="74"/>
      <c r="B875" s="27"/>
      <c r="C875" s="183"/>
      <c r="D875" s="74"/>
      <c r="E875" s="184"/>
      <c r="F875" s="185"/>
      <c r="G875" s="185"/>
      <c r="H875" s="185"/>
      <c r="I875" s="186"/>
      <c r="J875" s="186"/>
      <c r="K875" s="187"/>
      <c r="L875" s="187"/>
      <c r="M875" s="27"/>
      <c r="N875" s="187"/>
      <c r="O875" s="58"/>
      <c r="P875" s="74"/>
      <c r="Q875" s="74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</row>
    <row r="876" ht="15.75" customHeight="1">
      <c r="A876" s="74"/>
      <c r="B876" s="27"/>
      <c r="C876" s="183"/>
      <c r="D876" s="74"/>
      <c r="E876" s="184"/>
      <c r="F876" s="185"/>
      <c r="G876" s="185"/>
      <c r="H876" s="185"/>
      <c r="I876" s="186"/>
      <c r="J876" s="186"/>
      <c r="K876" s="187"/>
      <c r="L876" s="187"/>
      <c r="M876" s="27"/>
      <c r="N876" s="187"/>
      <c r="O876" s="58"/>
      <c r="P876" s="74"/>
      <c r="Q876" s="74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</row>
    <row r="877" ht="15.75" customHeight="1">
      <c r="A877" s="74"/>
      <c r="B877" s="27"/>
      <c r="C877" s="183"/>
      <c r="D877" s="74"/>
      <c r="E877" s="184"/>
      <c r="F877" s="185"/>
      <c r="G877" s="185"/>
      <c r="H877" s="185"/>
      <c r="I877" s="186"/>
      <c r="J877" s="186"/>
      <c r="K877" s="187"/>
      <c r="L877" s="187"/>
      <c r="M877" s="27"/>
      <c r="N877" s="187"/>
      <c r="O877" s="58"/>
      <c r="P877" s="74"/>
      <c r="Q877" s="74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</row>
    <row r="878" ht="15.75" customHeight="1">
      <c r="A878" s="74"/>
      <c r="B878" s="27"/>
      <c r="C878" s="183"/>
      <c r="D878" s="74"/>
      <c r="E878" s="184"/>
      <c r="F878" s="185"/>
      <c r="G878" s="185"/>
      <c r="H878" s="185"/>
      <c r="I878" s="186"/>
      <c r="J878" s="186"/>
      <c r="K878" s="187"/>
      <c r="L878" s="187"/>
      <c r="M878" s="27"/>
      <c r="N878" s="187"/>
      <c r="O878" s="58"/>
      <c r="P878" s="74"/>
      <c r="Q878" s="74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</row>
    <row r="879" ht="15.75" customHeight="1">
      <c r="A879" s="74"/>
      <c r="B879" s="27"/>
      <c r="C879" s="183"/>
      <c r="D879" s="74"/>
      <c r="E879" s="184"/>
      <c r="F879" s="185"/>
      <c r="G879" s="185"/>
      <c r="H879" s="185"/>
      <c r="I879" s="186"/>
      <c r="J879" s="186"/>
      <c r="K879" s="187"/>
      <c r="L879" s="187"/>
      <c r="M879" s="27"/>
      <c r="N879" s="187"/>
      <c r="O879" s="58"/>
      <c r="P879" s="74"/>
      <c r="Q879" s="74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</row>
    <row r="880" ht="15.75" customHeight="1">
      <c r="A880" s="74"/>
      <c r="B880" s="27"/>
      <c r="C880" s="183"/>
      <c r="D880" s="74"/>
      <c r="E880" s="184"/>
      <c r="F880" s="185"/>
      <c r="G880" s="185"/>
      <c r="H880" s="185"/>
      <c r="I880" s="186"/>
      <c r="J880" s="186"/>
      <c r="K880" s="187"/>
      <c r="L880" s="187"/>
      <c r="M880" s="27"/>
      <c r="N880" s="187"/>
      <c r="O880" s="58"/>
      <c r="P880" s="74"/>
      <c r="Q880" s="74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</row>
    <row r="881" ht="15.75" customHeight="1">
      <c r="A881" s="74"/>
      <c r="B881" s="27"/>
      <c r="C881" s="183"/>
      <c r="D881" s="74"/>
      <c r="E881" s="184"/>
      <c r="F881" s="185"/>
      <c r="G881" s="185"/>
      <c r="H881" s="185"/>
      <c r="I881" s="186"/>
      <c r="J881" s="186"/>
      <c r="K881" s="187"/>
      <c r="L881" s="187"/>
      <c r="M881" s="27"/>
      <c r="N881" s="187"/>
      <c r="O881" s="58"/>
      <c r="P881" s="74"/>
      <c r="Q881" s="74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</row>
    <row r="882" ht="15.75" customHeight="1">
      <c r="A882" s="74"/>
      <c r="B882" s="27"/>
      <c r="C882" s="183"/>
      <c r="D882" s="74"/>
      <c r="E882" s="184"/>
      <c r="F882" s="185"/>
      <c r="G882" s="185"/>
      <c r="H882" s="185"/>
      <c r="I882" s="186"/>
      <c r="J882" s="186"/>
      <c r="K882" s="187"/>
      <c r="L882" s="187"/>
      <c r="M882" s="27"/>
      <c r="N882" s="187"/>
      <c r="O882" s="58"/>
      <c r="P882" s="74"/>
      <c r="Q882" s="74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</row>
    <row r="883" ht="15.75" customHeight="1">
      <c r="A883" s="74"/>
      <c r="B883" s="27"/>
      <c r="C883" s="183"/>
      <c r="D883" s="74"/>
      <c r="E883" s="184"/>
      <c r="F883" s="185"/>
      <c r="G883" s="185"/>
      <c r="H883" s="185"/>
      <c r="I883" s="186"/>
      <c r="J883" s="186"/>
      <c r="K883" s="187"/>
      <c r="L883" s="187"/>
      <c r="M883" s="27"/>
      <c r="N883" s="187"/>
      <c r="O883" s="58"/>
      <c r="P883" s="74"/>
      <c r="Q883" s="74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</row>
    <row r="884" ht="15.75" customHeight="1">
      <c r="A884" s="74"/>
      <c r="B884" s="27"/>
      <c r="C884" s="183"/>
      <c r="D884" s="74"/>
      <c r="E884" s="184"/>
      <c r="F884" s="185"/>
      <c r="G884" s="185"/>
      <c r="H884" s="185"/>
      <c r="I884" s="186"/>
      <c r="J884" s="186"/>
      <c r="K884" s="187"/>
      <c r="L884" s="187"/>
      <c r="M884" s="27"/>
      <c r="N884" s="187"/>
      <c r="O884" s="58"/>
      <c r="P884" s="74"/>
      <c r="Q884" s="74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</row>
    <row r="885" ht="15.75" customHeight="1">
      <c r="A885" s="74"/>
      <c r="B885" s="27"/>
      <c r="C885" s="183"/>
      <c r="D885" s="74"/>
      <c r="E885" s="184"/>
      <c r="F885" s="185"/>
      <c r="G885" s="185"/>
      <c r="H885" s="185"/>
      <c r="I885" s="186"/>
      <c r="J885" s="186"/>
      <c r="K885" s="187"/>
      <c r="L885" s="187"/>
      <c r="M885" s="27"/>
      <c r="N885" s="187"/>
      <c r="O885" s="58"/>
      <c r="P885" s="74"/>
      <c r="Q885" s="74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</row>
    <row r="886" ht="15.75" customHeight="1">
      <c r="A886" s="74"/>
      <c r="B886" s="27"/>
      <c r="C886" s="183"/>
      <c r="D886" s="74"/>
      <c r="E886" s="184"/>
      <c r="F886" s="185"/>
      <c r="G886" s="185"/>
      <c r="H886" s="185"/>
      <c r="I886" s="186"/>
      <c r="J886" s="186"/>
      <c r="K886" s="187"/>
      <c r="L886" s="187"/>
      <c r="M886" s="27"/>
      <c r="N886" s="187"/>
      <c r="O886" s="58"/>
      <c r="P886" s="74"/>
      <c r="Q886" s="74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</row>
    <row r="887" ht="15.75" customHeight="1">
      <c r="A887" s="74"/>
      <c r="B887" s="27"/>
      <c r="C887" s="183"/>
      <c r="D887" s="74"/>
      <c r="E887" s="184"/>
      <c r="F887" s="185"/>
      <c r="G887" s="185"/>
      <c r="H887" s="185"/>
      <c r="I887" s="186"/>
      <c r="J887" s="186"/>
      <c r="K887" s="187"/>
      <c r="L887" s="187"/>
      <c r="M887" s="27"/>
      <c r="N887" s="187"/>
      <c r="O887" s="58"/>
      <c r="P887" s="74"/>
      <c r="Q887" s="74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</row>
    <row r="888" ht="15.75" customHeight="1">
      <c r="A888" s="74"/>
      <c r="B888" s="27"/>
      <c r="C888" s="183"/>
      <c r="D888" s="74"/>
      <c r="E888" s="184"/>
      <c r="F888" s="185"/>
      <c r="G888" s="185"/>
      <c r="H888" s="185"/>
      <c r="I888" s="186"/>
      <c r="J888" s="186"/>
      <c r="K888" s="187"/>
      <c r="L888" s="187"/>
      <c r="M888" s="27"/>
      <c r="N888" s="187"/>
      <c r="O888" s="58"/>
      <c r="P888" s="74"/>
      <c r="Q888" s="74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</row>
    <row r="889" ht="15.75" customHeight="1">
      <c r="A889" s="74"/>
      <c r="B889" s="27"/>
      <c r="C889" s="183"/>
      <c r="D889" s="74"/>
      <c r="E889" s="184"/>
      <c r="F889" s="185"/>
      <c r="G889" s="185"/>
      <c r="H889" s="185"/>
      <c r="I889" s="186"/>
      <c r="J889" s="186"/>
      <c r="K889" s="187"/>
      <c r="L889" s="187"/>
      <c r="M889" s="27"/>
      <c r="N889" s="187"/>
      <c r="O889" s="58"/>
      <c r="P889" s="74"/>
      <c r="Q889" s="74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</row>
    <row r="890" ht="15.75" customHeight="1">
      <c r="A890" s="74"/>
      <c r="B890" s="27"/>
      <c r="C890" s="183"/>
      <c r="D890" s="74"/>
      <c r="E890" s="184"/>
      <c r="F890" s="185"/>
      <c r="G890" s="185"/>
      <c r="H890" s="185"/>
      <c r="I890" s="186"/>
      <c r="J890" s="186"/>
      <c r="K890" s="187"/>
      <c r="L890" s="187"/>
      <c r="M890" s="27"/>
      <c r="N890" s="187"/>
      <c r="O890" s="58"/>
      <c r="P890" s="74"/>
      <c r="Q890" s="74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</row>
    <row r="891" ht="15.75" customHeight="1">
      <c r="A891" s="74"/>
      <c r="B891" s="27"/>
      <c r="C891" s="183"/>
      <c r="D891" s="74"/>
      <c r="E891" s="184"/>
      <c r="F891" s="185"/>
      <c r="G891" s="185"/>
      <c r="H891" s="185"/>
      <c r="I891" s="186"/>
      <c r="J891" s="186"/>
      <c r="K891" s="187"/>
      <c r="L891" s="187"/>
      <c r="M891" s="27"/>
      <c r="N891" s="187"/>
      <c r="O891" s="58"/>
      <c r="P891" s="74"/>
      <c r="Q891" s="74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</row>
    <row r="892" ht="15.75" customHeight="1">
      <c r="A892" s="74"/>
      <c r="B892" s="27"/>
      <c r="C892" s="183"/>
      <c r="D892" s="74"/>
      <c r="E892" s="184"/>
      <c r="F892" s="185"/>
      <c r="G892" s="185"/>
      <c r="H892" s="185"/>
      <c r="I892" s="186"/>
      <c r="J892" s="186"/>
      <c r="K892" s="187"/>
      <c r="L892" s="187"/>
      <c r="M892" s="27"/>
      <c r="N892" s="187"/>
      <c r="O892" s="58"/>
      <c r="P892" s="74"/>
      <c r="Q892" s="74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</row>
    <row r="893" ht="15.75" customHeight="1">
      <c r="A893" s="74"/>
      <c r="B893" s="27"/>
      <c r="C893" s="183"/>
      <c r="D893" s="74"/>
      <c r="E893" s="184"/>
      <c r="F893" s="185"/>
      <c r="G893" s="185"/>
      <c r="H893" s="185"/>
      <c r="I893" s="186"/>
      <c r="J893" s="186"/>
      <c r="K893" s="187"/>
      <c r="L893" s="187"/>
      <c r="M893" s="27"/>
      <c r="N893" s="187"/>
      <c r="O893" s="58"/>
      <c r="P893" s="74"/>
      <c r="Q893" s="74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</row>
    <row r="894" ht="15.75" customHeight="1">
      <c r="A894" s="74"/>
      <c r="B894" s="27"/>
      <c r="C894" s="183"/>
      <c r="D894" s="74"/>
      <c r="E894" s="184"/>
      <c r="F894" s="185"/>
      <c r="G894" s="185"/>
      <c r="H894" s="185"/>
      <c r="I894" s="186"/>
      <c r="J894" s="186"/>
      <c r="K894" s="187"/>
      <c r="L894" s="187"/>
      <c r="M894" s="27"/>
      <c r="N894" s="187"/>
      <c r="O894" s="58"/>
      <c r="P894" s="74"/>
      <c r="Q894" s="74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</row>
    <row r="895" ht="15.75" customHeight="1">
      <c r="A895" s="74"/>
      <c r="B895" s="27"/>
      <c r="C895" s="183"/>
      <c r="D895" s="74"/>
      <c r="E895" s="184"/>
      <c r="F895" s="185"/>
      <c r="G895" s="185"/>
      <c r="H895" s="185"/>
      <c r="I895" s="186"/>
      <c r="J895" s="186"/>
      <c r="K895" s="187"/>
      <c r="L895" s="187"/>
      <c r="M895" s="27"/>
      <c r="N895" s="187"/>
      <c r="O895" s="58"/>
      <c r="P895" s="74"/>
      <c r="Q895" s="74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</row>
    <row r="896" ht="15.75" customHeight="1">
      <c r="A896" s="27"/>
      <c r="B896" s="27"/>
      <c r="C896" s="275"/>
      <c r="D896" s="27"/>
      <c r="E896" s="275"/>
      <c r="F896" s="185"/>
      <c r="G896" s="185"/>
      <c r="H896" s="185"/>
      <c r="I896" s="298"/>
      <c r="J896" s="298"/>
      <c r="K896" s="28"/>
      <c r="L896" s="299"/>
      <c r="N896" s="187"/>
      <c r="O896" s="58"/>
      <c r="P896" s="300"/>
    </row>
    <row r="897" ht="15.75" customHeight="1">
      <c r="A897" s="27"/>
      <c r="B897" s="27"/>
      <c r="C897" s="275"/>
      <c r="D897" s="27"/>
      <c r="E897" s="275"/>
      <c r="F897" s="185"/>
      <c r="G897" s="185"/>
      <c r="H897" s="185"/>
      <c r="I897" s="298"/>
      <c r="J897" s="298"/>
      <c r="K897" s="28"/>
      <c r="L897" s="299"/>
      <c r="M897" s="301"/>
      <c r="N897" s="187"/>
      <c r="O897" s="58"/>
      <c r="P897" s="300"/>
    </row>
    <row r="898" ht="15.75" customHeight="1">
      <c r="A898" s="27"/>
      <c r="B898" s="27"/>
      <c r="C898" s="275"/>
      <c r="D898" s="27"/>
      <c r="E898" s="275"/>
      <c r="F898" s="185"/>
      <c r="G898" s="185"/>
      <c r="H898" s="185"/>
      <c r="I898" s="298"/>
      <c r="J898" s="298"/>
      <c r="K898" s="302"/>
      <c r="L898" s="303"/>
      <c r="M898" s="301"/>
      <c r="N898" s="187"/>
      <c r="O898" s="58"/>
      <c r="P898" s="300"/>
      <c r="Q898" s="304"/>
    </row>
    <row r="899" ht="15.75" customHeight="1">
      <c r="A899" s="27"/>
      <c r="B899" s="27"/>
      <c r="C899" s="275"/>
      <c r="D899" s="27"/>
      <c r="E899" s="275"/>
      <c r="F899" s="185"/>
      <c r="G899" s="185"/>
      <c r="H899" s="185"/>
      <c r="I899" s="298"/>
      <c r="J899" s="298"/>
      <c r="K899" s="302"/>
      <c r="L899" s="303"/>
      <c r="M899" s="301"/>
      <c r="N899" s="187"/>
      <c r="O899" s="58"/>
      <c r="P899" s="58"/>
      <c r="Q899" s="304"/>
      <c r="R899" s="305"/>
      <c r="S899" s="305"/>
      <c r="T899" s="305"/>
      <c r="U899" s="305"/>
      <c r="V899" s="305"/>
      <c r="W899" s="305"/>
      <c r="X899" s="305"/>
      <c r="Y899" s="305"/>
      <c r="Z899" s="305"/>
      <c r="AA899" s="305"/>
      <c r="AB899" s="305"/>
      <c r="AC899" s="305"/>
      <c r="AD899" s="305"/>
      <c r="AE899" s="305"/>
      <c r="AF899" s="305"/>
      <c r="AG899" s="305"/>
      <c r="AH899" s="305"/>
    </row>
    <row r="900" ht="15.75" customHeight="1">
      <c r="A900" s="27"/>
      <c r="B900" s="27"/>
      <c r="C900" s="275"/>
      <c r="D900" s="27"/>
      <c r="E900" s="275"/>
      <c r="F900" s="185"/>
      <c r="G900" s="185"/>
      <c r="H900" s="185"/>
      <c r="I900" s="298"/>
      <c r="J900" s="298"/>
      <c r="K900" s="302"/>
      <c r="L900" s="303"/>
      <c r="N900" s="187"/>
      <c r="O900" s="58"/>
      <c r="P900" s="58"/>
      <c r="Q900" s="304"/>
    </row>
    <row r="901" ht="15.75" customHeight="1">
      <c r="A901" s="27"/>
      <c r="B901" s="27"/>
      <c r="C901" s="275"/>
      <c r="D901" s="27"/>
      <c r="E901" s="275"/>
      <c r="F901" s="185"/>
      <c r="G901" s="185"/>
      <c r="H901" s="185"/>
      <c r="I901" s="298"/>
      <c r="J901" s="298"/>
      <c r="K901" s="302"/>
      <c r="L901" s="303"/>
      <c r="N901" s="187"/>
      <c r="O901" s="58"/>
      <c r="P901" s="58"/>
      <c r="Q901" s="304"/>
    </row>
    <row r="902" ht="15.75" customHeight="1">
      <c r="A902" s="74"/>
      <c r="B902" s="27"/>
      <c r="C902" s="275"/>
      <c r="D902" s="27"/>
      <c r="E902" s="184"/>
      <c r="F902" s="185"/>
      <c r="G902" s="185"/>
      <c r="H902" s="185"/>
      <c r="I902" s="298"/>
      <c r="J902" s="298"/>
      <c r="K902" s="28"/>
      <c r="L902" s="299"/>
      <c r="M902" s="27"/>
      <c r="N902" s="187"/>
      <c r="O902" s="202"/>
      <c r="P902" s="194"/>
      <c r="Q902" s="304"/>
    </row>
    <row r="903" ht="15.75" customHeight="1">
      <c r="A903" s="27"/>
      <c r="B903" s="27"/>
      <c r="C903" s="275"/>
      <c r="D903" s="27"/>
      <c r="E903" s="275"/>
      <c r="F903" s="185"/>
      <c r="G903" s="185"/>
      <c r="H903" s="185"/>
      <c r="I903" s="186"/>
      <c r="J903" s="186"/>
      <c r="K903" s="306"/>
      <c r="L903" s="306"/>
      <c r="N903" s="187"/>
      <c r="O903" s="58"/>
      <c r="P903" s="300"/>
      <c r="Q903" s="307"/>
    </row>
    <row r="904" ht="15.75" customHeight="1">
      <c r="A904" s="27"/>
      <c r="B904" s="27"/>
      <c r="C904" s="275"/>
      <c r="D904" s="27"/>
      <c r="E904" s="275"/>
      <c r="F904" s="185"/>
      <c r="G904" s="185"/>
      <c r="H904" s="185"/>
      <c r="I904" s="298"/>
      <c r="J904" s="298"/>
      <c r="K904" s="27"/>
      <c r="L904" s="300"/>
      <c r="M904" s="301"/>
      <c r="N904" s="187"/>
      <c r="O904" s="58"/>
      <c r="P904" s="58"/>
      <c r="Q904" s="304"/>
    </row>
    <row r="905" ht="15.75" customHeight="1">
      <c r="A905" s="74"/>
      <c r="B905" s="27"/>
      <c r="C905" s="275"/>
      <c r="D905" s="27"/>
      <c r="E905" s="184"/>
      <c r="F905" s="185"/>
      <c r="G905" s="185"/>
      <c r="H905" s="185"/>
      <c r="I905" s="298"/>
      <c r="J905" s="298"/>
      <c r="K905" s="28"/>
      <c r="L905" s="299"/>
      <c r="M905" s="27"/>
      <c r="N905" s="187"/>
      <c r="O905" s="202"/>
      <c r="P905" s="194"/>
      <c r="Q905" s="304"/>
    </row>
    <row r="906" ht="15.75" customHeight="1">
      <c r="A906" s="27"/>
      <c r="B906" s="27"/>
      <c r="C906" s="275"/>
      <c r="D906" s="27"/>
      <c r="E906" s="275"/>
      <c r="F906" s="185"/>
      <c r="G906" s="185"/>
      <c r="H906" s="185"/>
      <c r="I906" s="186"/>
      <c r="J906" s="186"/>
      <c r="K906" s="306"/>
      <c r="L906" s="306"/>
      <c r="M906" s="301"/>
      <c r="N906" s="187"/>
      <c r="O906" s="58"/>
      <c r="P906" s="58"/>
      <c r="Q906" s="307"/>
    </row>
    <row r="907" ht="15.75" customHeight="1">
      <c r="A907" s="27"/>
      <c r="B907" s="27"/>
      <c r="C907" s="275"/>
      <c r="D907" s="27"/>
      <c r="E907" s="275"/>
      <c r="F907" s="185"/>
      <c r="G907" s="185"/>
      <c r="H907" s="185"/>
      <c r="I907" s="298"/>
      <c r="J907" s="298"/>
      <c r="K907" s="302"/>
      <c r="L907" s="303"/>
      <c r="M907" s="301"/>
      <c r="N907" s="187"/>
      <c r="O907" s="58"/>
      <c r="P907" s="300"/>
      <c r="Q907" s="304"/>
    </row>
    <row r="908" ht="15.75" customHeight="1">
      <c r="A908" s="74"/>
      <c r="B908" s="27"/>
      <c r="C908" s="275"/>
      <c r="D908" s="27"/>
      <c r="E908" s="184"/>
      <c r="F908" s="185"/>
      <c r="G908" s="185"/>
      <c r="H908" s="185"/>
      <c r="I908" s="298"/>
      <c r="J908" s="298"/>
      <c r="K908" s="28"/>
      <c r="L908" s="299"/>
      <c r="M908" s="27"/>
      <c r="N908" s="187"/>
      <c r="O908" s="202"/>
      <c r="P908" s="194"/>
      <c r="Q908" s="304"/>
    </row>
    <row r="909" ht="15.75" customHeight="1">
      <c r="A909" s="27"/>
      <c r="B909" s="27"/>
      <c r="C909" s="275"/>
      <c r="D909" s="27"/>
      <c r="E909" s="275"/>
      <c r="F909" s="185"/>
      <c r="G909" s="185"/>
      <c r="H909" s="185"/>
      <c r="I909" s="186"/>
      <c r="J909" s="186"/>
      <c r="K909" s="306"/>
      <c r="L909" s="306"/>
      <c r="N909" s="187"/>
      <c r="O909" s="58"/>
      <c r="P909" s="300"/>
      <c r="Q909" s="307"/>
    </row>
    <row r="910" ht="15.75" customHeight="1">
      <c r="A910" s="27"/>
      <c r="B910" s="27"/>
      <c r="C910" s="275"/>
      <c r="D910" s="27"/>
      <c r="E910" s="275"/>
      <c r="F910" s="185"/>
      <c r="G910" s="185"/>
      <c r="H910" s="185"/>
      <c r="I910" s="298"/>
      <c r="J910" s="298"/>
      <c r="K910" s="27"/>
      <c r="L910" s="300"/>
      <c r="M910" s="301"/>
      <c r="N910" s="187"/>
      <c r="O910" s="58"/>
      <c r="P910" s="300"/>
      <c r="Q910" s="304"/>
    </row>
    <row r="911" ht="15.75" customHeight="1">
      <c r="A911" s="27"/>
      <c r="B911" s="27"/>
      <c r="C911" s="275"/>
      <c r="D911" s="27"/>
      <c r="E911" s="275"/>
      <c r="F911" s="185"/>
      <c r="G911" s="185"/>
      <c r="H911" s="185"/>
      <c r="I911" s="298"/>
      <c r="J911" s="298"/>
      <c r="K911" s="302"/>
      <c r="L911" s="303"/>
      <c r="N911" s="187"/>
      <c r="O911" s="58"/>
      <c r="P911" s="58"/>
      <c r="Q911" s="308"/>
    </row>
    <row r="912" ht="15.75" customHeight="1">
      <c r="A912" s="27"/>
      <c r="B912" s="27"/>
      <c r="C912" s="275"/>
      <c r="D912" s="27"/>
      <c r="E912" s="275"/>
      <c r="F912" s="185"/>
      <c r="G912" s="185"/>
      <c r="H912" s="185"/>
      <c r="I912" s="298"/>
      <c r="J912" s="298"/>
      <c r="K912" s="28"/>
      <c r="L912" s="299"/>
      <c r="N912" s="187"/>
      <c r="O912" s="58"/>
      <c r="P912" s="58"/>
      <c r="Q912" s="304"/>
    </row>
    <row r="913" ht="15.75" customHeight="1">
      <c r="A913" s="27"/>
      <c r="B913" s="27"/>
      <c r="C913" s="275"/>
      <c r="D913" s="27"/>
      <c r="E913" s="275"/>
      <c r="F913" s="185"/>
      <c r="G913" s="185"/>
      <c r="H913" s="185"/>
      <c r="I913" s="298"/>
      <c r="J913" s="298"/>
      <c r="K913" s="27"/>
      <c r="L913" s="300"/>
      <c r="N913" s="187"/>
      <c r="O913" s="58"/>
      <c r="P913" s="300"/>
    </row>
    <row r="914" ht="15.75" customHeight="1">
      <c r="A914" s="27"/>
      <c r="B914" s="27"/>
      <c r="C914" s="275"/>
      <c r="D914" s="27"/>
      <c r="E914" s="275"/>
      <c r="F914" s="185"/>
      <c r="G914" s="185"/>
      <c r="H914" s="185"/>
      <c r="I914" s="298"/>
      <c r="J914" s="298"/>
      <c r="K914" s="27"/>
      <c r="L914" s="300"/>
      <c r="M914" s="301"/>
      <c r="N914" s="187"/>
      <c r="O914" s="58"/>
      <c r="P914" s="58"/>
      <c r="Q914" s="304"/>
    </row>
    <row r="915" ht="15.75" customHeight="1">
      <c r="A915" s="27"/>
      <c r="B915" s="27"/>
      <c r="C915" s="275"/>
      <c r="D915" s="27"/>
      <c r="E915" s="275"/>
      <c r="F915" s="185"/>
      <c r="G915" s="185"/>
      <c r="H915" s="185"/>
      <c r="I915" s="298"/>
      <c r="J915" s="298"/>
      <c r="K915" s="302"/>
      <c r="L915" s="303"/>
      <c r="M915" s="301"/>
      <c r="N915" s="187"/>
      <c r="O915" s="58"/>
      <c r="P915" s="58"/>
      <c r="Q915" s="304"/>
    </row>
    <row r="916" ht="15.75" customHeight="1">
      <c r="A916" s="27"/>
      <c r="B916" s="27"/>
      <c r="C916" s="275"/>
      <c r="D916" s="27"/>
      <c r="E916" s="275"/>
      <c r="F916" s="185"/>
      <c r="G916" s="185"/>
      <c r="H916" s="185"/>
      <c r="I916" s="298"/>
      <c r="J916" s="298"/>
      <c r="K916" s="302"/>
      <c r="L916" s="303"/>
      <c r="N916" s="187"/>
      <c r="O916" s="58"/>
      <c r="P916" s="58"/>
      <c r="Q916" s="304"/>
    </row>
    <row r="917" ht="15.75" customHeight="1">
      <c r="A917" s="27"/>
      <c r="B917" s="27"/>
      <c r="C917" s="275"/>
      <c r="D917" s="27"/>
      <c r="E917" s="275"/>
      <c r="F917" s="185"/>
      <c r="G917" s="185"/>
      <c r="H917" s="185"/>
      <c r="I917" s="309"/>
      <c r="J917" s="309"/>
      <c r="K917" s="310"/>
      <c r="L917" s="311"/>
      <c r="M917" s="301"/>
      <c r="N917" s="187"/>
      <c r="O917" s="58"/>
      <c r="P917" s="58"/>
      <c r="Q917" s="304"/>
    </row>
    <row r="918" ht="15.75" customHeight="1">
      <c r="A918" s="27"/>
      <c r="B918" s="27"/>
      <c r="C918" s="275"/>
      <c r="D918" s="27"/>
      <c r="E918" s="275"/>
      <c r="F918" s="185"/>
      <c r="G918" s="185"/>
      <c r="H918" s="185"/>
      <c r="I918" s="298"/>
      <c r="J918" s="298"/>
      <c r="K918" s="302"/>
      <c r="L918" s="303"/>
      <c r="M918" s="301"/>
      <c r="N918" s="187"/>
      <c r="O918" s="58"/>
      <c r="P918" s="58"/>
      <c r="Q918" s="304"/>
    </row>
    <row r="919" ht="15.75" customHeight="1">
      <c r="A919" s="27"/>
      <c r="B919" s="27"/>
      <c r="C919" s="275"/>
      <c r="D919" s="27"/>
      <c r="E919" s="275"/>
      <c r="F919" s="185"/>
      <c r="G919" s="185"/>
      <c r="H919" s="185"/>
      <c r="I919" s="298"/>
      <c r="J919" s="298"/>
      <c r="K919" s="302"/>
      <c r="L919" s="303"/>
      <c r="M919" s="301"/>
      <c r="N919" s="187"/>
      <c r="O919" s="58"/>
      <c r="P919" s="58"/>
      <c r="Q919" s="304"/>
    </row>
    <row r="920" ht="15.75" customHeight="1">
      <c r="A920" s="27"/>
      <c r="B920" s="27"/>
      <c r="C920" s="275"/>
      <c r="D920" s="27"/>
      <c r="E920" s="275"/>
      <c r="F920" s="185"/>
      <c r="G920" s="185"/>
      <c r="H920" s="185"/>
      <c r="I920" s="298"/>
      <c r="J920" s="298"/>
      <c r="K920" s="302"/>
      <c r="L920" s="303"/>
      <c r="M920" s="301"/>
      <c r="N920" s="187"/>
      <c r="O920" s="58"/>
      <c r="P920" s="58"/>
      <c r="Q920" s="304"/>
    </row>
    <row r="921" ht="15.75" customHeight="1">
      <c r="A921" s="27"/>
      <c r="B921" s="27"/>
      <c r="C921" s="275"/>
      <c r="D921" s="27"/>
      <c r="E921" s="275"/>
      <c r="F921" s="185"/>
      <c r="G921" s="185"/>
      <c r="H921" s="185"/>
      <c r="I921" s="298"/>
      <c r="J921" s="298"/>
      <c r="K921" s="302"/>
      <c r="L921" s="303"/>
      <c r="M921" s="301"/>
      <c r="N921" s="187"/>
      <c r="O921" s="58"/>
      <c r="P921" s="58"/>
      <c r="Q921" s="304"/>
    </row>
    <row r="922" ht="15.75" customHeight="1">
      <c r="A922" s="27"/>
      <c r="B922" s="27"/>
      <c r="C922" s="275"/>
      <c r="D922" s="27"/>
      <c r="E922" s="275"/>
      <c r="F922" s="185"/>
      <c r="G922" s="185"/>
      <c r="H922" s="185"/>
      <c r="I922" s="298"/>
      <c r="J922" s="298"/>
      <c r="K922" s="302"/>
      <c r="L922" s="303"/>
      <c r="M922" s="301"/>
      <c r="N922" s="187"/>
      <c r="O922" s="58"/>
      <c r="P922" s="58"/>
      <c r="Q922" s="304"/>
    </row>
    <row r="923" ht="15.75" customHeight="1">
      <c r="A923" s="27"/>
      <c r="B923" s="27"/>
      <c r="C923" s="275"/>
      <c r="D923" s="27"/>
      <c r="E923" s="275"/>
      <c r="F923" s="185"/>
      <c r="G923" s="185"/>
      <c r="H923" s="185"/>
      <c r="I923" s="298"/>
      <c r="J923" s="298"/>
      <c r="K923" s="302"/>
      <c r="L923" s="303"/>
      <c r="M923" s="301"/>
      <c r="N923" s="187"/>
      <c r="O923" s="58"/>
      <c r="P923" s="58"/>
      <c r="Q923" s="304"/>
    </row>
    <row r="924" ht="15.75" customHeight="1">
      <c r="A924" s="27"/>
      <c r="B924" s="27"/>
      <c r="C924" s="275"/>
      <c r="D924" s="27"/>
      <c r="E924" s="275"/>
      <c r="F924" s="185"/>
      <c r="G924" s="185"/>
      <c r="H924" s="185"/>
      <c r="I924" s="298"/>
      <c r="J924" s="298"/>
      <c r="K924" s="302"/>
      <c r="L924" s="303"/>
      <c r="M924" s="301"/>
      <c r="N924" s="187"/>
      <c r="O924" s="58"/>
      <c r="P924" s="58"/>
      <c r="Q924" s="304"/>
    </row>
    <row r="925" ht="15.75" customHeight="1">
      <c r="A925" s="27"/>
      <c r="B925" s="27"/>
      <c r="C925" s="275"/>
      <c r="D925" s="27"/>
      <c r="E925" s="275"/>
      <c r="F925" s="185"/>
      <c r="G925" s="185"/>
      <c r="H925" s="185"/>
      <c r="I925" s="298"/>
      <c r="J925" s="298"/>
      <c r="K925" s="302"/>
      <c r="L925" s="303"/>
      <c r="M925" s="301"/>
      <c r="N925" s="187"/>
      <c r="O925" s="58"/>
      <c r="P925" s="58"/>
      <c r="Q925" s="304"/>
    </row>
    <row r="926" ht="15.75" customHeight="1">
      <c r="A926" s="27"/>
      <c r="B926" s="27"/>
      <c r="C926" s="275"/>
      <c r="D926" s="27"/>
      <c r="E926" s="275"/>
      <c r="F926" s="185"/>
      <c r="G926" s="185"/>
      <c r="H926" s="185"/>
      <c r="I926" s="298"/>
      <c r="J926" s="298"/>
      <c r="K926" s="302"/>
      <c r="L926" s="303"/>
      <c r="M926" s="301"/>
      <c r="N926" s="187"/>
      <c r="O926" s="58"/>
      <c r="P926" s="58"/>
      <c r="Q926" s="304"/>
    </row>
    <row r="927" ht="15.75" customHeight="1">
      <c r="A927" s="27"/>
      <c r="B927" s="27"/>
      <c r="C927" s="275"/>
      <c r="D927" s="27"/>
      <c r="E927" s="275"/>
      <c r="F927" s="185"/>
      <c r="G927" s="185"/>
      <c r="H927" s="185"/>
      <c r="I927" s="298"/>
      <c r="J927" s="298"/>
      <c r="K927" s="302"/>
      <c r="L927" s="303"/>
      <c r="M927" s="301"/>
      <c r="N927" s="187"/>
      <c r="O927" s="58"/>
      <c r="P927" s="58"/>
      <c r="Q927" s="304"/>
    </row>
    <row r="928" ht="15.75" customHeight="1">
      <c r="A928" s="27"/>
      <c r="B928" s="27"/>
      <c r="C928" s="275"/>
      <c r="D928" s="27"/>
      <c r="E928" s="275"/>
      <c r="F928" s="185"/>
      <c r="G928" s="185"/>
      <c r="H928" s="185"/>
      <c r="I928" s="298"/>
      <c r="J928" s="298"/>
      <c r="K928" s="302"/>
      <c r="L928" s="303"/>
      <c r="M928" s="301"/>
      <c r="N928" s="187"/>
      <c r="O928" s="58"/>
      <c r="P928" s="58"/>
      <c r="Q928" s="304"/>
    </row>
    <row r="929" ht="15.75" customHeight="1">
      <c r="A929" s="27"/>
      <c r="B929" s="27"/>
      <c r="C929" s="275"/>
      <c r="D929" s="27"/>
      <c r="E929" s="275"/>
      <c r="F929" s="185"/>
      <c r="G929" s="185"/>
      <c r="H929" s="185"/>
      <c r="I929" s="298"/>
      <c r="J929" s="298"/>
      <c r="K929" s="302"/>
      <c r="L929" s="303"/>
      <c r="M929" s="301"/>
      <c r="N929" s="187"/>
      <c r="O929" s="58"/>
      <c r="P929" s="58"/>
      <c r="Q929" s="304"/>
    </row>
    <row r="930" ht="15.75" customHeight="1">
      <c r="A930" s="27"/>
      <c r="B930" s="27"/>
      <c r="C930" s="275"/>
      <c r="D930" s="27"/>
      <c r="E930" s="275"/>
      <c r="F930" s="185"/>
      <c r="G930" s="185"/>
      <c r="H930" s="185"/>
      <c r="I930" s="298"/>
      <c r="J930" s="298"/>
      <c r="K930" s="302"/>
      <c r="L930" s="303"/>
      <c r="M930" s="301"/>
      <c r="N930" s="187"/>
      <c r="O930" s="58"/>
      <c r="P930" s="58"/>
      <c r="Q930" s="304"/>
    </row>
    <row r="931" ht="15.75" customHeight="1">
      <c r="A931" s="27"/>
      <c r="B931" s="27"/>
      <c r="C931" s="275"/>
      <c r="D931" s="27"/>
      <c r="E931" s="275"/>
      <c r="F931" s="185"/>
      <c r="G931" s="185"/>
      <c r="H931" s="185"/>
      <c r="I931" s="298"/>
      <c r="J931" s="298"/>
      <c r="K931" s="302"/>
      <c r="L931" s="303"/>
      <c r="M931" s="301"/>
      <c r="N931" s="187"/>
      <c r="O931" s="58"/>
      <c r="P931" s="58"/>
      <c r="Q931" s="304"/>
    </row>
    <row r="932" ht="15.75" customHeight="1">
      <c r="A932" s="32"/>
      <c r="B932" s="27"/>
      <c r="C932" s="275"/>
      <c r="D932" s="27"/>
      <c r="E932" s="228"/>
      <c r="F932" s="185"/>
      <c r="G932" s="185"/>
      <c r="H932" s="185"/>
      <c r="I932" s="298"/>
      <c r="J932" s="298"/>
      <c r="K932" s="302"/>
      <c r="L932" s="303"/>
      <c r="M932" s="315"/>
      <c r="N932" s="187"/>
      <c r="O932" s="58"/>
      <c r="P932" s="316"/>
      <c r="Q932" s="304"/>
    </row>
    <row r="933" ht="15.75" customHeight="1">
      <c r="A933" s="32"/>
      <c r="B933" s="109"/>
      <c r="C933" s="275"/>
      <c r="D933" s="27"/>
      <c r="E933" s="228"/>
      <c r="F933" s="185"/>
      <c r="G933" s="185"/>
      <c r="H933" s="185"/>
      <c r="I933" s="298"/>
      <c r="J933" s="298"/>
      <c r="K933" s="302"/>
      <c r="L933" s="317"/>
      <c r="M933" s="32"/>
      <c r="N933" s="187"/>
      <c r="O933" s="58"/>
      <c r="P933" s="316"/>
      <c r="Q933" s="318"/>
    </row>
    <row r="934" ht="15.75" customHeight="1">
      <c r="A934" s="32"/>
      <c r="B934" s="27"/>
      <c r="C934" s="275"/>
      <c r="D934" s="27"/>
      <c r="E934" s="228"/>
      <c r="F934" s="185"/>
      <c r="G934" s="185"/>
      <c r="H934" s="185"/>
      <c r="I934" s="298"/>
      <c r="J934" s="298"/>
      <c r="K934" s="28"/>
      <c r="L934" s="319"/>
      <c r="M934" s="315"/>
      <c r="N934" s="187"/>
      <c r="O934" s="58"/>
      <c r="P934" s="316"/>
      <c r="Q934" s="318"/>
    </row>
    <row r="935" ht="15.75" customHeight="1">
      <c r="A935" s="32"/>
      <c r="B935" s="27"/>
      <c r="C935" s="275"/>
      <c r="D935" s="27"/>
      <c r="E935" s="228"/>
      <c r="F935" s="185"/>
      <c r="G935" s="185"/>
      <c r="H935" s="185"/>
      <c r="I935" s="298"/>
      <c r="J935" s="298"/>
      <c r="K935" s="302"/>
      <c r="L935" s="317"/>
      <c r="M935" s="315"/>
      <c r="N935" s="321"/>
      <c r="O935" s="58"/>
      <c r="P935" s="316"/>
      <c r="Q935" s="318"/>
    </row>
    <row r="936" ht="15.75" customHeight="1">
      <c r="A936" s="27"/>
      <c r="B936" s="27"/>
      <c r="C936" s="275"/>
      <c r="D936" s="27"/>
      <c r="E936" s="275"/>
      <c r="F936" s="185"/>
      <c r="G936" s="185"/>
      <c r="H936" s="185"/>
      <c r="I936" s="298"/>
      <c r="J936" s="298"/>
      <c r="K936" s="302"/>
      <c r="L936" s="317"/>
      <c r="M936" s="301"/>
      <c r="N936" s="321"/>
      <c r="O936" s="58"/>
      <c r="P936" s="58"/>
      <c r="Q936" s="318"/>
    </row>
    <row r="937" ht="15.75" customHeight="1">
      <c r="A937" s="27"/>
      <c r="B937" s="27"/>
      <c r="C937" s="275"/>
      <c r="D937" s="27"/>
      <c r="E937" s="275"/>
      <c r="F937" s="185"/>
      <c r="G937" s="185"/>
      <c r="H937" s="185"/>
      <c r="I937" s="298"/>
      <c r="J937" s="298"/>
      <c r="K937" s="302"/>
      <c r="L937" s="303"/>
      <c r="M937" s="301"/>
      <c r="N937" s="321"/>
      <c r="O937" s="58"/>
      <c r="P937" s="316"/>
      <c r="Q937" s="304"/>
    </row>
    <row r="938" ht="15.75" customHeight="1">
      <c r="A938" s="27"/>
      <c r="B938" s="27"/>
      <c r="C938" s="275"/>
      <c r="D938" s="27"/>
      <c r="E938" s="275"/>
      <c r="F938" s="185"/>
      <c r="G938" s="185"/>
      <c r="H938" s="185"/>
      <c r="I938" s="298"/>
      <c r="J938" s="298"/>
      <c r="K938" s="302"/>
      <c r="L938" s="303"/>
      <c r="M938" s="301"/>
      <c r="N938" s="321"/>
      <c r="O938" s="58"/>
      <c r="P938" s="58"/>
      <c r="Q938" s="304"/>
    </row>
    <row r="939" ht="15.75" customHeight="1">
      <c r="A939" s="27"/>
      <c r="B939" s="27"/>
      <c r="C939" s="275"/>
      <c r="D939" s="27"/>
      <c r="E939" s="275"/>
      <c r="F939" s="185"/>
      <c r="G939" s="185"/>
      <c r="H939" s="185"/>
      <c r="I939" s="298"/>
      <c r="J939" s="298"/>
      <c r="K939" s="302"/>
      <c r="L939" s="303"/>
      <c r="M939" s="301"/>
      <c r="N939" s="187"/>
      <c r="O939" s="58"/>
      <c r="P939" s="58"/>
      <c r="Q939" s="304"/>
    </row>
    <row r="940" ht="15.75" customHeight="1">
      <c r="A940" s="27"/>
      <c r="B940" s="27"/>
      <c r="C940" s="275"/>
      <c r="D940" s="27"/>
      <c r="E940" s="275"/>
      <c r="F940" s="185"/>
      <c r="G940" s="185"/>
      <c r="H940" s="185"/>
      <c r="I940" s="298"/>
      <c r="J940" s="298"/>
      <c r="K940" s="302"/>
      <c r="L940" s="303"/>
      <c r="M940" s="27"/>
      <c r="N940" s="187"/>
      <c r="O940" s="58"/>
      <c r="P940" s="58"/>
      <c r="Q940" s="304"/>
      <c r="R940" s="259"/>
      <c r="S940" s="259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59"/>
      <c r="AF940" s="259"/>
      <c r="AG940" s="259"/>
      <c r="AH940" s="259"/>
    </row>
    <row r="941" ht="15.75" customHeight="1">
      <c r="A941" s="27"/>
      <c r="B941" s="27"/>
      <c r="C941" s="275"/>
      <c r="D941" s="27"/>
      <c r="E941" s="275"/>
      <c r="F941" s="185"/>
      <c r="G941" s="185"/>
      <c r="H941" s="185"/>
      <c r="I941" s="298"/>
      <c r="J941" s="298"/>
      <c r="K941" s="28"/>
      <c r="L941" s="299"/>
      <c r="M941" s="301"/>
      <c r="N941" s="187"/>
      <c r="O941" s="58"/>
      <c r="P941" s="58"/>
      <c r="Q941" s="304"/>
      <c r="R941" s="259"/>
      <c r="S941" s="259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59"/>
      <c r="AF941" s="259"/>
      <c r="AG941" s="259"/>
      <c r="AH941" s="259"/>
    </row>
    <row r="942" ht="15.75" customHeight="1">
      <c r="A942" s="27"/>
      <c r="B942" s="27"/>
      <c r="C942" s="275"/>
      <c r="D942" s="27"/>
      <c r="E942" s="275"/>
      <c r="F942" s="185"/>
      <c r="G942" s="185"/>
      <c r="H942" s="185"/>
      <c r="I942" s="298"/>
      <c r="J942" s="298"/>
      <c r="K942" s="302"/>
      <c r="L942" s="303"/>
      <c r="M942" s="301"/>
      <c r="N942" s="187"/>
      <c r="O942" s="58"/>
      <c r="P942" s="58"/>
      <c r="Q942" s="304"/>
      <c r="R942" s="259"/>
      <c r="S942" s="259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59"/>
      <c r="AF942" s="259"/>
      <c r="AG942" s="259"/>
      <c r="AH942" s="259"/>
    </row>
    <row r="943" ht="15.75" customHeight="1">
      <c r="A943" s="27"/>
      <c r="B943" s="27"/>
      <c r="C943" s="275"/>
      <c r="D943" s="27"/>
      <c r="E943" s="275"/>
      <c r="F943" s="185"/>
      <c r="G943" s="185"/>
      <c r="H943" s="185"/>
      <c r="I943" s="298"/>
      <c r="J943" s="298"/>
      <c r="K943" s="302"/>
      <c r="L943" s="303"/>
      <c r="M943" s="301"/>
      <c r="N943" s="321"/>
      <c r="O943" s="58"/>
      <c r="P943" s="58"/>
      <c r="Q943" s="304"/>
    </row>
    <row r="944" ht="15.75" customHeight="1">
      <c r="A944" s="27"/>
      <c r="B944" s="27"/>
      <c r="C944" s="275"/>
      <c r="D944" s="27"/>
      <c r="E944" s="275"/>
      <c r="F944" s="185"/>
      <c r="G944" s="185"/>
      <c r="H944" s="185"/>
      <c r="I944" s="298"/>
      <c r="J944" s="298"/>
      <c r="K944" s="28"/>
      <c r="L944" s="299"/>
      <c r="M944" s="301"/>
      <c r="N944" s="321"/>
      <c r="O944" s="58"/>
      <c r="P944" s="58"/>
      <c r="Q944" s="304"/>
    </row>
    <row r="945" ht="15.75" customHeight="1">
      <c r="A945" s="27"/>
      <c r="B945" s="27"/>
      <c r="C945" s="275"/>
      <c r="D945" s="27"/>
      <c r="E945" s="275"/>
      <c r="F945" s="185"/>
      <c r="G945" s="185"/>
      <c r="H945" s="185"/>
      <c r="I945" s="298"/>
      <c r="J945" s="298"/>
      <c r="K945" s="302"/>
      <c r="L945" s="303"/>
      <c r="M945" s="301"/>
      <c r="N945" s="321"/>
      <c r="O945" s="58"/>
      <c r="P945" s="58"/>
      <c r="Q945" s="304"/>
      <c r="R945" s="259"/>
      <c r="S945" s="259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59"/>
      <c r="AF945" s="259"/>
      <c r="AG945" s="259"/>
      <c r="AH945" s="259"/>
    </row>
    <row r="946" ht="15.75" customHeight="1">
      <c r="A946" s="27"/>
      <c r="B946" s="27"/>
      <c r="C946" s="275"/>
      <c r="D946" s="27"/>
      <c r="E946" s="275"/>
      <c r="F946" s="185"/>
      <c r="G946" s="185"/>
      <c r="H946" s="185"/>
      <c r="I946" s="298"/>
      <c r="J946" s="298"/>
      <c r="K946" s="302"/>
      <c r="L946" s="303"/>
      <c r="M946" s="301"/>
      <c r="N946" s="321"/>
      <c r="O946" s="58"/>
      <c r="P946" s="58"/>
      <c r="Q946" s="304"/>
    </row>
    <row r="947" ht="15.75" customHeight="1">
      <c r="A947" s="27"/>
      <c r="B947" s="27"/>
      <c r="C947" s="275"/>
      <c r="D947" s="27"/>
      <c r="E947" s="275"/>
      <c r="F947" s="185"/>
      <c r="G947" s="185"/>
      <c r="H947" s="185"/>
      <c r="I947" s="298"/>
      <c r="J947" s="298"/>
      <c r="K947" s="28"/>
      <c r="L947" s="299"/>
      <c r="M947" s="301"/>
      <c r="N947" s="321"/>
      <c r="O947" s="58"/>
      <c r="P947" s="58"/>
      <c r="Q947" s="304"/>
    </row>
    <row r="948" ht="15.75" customHeight="1">
      <c r="A948" s="74"/>
      <c r="B948" s="27"/>
      <c r="C948" s="275"/>
      <c r="D948" s="27"/>
      <c r="E948" s="184"/>
      <c r="F948" s="185"/>
      <c r="G948" s="185"/>
      <c r="H948" s="185"/>
      <c r="I948" s="298"/>
      <c r="J948" s="298"/>
      <c r="K948" s="28"/>
      <c r="L948" s="299"/>
      <c r="M948" s="194"/>
      <c r="N948" s="187"/>
      <c r="O948" s="202"/>
      <c r="P948" s="74"/>
      <c r="Q948" s="304"/>
    </row>
    <row r="949" ht="15.75" customHeight="1">
      <c r="A949" s="27"/>
      <c r="B949" s="27"/>
      <c r="C949" s="275"/>
      <c r="D949" s="27"/>
      <c r="E949" s="275"/>
      <c r="F949" s="185"/>
      <c r="G949" s="185"/>
      <c r="H949" s="185"/>
      <c r="I949" s="186"/>
      <c r="J949" s="186"/>
      <c r="K949" s="187"/>
      <c r="L949" s="187"/>
      <c r="N949" s="187"/>
      <c r="O949" s="58"/>
      <c r="P949" s="58"/>
      <c r="Q949" s="276"/>
    </row>
    <row r="950" ht="15.75" customHeight="1">
      <c r="A950" s="74"/>
      <c r="B950" s="27"/>
      <c r="C950" s="275"/>
      <c r="D950" s="27"/>
      <c r="E950" s="184"/>
      <c r="F950" s="185"/>
      <c r="G950" s="185"/>
      <c r="H950" s="185"/>
      <c r="I950" s="298"/>
      <c r="J950" s="298"/>
      <c r="K950" s="28"/>
      <c r="L950" s="299"/>
      <c r="M950" s="194"/>
      <c r="N950" s="187"/>
      <c r="O950" s="202"/>
      <c r="P950" s="74"/>
      <c r="Q950" s="304"/>
    </row>
    <row r="951" ht="15.75" customHeight="1">
      <c r="A951" s="74"/>
      <c r="B951" s="27"/>
      <c r="C951" s="275"/>
      <c r="D951" s="27"/>
      <c r="E951" s="184"/>
      <c r="F951" s="185"/>
      <c r="G951" s="185"/>
      <c r="H951" s="185"/>
      <c r="I951" s="186"/>
      <c r="J951" s="186"/>
      <c r="K951" s="187"/>
      <c r="L951" s="187"/>
      <c r="M951" s="194"/>
      <c r="N951" s="187"/>
      <c r="O951" s="202"/>
      <c r="P951" s="74"/>
      <c r="Q951" s="276"/>
    </row>
    <row r="952" ht="15.75" customHeight="1">
      <c r="A952" s="74"/>
      <c r="B952" s="27"/>
      <c r="C952" s="275"/>
      <c r="D952" s="27"/>
      <c r="E952" s="184"/>
      <c r="F952" s="185"/>
      <c r="G952" s="185"/>
      <c r="H952" s="185"/>
      <c r="I952" s="186"/>
      <c r="J952" s="186"/>
      <c r="K952" s="187"/>
      <c r="L952" s="187"/>
      <c r="M952" s="194"/>
      <c r="N952" s="187"/>
      <c r="O952" s="202"/>
      <c r="P952" s="74"/>
      <c r="Q952" s="276"/>
    </row>
    <row r="953" ht="15.75" customHeight="1">
      <c r="A953" s="74"/>
      <c r="B953" s="27"/>
      <c r="C953" s="275"/>
      <c r="D953" s="27"/>
      <c r="E953" s="184"/>
      <c r="F953" s="185"/>
      <c r="G953" s="185"/>
      <c r="H953" s="185"/>
      <c r="I953" s="186"/>
      <c r="J953" s="186"/>
      <c r="K953" s="187"/>
      <c r="L953" s="187"/>
      <c r="M953" s="194"/>
      <c r="N953" s="187"/>
      <c r="O953" s="202"/>
      <c r="P953" s="74"/>
      <c r="Q953" s="276"/>
    </row>
    <row r="954" ht="15.75" customHeight="1">
      <c r="A954" s="27"/>
      <c r="B954" s="27"/>
      <c r="C954" s="275"/>
      <c r="D954" s="27"/>
      <c r="E954" s="275"/>
      <c r="F954" s="185"/>
      <c r="G954" s="185"/>
      <c r="H954" s="185"/>
      <c r="I954" s="186"/>
      <c r="J954" s="186"/>
      <c r="K954" s="187"/>
      <c r="L954" s="187"/>
      <c r="M954" s="301"/>
      <c r="N954" s="187"/>
      <c r="O954" s="58"/>
      <c r="P954" s="300"/>
      <c r="Q954" s="276"/>
    </row>
    <row r="955" ht="15.75" customHeight="1">
      <c r="A955" s="74"/>
      <c r="B955" s="27"/>
      <c r="C955" s="275"/>
      <c r="D955" s="27"/>
      <c r="E955" s="184"/>
      <c r="F955" s="185"/>
      <c r="G955" s="185"/>
      <c r="H955" s="185"/>
      <c r="I955" s="298"/>
      <c r="J955" s="298"/>
      <c r="K955" s="324"/>
      <c r="L955" s="325"/>
      <c r="M955" s="194"/>
      <c r="N955" s="187"/>
      <c r="O955" s="58"/>
      <c r="P955" s="300"/>
      <c r="Q955" s="304"/>
    </row>
    <row r="956" ht="15.75" customHeight="1">
      <c r="A956" s="27"/>
      <c r="B956" s="27"/>
      <c r="C956" s="275"/>
      <c r="D956" s="27"/>
      <c r="E956" s="275"/>
      <c r="F956" s="185"/>
      <c r="G956" s="185"/>
      <c r="H956" s="185"/>
      <c r="I956" s="186"/>
      <c r="J956" s="186"/>
      <c r="K956" s="187"/>
      <c r="L956" s="187"/>
      <c r="N956" s="187"/>
      <c r="O956" s="58"/>
      <c r="P956" s="58"/>
      <c r="Q956" s="276"/>
    </row>
    <row r="957" ht="15.75" customHeight="1">
      <c r="A957" s="27"/>
      <c r="B957" s="27"/>
      <c r="C957" s="275"/>
      <c r="D957" s="27"/>
      <c r="E957" s="275"/>
      <c r="F957" s="185"/>
      <c r="G957" s="185"/>
      <c r="H957" s="185"/>
      <c r="I957" s="298"/>
      <c r="J957" s="298"/>
      <c r="K957" s="326"/>
      <c r="L957" s="327"/>
      <c r="N957" s="187"/>
      <c r="O957" s="58"/>
      <c r="P957" s="58"/>
    </row>
    <row r="958" ht="15.75" customHeight="1">
      <c r="A958" s="27"/>
      <c r="B958" s="27"/>
      <c r="C958" s="275"/>
      <c r="D958" s="27"/>
      <c r="E958" s="275"/>
      <c r="F958" s="185"/>
      <c r="G958" s="185"/>
      <c r="H958" s="185"/>
      <c r="I958" s="298"/>
      <c r="J958" s="298"/>
      <c r="K958" s="28"/>
      <c r="L958" s="299"/>
      <c r="N958" s="187"/>
      <c r="O958" s="58"/>
      <c r="P958" s="58"/>
      <c r="Q958" s="304"/>
    </row>
    <row r="959" ht="15.75" customHeight="1">
      <c r="A959" s="27"/>
      <c r="B959" s="27"/>
      <c r="C959" s="275"/>
      <c r="D959" s="27"/>
      <c r="E959" s="275"/>
      <c r="F959" s="185"/>
      <c r="G959" s="185"/>
      <c r="H959" s="185"/>
      <c r="I959" s="298"/>
      <c r="J959" s="298"/>
      <c r="K959" s="28"/>
      <c r="L959" s="299"/>
      <c r="M959" s="301"/>
      <c r="N959" s="187"/>
      <c r="O959" s="58"/>
      <c r="P959" s="58"/>
      <c r="Q959" s="304"/>
    </row>
    <row r="960" ht="15.75" customHeight="1">
      <c r="A960" s="27"/>
      <c r="B960" s="27"/>
      <c r="C960" s="275"/>
      <c r="D960" s="27"/>
      <c r="E960" s="275"/>
      <c r="F960" s="185"/>
      <c r="G960" s="185"/>
      <c r="H960" s="185"/>
      <c r="I960" s="298"/>
      <c r="J960" s="298"/>
      <c r="K960" s="324"/>
      <c r="L960" s="325"/>
      <c r="N960" s="187"/>
      <c r="O960" s="58"/>
      <c r="P960" s="58"/>
      <c r="Q960" s="304"/>
      <c r="R960" s="27"/>
      <c r="S960" s="27"/>
    </row>
    <row r="961" ht="15.75" customHeight="1">
      <c r="A961" s="27"/>
      <c r="B961" s="27"/>
      <c r="C961" s="275"/>
      <c r="D961" s="27"/>
      <c r="E961" s="275"/>
      <c r="F961" s="185"/>
      <c r="G961" s="185"/>
      <c r="H961" s="185"/>
      <c r="I961" s="298"/>
      <c r="J961" s="298"/>
      <c r="K961" s="324"/>
      <c r="L961" s="325"/>
      <c r="N961" s="187"/>
      <c r="O961" s="58"/>
      <c r="P961" s="58"/>
      <c r="Q961" s="304"/>
    </row>
    <row r="962" ht="15.75" customHeight="1">
      <c r="A962" s="27"/>
      <c r="B962" s="109"/>
      <c r="C962" s="275"/>
      <c r="D962" s="27"/>
      <c r="E962" s="275"/>
      <c r="F962" s="185"/>
      <c r="G962" s="185"/>
      <c r="H962" s="185"/>
      <c r="I962" s="298"/>
      <c r="J962" s="298"/>
      <c r="K962" s="324"/>
      <c r="L962" s="325"/>
      <c r="N962" s="187"/>
      <c r="O962" s="58"/>
      <c r="P962" s="58"/>
      <c r="Q962" s="304"/>
      <c r="R962" s="27"/>
      <c r="S962" s="27"/>
    </row>
    <row r="963" ht="15.75" customHeight="1">
      <c r="A963" s="27"/>
      <c r="B963" s="27"/>
      <c r="C963" s="275"/>
      <c r="D963" s="27"/>
      <c r="E963" s="275"/>
      <c r="F963" s="185"/>
      <c r="G963" s="185"/>
      <c r="H963" s="185"/>
      <c r="I963" s="298"/>
      <c r="J963" s="298"/>
      <c r="K963" s="28"/>
      <c r="L963" s="299"/>
      <c r="N963" s="187"/>
      <c r="O963" s="58"/>
      <c r="P963" s="58"/>
      <c r="Q963" s="304"/>
    </row>
    <row r="964" ht="15.75" customHeight="1">
      <c r="A964" s="27"/>
      <c r="B964" s="27"/>
      <c r="C964" s="275"/>
      <c r="D964" s="27"/>
      <c r="E964" s="275"/>
      <c r="F964" s="185"/>
      <c r="G964" s="185"/>
      <c r="H964" s="185"/>
      <c r="I964" s="298"/>
      <c r="J964" s="298"/>
      <c r="K964" s="28"/>
      <c r="L964" s="299"/>
      <c r="M964" s="301"/>
      <c r="N964" s="187"/>
      <c r="O964" s="58"/>
      <c r="P964" s="58"/>
    </row>
    <row r="965" ht="15.75" customHeight="1">
      <c r="A965" s="27"/>
      <c r="B965" s="27"/>
      <c r="C965" s="275"/>
      <c r="D965" s="27"/>
      <c r="E965" s="275"/>
      <c r="F965" s="185"/>
      <c r="G965" s="185"/>
      <c r="H965" s="185"/>
      <c r="I965" s="298"/>
      <c r="J965" s="298"/>
      <c r="K965" s="324"/>
      <c r="L965" s="325"/>
      <c r="N965" s="187"/>
      <c r="O965" s="58"/>
      <c r="P965" s="58"/>
      <c r="Q965" s="304"/>
    </row>
    <row r="966" ht="15.75" customHeight="1">
      <c r="A966" s="27"/>
      <c r="B966" s="27"/>
      <c r="C966" s="275"/>
      <c r="D966" s="27"/>
      <c r="E966" s="275"/>
      <c r="F966" s="185"/>
      <c r="G966" s="185"/>
      <c r="H966" s="185"/>
      <c r="I966" s="298"/>
      <c r="J966" s="298"/>
      <c r="K966" s="302"/>
      <c r="L966" s="303"/>
      <c r="N966" s="187"/>
      <c r="O966" s="58"/>
      <c r="P966" s="58"/>
      <c r="Q966" s="304"/>
    </row>
    <row r="967" ht="15.75" customHeight="1">
      <c r="A967" s="27"/>
      <c r="B967" s="27"/>
      <c r="C967" s="275"/>
      <c r="D967" s="27"/>
      <c r="E967" s="275"/>
      <c r="F967" s="185"/>
      <c r="G967" s="185"/>
      <c r="H967" s="185"/>
      <c r="I967" s="298"/>
      <c r="J967" s="298"/>
      <c r="K967" s="28"/>
      <c r="L967" s="299"/>
      <c r="N967" s="187"/>
      <c r="O967" s="58"/>
      <c r="P967" s="58"/>
      <c r="Q967" s="304"/>
    </row>
    <row r="968" ht="15.75" customHeight="1">
      <c r="A968" s="27"/>
      <c r="B968" s="27"/>
      <c r="C968" s="275"/>
      <c r="D968" s="27"/>
      <c r="E968" s="275"/>
      <c r="F968" s="185"/>
      <c r="G968" s="185"/>
      <c r="H968" s="185"/>
      <c r="I968" s="298"/>
      <c r="J968" s="298"/>
      <c r="K968" s="28"/>
      <c r="L968" s="299"/>
      <c r="N968" s="187"/>
      <c r="O968" s="58"/>
      <c r="P968" s="58"/>
      <c r="Q968" s="304"/>
    </row>
    <row r="969" ht="15.75" customHeight="1">
      <c r="A969" s="27"/>
      <c r="B969" s="27"/>
      <c r="C969" s="275"/>
      <c r="D969" s="27"/>
      <c r="E969" s="275"/>
      <c r="F969" s="185"/>
      <c r="G969" s="185"/>
      <c r="H969" s="185"/>
      <c r="I969" s="298"/>
      <c r="J969" s="298"/>
      <c r="K969" s="28"/>
      <c r="L969" s="299"/>
      <c r="N969" s="187"/>
      <c r="O969" s="58"/>
      <c r="P969" s="58"/>
      <c r="Q969" s="304"/>
    </row>
    <row r="970" ht="15.75" customHeight="1">
      <c r="A970" s="27"/>
      <c r="B970" s="27"/>
      <c r="C970" s="275"/>
      <c r="D970" s="27"/>
      <c r="E970" s="275"/>
      <c r="F970" s="185"/>
      <c r="G970" s="185"/>
      <c r="H970" s="185"/>
      <c r="I970" s="298"/>
      <c r="J970" s="298"/>
      <c r="K970" s="28"/>
      <c r="L970" s="299"/>
      <c r="N970" s="187"/>
      <c r="O970" s="58"/>
      <c r="P970" s="58"/>
      <c r="Q970" s="304"/>
    </row>
    <row r="971" ht="15.75" customHeight="1">
      <c r="A971" s="27"/>
      <c r="B971" s="27"/>
      <c r="C971" s="275"/>
      <c r="D971" s="27"/>
      <c r="E971" s="275"/>
      <c r="F971" s="185"/>
      <c r="G971" s="185"/>
      <c r="H971" s="185"/>
      <c r="I971" s="298"/>
      <c r="J971" s="298"/>
      <c r="K971" s="28"/>
      <c r="L971" s="299"/>
      <c r="N971" s="187"/>
      <c r="O971" s="58"/>
      <c r="P971" s="58"/>
    </row>
    <row r="972" ht="15.75" customHeight="1">
      <c r="A972" s="27"/>
      <c r="B972" s="27"/>
      <c r="C972" s="275"/>
      <c r="D972" s="27"/>
      <c r="E972" s="275"/>
      <c r="F972" s="185"/>
      <c r="G972" s="185"/>
      <c r="H972" s="185"/>
      <c r="I972" s="298"/>
      <c r="J972" s="298"/>
      <c r="K972" s="28"/>
      <c r="L972" s="299"/>
      <c r="N972" s="187"/>
      <c r="O972" s="58"/>
      <c r="P972" s="58"/>
      <c r="Q972" s="304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</row>
    <row r="973" ht="15.75" customHeight="1">
      <c r="A973" s="27"/>
      <c r="B973" s="27"/>
      <c r="C973" s="275"/>
      <c r="D973" s="27"/>
      <c r="E973" s="275"/>
      <c r="F973" s="185"/>
      <c r="G973" s="185"/>
      <c r="H973" s="185"/>
      <c r="I973" s="298"/>
      <c r="J973" s="298"/>
      <c r="K973" s="28"/>
      <c r="L973" s="299"/>
      <c r="N973" s="187"/>
      <c r="O973" s="58"/>
      <c r="P973" s="58"/>
      <c r="Q973" s="304"/>
    </row>
    <row r="974" ht="15.75" customHeight="1">
      <c r="A974" s="27"/>
      <c r="B974" s="27"/>
      <c r="C974" s="275"/>
      <c r="D974" s="27"/>
      <c r="E974" s="275"/>
      <c r="F974" s="185"/>
      <c r="G974" s="185"/>
      <c r="H974" s="185"/>
      <c r="I974" s="298"/>
      <c r="J974" s="298"/>
      <c r="K974" s="28"/>
      <c r="L974" s="299"/>
      <c r="N974" s="187"/>
      <c r="O974" s="58"/>
      <c r="P974" s="58"/>
      <c r="Q974" s="304"/>
    </row>
    <row r="975" ht="15.75" customHeight="1">
      <c r="A975" s="27"/>
      <c r="B975" s="27"/>
      <c r="C975" s="275"/>
      <c r="D975" s="27"/>
      <c r="E975" s="275"/>
      <c r="F975" s="185"/>
      <c r="G975" s="185"/>
      <c r="H975" s="185"/>
      <c r="I975" s="298"/>
      <c r="J975" s="298"/>
      <c r="K975" s="28"/>
      <c r="L975" s="299"/>
      <c r="N975" s="306"/>
      <c r="O975" s="58"/>
      <c r="P975" s="58"/>
      <c r="Q975" s="304"/>
    </row>
    <row r="976" ht="15.75" customHeight="1">
      <c r="A976" s="27"/>
      <c r="B976" s="27"/>
      <c r="C976" s="275"/>
      <c r="D976" s="27"/>
      <c r="E976" s="275"/>
      <c r="F976" s="185"/>
      <c r="G976" s="185"/>
      <c r="H976" s="185"/>
      <c r="I976" s="298"/>
      <c r="J976" s="298"/>
      <c r="K976" s="27"/>
      <c r="L976" s="300"/>
      <c r="N976" s="187"/>
      <c r="O976" s="58"/>
      <c r="P976" s="58"/>
      <c r="Q976" s="304"/>
    </row>
    <row r="977" ht="15.75" customHeight="1">
      <c r="A977" s="27"/>
      <c r="B977" s="27"/>
      <c r="C977" s="275"/>
      <c r="D977" s="27"/>
      <c r="E977" s="275"/>
      <c r="F977" s="185"/>
      <c r="G977" s="185"/>
      <c r="H977" s="185"/>
      <c r="I977" s="298"/>
      <c r="J977" s="298"/>
      <c r="K977" s="28"/>
      <c r="L977" s="299"/>
      <c r="N977" s="187"/>
      <c r="O977" s="58"/>
      <c r="P977" s="58"/>
      <c r="Q977" s="304"/>
    </row>
    <row r="978" ht="15.75" customHeight="1">
      <c r="A978" s="27"/>
      <c r="B978" s="27"/>
      <c r="C978" s="275"/>
      <c r="D978" s="27"/>
      <c r="E978" s="275"/>
      <c r="F978" s="185"/>
      <c r="G978" s="185"/>
      <c r="H978" s="185"/>
      <c r="I978" s="298"/>
      <c r="J978" s="298"/>
      <c r="K978" s="28"/>
      <c r="L978" s="299"/>
      <c r="N978" s="187"/>
      <c r="O978" s="58"/>
      <c r="P978" s="58"/>
    </row>
    <row r="979" ht="15.75" customHeight="1">
      <c r="A979" s="27"/>
      <c r="B979" s="27"/>
      <c r="C979" s="275"/>
      <c r="D979" s="27"/>
      <c r="E979" s="275"/>
      <c r="F979" s="185"/>
      <c r="G979" s="185"/>
      <c r="H979" s="185"/>
      <c r="I979" s="298"/>
      <c r="J979" s="298"/>
      <c r="K979" s="28"/>
      <c r="L979" s="299"/>
      <c r="N979" s="187"/>
      <c r="O979" s="58"/>
      <c r="P979" s="58"/>
      <c r="Q979" s="304"/>
    </row>
    <row r="980" ht="15.75" customHeight="1">
      <c r="A980" s="27"/>
      <c r="B980" s="27"/>
      <c r="C980" s="275"/>
      <c r="D980" s="27"/>
      <c r="E980" s="275"/>
      <c r="F980" s="185"/>
      <c r="G980" s="185"/>
      <c r="H980" s="185"/>
      <c r="I980" s="298"/>
      <c r="J980" s="298"/>
      <c r="K980" s="28"/>
      <c r="L980" s="299"/>
      <c r="N980" s="187"/>
      <c r="O980" s="58"/>
      <c r="P980" s="58"/>
      <c r="Q980" s="304"/>
    </row>
    <row r="981" ht="15.75" customHeight="1">
      <c r="A981" s="27"/>
      <c r="B981" s="27"/>
      <c r="C981" s="275"/>
      <c r="D981" s="27"/>
      <c r="E981" s="275"/>
      <c r="F981" s="185"/>
      <c r="G981" s="185"/>
      <c r="H981" s="185"/>
      <c r="I981" s="298"/>
      <c r="J981" s="298"/>
      <c r="K981" s="28"/>
      <c r="L981" s="299"/>
      <c r="N981" s="187"/>
      <c r="O981" s="58"/>
      <c r="P981" s="58"/>
      <c r="Q981" s="304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</row>
    <row r="982" ht="15.75" customHeight="1">
      <c r="A982" s="27"/>
      <c r="B982" s="27"/>
      <c r="C982" s="275"/>
      <c r="D982" s="27"/>
      <c r="E982" s="275"/>
      <c r="F982" s="185"/>
      <c r="G982" s="185"/>
      <c r="H982" s="185"/>
      <c r="I982" s="298"/>
      <c r="J982" s="298"/>
      <c r="K982" s="28"/>
      <c r="L982" s="299"/>
      <c r="M982" s="27"/>
      <c r="N982" s="187"/>
      <c r="O982" s="58"/>
      <c r="P982" s="58"/>
      <c r="Q982" s="304"/>
      <c r="R982" s="259"/>
      <c r="S982" s="259"/>
      <c r="T982" s="259"/>
      <c r="U982" s="259"/>
      <c r="V982" s="259"/>
      <c r="W982" s="259"/>
      <c r="X982" s="259"/>
      <c r="Y982" s="259"/>
      <c r="Z982" s="259"/>
      <c r="AA982" s="259"/>
      <c r="AB982" s="259"/>
      <c r="AC982" s="259"/>
      <c r="AD982" s="259"/>
      <c r="AE982" s="259"/>
      <c r="AF982" s="259"/>
      <c r="AG982" s="259"/>
      <c r="AH982" s="259"/>
    </row>
    <row r="983" ht="15.75" customHeight="1">
      <c r="A983" s="27"/>
      <c r="B983" s="27"/>
      <c r="C983" s="275"/>
      <c r="D983" s="27"/>
      <c r="E983" s="275"/>
      <c r="F983" s="185"/>
      <c r="G983" s="185"/>
      <c r="H983" s="185"/>
      <c r="I983" s="298"/>
      <c r="J983" s="298"/>
      <c r="K983" s="28"/>
      <c r="L983" s="299"/>
      <c r="N983" s="187"/>
      <c r="O983" s="58"/>
      <c r="P983" s="58"/>
      <c r="Q983" s="304"/>
    </row>
    <row r="984" ht="15.75" customHeight="1">
      <c r="A984" s="27"/>
      <c r="B984" s="27"/>
      <c r="C984" s="275"/>
      <c r="D984" s="27"/>
      <c r="E984" s="275"/>
      <c r="F984" s="185"/>
      <c r="G984" s="185"/>
      <c r="H984" s="185"/>
      <c r="I984" s="298"/>
      <c r="J984" s="298"/>
      <c r="K984" s="28"/>
      <c r="L984" s="299"/>
      <c r="N984" s="187"/>
      <c r="O984" s="58"/>
      <c r="P984" s="58"/>
      <c r="Q984" s="304"/>
    </row>
    <row r="985" ht="15.75" customHeight="1">
      <c r="A985" s="27"/>
      <c r="B985" s="27"/>
      <c r="C985" s="275"/>
      <c r="D985" s="27"/>
      <c r="E985" s="275"/>
      <c r="F985" s="185"/>
      <c r="G985" s="185"/>
      <c r="H985" s="185"/>
      <c r="I985" s="298"/>
      <c r="J985" s="298"/>
      <c r="K985" s="28"/>
      <c r="L985" s="299"/>
      <c r="N985" s="187"/>
      <c r="O985" s="58"/>
      <c r="P985" s="58"/>
      <c r="Q985" s="304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</row>
    <row r="986" ht="15.75" customHeight="1">
      <c r="A986" s="27"/>
      <c r="B986" s="27"/>
      <c r="C986" s="275"/>
      <c r="D986" s="27"/>
      <c r="E986" s="275"/>
      <c r="F986" s="185"/>
      <c r="G986" s="185"/>
      <c r="H986" s="185"/>
      <c r="I986" s="298"/>
      <c r="J986" s="298"/>
      <c r="K986" s="28"/>
      <c r="L986" s="299"/>
      <c r="N986" s="187"/>
      <c r="O986" s="58"/>
      <c r="P986" s="58"/>
      <c r="Q986" s="304"/>
    </row>
    <row r="987" ht="15.75" customHeight="1">
      <c r="A987" s="27"/>
      <c r="B987" s="27"/>
      <c r="C987" s="275"/>
      <c r="D987" s="27"/>
      <c r="E987" s="275"/>
      <c r="F987" s="185"/>
      <c r="G987" s="185"/>
      <c r="H987" s="185"/>
      <c r="I987" s="298"/>
      <c r="J987" s="298"/>
      <c r="K987" s="28"/>
      <c r="L987" s="299"/>
      <c r="N987" s="187"/>
      <c r="O987" s="58"/>
      <c r="P987" s="58"/>
      <c r="Q987" s="330"/>
    </row>
    <row r="988" ht="15.75" customHeight="1">
      <c r="A988" s="27"/>
      <c r="B988" s="27"/>
      <c r="C988" s="275"/>
      <c r="D988" s="27"/>
      <c r="E988" s="275"/>
      <c r="F988" s="185"/>
      <c r="G988" s="185"/>
      <c r="H988" s="185"/>
      <c r="I988" s="298"/>
      <c r="J988" s="298"/>
      <c r="K988" s="28"/>
      <c r="L988" s="299"/>
      <c r="N988" s="187"/>
      <c r="O988" s="58"/>
      <c r="P988" s="58"/>
      <c r="Q988" s="304"/>
    </row>
    <row r="989" ht="15.75" customHeight="1">
      <c r="A989" s="27"/>
      <c r="B989" s="27"/>
      <c r="C989" s="275"/>
      <c r="D989" s="27"/>
      <c r="E989" s="275"/>
      <c r="F989" s="185"/>
      <c r="G989" s="185"/>
      <c r="H989" s="185"/>
      <c r="I989" s="298"/>
      <c r="J989" s="298"/>
      <c r="K989" s="28"/>
      <c r="L989" s="299"/>
      <c r="N989" s="187"/>
      <c r="O989" s="58"/>
      <c r="P989" s="58"/>
      <c r="Q989" s="304"/>
    </row>
    <row r="990" ht="15.75" customHeight="1">
      <c r="A990" s="27"/>
      <c r="B990" s="27"/>
      <c r="C990" s="275"/>
      <c r="D990" s="27"/>
      <c r="E990" s="275"/>
      <c r="F990" s="185"/>
      <c r="G990" s="185"/>
      <c r="H990" s="185"/>
      <c r="I990" s="298"/>
      <c r="J990" s="298"/>
      <c r="K990" s="28"/>
      <c r="L990" s="299"/>
      <c r="N990" s="187"/>
      <c r="O990" s="58"/>
      <c r="P990" s="58"/>
      <c r="Q990" s="304"/>
    </row>
    <row r="991" ht="15.75" customHeight="1">
      <c r="A991" s="27"/>
      <c r="B991" s="109"/>
      <c r="C991" s="275"/>
      <c r="D991" s="27"/>
      <c r="E991" s="275"/>
      <c r="F991" s="185"/>
      <c r="G991" s="185"/>
      <c r="H991" s="185"/>
      <c r="I991" s="298"/>
      <c r="J991" s="298"/>
      <c r="K991" s="28"/>
      <c r="L991" s="299"/>
      <c r="N991" s="187"/>
      <c r="O991" s="58"/>
      <c r="P991" s="58"/>
    </row>
    <row r="992" ht="15.75" customHeight="1">
      <c r="A992" s="27"/>
      <c r="B992" s="27"/>
      <c r="C992" s="275"/>
      <c r="D992" s="27"/>
      <c r="E992" s="275"/>
      <c r="F992" s="185"/>
      <c r="G992" s="185"/>
      <c r="H992" s="185"/>
      <c r="I992" s="298"/>
      <c r="J992" s="298"/>
      <c r="K992" s="28"/>
      <c r="L992" s="299"/>
      <c r="N992" s="187"/>
      <c r="O992" s="58"/>
      <c r="P992" s="58"/>
      <c r="Q992" s="304"/>
    </row>
    <row r="993" ht="15.75" customHeight="1">
      <c r="A993" s="27"/>
      <c r="B993" s="27"/>
      <c r="C993" s="275"/>
      <c r="D993" s="27"/>
      <c r="E993" s="275"/>
      <c r="F993" s="185"/>
      <c r="G993" s="185"/>
      <c r="H993" s="185"/>
      <c r="I993" s="298"/>
      <c r="J993" s="298"/>
      <c r="K993" s="28"/>
      <c r="L993" s="299"/>
      <c r="N993" s="187"/>
      <c r="O993" s="58"/>
      <c r="P993" s="58"/>
      <c r="Q993" s="304"/>
      <c r="R993" s="259"/>
      <c r="S993" s="259"/>
      <c r="T993" s="259"/>
      <c r="U993" s="259"/>
      <c r="V993" s="259"/>
      <c r="W993" s="259"/>
      <c r="X993" s="259"/>
      <c r="Y993" s="259"/>
      <c r="Z993" s="259"/>
      <c r="AA993" s="259"/>
      <c r="AB993" s="259"/>
      <c r="AC993" s="259"/>
      <c r="AD993" s="259"/>
      <c r="AE993" s="259"/>
      <c r="AF993" s="259"/>
      <c r="AG993" s="259"/>
      <c r="AH993" s="259"/>
    </row>
    <row r="994" ht="15.75" customHeight="1">
      <c r="A994" s="27"/>
      <c r="B994" s="27"/>
      <c r="C994" s="275"/>
      <c r="D994" s="27"/>
      <c r="E994" s="275"/>
      <c r="F994" s="185"/>
      <c r="G994" s="185"/>
      <c r="H994" s="185"/>
      <c r="I994" s="298"/>
      <c r="J994" s="298"/>
      <c r="K994" s="28"/>
      <c r="L994" s="299"/>
      <c r="N994" s="187"/>
      <c r="O994" s="58"/>
      <c r="P994" s="58"/>
      <c r="Q994" s="304"/>
    </row>
    <row r="995" ht="15.75" customHeight="1">
      <c r="A995" s="27"/>
      <c r="B995" s="27"/>
      <c r="C995" s="275"/>
      <c r="D995" s="27"/>
      <c r="E995" s="275"/>
      <c r="F995" s="185"/>
      <c r="G995" s="185"/>
      <c r="H995" s="185"/>
      <c r="I995" s="298"/>
      <c r="J995" s="298"/>
      <c r="K995" s="28"/>
      <c r="L995" s="299"/>
      <c r="N995" s="187"/>
      <c r="O995" s="58"/>
      <c r="P995" s="58"/>
      <c r="Q995" s="304"/>
    </row>
    <row r="996" ht="15.75" customHeight="1">
      <c r="A996" s="27"/>
      <c r="B996" s="27"/>
      <c r="C996" s="275"/>
      <c r="D996" s="27"/>
      <c r="E996" s="275"/>
      <c r="F996" s="185"/>
      <c r="G996" s="185"/>
      <c r="H996" s="185"/>
      <c r="I996" s="298"/>
      <c r="J996" s="298"/>
      <c r="K996" s="28"/>
      <c r="L996" s="299"/>
      <c r="N996" s="187"/>
      <c r="O996" s="58"/>
      <c r="P996" s="58"/>
      <c r="Q996" s="304"/>
    </row>
    <row r="997" ht="15.75" customHeight="1">
      <c r="A997" s="27"/>
      <c r="B997" s="27"/>
      <c r="C997" s="275"/>
      <c r="D997" s="27"/>
      <c r="E997" s="275"/>
      <c r="F997" s="185"/>
      <c r="G997" s="185"/>
      <c r="H997" s="185"/>
      <c r="I997" s="298"/>
      <c r="J997" s="298"/>
      <c r="K997" s="28"/>
      <c r="L997" s="299"/>
      <c r="N997" s="187"/>
      <c r="O997" s="58"/>
      <c r="P997" s="58"/>
      <c r="Q997" s="304"/>
    </row>
    <row r="998" ht="15.75" customHeight="1">
      <c r="A998" s="27"/>
      <c r="B998" s="27"/>
      <c r="C998" s="275"/>
      <c r="D998" s="27"/>
      <c r="E998" s="275"/>
      <c r="F998" s="185"/>
      <c r="G998" s="185"/>
      <c r="H998" s="185"/>
      <c r="I998" s="298"/>
      <c r="J998" s="298"/>
      <c r="K998" s="28"/>
      <c r="L998" s="299"/>
      <c r="N998" s="187"/>
      <c r="O998" s="58"/>
      <c r="P998" s="58"/>
      <c r="Q998" s="304"/>
    </row>
    <row r="999" ht="15.75" customHeight="1">
      <c r="A999" s="27"/>
      <c r="B999" s="27"/>
      <c r="C999" s="275"/>
      <c r="D999" s="27"/>
      <c r="E999" s="275"/>
      <c r="F999" s="185"/>
      <c r="G999" s="185"/>
      <c r="H999" s="185"/>
      <c r="I999" s="298"/>
      <c r="J999" s="298"/>
      <c r="K999" s="28"/>
      <c r="L999" s="299"/>
      <c r="N999" s="187"/>
      <c r="O999" s="58"/>
      <c r="P999" s="58"/>
      <c r="Q999" s="304"/>
    </row>
    <row r="1000" ht="15.75" customHeight="1">
      <c r="A1000" s="27"/>
      <c r="B1000" s="27"/>
      <c r="C1000" s="275"/>
      <c r="D1000" s="27"/>
      <c r="E1000" s="275"/>
      <c r="F1000" s="185"/>
      <c r="G1000" s="185"/>
      <c r="H1000" s="185"/>
      <c r="I1000" s="298"/>
      <c r="J1000" s="298"/>
      <c r="K1000" s="28"/>
      <c r="L1000" s="299"/>
      <c r="N1000" s="187"/>
      <c r="O1000" s="58"/>
      <c r="P1000" s="58"/>
      <c r="Q1000" s="304"/>
    </row>
    <row r="1001" ht="15.75" customHeight="1">
      <c r="A1001" s="27"/>
      <c r="B1001" s="27"/>
      <c r="C1001" s="275"/>
      <c r="D1001" s="27"/>
      <c r="E1001" s="275"/>
      <c r="F1001" s="185"/>
      <c r="G1001" s="185"/>
      <c r="H1001" s="185"/>
      <c r="I1001" s="298"/>
      <c r="J1001" s="298"/>
      <c r="K1001" s="28"/>
      <c r="L1001" s="299"/>
      <c r="N1001" s="187"/>
      <c r="O1001" s="58"/>
      <c r="P1001" s="58"/>
      <c r="Q1001" s="304"/>
    </row>
    <row r="1002" ht="15.75" customHeight="1">
      <c r="A1002" s="27"/>
      <c r="B1002" s="27"/>
      <c r="C1002" s="275"/>
      <c r="D1002" s="27"/>
      <c r="E1002" s="275"/>
      <c r="F1002" s="185"/>
      <c r="G1002" s="185"/>
      <c r="H1002" s="185"/>
      <c r="I1002" s="298"/>
      <c r="J1002" s="298"/>
      <c r="K1002" s="28"/>
      <c r="L1002" s="299"/>
      <c r="N1002" s="187"/>
      <c r="O1002" s="58"/>
      <c r="P1002" s="58"/>
      <c r="Q1002" s="304"/>
    </row>
    <row r="1003" ht="15.75" customHeight="1">
      <c r="A1003" s="27"/>
      <c r="B1003" s="27"/>
      <c r="C1003" s="275"/>
      <c r="D1003" s="27"/>
      <c r="E1003" s="275"/>
      <c r="F1003" s="185"/>
      <c r="G1003" s="185"/>
      <c r="H1003" s="185"/>
      <c r="I1003" s="298"/>
      <c r="J1003" s="298"/>
      <c r="K1003" s="28"/>
      <c r="L1003" s="299"/>
      <c r="N1003" s="187"/>
      <c r="O1003" s="58"/>
      <c r="P1003" s="58"/>
      <c r="Q1003" s="304"/>
    </row>
    <row r="1004" ht="15.75" customHeight="1">
      <c r="A1004" s="27"/>
      <c r="B1004" s="27"/>
      <c r="C1004" s="275"/>
      <c r="D1004" s="27"/>
      <c r="E1004" s="275"/>
      <c r="F1004" s="185"/>
      <c r="G1004" s="185"/>
      <c r="H1004" s="185"/>
      <c r="I1004" s="298"/>
      <c r="J1004" s="298"/>
      <c r="K1004" s="28"/>
      <c r="L1004" s="299"/>
      <c r="N1004" s="187"/>
      <c r="O1004" s="58"/>
      <c r="P1004" s="58"/>
      <c r="Q1004" s="304"/>
    </row>
    <row r="1005" ht="15.75" customHeight="1">
      <c r="A1005" s="27"/>
      <c r="B1005" s="27"/>
      <c r="C1005" s="275"/>
      <c r="D1005" s="27"/>
      <c r="E1005" s="275"/>
      <c r="F1005" s="185"/>
      <c r="G1005" s="185"/>
      <c r="H1005" s="185"/>
      <c r="I1005" s="298"/>
      <c r="J1005" s="298"/>
      <c r="K1005" s="27"/>
      <c r="L1005" s="300"/>
      <c r="N1005" s="187"/>
      <c r="O1005" s="58"/>
      <c r="P1005" s="58"/>
      <c r="Q1005" s="304"/>
    </row>
    <row r="1006" ht="15.75" customHeight="1">
      <c r="A1006" s="27"/>
      <c r="B1006" s="27"/>
      <c r="C1006" s="275"/>
      <c r="D1006" s="27"/>
      <c r="E1006" s="275"/>
      <c r="F1006" s="185"/>
      <c r="G1006" s="185"/>
      <c r="H1006" s="185"/>
      <c r="I1006" s="298"/>
      <c r="J1006" s="298"/>
      <c r="K1006" s="28"/>
      <c r="L1006" s="299"/>
      <c r="N1006" s="187"/>
      <c r="O1006" s="58"/>
      <c r="P1006" s="58"/>
      <c r="Q1006" s="304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</row>
    <row r="1007" ht="15.75" customHeight="1">
      <c r="A1007" s="27"/>
      <c r="B1007" s="27"/>
      <c r="C1007" s="275"/>
      <c r="D1007" s="27"/>
      <c r="E1007" s="275"/>
      <c r="F1007" s="185"/>
      <c r="G1007" s="185"/>
      <c r="H1007" s="185"/>
      <c r="I1007" s="298"/>
      <c r="J1007" s="298"/>
      <c r="K1007" s="28"/>
      <c r="L1007" s="299"/>
      <c r="N1007" s="187"/>
      <c r="O1007" s="58"/>
      <c r="P1007" s="58"/>
      <c r="Q1007" s="304"/>
    </row>
    <row r="1008" ht="15.75" customHeight="1">
      <c r="A1008" s="27"/>
      <c r="B1008" s="27"/>
      <c r="C1008" s="275"/>
      <c r="D1008" s="27"/>
      <c r="E1008" s="275"/>
      <c r="F1008" s="185"/>
      <c r="G1008" s="185"/>
      <c r="H1008" s="185"/>
      <c r="I1008" s="298"/>
      <c r="J1008" s="298"/>
      <c r="K1008" s="28"/>
      <c r="L1008" s="299"/>
      <c r="N1008" s="187"/>
      <c r="O1008" s="58"/>
      <c r="P1008" s="58"/>
      <c r="Q1008" s="304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</row>
    <row r="1009" ht="15.75" customHeight="1">
      <c r="A1009" s="27"/>
      <c r="B1009" s="27"/>
      <c r="C1009" s="275"/>
      <c r="D1009" s="27"/>
      <c r="E1009" s="275"/>
      <c r="F1009" s="185"/>
      <c r="G1009" s="185"/>
      <c r="H1009" s="185"/>
      <c r="I1009" s="298"/>
      <c r="J1009" s="298"/>
      <c r="K1009" s="28"/>
      <c r="L1009" s="299"/>
      <c r="N1009" s="187"/>
      <c r="O1009" s="58"/>
      <c r="P1009" s="58"/>
      <c r="Q1009" s="304"/>
      <c r="W1009" s="27"/>
      <c r="X1009" s="27"/>
      <c r="Y1009" s="27"/>
      <c r="Z1009" s="27"/>
      <c r="AA1009" s="27"/>
      <c r="AB1009" s="27"/>
      <c r="AC1009" s="27"/>
      <c r="AD1009" s="27"/>
      <c r="AE1009" s="27"/>
    </row>
    <row r="1010" ht="15.75" customHeight="1">
      <c r="A1010" s="27"/>
      <c r="B1010" s="27"/>
      <c r="C1010" s="275"/>
      <c r="D1010" s="27"/>
      <c r="E1010" s="275"/>
      <c r="F1010" s="185"/>
      <c r="G1010" s="185"/>
      <c r="H1010" s="185"/>
      <c r="I1010" s="298"/>
      <c r="J1010" s="298"/>
      <c r="K1010" s="28"/>
      <c r="L1010" s="299"/>
      <c r="N1010" s="187"/>
      <c r="O1010" s="58"/>
      <c r="P1010" s="58"/>
      <c r="Q1010" s="304"/>
      <c r="AF1010" s="27"/>
      <c r="AG1010" s="27"/>
      <c r="AH1010" s="27"/>
    </row>
    <row r="1011" ht="15.75" customHeight="1">
      <c r="A1011" s="27"/>
      <c r="B1011" s="27"/>
      <c r="C1011" s="275"/>
      <c r="D1011" s="27"/>
      <c r="E1011" s="275"/>
      <c r="F1011" s="185"/>
      <c r="G1011" s="185"/>
      <c r="H1011" s="185"/>
      <c r="I1011" s="298"/>
      <c r="J1011" s="298"/>
      <c r="K1011" s="28"/>
      <c r="L1011" s="299"/>
      <c r="N1011" s="187"/>
      <c r="O1011" s="58"/>
      <c r="P1011" s="58"/>
      <c r="Q1011" s="304"/>
    </row>
    <row r="1012" ht="15.75" customHeight="1">
      <c r="A1012" s="27"/>
      <c r="B1012" s="27"/>
      <c r="C1012" s="275"/>
      <c r="D1012" s="27"/>
      <c r="E1012" s="275"/>
      <c r="F1012" s="185"/>
      <c r="G1012" s="185"/>
      <c r="H1012" s="185"/>
      <c r="I1012" s="298"/>
      <c r="J1012" s="298"/>
      <c r="K1012" s="28"/>
      <c r="L1012" s="299"/>
      <c r="N1012" s="187"/>
      <c r="O1012" s="58"/>
      <c r="P1012" s="58"/>
      <c r="Q1012" s="304"/>
    </row>
    <row r="1013" ht="15.75" customHeight="1">
      <c r="A1013" s="27"/>
      <c r="B1013" s="27"/>
      <c r="C1013" s="275"/>
      <c r="D1013" s="27"/>
      <c r="E1013" s="275"/>
      <c r="F1013" s="185"/>
      <c r="G1013" s="185"/>
      <c r="H1013" s="185"/>
      <c r="I1013" s="298"/>
      <c r="J1013" s="298"/>
      <c r="K1013" s="28"/>
      <c r="L1013" s="299"/>
      <c r="N1013" s="187"/>
      <c r="O1013" s="58"/>
      <c r="P1013" s="58"/>
      <c r="Q1013" s="304"/>
    </row>
    <row r="1014" ht="15.75" customHeight="1">
      <c r="A1014" s="27"/>
      <c r="B1014" s="27"/>
      <c r="C1014" s="275"/>
      <c r="D1014" s="27"/>
      <c r="E1014" s="275"/>
      <c r="F1014" s="185"/>
      <c r="G1014" s="185"/>
      <c r="H1014" s="185"/>
      <c r="I1014" s="298"/>
      <c r="J1014" s="298"/>
      <c r="K1014" s="28"/>
      <c r="L1014" s="299"/>
      <c r="N1014" s="187"/>
      <c r="O1014" s="58"/>
      <c r="P1014" s="58"/>
      <c r="Q1014" s="304"/>
    </row>
    <row r="1015" ht="15.75" customHeight="1">
      <c r="A1015" s="27"/>
      <c r="B1015" s="27"/>
      <c r="C1015" s="275"/>
      <c r="D1015" s="27"/>
      <c r="E1015" s="275"/>
      <c r="F1015" s="185"/>
      <c r="G1015" s="185"/>
      <c r="H1015" s="185"/>
      <c r="I1015" s="298"/>
      <c r="J1015" s="298"/>
      <c r="K1015" s="28"/>
      <c r="L1015" s="299"/>
      <c r="N1015" s="187"/>
      <c r="O1015" s="58"/>
      <c r="P1015" s="58"/>
      <c r="Q1015" s="304"/>
    </row>
    <row r="1016" ht="15.75" customHeight="1">
      <c r="A1016" s="27"/>
      <c r="B1016" s="27"/>
      <c r="C1016" s="275"/>
      <c r="D1016" s="27"/>
      <c r="E1016" s="275"/>
      <c r="F1016" s="185"/>
      <c r="G1016" s="185"/>
      <c r="H1016" s="185"/>
      <c r="I1016" s="298"/>
      <c r="J1016" s="298"/>
      <c r="K1016" s="28"/>
      <c r="L1016" s="299"/>
      <c r="N1016" s="187"/>
      <c r="O1016" s="58"/>
      <c r="P1016" s="58"/>
      <c r="Q1016" s="304"/>
    </row>
    <row r="1017" ht="15.75" customHeight="1">
      <c r="A1017" s="27"/>
      <c r="B1017" s="27"/>
      <c r="C1017" s="275"/>
      <c r="D1017" s="27"/>
      <c r="E1017" s="275"/>
      <c r="F1017" s="185"/>
      <c r="G1017" s="185"/>
      <c r="H1017" s="185"/>
      <c r="I1017" s="298"/>
      <c r="J1017" s="298"/>
      <c r="K1017" s="28"/>
      <c r="L1017" s="299"/>
      <c r="N1017" s="187"/>
      <c r="O1017" s="58"/>
      <c r="P1017" s="58"/>
      <c r="Q1017" s="304"/>
    </row>
    <row r="1018" ht="15.75" customHeight="1">
      <c r="A1018" s="27"/>
      <c r="B1018" s="27"/>
      <c r="C1018" s="275"/>
      <c r="D1018" s="27"/>
      <c r="E1018" s="275"/>
      <c r="F1018" s="185"/>
      <c r="G1018" s="185"/>
      <c r="H1018" s="185"/>
      <c r="I1018" s="298"/>
      <c r="J1018" s="298"/>
      <c r="K1018" s="28"/>
      <c r="L1018" s="299"/>
      <c r="N1018" s="187"/>
      <c r="O1018" s="58"/>
      <c r="P1018" s="58"/>
      <c r="Q1018" s="304"/>
    </row>
    <row r="1019" ht="15.75" customHeight="1">
      <c r="A1019" s="27"/>
      <c r="B1019" s="27"/>
      <c r="C1019" s="275"/>
      <c r="D1019" s="27"/>
      <c r="E1019" s="275"/>
      <c r="F1019" s="185"/>
      <c r="G1019" s="185"/>
      <c r="H1019" s="185"/>
      <c r="I1019" s="298"/>
      <c r="J1019" s="298"/>
      <c r="K1019" s="28"/>
      <c r="L1019" s="299"/>
      <c r="N1019" s="187"/>
      <c r="O1019" s="58"/>
      <c r="P1019" s="58"/>
      <c r="Q1019" s="304"/>
    </row>
    <row r="1020" ht="15.75" customHeight="1">
      <c r="A1020" s="27"/>
      <c r="B1020" s="27"/>
      <c r="C1020" s="275"/>
      <c r="D1020" s="27"/>
      <c r="E1020" s="275"/>
      <c r="F1020" s="185"/>
      <c r="G1020" s="185"/>
      <c r="H1020" s="185"/>
      <c r="I1020" s="298"/>
      <c r="J1020" s="298"/>
      <c r="K1020" s="28"/>
      <c r="L1020" s="299"/>
      <c r="N1020" s="187"/>
      <c r="O1020" s="58"/>
      <c r="P1020" s="58"/>
      <c r="Q1020" s="304"/>
    </row>
    <row r="1021" ht="15.75" customHeight="1">
      <c r="A1021" s="27"/>
      <c r="B1021" s="27"/>
      <c r="C1021" s="275"/>
      <c r="D1021" s="27"/>
      <c r="E1021" s="275"/>
      <c r="F1021" s="185"/>
      <c r="G1021" s="185"/>
      <c r="H1021" s="185"/>
      <c r="I1021" s="298"/>
      <c r="J1021" s="298"/>
      <c r="K1021" s="28"/>
      <c r="L1021" s="299"/>
      <c r="N1021" s="187"/>
      <c r="O1021" s="58"/>
      <c r="P1021" s="58"/>
      <c r="Q1021" s="304"/>
    </row>
    <row r="1022" ht="15.75" customHeight="1">
      <c r="A1022" s="27"/>
      <c r="B1022" s="27"/>
      <c r="C1022" s="275"/>
      <c r="D1022" s="27"/>
      <c r="E1022" s="275"/>
      <c r="F1022" s="185"/>
      <c r="G1022" s="185"/>
      <c r="H1022" s="185"/>
      <c r="I1022" s="298"/>
      <c r="J1022" s="298"/>
      <c r="K1022" s="28"/>
      <c r="L1022" s="299"/>
      <c r="N1022" s="187"/>
      <c r="O1022" s="58"/>
      <c r="P1022" s="58"/>
      <c r="Q1022" s="304"/>
    </row>
    <row r="1023" ht="15.75" customHeight="1">
      <c r="A1023" s="27"/>
      <c r="B1023" s="27"/>
      <c r="C1023" s="275"/>
      <c r="D1023" s="27"/>
      <c r="E1023" s="275"/>
      <c r="F1023" s="185"/>
      <c r="G1023" s="185"/>
      <c r="H1023" s="185"/>
      <c r="I1023" s="298"/>
      <c r="J1023" s="298"/>
      <c r="K1023" s="28"/>
      <c r="L1023" s="299"/>
      <c r="N1023" s="187"/>
      <c r="O1023" s="58"/>
      <c r="P1023" s="58"/>
      <c r="Q1023" s="304"/>
    </row>
    <row r="1024" ht="15.75" customHeight="1">
      <c r="A1024" s="27"/>
      <c r="B1024" s="27"/>
      <c r="C1024" s="275"/>
      <c r="D1024" s="27"/>
      <c r="E1024" s="275"/>
      <c r="F1024" s="185"/>
      <c r="G1024" s="185"/>
      <c r="H1024" s="185"/>
      <c r="I1024" s="298"/>
      <c r="J1024" s="298"/>
      <c r="K1024" s="28"/>
      <c r="L1024" s="299"/>
      <c r="N1024" s="187"/>
      <c r="O1024" s="58"/>
      <c r="P1024" s="58"/>
      <c r="Q1024" s="304"/>
    </row>
    <row r="1025" ht="15.75" customHeight="1">
      <c r="A1025" s="27"/>
      <c r="B1025" s="27"/>
      <c r="C1025" s="275"/>
      <c r="D1025" s="27"/>
      <c r="E1025" s="275"/>
      <c r="F1025" s="185"/>
      <c r="G1025" s="185"/>
      <c r="H1025" s="185"/>
      <c r="I1025" s="298"/>
      <c r="J1025" s="298"/>
      <c r="K1025" s="28"/>
      <c r="L1025" s="299"/>
      <c r="N1025" s="187"/>
      <c r="O1025" s="58"/>
      <c r="P1025" s="58"/>
      <c r="Q1025" s="304"/>
    </row>
    <row r="1026" ht="15.75" customHeight="1">
      <c r="A1026" s="27"/>
      <c r="B1026" s="27"/>
      <c r="C1026" s="275"/>
      <c r="D1026" s="27"/>
      <c r="E1026" s="275"/>
      <c r="F1026" s="185"/>
      <c r="G1026" s="185"/>
      <c r="H1026" s="185"/>
      <c r="I1026" s="298"/>
      <c r="J1026" s="298"/>
      <c r="K1026" s="28"/>
      <c r="L1026" s="299"/>
      <c r="N1026" s="187"/>
      <c r="O1026" s="58"/>
      <c r="P1026" s="58"/>
      <c r="Q1026" s="304"/>
    </row>
    <row r="1027" ht="15.75" customHeight="1">
      <c r="A1027" s="27"/>
      <c r="B1027" s="27"/>
      <c r="C1027" s="275"/>
      <c r="D1027" s="27"/>
      <c r="E1027" s="275"/>
      <c r="F1027" s="185"/>
      <c r="G1027" s="185"/>
      <c r="H1027" s="185"/>
      <c r="I1027" s="298"/>
      <c r="J1027" s="298"/>
      <c r="K1027" s="28"/>
      <c r="L1027" s="299"/>
      <c r="N1027" s="187"/>
      <c r="O1027" s="58"/>
      <c r="P1027" s="58"/>
      <c r="Q1027" s="304"/>
    </row>
    <row r="1028" ht="15.75" customHeight="1">
      <c r="A1028" s="27"/>
      <c r="B1028" s="27"/>
      <c r="C1028" s="275"/>
      <c r="D1028" s="27"/>
      <c r="E1028" s="275"/>
      <c r="F1028" s="185"/>
      <c r="G1028" s="185"/>
      <c r="H1028" s="185"/>
      <c r="I1028" s="298"/>
      <c r="J1028" s="298"/>
      <c r="K1028" s="28"/>
      <c r="L1028" s="299"/>
      <c r="N1028" s="187"/>
      <c r="O1028" s="58"/>
      <c r="P1028" s="58"/>
      <c r="Q1028" s="304"/>
    </row>
    <row r="1029" ht="15.75" customHeight="1">
      <c r="A1029" s="27"/>
      <c r="B1029" s="27"/>
      <c r="C1029" s="275"/>
      <c r="D1029" s="27"/>
      <c r="E1029" s="275"/>
      <c r="F1029" s="185"/>
      <c r="G1029" s="185"/>
      <c r="H1029" s="185"/>
      <c r="I1029" s="298"/>
      <c r="J1029" s="298"/>
      <c r="K1029" s="28"/>
      <c r="L1029" s="299"/>
      <c r="N1029" s="187"/>
      <c r="O1029" s="58"/>
      <c r="P1029" s="58"/>
      <c r="Q1029" s="304"/>
    </row>
    <row r="1030" ht="15.75" customHeight="1">
      <c r="A1030" s="27"/>
      <c r="B1030" s="27"/>
      <c r="C1030" s="275"/>
      <c r="D1030" s="27"/>
      <c r="E1030" s="275"/>
      <c r="F1030" s="185"/>
      <c r="G1030" s="185"/>
      <c r="H1030" s="185"/>
      <c r="I1030" s="298"/>
      <c r="J1030" s="298"/>
      <c r="K1030" s="28"/>
      <c r="L1030" s="299"/>
      <c r="N1030" s="187"/>
      <c r="O1030" s="58"/>
      <c r="P1030" s="58"/>
      <c r="Q1030" s="304"/>
    </row>
    <row r="1031" ht="15.75" customHeight="1">
      <c r="A1031" s="27"/>
      <c r="B1031" s="27"/>
      <c r="C1031" s="275"/>
      <c r="D1031" s="27"/>
      <c r="E1031" s="275"/>
      <c r="F1031" s="185"/>
      <c r="G1031" s="185"/>
      <c r="H1031" s="185"/>
      <c r="I1031" s="298"/>
      <c r="J1031" s="298"/>
      <c r="K1031" s="28"/>
      <c r="L1031" s="299"/>
      <c r="N1031" s="187"/>
      <c r="O1031" s="58"/>
      <c r="P1031" s="58"/>
      <c r="Q1031" s="304"/>
    </row>
    <row r="1032" ht="15.75" customHeight="1">
      <c r="A1032" s="27"/>
      <c r="B1032" s="27"/>
      <c r="C1032" s="275"/>
      <c r="D1032" s="27"/>
      <c r="E1032" s="275"/>
      <c r="F1032" s="185"/>
      <c r="G1032" s="185"/>
      <c r="H1032" s="185"/>
      <c r="I1032" s="298"/>
      <c r="J1032" s="298"/>
      <c r="K1032" s="28"/>
      <c r="L1032" s="299"/>
      <c r="N1032" s="187"/>
      <c r="O1032" s="58"/>
      <c r="P1032" s="58"/>
      <c r="Q1032" s="304"/>
    </row>
    <row r="1033" ht="15.75" customHeight="1">
      <c r="A1033" s="27"/>
      <c r="B1033" s="27"/>
      <c r="C1033" s="275"/>
      <c r="D1033" s="27"/>
      <c r="E1033" s="275"/>
      <c r="F1033" s="185"/>
      <c r="G1033" s="185"/>
      <c r="H1033" s="185"/>
      <c r="I1033" s="298"/>
      <c r="J1033" s="298"/>
      <c r="K1033" s="28"/>
      <c r="L1033" s="299"/>
      <c r="N1033" s="187"/>
      <c r="O1033" s="58"/>
      <c r="P1033" s="58"/>
      <c r="Q1033" s="304"/>
    </row>
    <row r="1034" ht="15.75" customHeight="1">
      <c r="A1034" s="27"/>
      <c r="B1034" s="27"/>
      <c r="C1034" s="275"/>
      <c r="D1034" s="27"/>
      <c r="E1034" s="275"/>
      <c r="F1034" s="185"/>
      <c r="G1034" s="185"/>
      <c r="H1034" s="185"/>
      <c r="I1034" s="298"/>
      <c r="J1034" s="298"/>
      <c r="K1034" s="28"/>
      <c r="L1034" s="299"/>
      <c r="N1034" s="187"/>
      <c r="O1034" s="58"/>
      <c r="P1034" s="58"/>
      <c r="Q1034" s="304"/>
    </row>
    <row r="1035" ht="15.75" customHeight="1">
      <c r="A1035" s="27"/>
      <c r="B1035" s="27"/>
      <c r="C1035" s="275"/>
      <c r="D1035" s="27"/>
      <c r="E1035" s="275"/>
      <c r="F1035" s="185"/>
      <c r="G1035" s="185"/>
      <c r="H1035" s="185"/>
      <c r="I1035" s="298"/>
      <c r="J1035" s="298"/>
      <c r="K1035" s="28"/>
      <c r="L1035" s="299"/>
      <c r="N1035" s="187"/>
      <c r="O1035" s="58"/>
      <c r="P1035" s="58"/>
      <c r="Q1035" s="304"/>
    </row>
    <row r="1036" ht="15.75" customHeight="1">
      <c r="A1036" s="27"/>
      <c r="B1036" s="27"/>
      <c r="C1036" s="275"/>
      <c r="D1036" s="27"/>
      <c r="E1036" s="275"/>
      <c r="F1036" s="185"/>
      <c r="G1036" s="185"/>
      <c r="H1036" s="185"/>
      <c r="I1036" s="298"/>
      <c r="J1036" s="298"/>
      <c r="K1036" s="28"/>
      <c r="L1036" s="299"/>
      <c r="N1036" s="187"/>
      <c r="O1036" s="58"/>
      <c r="P1036" s="58"/>
      <c r="Q1036" s="304"/>
    </row>
    <row r="1037" ht="15.75" customHeight="1">
      <c r="A1037" s="27"/>
      <c r="B1037" s="27"/>
      <c r="C1037" s="275"/>
      <c r="D1037" s="27"/>
      <c r="E1037" s="275"/>
      <c r="F1037" s="185"/>
      <c r="G1037" s="185"/>
      <c r="H1037" s="185"/>
      <c r="I1037" s="298"/>
      <c r="J1037" s="298"/>
      <c r="K1037" s="28"/>
      <c r="L1037" s="299"/>
      <c r="N1037" s="187"/>
      <c r="O1037" s="58"/>
      <c r="P1037" s="58"/>
      <c r="Q1037" s="304"/>
    </row>
    <row r="1038" ht="15.75" customHeight="1">
      <c r="A1038" s="27"/>
      <c r="B1038" s="27"/>
      <c r="C1038" s="275"/>
      <c r="D1038" s="27"/>
      <c r="E1038" s="275"/>
      <c r="F1038" s="185"/>
      <c r="G1038" s="185"/>
      <c r="H1038" s="185"/>
      <c r="I1038" s="298"/>
      <c r="J1038" s="298"/>
      <c r="K1038" s="28"/>
      <c r="L1038" s="299"/>
      <c r="N1038" s="187"/>
      <c r="O1038" s="58"/>
      <c r="P1038" s="58"/>
      <c r="Q1038" s="304"/>
    </row>
    <row r="1039" ht="15.75" customHeight="1">
      <c r="A1039" s="27"/>
      <c r="B1039" s="27"/>
      <c r="C1039" s="275"/>
      <c r="D1039" s="27"/>
      <c r="E1039" s="275"/>
      <c r="F1039" s="185"/>
      <c r="G1039" s="185"/>
      <c r="H1039" s="185"/>
      <c r="I1039" s="298"/>
      <c r="J1039" s="298"/>
      <c r="K1039" s="28"/>
      <c r="L1039" s="299"/>
      <c r="N1039" s="187"/>
      <c r="O1039" s="58"/>
      <c r="P1039" s="58"/>
      <c r="Q1039" s="304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</row>
    <row r="1040" ht="15.75" customHeight="1">
      <c r="A1040" s="27"/>
      <c r="B1040" s="27"/>
      <c r="C1040" s="275"/>
      <c r="D1040" s="27"/>
      <c r="E1040" s="275"/>
      <c r="F1040" s="185"/>
      <c r="G1040" s="185"/>
      <c r="H1040" s="185"/>
      <c r="I1040" s="298"/>
      <c r="J1040" s="298"/>
      <c r="K1040" s="28"/>
      <c r="L1040" s="299"/>
      <c r="N1040" s="187"/>
      <c r="O1040" s="58"/>
      <c r="P1040" s="58"/>
      <c r="Q1040" s="304"/>
    </row>
    <row r="1041" ht="15.75" customHeight="1">
      <c r="A1041" s="27"/>
      <c r="B1041" s="27"/>
      <c r="C1041" s="275"/>
      <c r="D1041" s="27"/>
      <c r="E1041" s="275"/>
      <c r="F1041" s="185"/>
      <c r="G1041" s="185"/>
      <c r="H1041" s="185"/>
      <c r="I1041" s="298"/>
      <c r="J1041" s="298"/>
      <c r="K1041" s="28"/>
      <c r="L1041" s="299"/>
      <c r="N1041" s="187"/>
      <c r="O1041" s="58"/>
      <c r="P1041" s="58"/>
      <c r="Q1041" s="304"/>
    </row>
    <row r="1042" ht="15.75" customHeight="1">
      <c r="A1042" s="27"/>
      <c r="B1042" s="27"/>
      <c r="C1042" s="275"/>
      <c r="D1042" s="27"/>
      <c r="E1042" s="275"/>
      <c r="F1042" s="185"/>
      <c r="G1042" s="185"/>
      <c r="H1042" s="185"/>
      <c r="I1042" s="298"/>
      <c r="J1042" s="298"/>
      <c r="K1042" s="28"/>
      <c r="L1042" s="299"/>
      <c r="N1042" s="187"/>
      <c r="O1042" s="58"/>
      <c r="P1042" s="58"/>
      <c r="Q1042" s="304"/>
    </row>
    <row r="1043" ht="15.75" customHeight="1">
      <c r="A1043" s="27"/>
      <c r="B1043" s="27"/>
      <c r="C1043" s="275"/>
      <c r="D1043" s="27"/>
      <c r="E1043" s="275"/>
      <c r="F1043" s="185"/>
      <c r="G1043" s="185"/>
      <c r="H1043" s="185"/>
      <c r="I1043" s="298"/>
      <c r="J1043" s="298"/>
      <c r="K1043" s="28"/>
      <c r="L1043" s="299"/>
      <c r="N1043" s="187"/>
      <c r="O1043" s="58"/>
      <c r="P1043" s="58"/>
      <c r="Q1043" s="304"/>
    </row>
    <row r="1044" ht="15.75" customHeight="1">
      <c r="A1044" s="27"/>
      <c r="B1044" s="27"/>
      <c r="C1044" s="275"/>
      <c r="D1044" s="27"/>
      <c r="E1044" s="275"/>
      <c r="F1044" s="185"/>
      <c r="G1044" s="185"/>
      <c r="H1044" s="185"/>
      <c r="I1044" s="298"/>
      <c r="J1044" s="298"/>
      <c r="K1044" s="28"/>
      <c r="L1044" s="299"/>
      <c r="N1044" s="187"/>
      <c r="O1044" s="58"/>
      <c r="P1044" s="58"/>
      <c r="Q1044" s="304"/>
    </row>
    <row r="1045" ht="15.75" customHeight="1">
      <c r="A1045" s="27"/>
      <c r="B1045" s="27"/>
      <c r="C1045" s="275"/>
      <c r="D1045" s="27"/>
      <c r="E1045" s="275"/>
      <c r="F1045" s="185"/>
      <c r="G1045" s="185"/>
      <c r="H1045" s="185"/>
      <c r="I1045" s="298"/>
      <c r="J1045" s="298"/>
      <c r="K1045" s="28"/>
      <c r="L1045" s="299"/>
      <c r="N1045" s="187"/>
      <c r="O1045" s="58"/>
      <c r="P1045" s="58"/>
      <c r="Q1045" s="304"/>
    </row>
    <row r="1046" ht="15.75" customHeight="1">
      <c r="A1046" s="27"/>
      <c r="B1046" s="27"/>
      <c r="C1046" s="275"/>
      <c r="D1046" s="27"/>
      <c r="E1046" s="275"/>
      <c r="F1046" s="185"/>
      <c r="G1046" s="185"/>
      <c r="H1046" s="185"/>
      <c r="I1046" s="298"/>
      <c r="J1046" s="298"/>
      <c r="K1046" s="28"/>
      <c r="L1046" s="299"/>
      <c r="N1046" s="187"/>
      <c r="O1046" s="58"/>
      <c r="P1046" s="58"/>
      <c r="Q1046" s="304"/>
    </row>
    <row r="1047" ht="15.75" customHeight="1">
      <c r="A1047" s="27"/>
      <c r="B1047" s="27"/>
      <c r="C1047" s="275"/>
      <c r="D1047" s="27"/>
      <c r="E1047" s="275"/>
      <c r="F1047" s="185"/>
      <c r="G1047" s="185"/>
      <c r="H1047" s="185"/>
      <c r="I1047" s="298"/>
      <c r="J1047" s="298"/>
      <c r="K1047" s="28"/>
      <c r="L1047" s="299"/>
      <c r="N1047" s="187"/>
      <c r="O1047" s="58"/>
      <c r="P1047" s="58"/>
      <c r="Q1047" s="304"/>
    </row>
    <row r="1048" ht="15.75" customHeight="1">
      <c r="A1048" s="27"/>
      <c r="B1048" s="27"/>
      <c r="C1048" s="275"/>
      <c r="D1048" s="27"/>
      <c r="E1048" s="275"/>
      <c r="F1048" s="185"/>
      <c r="G1048" s="185"/>
      <c r="H1048" s="185"/>
      <c r="I1048" s="298"/>
      <c r="J1048" s="298"/>
      <c r="K1048" s="28"/>
      <c r="L1048" s="299"/>
      <c r="N1048" s="187"/>
      <c r="O1048" s="58"/>
      <c r="P1048" s="58"/>
      <c r="Q1048" s="304"/>
    </row>
    <row r="1049" ht="15.75" customHeight="1">
      <c r="A1049" s="27"/>
      <c r="B1049" s="27"/>
      <c r="C1049" s="275"/>
      <c r="D1049" s="27"/>
      <c r="E1049" s="275"/>
      <c r="F1049" s="185"/>
      <c r="G1049" s="185"/>
      <c r="H1049" s="185"/>
      <c r="I1049" s="298"/>
      <c r="J1049" s="298"/>
      <c r="K1049" s="28"/>
      <c r="L1049" s="299"/>
      <c r="N1049" s="187"/>
      <c r="O1049" s="58"/>
      <c r="P1049" s="58"/>
      <c r="Q1049" s="304"/>
    </row>
    <row r="1050" ht="15.75" customHeight="1">
      <c r="A1050" s="27"/>
      <c r="B1050" s="27"/>
      <c r="C1050" s="275"/>
      <c r="D1050" s="27"/>
      <c r="E1050" s="275"/>
      <c r="F1050" s="185"/>
      <c r="G1050" s="185"/>
      <c r="H1050" s="185"/>
      <c r="I1050" s="298"/>
      <c r="J1050" s="298"/>
      <c r="K1050" s="28"/>
      <c r="L1050" s="299"/>
      <c r="N1050" s="187"/>
      <c r="O1050" s="58"/>
      <c r="P1050" s="58"/>
      <c r="Q1050" s="304"/>
    </row>
    <row r="1051" ht="15.75" customHeight="1">
      <c r="A1051" s="27"/>
      <c r="B1051" s="27"/>
      <c r="C1051" s="275"/>
      <c r="D1051" s="27"/>
      <c r="E1051" s="275"/>
      <c r="F1051" s="185"/>
      <c r="G1051" s="185"/>
      <c r="H1051" s="185"/>
      <c r="I1051" s="298"/>
      <c r="J1051" s="298"/>
      <c r="K1051" s="28"/>
      <c r="L1051" s="299"/>
      <c r="N1051" s="187"/>
      <c r="O1051" s="58"/>
      <c r="P1051" s="58"/>
      <c r="Q1051" s="304"/>
    </row>
    <row r="1052" ht="15.0" customHeight="1">
      <c r="A1052" s="27"/>
      <c r="B1052" s="27"/>
      <c r="C1052" s="275"/>
      <c r="D1052" s="27"/>
      <c r="E1052" s="275"/>
      <c r="F1052" s="185"/>
      <c r="G1052" s="185"/>
      <c r="H1052" s="185"/>
      <c r="I1052" s="298"/>
      <c r="J1052" s="298"/>
      <c r="K1052" s="28"/>
      <c r="L1052" s="299"/>
      <c r="N1052" s="187"/>
      <c r="O1052" s="58"/>
      <c r="P1052" s="58"/>
      <c r="Q1052" s="304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</row>
    <row r="1053" ht="15.75" customHeight="1">
      <c r="A1053" s="27"/>
      <c r="B1053" s="27"/>
      <c r="C1053" s="275"/>
      <c r="D1053" s="27"/>
      <c r="E1053" s="275"/>
      <c r="F1053" s="185"/>
      <c r="G1053" s="185"/>
      <c r="H1053" s="185"/>
      <c r="I1053" s="298"/>
      <c r="J1053" s="298"/>
      <c r="K1053" s="28"/>
      <c r="L1053" s="299"/>
      <c r="M1053" s="27"/>
      <c r="N1053" s="187"/>
      <c r="O1053" s="58"/>
      <c r="P1053" s="58"/>
    </row>
    <row r="1054" ht="15.75" customHeight="1">
      <c r="A1054" s="27"/>
      <c r="B1054" s="27"/>
      <c r="C1054" s="275"/>
      <c r="D1054" s="27"/>
      <c r="E1054" s="275"/>
      <c r="F1054" s="185"/>
      <c r="G1054" s="185"/>
      <c r="H1054" s="185"/>
      <c r="I1054" s="298"/>
      <c r="J1054" s="298"/>
      <c r="K1054" s="28"/>
      <c r="L1054" s="299"/>
      <c r="M1054" s="27"/>
      <c r="N1054" s="187"/>
      <c r="O1054" s="58"/>
      <c r="P1054" s="58"/>
      <c r="Q1054" s="304"/>
    </row>
    <row r="1055" ht="15.75" customHeight="1">
      <c r="A1055" s="27"/>
      <c r="B1055" s="27"/>
      <c r="C1055" s="275"/>
      <c r="D1055" s="27"/>
      <c r="E1055" s="275"/>
      <c r="F1055" s="185"/>
      <c r="G1055" s="185"/>
      <c r="H1055" s="185"/>
      <c r="I1055" s="298"/>
      <c r="J1055" s="298"/>
      <c r="K1055" s="28"/>
      <c r="L1055" s="299"/>
      <c r="M1055" s="27"/>
      <c r="N1055" s="187"/>
      <c r="O1055" s="58"/>
      <c r="P1055" s="300"/>
      <c r="Q1055" s="304"/>
    </row>
    <row r="1056" ht="15.75" customHeight="1">
      <c r="A1056" s="27"/>
      <c r="B1056" s="27"/>
      <c r="C1056" s="275"/>
      <c r="D1056" s="27"/>
      <c r="E1056" s="275"/>
      <c r="F1056" s="185"/>
      <c r="G1056" s="185"/>
      <c r="H1056" s="185"/>
      <c r="I1056" s="298"/>
      <c r="J1056" s="298"/>
      <c r="K1056" s="28"/>
      <c r="L1056" s="299"/>
      <c r="M1056" s="27"/>
      <c r="N1056" s="187"/>
      <c r="O1056" s="58"/>
      <c r="P1056" s="300"/>
      <c r="Q1056" s="304"/>
    </row>
    <row r="1057" ht="15.75" customHeight="1">
      <c r="A1057" s="27"/>
      <c r="B1057" s="27"/>
      <c r="C1057" s="275"/>
      <c r="D1057" s="27"/>
      <c r="E1057" s="275"/>
      <c r="F1057" s="185"/>
      <c r="G1057" s="185"/>
      <c r="H1057" s="185"/>
      <c r="I1057" s="298"/>
      <c r="J1057" s="298"/>
      <c r="K1057" s="28"/>
      <c r="L1057" s="299"/>
      <c r="M1057" s="27"/>
      <c r="N1057" s="187"/>
      <c r="O1057" s="58"/>
      <c r="P1057" s="300"/>
      <c r="Q1057" s="304"/>
    </row>
    <row r="1058" ht="15.75" customHeight="1">
      <c r="A1058" s="27"/>
      <c r="B1058" s="27"/>
      <c r="C1058" s="275"/>
      <c r="D1058" s="27"/>
      <c r="E1058" s="275"/>
      <c r="F1058" s="185"/>
      <c r="G1058" s="185"/>
      <c r="H1058" s="185"/>
      <c r="I1058" s="298"/>
      <c r="J1058" s="298"/>
      <c r="K1058" s="28"/>
      <c r="L1058" s="299"/>
      <c r="M1058" s="27"/>
      <c r="N1058" s="187"/>
      <c r="O1058" s="58"/>
      <c r="P1058" s="300"/>
      <c r="Q1058" s="304"/>
    </row>
    <row r="1059" ht="15.75" customHeight="1">
      <c r="A1059" s="27"/>
      <c r="B1059" s="27"/>
      <c r="C1059" s="275"/>
      <c r="D1059" s="27"/>
      <c r="E1059" s="275"/>
      <c r="F1059" s="185"/>
      <c r="G1059" s="185"/>
      <c r="H1059" s="185"/>
      <c r="I1059" s="298"/>
      <c r="J1059" s="298"/>
      <c r="K1059" s="28"/>
      <c r="L1059" s="299"/>
      <c r="M1059" s="27"/>
      <c r="N1059" s="187"/>
      <c r="O1059" s="58"/>
      <c r="P1059" s="300"/>
      <c r="Q1059" s="304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</row>
    <row r="1060" ht="15.75" customHeight="1">
      <c r="A1060" s="27"/>
      <c r="B1060" s="27"/>
      <c r="C1060" s="275"/>
      <c r="D1060" s="27"/>
      <c r="E1060" s="275"/>
      <c r="F1060" s="185"/>
      <c r="G1060" s="185"/>
      <c r="H1060" s="185"/>
      <c r="I1060" s="298"/>
      <c r="J1060" s="298"/>
      <c r="K1060" s="28"/>
      <c r="L1060" s="299"/>
      <c r="M1060" s="27"/>
      <c r="N1060" s="187"/>
      <c r="O1060" s="58"/>
      <c r="P1060" s="300"/>
      <c r="Q1060" s="304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</row>
    <row r="1061" ht="15.75" customHeight="1">
      <c r="A1061" s="27"/>
      <c r="B1061" s="27"/>
      <c r="C1061" s="275"/>
      <c r="D1061" s="27"/>
      <c r="E1061" s="275"/>
      <c r="F1061" s="185"/>
      <c r="G1061" s="185"/>
      <c r="H1061" s="185"/>
      <c r="I1061" s="298"/>
      <c r="J1061" s="298"/>
      <c r="K1061" s="28"/>
      <c r="L1061" s="299"/>
      <c r="N1061" s="187"/>
      <c r="O1061" s="58"/>
      <c r="P1061" s="300"/>
      <c r="Q1061" s="304"/>
    </row>
    <row r="1062" ht="15.75" customHeight="1">
      <c r="A1062" s="27"/>
      <c r="B1062" s="27"/>
      <c r="C1062" s="275"/>
      <c r="D1062" s="27"/>
      <c r="E1062" s="275"/>
      <c r="F1062" s="185"/>
      <c r="G1062" s="185"/>
      <c r="H1062" s="185"/>
      <c r="I1062" s="298"/>
      <c r="J1062" s="298"/>
      <c r="K1062" s="28"/>
      <c r="L1062" s="299"/>
      <c r="M1062" s="27"/>
      <c r="N1062" s="187"/>
      <c r="O1062" s="58"/>
      <c r="P1062" s="300"/>
      <c r="Q1062" s="304"/>
    </row>
    <row r="1063" ht="15.75" customHeight="1">
      <c r="A1063" s="27"/>
      <c r="B1063" s="27"/>
      <c r="C1063" s="275"/>
      <c r="D1063" s="27"/>
      <c r="E1063" s="275"/>
      <c r="F1063" s="185"/>
      <c r="G1063" s="185"/>
      <c r="H1063" s="185"/>
      <c r="I1063" s="298"/>
      <c r="J1063" s="298"/>
      <c r="K1063" s="28"/>
      <c r="L1063" s="299"/>
      <c r="N1063" s="187"/>
      <c r="O1063" s="58"/>
      <c r="P1063" s="300"/>
      <c r="Q1063" s="304"/>
      <c r="T1063" s="27"/>
    </row>
    <row r="1064" ht="15.75" customHeight="1">
      <c r="A1064" s="27"/>
      <c r="B1064" s="27"/>
      <c r="C1064" s="275"/>
      <c r="D1064" s="27"/>
      <c r="E1064" s="275"/>
      <c r="F1064" s="185"/>
      <c r="G1064" s="185"/>
      <c r="H1064" s="185"/>
      <c r="I1064" s="298"/>
      <c r="J1064" s="298"/>
      <c r="K1064" s="28"/>
      <c r="L1064" s="299"/>
      <c r="N1064" s="187"/>
      <c r="O1064" s="58"/>
      <c r="P1064" s="300"/>
      <c r="Q1064" s="304"/>
      <c r="T1064" s="27"/>
    </row>
    <row r="1065" ht="15.75" customHeight="1">
      <c r="A1065" s="27"/>
      <c r="B1065" s="27"/>
      <c r="C1065" s="275"/>
      <c r="D1065" s="27"/>
      <c r="E1065" s="275"/>
      <c r="F1065" s="185"/>
      <c r="G1065" s="185"/>
      <c r="H1065" s="185"/>
      <c r="I1065" s="298"/>
      <c r="J1065" s="298"/>
      <c r="K1065" s="28"/>
      <c r="L1065" s="299"/>
      <c r="M1065" s="27"/>
      <c r="N1065" s="187"/>
      <c r="O1065" s="58"/>
      <c r="P1065" s="300"/>
      <c r="Q1065" s="304"/>
    </row>
    <row r="1066" ht="15.75" customHeight="1">
      <c r="A1066" s="27"/>
      <c r="B1066" s="27"/>
      <c r="C1066" s="275"/>
      <c r="D1066" s="27"/>
      <c r="E1066" s="275"/>
      <c r="F1066" s="185"/>
      <c r="G1066" s="185"/>
      <c r="H1066" s="185"/>
      <c r="I1066" s="298"/>
      <c r="J1066" s="298"/>
      <c r="K1066" s="28"/>
      <c r="L1066" s="299"/>
      <c r="N1066" s="187"/>
      <c r="O1066" s="58"/>
      <c r="P1066" s="300"/>
      <c r="Q1066" s="304"/>
    </row>
    <row r="1067" ht="15.75" customHeight="1">
      <c r="A1067" s="27"/>
      <c r="B1067" s="27"/>
      <c r="C1067" s="275"/>
      <c r="D1067" s="27"/>
      <c r="E1067" s="275"/>
      <c r="F1067" s="185"/>
      <c r="G1067" s="185"/>
      <c r="H1067" s="185"/>
      <c r="I1067" s="298"/>
      <c r="J1067" s="298"/>
      <c r="K1067" s="28"/>
      <c r="L1067" s="299"/>
      <c r="N1067" s="187"/>
      <c r="O1067" s="58"/>
      <c r="P1067" s="300"/>
      <c r="Q1067" s="304"/>
      <c r="T1067" s="27"/>
    </row>
    <row r="1068" ht="15.75" customHeight="1">
      <c r="A1068" s="27"/>
      <c r="B1068" s="27"/>
      <c r="C1068" s="275"/>
      <c r="D1068" s="27"/>
      <c r="E1068" s="275"/>
      <c r="F1068" s="185"/>
      <c r="G1068" s="185"/>
      <c r="H1068" s="185"/>
      <c r="I1068" s="298"/>
      <c r="J1068" s="298"/>
      <c r="K1068" s="28"/>
      <c r="L1068" s="299"/>
      <c r="M1068" s="27"/>
      <c r="N1068" s="187"/>
      <c r="O1068" s="58"/>
      <c r="P1068" s="300"/>
      <c r="Q1068" s="304"/>
      <c r="T1068" s="27"/>
    </row>
    <row r="1069" ht="15.75" customHeight="1">
      <c r="A1069" s="27"/>
      <c r="B1069" s="27"/>
      <c r="C1069" s="275"/>
      <c r="D1069" s="27"/>
      <c r="E1069" s="275"/>
      <c r="F1069" s="185"/>
      <c r="G1069" s="185"/>
      <c r="H1069" s="185"/>
      <c r="I1069" s="298"/>
      <c r="J1069" s="298"/>
      <c r="K1069" s="28"/>
      <c r="L1069" s="299"/>
      <c r="M1069" s="27"/>
      <c r="N1069" s="187"/>
      <c r="O1069" s="58"/>
      <c r="P1069" s="300"/>
      <c r="Q1069" s="304"/>
    </row>
    <row r="1070" ht="15.75" customHeight="1">
      <c r="A1070" s="27"/>
      <c r="B1070" s="27"/>
      <c r="C1070" s="275"/>
      <c r="D1070" s="27"/>
      <c r="E1070" s="275"/>
      <c r="F1070" s="185"/>
      <c r="G1070" s="185"/>
      <c r="H1070" s="185"/>
      <c r="I1070" s="298"/>
      <c r="J1070" s="298"/>
      <c r="K1070" s="28"/>
      <c r="L1070" s="299"/>
      <c r="N1070" s="187"/>
      <c r="O1070" s="58"/>
      <c r="P1070" s="300"/>
      <c r="Q1070" s="304"/>
      <c r="T1070" s="27"/>
    </row>
    <row r="1071" ht="15.75" customHeight="1">
      <c r="A1071" s="27"/>
      <c r="B1071" s="27"/>
      <c r="C1071" s="275"/>
      <c r="D1071" s="27"/>
      <c r="E1071" s="275"/>
      <c r="F1071" s="185"/>
      <c r="G1071" s="185"/>
      <c r="H1071" s="185"/>
      <c r="I1071" s="298"/>
      <c r="J1071" s="298"/>
      <c r="K1071" s="28"/>
      <c r="L1071" s="299"/>
      <c r="M1071" s="27"/>
      <c r="N1071" s="187"/>
      <c r="O1071" s="58"/>
      <c r="P1071" s="300"/>
      <c r="Q1071" s="304"/>
    </row>
    <row r="1072" ht="15.75" customHeight="1">
      <c r="A1072" s="27"/>
      <c r="B1072" s="27"/>
      <c r="C1072" s="275"/>
      <c r="D1072" s="27"/>
      <c r="E1072" s="275"/>
      <c r="F1072" s="185"/>
      <c r="G1072" s="185"/>
      <c r="H1072" s="185"/>
      <c r="I1072" s="298"/>
      <c r="J1072" s="298"/>
      <c r="K1072" s="28"/>
      <c r="L1072" s="299"/>
      <c r="M1072" s="27"/>
      <c r="N1072" s="187"/>
      <c r="O1072" s="58"/>
      <c r="P1072" s="300"/>
      <c r="Q1072" s="304"/>
    </row>
    <row r="1073" ht="15.75" customHeight="1">
      <c r="A1073" s="27"/>
      <c r="B1073" s="27"/>
      <c r="C1073" s="275"/>
      <c r="D1073" s="27"/>
      <c r="E1073" s="275"/>
      <c r="F1073" s="185"/>
      <c r="G1073" s="185"/>
      <c r="H1073" s="185"/>
      <c r="I1073" s="298"/>
      <c r="J1073" s="298"/>
      <c r="K1073" s="28"/>
      <c r="L1073" s="299"/>
      <c r="N1073" s="187"/>
      <c r="O1073" s="58"/>
      <c r="P1073" s="300"/>
      <c r="Q1073" s="304"/>
      <c r="T1073" s="27"/>
    </row>
    <row r="1074" ht="15.75" customHeight="1">
      <c r="A1074" s="27"/>
      <c r="B1074" s="27"/>
      <c r="C1074" s="275"/>
      <c r="D1074" s="27"/>
      <c r="E1074" s="275"/>
      <c r="F1074" s="185"/>
      <c r="G1074" s="185"/>
      <c r="H1074" s="185"/>
      <c r="I1074" s="298"/>
      <c r="J1074" s="298"/>
      <c r="K1074" s="28"/>
      <c r="L1074" s="299"/>
      <c r="N1074" s="187"/>
      <c r="O1074" s="58"/>
      <c r="P1074" s="300"/>
      <c r="Q1074" s="304"/>
    </row>
    <row r="1075" ht="15.75" customHeight="1">
      <c r="A1075" s="27"/>
      <c r="B1075" s="27"/>
      <c r="C1075" s="275"/>
      <c r="D1075" s="27"/>
      <c r="E1075" s="275"/>
      <c r="F1075" s="185"/>
      <c r="G1075" s="185"/>
      <c r="H1075" s="185"/>
      <c r="I1075" s="298"/>
      <c r="J1075" s="298"/>
      <c r="K1075" s="28"/>
      <c r="L1075" s="299"/>
      <c r="N1075" s="187"/>
      <c r="O1075" s="58"/>
      <c r="P1075" s="300"/>
      <c r="Q1075" s="304"/>
      <c r="T1075" s="27"/>
    </row>
    <row r="1076" ht="15.75" customHeight="1">
      <c r="A1076" s="27"/>
      <c r="B1076" s="27"/>
      <c r="C1076" s="275"/>
      <c r="D1076" s="27"/>
      <c r="E1076" s="275"/>
      <c r="F1076" s="185"/>
      <c r="G1076" s="185"/>
      <c r="H1076" s="185"/>
      <c r="I1076" s="298"/>
      <c r="J1076" s="298"/>
      <c r="K1076" s="28"/>
      <c r="L1076" s="299"/>
      <c r="N1076" s="187"/>
      <c r="O1076" s="58"/>
      <c r="P1076" s="300"/>
      <c r="Q1076" s="304"/>
      <c r="T1076" s="27"/>
    </row>
    <row r="1077" ht="15.75" customHeight="1">
      <c r="A1077" s="27"/>
      <c r="B1077" s="27"/>
      <c r="C1077" s="275"/>
      <c r="D1077" s="27"/>
      <c r="E1077" s="275"/>
      <c r="F1077" s="185"/>
      <c r="G1077" s="185"/>
      <c r="H1077" s="185"/>
      <c r="I1077" s="298"/>
      <c r="J1077" s="298"/>
      <c r="K1077" s="28"/>
      <c r="L1077" s="299"/>
      <c r="M1077" s="27"/>
      <c r="N1077" s="187"/>
      <c r="O1077" s="58"/>
      <c r="P1077" s="300"/>
      <c r="Q1077" s="304"/>
      <c r="R1077" s="27"/>
      <c r="S1077" s="27"/>
      <c r="T1077" s="27"/>
      <c r="U1077" s="27"/>
    </row>
    <row r="1078" ht="15.75" customHeight="1">
      <c r="A1078" s="27"/>
      <c r="B1078" s="27"/>
      <c r="C1078" s="275"/>
      <c r="D1078" s="27"/>
      <c r="E1078" s="275"/>
      <c r="F1078" s="185"/>
      <c r="G1078" s="185"/>
      <c r="H1078" s="185"/>
      <c r="I1078" s="298"/>
      <c r="J1078" s="298"/>
      <c r="K1078" s="28"/>
      <c r="L1078" s="299"/>
      <c r="N1078" s="187"/>
      <c r="O1078" s="58"/>
      <c r="P1078" s="300"/>
      <c r="Q1078" s="58"/>
      <c r="T1078" s="27"/>
    </row>
    <row r="1079" ht="15.75" customHeight="1">
      <c r="A1079" s="27"/>
      <c r="B1079" s="27"/>
      <c r="C1079" s="275"/>
      <c r="D1079" s="27"/>
      <c r="E1079" s="275"/>
      <c r="F1079" s="185"/>
      <c r="G1079" s="185"/>
      <c r="H1079" s="185"/>
      <c r="I1079" s="298"/>
      <c r="J1079" s="298"/>
      <c r="K1079" s="28"/>
      <c r="L1079" s="299"/>
      <c r="N1079" s="187"/>
      <c r="O1079" s="58"/>
      <c r="P1079" s="300"/>
      <c r="Q1079" s="58"/>
      <c r="T1079" s="27"/>
    </row>
    <row r="1080" ht="15.75" customHeight="1">
      <c r="A1080" s="27"/>
      <c r="B1080" s="27"/>
      <c r="C1080" s="275"/>
      <c r="D1080" s="27"/>
      <c r="E1080" s="275"/>
      <c r="F1080" s="185"/>
      <c r="G1080" s="185"/>
      <c r="H1080" s="185"/>
      <c r="I1080" s="298"/>
      <c r="J1080" s="298"/>
      <c r="K1080" s="28"/>
      <c r="L1080" s="299"/>
      <c r="N1080" s="187"/>
      <c r="O1080" s="58"/>
      <c r="P1080" s="300"/>
      <c r="Q1080" s="58"/>
      <c r="T1080" s="27"/>
    </row>
    <row r="1081" ht="15.75" customHeight="1">
      <c r="A1081" s="27"/>
      <c r="B1081" s="27"/>
      <c r="C1081" s="275"/>
      <c r="D1081" s="27"/>
      <c r="E1081" s="275"/>
      <c r="F1081" s="185"/>
      <c r="G1081" s="185"/>
      <c r="H1081" s="185"/>
      <c r="I1081" s="298"/>
      <c r="J1081" s="298"/>
      <c r="K1081" s="28"/>
      <c r="L1081" s="299"/>
      <c r="N1081" s="187"/>
      <c r="O1081" s="58"/>
      <c r="P1081" s="300"/>
      <c r="Q1081" s="58"/>
      <c r="T1081" s="27"/>
    </row>
    <row r="1082" ht="15.75" customHeight="1">
      <c r="A1082" s="27"/>
      <c r="B1082" s="27"/>
      <c r="C1082" s="275"/>
      <c r="D1082" s="27"/>
      <c r="E1082" s="275"/>
      <c r="F1082" s="185"/>
      <c r="G1082" s="185"/>
      <c r="H1082" s="185"/>
      <c r="I1082" s="298"/>
      <c r="J1082" s="298"/>
      <c r="K1082" s="28"/>
      <c r="L1082" s="299"/>
      <c r="N1082" s="187"/>
      <c r="O1082" s="58"/>
      <c r="P1082" s="300"/>
      <c r="Q1082" s="58"/>
      <c r="T1082" s="27"/>
    </row>
    <row r="1083" ht="15.75" customHeight="1">
      <c r="A1083" s="27"/>
      <c r="B1083" s="27"/>
      <c r="C1083" s="275"/>
      <c r="D1083" s="27"/>
      <c r="E1083" s="275"/>
      <c r="F1083" s="185"/>
      <c r="G1083" s="185"/>
      <c r="H1083" s="185"/>
      <c r="I1083" s="298"/>
      <c r="J1083" s="298"/>
      <c r="K1083" s="28"/>
      <c r="L1083" s="299"/>
      <c r="N1083" s="187"/>
      <c r="O1083" s="58"/>
      <c r="P1083" s="300"/>
      <c r="Q1083" s="58"/>
      <c r="T1083" s="27"/>
    </row>
    <row r="1084" ht="15.75" customHeight="1">
      <c r="A1084" s="27"/>
      <c r="B1084" s="27"/>
      <c r="C1084" s="275"/>
      <c r="D1084" s="27"/>
      <c r="E1084" s="275"/>
      <c r="F1084" s="185"/>
      <c r="G1084" s="185"/>
      <c r="H1084" s="185"/>
      <c r="I1084" s="298"/>
      <c r="J1084" s="298"/>
      <c r="K1084" s="28"/>
      <c r="L1084" s="299"/>
      <c r="N1084" s="187"/>
      <c r="O1084" s="58"/>
      <c r="P1084" s="300"/>
      <c r="Q1084" s="58"/>
      <c r="T1084" s="27"/>
    </row>
    <row r="1085" ht="15.75" customHeight="1">
      <c r="A1085" s="27"/>
      <c r="B1085" s="27"/>
      <c r="C1085" s="275"/>
      <c r="D1085" s="27"/>
      <c r="E1085" s="275"/>
      <c r="F1085" s="185"/>
      <c r="G1085" s="185"/>
      <c r="H1085" s="185"/>
      <c r="I1085" s="298"/>
      <c r="J1085" s="298"/>
      <c r="K1085" s="28"/>
      <c r="L1085" s="299"/>
      <c r="N1085" s="187"/>
      <c r="O1085" s="58"/>
      <c r="P1085" s="300"/>
      <c r="Q1085" s="58"/>
      <c r="T1085" s="27"/>
    </row>
    <row r="1086" ht="15.75" customHeight="1">
      <c r="A1086" s="27"/>
      <c r="B1086" s="27"/>
      <c r="C1086" s="275"/>
      <c r="D1086" s="27"/>
      <c r="E1086" s="275"/>
      <c r="F1086" s="185"/>
      <c r="G1086" s="185"/>
      <c r="H1086" s="185"/>
      <c r="I1086" s="298"/>
      <c r="J1086" s="298"/>
      <c r="K1086" s="28"/>
      <c r="L1086" s="299"/>
      <c r="N1086" s="187"/>
      <c r="O1086" s="58"/>
      <c r="P1086" s="300"/>
      <c r="Q1086" s="58"/>
    </row>
    <row r="1087" ht="15.75" customHeight="1">
      <c r="A1087" s="27"/>
      <c r="B1087" s="27"/>
      <c r="C1087" s="275"/>
      <c r="D1087" s="27"/>
      <c r="E1087" s="275"/>
      <c r="F1087" s="185"/>
      <c r="G1087" s="185"/>
      <c r="H1087" s="185"/>
      <c r="I1087" s="298"/>
      <c r="J1087" s="298"/>
      <c r="K1087" s="28"/>
      <c r="L1087" s="299"/>
      <c r="M1087" s="27"/>
      <c r="N1087" s="187"/>
      <c r="O1087" s="58"/>
      <c r="P1087" s="300"/>
      <c r="Q1087" s="58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</row>
    <row r="1088" ht="15.75" customHeight="1">
      <c r="A1088" s="27"/>
      <c r="B1088" s="27"/>
      <c r="C1088" s="275"/>
      <c r="D1088" s="27"/>
      <c r="E1088" s="275"/>
      <c r="F1088" s="185"/>
      <c r="G1088" s="185"/>
      <c r="H1088" s="185"/>
      <c r="I1088" s="298"/>
      <c r="J1088" s="298"/>
      <c r="K1088" s="28"/>
      <c r="L1088" s="299"/>
      <c r="N1088" s="187"/>
      <c r="O1088" s="58"/>
      <c r="P1088" s="300"/>
      <c r="Q1088" s="58"/>
    </row>
    <row r="1089" ht="15.75" customHeight="1">
      <c r="A1089" s="27"/>
      <c r="B1089" s="27"/>
      <c r="C1089" s="275"/>
      <c r="D1089" s="27"/>
      <c r="E1089" s="275"/>
      <c r="F1089" s="185"/>
      <c r="G1089" s="185"/>
      <c r="H1089" s="185"/>
      <c r="I1089" s="298"/>
      <c r="J1089" s="298"/>
      <c r="K1089" s="28"/>
      <c r="L1089" s="299"/>
      <c r="N1089" s="187"/>
      <c r="O1089" s="58"/>
      <c r="P1089" s="300"/>
      <c r="Q1089" s="58"/>
    </row>
    <row r="1090" ht="15.75" customHeight="1">
      <c r="A1090" s="27"/>
      <c r="B1090" s="27"/>
      <c r="C1090" s="275"/>
      <c r="D1090" s="27"/>
      <c r="E1090" s="275"/>
      <c r="F1090" s="185"/>
      <c r="G1090" s="185"/>
      <c r="H1090" s="185"/>
      <c r="I1090" s="298"/>
      <c r="J1090" s="298"/>
      <c r="K1090" s="28"/>
      <c r="L1090" s="299"/>
      <c r="N1090" s="187"/>
      <c r="O1090" s="58"/>
      <c r="P1090" s="300"/>
      <c r="Q1090" s="58"/>
    </row>
    <row r="1091" ht="15.75" customHeight="1">
      <c r="A1091" s="27"/>
      <c r="B1091" s="27"/>
      <c r="C1091" s="275"/>
      <c r="D1091" s="27"/>
      <c r="E1091" s="275"/>
      <c r="F1091" s="185"/>
      <c r="G1091" s="185"/>
      <c r="H1091" s="185"/>
      <c r="I1091" s="298"/>
      <c r="J1091" s="298"/>
      <c r="K1091" s="28"/>
      <c r="L1091" s="299"/>
      <c r="N1091" s="187"/>
      <c r="O1091" s="58"/>
      <c r="P1091" s="300"/>
      <c r="Q1091" s="58"/>
    </row>
    <row r="1092" ht="15.75" customHeight="1">
      <c r="A1092" s="27"/>
      <c r="B1092" s="27"/>
      <c r="C1092" s="275"/>
      <c r="D1092" s="27"/>
      <c r="E1092" s="275"/>
      <c r="F1092" s="185"/>
      <c r="G1092" s="185"/>
      <c r="H1092" s="185"/>
      <c r="I1092" s="298"/>
      <c r="J1092" s="298"/>
      <c r="K1092" s="28"/>
      <c r="L1092" s="299"/>
      <c r="N1092" s="187"/>
      <c r="O1092" s="58"/>
      <c r="P1092" s="300"/>
      <c r="Q1092" s="58"/>
    </row>
    <row r="1093" ht="15.75" customHeight="1">
      <c r="A1093" s="27"/>
      <c r="B1093" s="27"/>
      <c r="C1093" s="275"/>
      <c r="D1093" s="27"/>
      <c r="E1093" s="275"/>
      <c r="F1093" s="185"/>
      <c r="G1093" s="185"/>
      <c r="H1093" s="185"/>
      <c r="I1093" s="298"/>
      <c r="J1093" s="298"/>
      <c r="K1093" s="28"/>
      <c r="L1093" s="299"/>
      <c r="N1093" s="187"/>
      <c r="O1093" s="58"/>
      <c r="P1093" s="300"/>
      <c r="Q1093" s="58"/>
    </row>
    <row r="1094" ht="15.75" customHeight="1">
      <c r="A1094" s="27"/>
      <c r="B1094" s="27"/>
      <c r="C1094" s="275"/>
      <c r="D1094" s="27"/>
      <c r="E1094" s="275"/>
      <c r="F1094" s="185"/>
      <c r="G1094" s="185"/>
      <c r="H1094" s="185"/>
      <c r="I1094" s="298"/>
      <c r="J1094" s="298"/>
      <c r="K1094" s="28"/>
      <c r="L1094" s="299"/>
      <c r="N1094" s="187"/>
      <c r="O1094" s="58"/>
      <c r="P1094" s="300"/>
      <c r="Q1094" s="58"/>
    </row>
    <row r="1095" ht="15.75" customHeight="1">
      <c r="A1095" s="27"/>
      <c r="B1095" s="27"/>
      <c r="C1095" s="275"/>
      <c r="D1095" s="27"/>
      <c r="E1095" s="275"/>
      <c r="F1095" s="185"/>
      <c r="G1095" s="185"/>
      <c r="H1095" s="185"/>
      <c r="I1095" s="298"/>
      <c r="J1095" s="298"/>
      <c r="K1095" s="28"/>
      <c r="L1095" s="299"/>
      <c r="N1095" s="187"/>
      <c r="O1095" s="58"/>
      <c r="P1095" s="300"/>
      <c r="Q1095" s="58"/>
    </row>
    <row r="1096" ht="15.75" customHeight="1">
      <c r="A1096" s="27"/>
      <c r="B1096" s="27"/>
      <c r="C1096" s="275"/>
      <c r="D1096" s="27"/>
      <c r="E1096" s="275"/>
      <c r="F1096" s="185"/>
      <c r="G1096" s="185"/>
      <c r="H1096" s="185"/>
      <c r="I1096" s="298"/>
      <c r="J1096" s="298"/>
      <c r="K1096" s="28"/>
      <c r="L1096" s="299"/>
      <c r="N1096" s="187"/>
      <c r="O1096" s="58"/>
      <c r="P1096" s="300"/>
      <c r="Q1096" s="58"/>
    </row>
    <row r="1097" ht="15.75" customHeight="1">
      <c r="A1097" s="27"/>
      <c r="B1097" s="27"/>
      <c r="C1097" s="275"/>
      <c r="D1097" s="27"/>
      <c r="E1097" s="275"/>
      <c r="F1097" s="185"/>
      <c r="G1097" s="185"/>
      <c r="H1097" s="185"/>
      <c r="I1097" s="298"/>
      <c r="J1097" s="298"/>
      <c r="K1097" s="28"/>
      <c r="L1097" s="299"/>
      <c r="N1097" s="187"/>
      <c r="O1097" s="58"/>
      <c r="P1097" s="300"/>
      <c r="Q1097" s="58"/>
    </row>
    <row r="1098" ht="15.75" customHeight="1">
      <c r="A1098" s="27"/>
      <c r="B1098" s="27"/>
      <c r="C1098" s="275"/>
      <c r="D1098" s="27"/>
      <c r="E1098" s="275"/>
      <c r="F1098" s="185"/>
      <c r="G1098" s="185"/>
      <c r="H1098" s="185"/>
      <c r="I1098" s="298"/>
      <c r="J1098" s="298"/>
      <c r="K1098" s="28"/>
      <c r="L1098" s="299"/>
      <c r="N1098" s="187"/>
      <c r="O1098" s="58"/>
      <c r="P1098" s="300"/>
      <c r="Q1098" s="58"/>
    </row>
    <row r="1099" ht="15.75" customHeight="1">
      <c r="A1099" s="27"/>
      <c r="B1099" s="27"/>
      <c r="C1099" s="275"/>
      <c r="D1099" s="27"/>
      <c r="E1099" s="275"/>
      <c r="F1099" s="185"/>
      <c r="G1099" s="185"/>
      <c r="H1099" s="185"/>
      <c r="I1099" s="298"/>
      <c r="J1099" s="298"/>
      <c r="K1099" s="28"/>
      <c r="L1099" s="299"/>
      <c r="N1099" s="187"/>
      <c r="O1099" s="58"/>
      <c r="P1099" s="300"/>
      <c r="Q1099" s="58"/>
    </row>
    <row r="1100" ht="15.75" customHeight="1">
      <c r="A1100" s="27"/>
      <c r="B1100" s="27"/>
      <c r="C1100" s="275"/>
      <c r="D1100" s="27"/>
      <c r="E1100" s="275"/>
      <c r="F1100" s="185"/>
      <c r="G1100" s="185"/>
      <c r="H1100" s="185"/>
      <c r="I1100" s="298"/>
      <c r="J1100" s="298"/>
      <c r="K1100" s="28"/>
      <c r="L1100" s="299"/>
      <c r="N1100" s="187"/>
      <c r="O1100" s="58"/>
      <c r="P1100" s="300"/>
      <c r="Q1100" s="58"/>
    </row>
    <row r="1101" ht="15.75" customHeight="1">
      <c r="A1101" s="27"/>
      <c r="B1101" s="27"/>
      <c r="C1101" s="275"/>
      <c r="D1101" s="27"/>
      <c r="E1101" s="275"/>
      <c r="F1101" s="185"/>
      <c r="G1101" s="185"/>
      <c r="H1101" s="185"/>
      <c r="I1101" s="298"/>
      <c r="J1101" s="298"/>
      <c r="K1101" s="28"/>
      <c r="L1101" s="299"/>
      <c r="N1101" s="187"/>
      <c r="O1101" s="58"/>
      <c r="P1101" s="300"/>
      <c r="Q1101" s="58"/>
    </row>
    <row r="1102" ht="15.75" customHeight="1">
      <c r="A1102" s="27"/>
      <c r="B1102" s="27"/>
      <c r="C1102" s="275"/>
      <c r="D1102" s="27"/>
      <c r="E1102" s="275"/>
      <c r="F1102" s="185"/>
      <c r="G1102" s="185"/>
      <c r="H1102" s="185"/>
      <c r="I1102" s="298"/>
      <c r="J1102" s="298"/>
      <c r="K1102" s="28"/>
      <c r="L1102" s="299"/>
      <c r="N1102" s="187"/>
      <c r="O1102" s="58"/>
      <c r="P1102" s="300"/>
      <c r="Q1102" s="58"/>
    </row>
    <row r="1103" ht="15.75" customHeight="1">
      <c r="A1103" s="27"/>
      <c r="B1103" s="27"/>
      <c r="C1103" s="275"/>
      <c r="D1103" s="27"/>
      <c r="E1103" s="275"/>
      <c r="F1103" s="185"/>
      <c r="G1103" s="185"/>
      <c r="H1103" s="185"/>
      <c r="I1103" s="298"/>
      <c r="J1103" s="298"/>
      <c r="K1103" s="28"/>
      <c r="L1103" s="299"/>
      <c r="M1103" s="27"/>
      <c r="N1103" s="187"/>
      <c r="O1103" s="58"/>
      <c r="P1103" s="300"/>
      <c r="Q1103" s="58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</row>
    <row r="1104" ht="15.75" customHeight="1">
      <c r="A1104" s="27"/>
      <c r="B1104" s="27"/>
      <c r="C1104" s="275"/>
      <c r="D1104" s="27"/>
      <c r="E1104" s="275"/>
      <c r="F1104" s="185"/>
      <c r="G1104" s="185"/>
      <c r="H1104" s="185"/>
      <c r="I1104" s="298"/>
      <c r="J1104" s="298"/>
      <c r="K1104" s="28"/>
      <c r="L1104" s="299"/>
      <c r="M1104" s="27"/>
      <c r="N1104" s="187"/>
      <c r="O1104" s="58"/>
      <c r="P1104" s="300"/>
      <c r="Q1104" s="58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</row>
    <row r="1105" ht="15.75" customHeight="1">
      <c r="A1105" s="27"/>
      <c r="B1105" s="27"/>
      <c r="C1105" s="275"/>
      <c r="D1105" s="27"/>
      <c r="E1105" s="275"/>
      <c r="F1105" s="185"/>
      <c r="G1105" s="185"/>
      <c r="H1105" s="185"/>
      <c r="I1105" s="298"/>
      <c r="J1105" s="298"/>
      <c r="K1105" s="28"/>
      <c r="L1105" s="299"/>
      <c r="M1105" s="27"/>
      <c r="N1105" s="187"/>
      <c r="O1105" s="58"/>
      <c r="P1105" s="300"/>
      <c r="Q1105" s="58"/>
    </row>
    <row r="1106" ht="15.75" customHeight="1">
      <c r="A1106" s="27"/>
      <c r="B1106" s="27"/>
      <c r="C1106" s="275"/>
      <c r="D1106" s="27"/>
      <c r="E1106" s="275"/>
      <c r="F1106" s="185"/>
      <c r="G1106" s="185"/>
      <c r="H1106" s="185"/>
      <c r="I1106" s="298"/>
      <c r="J1106" s="298"/>
      <c r="K1106" s="28"/>
      <c r="L1106" s="299"/>
      <c r="M1106" s="27"/>
      <c r="N1106" s="187"/>
      <c r="O1106" s="58"/>
      <c r="P1106" s="300"/>
      <c r="Q1106" s="58"/>
    </row>
    <row r="1107" ht="15.75" customHeight="1">
      <c r="A1107" s="27"/>
      <c r="B1107" s="27"/>
      <c r="C1107" s="275"/>
      <c r="D1107" s="27"/>
      <c r="E1107" s="275"/>
      <c r="F1107" s="185"/>
      <c r="G1107" s="185"/>
      <c r="H1107" s="185"/>
      <c r="I1107" s="298"/>
      <c r="J1107" s="298"/>
      <c r="K1107" s="28"/>
      <c r="L1107" s="299"/>
      <c r="M1107" s="27"/>
      <c r="N1107" s="187"/>
      <c r="O1107" s="58"/>
      <c r="P1107" s="300"/>
      <c r="Q1107" s="58"/>
    </row>
    <row r="1108" ht="15.75" customHeight="1">
      <c r="A1108" s="27"/>
      <c r="B1108" s="27"/>
      <c r="C1108" s="275"/>
      <c r="D1108" s="27"/>
      <c r="E1108" s="275"/>
      <c r="F1108" s="185"/>
      <c r="G1108" s="185"/>
      <c r="H1108" s="185"/>
      <c r="I1108" s="298"/>
      <c r="J1108" s="298"/>
      <c r="K1108" s="28"/>
      <c r="L1108" s="299"/>
      <c r="N1108" s="187"/>
      <c r="O1108" s="58"/>
      <c r="P1108" s="300"/>
      <c r="Q1108" s="58"/>
    </row>
    <row r="1109" ht="15.75" customHeight="1">
      <c r="A1109" s="27"/>
      <c r="B1109" s="27"/>
      <c r="C1109" s="275"/>
      <c r="D1109" s="27"/>
      <c r="E1109" s="275"/>
      <c r="F1109" s="185"/>
      <c r="G1109" s="185"/>
      <c r="H1109" s="185"/>
      <c r="I1109" s="298"/>
      <c r="J1109" s="298"/>
      <c r="K1109" s="28"/>
      <c r="L1109" s="299"/>
      <c r="N1109" s="187"/>
      <c r="O1109" s="58"/>
      <c r="P1109" s="300"/>
      <c r="Q1109" s="58"/>
    </row>
    <row r="1110" ht="15.75" customHeight="1">
      <c r="A1110" s="27"/>
      <c r="B1110" s="27"/>
      <c r="C1110" s="275"/>
      <c r="D1110" s="27"/>
      <c r="E1110" s="275"/>
      <c r="F1110" s="185"/>
      <c r="G1110" s="185"/>
      <c r="H1110" s="185"/>
      <c r="I1110" s="298"/>
      <c r="J1110" s="298"/>
      <c r="K1110" s="28"/>
      <c r="L1110" s="299"/>
      <c r="N1110" s="187"/>
      <c r="O1110" s="58"/>
      <c r="P1110" s="300"/>
      <c r="Q1110" s="58"/>
    </row>
    <row r="1111" ht="15.75" customHeight="1">
      <c r="A1111" s="27"/>
      <c r="B1111" s="27"/>
      <c r="C1111" s="275"/>
      <c r="D1111" s="27"/>
      <c r="E1111" s="275"/>
      <c r="F1111" s="185"/>
      <c r="G1111" s="185"/>
      <c r="H1111" s="185"/>
      <c r="I1111" s="298"/>
      <c r="J1111" s="298"/>
      <c r="K1111" s="28"/>
      <c r="L1111" s="299"/>
      <c r="M1111" s="27"/>
      <c r="N1111" s="187"/>
      <c r="O1111" s="58"/>
      <c r="P1111" s="300"/>
      <c r="Q1111" s="58"/>
    </row>
    <row r="1112" ht="15.75" customHeight="1">
      <c r="A1112" s="27"/>
      <c r="B1112" s="27"/>
      <c r="C1112" s="275"/>
      <c r="D1112" s="27"/>
      <c r="E1112" s="275"/>
      <c r="F1112" s="185"/>
      <c r="G1112" s="185"/>
      <c r="H1112" s="185"/>
      <c r="I1112" s="298"/>
      <c r="J1112" s="298"/>
      <c r="K1112" s="28"/>
      <c r="L1112" s="299"/>
      <c r="M1112" s="27"/>
      <c r="N1112" s="187"/>
      <c r="O1112" s="58"/>
      <c r="P1112" s="300"/>
      <c r="Q1112" s="58"/>
    </row>
    <row r="1113" ht="15.75" customHeight="1">
      <c r="A1113" s="27"/>
      <c r="B1113" s="27"/>
      <c r="C1113" s="275"/>
      <c r="D1113" s="27"/>
      <c r="E1113" s="275"/>
      <c r="F1113" s="185"/>
      <c r="G1113" s="185"/>
      <c r="H1113" s="185"/>
      <c r="I1113" s="298"/>
      <c r="J1113" s="298"/>
      <c r="K1113" s="28"/>
      <c r="L1113" s="299"/>
      <c r="M1113" s="27"/>
      <c r="N1113" s="187"/>
      <c r="O1113" s="58"/>
      <c r="P1113" s="300"/>
      <c r="Q1113" s="58"/>
      <c r="R1113" s="27"/>
      <c r="S1113" s="27"/>
      <c r="T1113" s="27"/>
      <c r="U1113" s="27"/>
    </row>
    <row r="1114" ht="15.75" customHeight="1">
      <c r="A1114" s="27"/>
      <c r="B1114" s="27"/>
      <c r="C1114" s="275"/>
      <c r="D1114" s="27"/>
      <c r="E1114" s="275"/>
      <c r="F1114" s="185"/>
      <c r="G1114" s="185"/>
      <c r="H1114" s="185"/>
      <c r="I1114" s="298"/>
      <c r="J1114" s="298"/>
      <c r="K1114" s="28"/>
      <c r="L1114" s="299"/>
      <c r="N1114" s="187"/>
      <c r="O1114" s="58"/>
      <c r="P1114" s="300"/>
      <c r="Q1114" s="58"/>
    </row>
    <row r="1115" ht="15.75" customHeight="1">
      <c r="A1115" s="27"/>
      <c r="B1115" s="27"/>
      <c r="C1115" s="275"/>
      <c r="D1115" s="27"/>
      <c r="E1115" s="275"/>
      <c r="F1115" s="185"/>
      <c r="G1115" s="185"/>
      <c r="H1115" s="185"/>
      <c r="I1115" s="298"/>
      <c r="J1115" s="298"/>
      <c r="K1115" s="28"/>
      <c r="L1115" s="299"/>
      <c r="N1115" s="187"/>
      <c r="O1115" s="58"/>
      <c r="P1115" s="300"/>
      <c r="Q1115" s="58"/>
    </row>
    <row r="1116" ht="15.75" customHeight="1">
      <c r="A1116" s="27"/>
      <c r="B1116" s="27"/>
      <c r="C1116" s="275"/>
      <c r="D1116" s="27"/>
      <c r="E1116" s="275"/>
      <c r="F1116" s="185"/>
      <c r="G1116" s="185"/>
      <c r="H1116" s="185"/>
      <c r="I1116" s="298"/>
      <c r="J1116" s="298"/>
      <c r="K1116" s="28"/>
      <c r="L1116" s="299"/>
      <c r="N1116" s="187"/>
      <c r="O1116" s="58"/>
      <c r="P1116" s="300"/>
      <c r="Q1116" s="58"/>
    </row>
    <row r="1117" ht="15.75" customHeight="1">
      <c r="A1117" s="27"/>
      <c r="B1117" s="27"/>
      <c r="C1117" s="275"/>
      <c r="D1117" s="27"/>
      <c r="E1117" s="275"/>
      <c r="F1117" s="185"/>
      <c r="G1117" s="185"/>
      <c r="H1117" s="185"/>
      <c r="I1117" s="298"/>
      <c r="J1117" s="298"/>
      <c r="K1117" s="28"/>
      <c r="L1117" s="299"/>
      <c r="N1117" s="187"/>
      <c r="O1117" s="58"/>
      <c r="P1117" s="300"/>
      <c r="Q1117" s="58"/>
    </row>
    <row r="1118" ht="15.75" customHeight="1">
      <c r="A1118" s="27"/>
      <c r="B1118" s="27"/>
      <c r="C1118" s="275"/>
      <c r="D1118" s="27"/>
      <c r="E1118" s="275"/>
      <c r="F1118" s="185"/>
      <c r="G1118" s="185"/>
      <c r="H1118" s="185"/>
      <c r="I1118" s="298"/>
      <c r="J1118" s="298"/>
      <c r="K1118" s="28"/>
      <c r="L1118" s="299"/>
      <c r="N1118" s="187"/>
      <c r="O1118" s="58"/>
      <c r="P1118" s="300"/>
      <c r="Q1118" s="58"/>
    </row>
    <row r="1119" ht="15.75" customHeight="1">
      <c r="A1119" s="27"/>
      <c r="B1119" s="27"/>
      <c r="C1119" s="275"/>
      <c r="D1119" s="27"/>
      <c r="E1119" s="275"/>
      <c r="F1119" s="185"/>
      <c r="G1119" s="185"/>
      <c r="H1119" s="185"/>
      <c r="I1119" s="298"/>
      <c r="J1119" s="298"/>
      <c r="K1119" s="28"/>
      <c r="L1119" s="299"/>
      <c r="M1119" s="27"/>
      <c r="N1119" s="187"/>
      <c r="O1119" s="58"/>
      <c r="P1119" s="300"/>
      <c r="Q1119" s="58"/>
    </row>
    <row r="1120" ht="15.75" customHeight="1">
      <c r="A1120" s="27"/>
      <c r="B1120" s="27"/>
      <c r="C1120" s="275"/>
      <c r="D1120" s="27"/>
      <c r="E1120" s="275"/>
      <c r="F1120" s="185"/>
      <c r="G1120" s="185"/>
      <c r="H1120" s="185"/>
      <c r="I1120" s="298"/>
      <c r="J1120" s="298"/>
      <c r="K1120" s="28"/>
      <c r="L1120" s="299"/>
      <c r="M1120" s="27"/>
      <c r="N1120" s="187"/>
      <c r="O1120" s="58"/>
      <c r="P1120" s="300"/>
      <c r="Q1120" s="58"/>
    </row>
    <row r="1121" ht="15.75" customHeight="1">
      <c r="A1121" s="27"/>
      <c r="B1121" s="27"/>
      <c r="C1121" s="275"/>
      <c r="D1121" s="27"/>
      <c r="E1121" s="275"/>
      <c r="F1121" s="185"/>
      <c r="G1121" s="185"/>
      <c r="H1121" s="185"/>
      <c r="I1121" s="298"/>
      <c r="J1121" s="298"/>
      <c r="K1121" s="28"/>
      <c r="L1121" s="299"/>
      <c r="M1121" s="27"/>
      <c r="N1121" s="187"/>
      <c r="O1121" s="58"/>
      <c r="P1121" s="300"/>
      <c r="Q1121" s="58"/>
    </row>
    <row r="1122" ht="15.75" customHeight="1">
      <c r="A1122" s="27"/>
      <c r="B1122" s="27"/>
      <c r="C1122" s="275"/>
      <c r="D1122" s="27"/>
      <c r="E1122" s="275"/>
      <c r="F1122" s="185"/>
      <c r="G1122" s="185"/>
      <c r="H1122" s="185"/>
      <c r="I1122" s="298"/>
      <c r="J1122" s="298"/>
      <c r="K1122" s="28"/>
      <c r="L1122" s="299"/>
      <c r="N1122" s="187"/>
      <c r="O1122" s="58"/>
      <c r="P1122" s="300"/>
      <c r="Q1122" s="58"/>
    </row>
    <row r="1123" ht="15.75" customHeight="1">
      <c r="A1123" s="27"/>
      <c r="B1123" s="27"/>
      <c r="C1123" s="275"/>
      <c r="D1123" s="27"/>
      <c r="E1123" s="275"/>
      <c r="F1123" s="185"/>
      <c r="G1123" s="185"/>
      <c r="H1123" s="185"/>
      <c r="I1123" s="298"/>
      <c r="J1123" s="298"/>
      <c r="K1123" s="28"/>
      <c r="L1123" s="299"/>
      <c r="N1123" s="187"/>
      <c r="O1123" s="58"/>
      <c r="P1123" s="300"/>
      <c r="Q1123" s="58"/>
      <c r="T1123" s="27"/>
    </row>
    <row r="1124" ht="15.75" customHeight="1">
      <c r="A1124" s="27"/>
      <c r="B1124" s="27"/>
      <c r="C1124" s="275"/>
      <c r="D1124" s="27"/>
      <c r="E1124" s="275"/>
      <c r="F1124" s="185"/>
      <c r="G1124" s="185"/>
      <c r="H1124" s="185"/>
      <c r="I1124" s="298"/>
      <c r="J1124" s="298"/>
      <c r="K1124" s="28"/>
      <c r="L1124" s="299"/>
      <c r="M1124" s="27"/>
      <c r="N1124" s="187"/>
      <c r="O1124" s="58"/>
      <c r="P1124" s="300"/>
      <c r="Q1124" s="58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</row>
    <row r="1125" ht="15.75" customHeight="1">
      <c r="A1125" s="27"/>
      <c r="B1125" s="27"/>
      <c r="C1125" s="275"/>
      <c r="D1125" s="27"/>
      <c r="E1125" s="275"/>
      <c r="F1125" s="185"/>
      <c r="G1125" s="185"/>
      <c r="H1125" s="185"/>
      <c r="I1125" s="298"/>
      <c r="J1125" s="298"/>
      <c r="K1125" s="28"/>
      <c r="L1125" s="299"/>
      <c r="N1125" s="187"/>
      <c r="O1125" s="58"/>
      <c r="P1125" s="300"/>
      <c r="Q1125" s="58"/>
    </row>
    <row r="1126" ht="15.75" customHeight="1">
      <c r="A1126" s="27"/>
      <c r="B1126" s="27"/>
      <c r="C1126" s="275"/>
      <c r="D1126" s="27"/>
      <c r="E1126" s="275"/>
      <c r="F1126" s="185"/>
      <c r="G1126" s="185"/>
      <c r="H1126" s="185"/>
      <c r="I1126" s="298"/>
      <c r="J1126" s="298"/>
      <c r="K1126" s="28"/>
      <c r="L1126" s="299"/>
      <c r="M1126" s="27"/>
      <c r="N1126" s="187"/>
      <c r="O1126" s="58"/>
      <c r="P1126" s="300"/>
      <c r="Q1126" s="58"/>
    </row>
    <row r="1127" ht="15.75" customHeight="1">
      <c r="A1127" s="27"/>
      <c r="B1127" s="27"/>
      <c r="C1127" s="275"/>
      <c r="D1127" s="27"/>
      <c r="E1127" s="275"/>
      <c r="F1127" s="185"/>
      <c r="G1127" s="185"/>
      <c r="H1127" s="185"/>
      <c r="I1127" s="298"/>
      <c r="J1127" s="298"/>
      <c r="K1127" s="28"/>
      <c r="L1127" s="299"/>
      <c r="M1127" s="27"/>
      <c r="N1127" s="187"/>
      <c r="O1127" s="58"/>
      <c r="P1127" s="300"/>
      <c r="Q1127" s="58"/>
    </row>
    <row r="1128" ht="15.75" customHeight="1">
      <c r="A1128" s="27"/>
      <c r="B1128" s="27"/>
      <c r="C1128" s="275"/>
      <c r="D1128" s="27"/>
      <c r="E1128" s="275"/>
      <c r="F1128" s="185"/>
      <c r="G1128" s="185"/>
      <c r="H1128" s="185"/>
      <c r="I1128" s="298"/>
      <c r="J1128" s="298"/>
      <c r="K1128" s="28"/>
      <c r="L1128" s="299"/>
      <c r="M1128" s="27"/>
      <c r="N1128" s="187"/>
      <c r="O1128" s="58"/>
      <c r="P1128" s="300"/>
      <c r="Q1128" s="58"/>
    </row>
    <row r="1129" ht="15.75" customHeight="1">
      <c r="A1129" s="27"/>
      <c r="B1129" s="27"/>
      <c r="C1129" s="275"/>
      <c r="D1129" s="27"/>
      <c r="E1129" s="275"/>
      <c r="F1129" s="185"/>
      <c r="G1129" s="185"/>
      <c r="H1129" s="185"/>
      <c r="I1129" s="298"/>
      <c r="J1129" s="298"/>
      <c r="K1129" s="28"/>
      <c r="L1129" s="299"/>
      <c r="M1129" s="27"/>
      <c r="N1129" s="187"/>
      <c r="O1129" s="58"/>
      <c r="P1129" s="300"/>
      <c r="Q1129" s="58"/>
    </row>
    <row r="1130" ht="15.75" customHeight="1">
      <c r="A1130" s="27"/>
      <c r="B1130" s="27"/>
      <c r="C1130" s="275"/>
      <c r="D1130" s="27"/>
      <c r="E1130" s="275"/>
      <c r="F1130" s="185"/>
      <c r="G1130" s="185"/>
      <c r="H1130" s="185"/>
      <c r="I1130" s="298"/>
      <c r="J1130" s="298"/>
      <c r="K1130" s="28"/>
      <c r="L1130" s="299"/>
      <c r="M1130" s="27"/>
      <c r="N1130" s="187"/>
      <c r="O1130" s="58"/>
      <c r="P1130" s="300"/>
      <c r="Q1130" s="58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</row>
    <row r="1131" ht="15.75" customHeight="1">
      <c r="A1131" s="27"/>
      <c r="B1131" s="27"/>
      <c r="C1131" s="275"/>
      <c r="D1131" s="27"/>
      <c r="E1131" s="275"/>
      <c r="F1131" s="185"/>
      <c r="G1131" s="185"/>
      <c r="H1131" s="185"/>
      <c r="I1131" s="298"/>
      <c r="J1131" s="298"/>
      <c r="K1131" s="28"/>
      <c r="L1131" s="299"/>
      <c r="M1131" s="27"/>
      <c r="N1131" s="187"/>
      <c r="O1131" s="58"/>
      <c r="P1131" s="300"/>
      <c r="Q1131" s="58"/>
    </row>
    <row r="1132" ht="15.75" customHeight="1">
      <c r="A1132" s="27"/>
      <c r="B1132" s="27"/>
      <c r="C1132" s="275"/>
      <c r="D1132" s="27"/>
      <c r="E1132" s="275"/>
      <c r="F1132" s="185"/>
      <c r="G1132" s="185"/>
      <c r="H1132" s="185"/>
      <c r="I1132" s="298"/>
      <c r="J1132" s="298"/>
      <c r="K1132" s="28"/>
      <c r="L1132" s="299"/>
      <c r="M1132" s="27"/>
      <c r="N1132" s="187"/>
      <c r="O1132" s="58"/>
      <c r="P1132" s="300"/>
      <c r="Q1132" s="58"/>
    </row>
    <row r="1133" ht="15.75" customHeight="1">
      <c r="A1133" s="27"/>
      <c r="B1133" s="27"/>
      <c r="C1133" s="275"/>
      <c r="D1133" s="27"/>
      <c r="E1133" s="275"/>
      <c r="F1133" s="185"/>
      <c r="G1133" s="185"/>
      <c r="H1133" s="185"/>
      <c r="I1133" s="298"/>
      <c r="J1133" s="298"/>
      <c r="K1133" s="28"/>
      <c r="L1133" s="299"/>
      <c r="M1133" s="27"/>
      <c r="N1133" s="187"/>
      <c r="O1133" s="58"/>
      <c r="P1133" s="300"/>
      <c r="Q1133" s="58"/>
    </row>
    <row r="1134" ht="15.75" customHeight="1">
      <c r="A1134" s="27"/>
      <c r="B1134" s="27"/>
      <c r="C1134" s="275"/>
      <c r="D1134" s="27"/>
      <c r="E1134" s="275"/>
      <c r="F1134" s="185"/>
      <c r="G1134" s="185"/>
      <c r="H1134" s="185"/>
      <c r="I1134" s="298"/>
      <c r="J1134" s="298"/>
      <c r="K1134" s="28"/>
      <c r="L1134" s="299"/>
      <c r="M1134" s="27"/>
      <c r="N1134" s="187"/>
      <c r="O1134" s="58"/>
      <c r="P1134" s="300"/>
      <c r="Q1134" s="58"/>
    </row>
    <row r="1135" ht="15.75" customHeight="1">
      <c r="A1135" s="27"/>
      <c r="B1135" s="27"/>
      <c r="C1135" s="275"/>
      <c r="D1135" s="27"/>
      <c r="E1135" s="275"/>
      <c r="F1135" s="185"/>
      <c r="G1135" s="185"/>
      <c r="H1135" s="185"/>
      <c r="I1135" s="298"/>
      <c r="J1135" s="298"/>
      <c r="K1135" s="28"/>
      <c r="L1135" s="299"/>
      <c r="M1135" s="27"/>
      <c r="N1135" s="187"/>
      <c r="O1135" s="58"/>
      <c r="P1135" s="300"/>
      <c r="Q1135" s="58"/>
    </row>
    <row r="1136" ht="15.75" customHeight="1">
      <c r="A1136" s="27"/>
      <c r="B1136" s="27"/>
      <c r="C1136" s="275"/>
      <c r="D1136" s="27"/>
      <c r="E1136" s="275"/>
      <c r="F1136" s="185"/>
      <c r="G1136" s="185"/>
      <c r="H1136" s="185"/>
      <c r="I1136" s="298"/>
      <c r="J1136" s="298"/>
      <c r="K1136" s="28"/>
      <c r="L1136" s="299"/>
      <c r="M1136" s="27"/>
      <c r="N1136" s="187"/>
      <c r="O1136" s="58"/>
      <c r="P1136" s="300"/>
      <c r="Q1136" s="58"/>
    </row>
    <row r="1137" ht="15.75" customHeight="1">
      <c r="A1137" s="27"/>
      <c r="B1137" s="27"/>
      <c r="C1137" s="275"/>
      <c r="D1137" s="27"/>
      <c r="E1137" s="275"/>
      <c r="F1137" s="185"/>
      <c r="G1137" s="185"/>
      <c r="H1137" s="185"/>
      <c r="I1137" s="298"/>
      <c r="J1137" s="298"/>
      <c r="K1137" s="28"/>
      <c r="L1137" s="299"/>
      <c r="M1137" s="27"/>
      <c r="N1137" s="187"/>
      <c r="O1137" s="58"/>
      <c r="P1137" s="300"/>
      <c r="Q1137" s="58"/>
    </row>
    <row r="1138" ht="15.75" customHeight="1">
      <c r="A1138" s="27"/>
      <c r="B1138" s="27"/>
      <c r="C1138" s="275"/>
      <c r="D1138" s="27"/>
      <c r="E1138" s="275"/>
      <c r="F1138" s="185"/>
      <c r="G1138" s="185"/>
      <c r="H1138" s="185"/>
      <c r="I1138" s="298"/>
      <c r="J1138" s="298"/>
      <c r="K1138" s="28"/>
      <c r="L1138" s="299"/>
      <c r="M1138" s="27"/>
      <c r="N1138" s="187"/>
      <c r="O1138" s="58"/>
      <c r="P1138" s="300"/>
      <c r="Q1138" s="58"/>
    </row>
    <row r="1139" ht="15.75" customHeight="1">
      <c r="A1139" s="27"/>
      <c r="B1139" s="27"/>
      <c r="C1139" s="275"/>
      <c r="D1139" s="27"/>
      <c r="E1139" s="275"/>
      <c r="F1139" s="185"/>
      <c r="G1139" s="185"/>
      <c r="H1139" s="185"/>
      <c r="I1139" s="298"/>
      <c r="J1139" s="298"/>
      <c r="K1139" s="28"/>
      <c r="L1139" s="299"/>
      <c r="M1139" s="27"/>
      <c r="N1139" s="187"/>
      <c r="O1139" s="58"/>
      <c r="P1139" s="300"/>
      <c r="Q1139" s="58"/>
    </row>
    <row r="1140" ht="15.75" customHeight="1">
      <c r="A1140" s="27"/>
      <c r="B1140" s="27"/>
      <c r="C1140" s="275"/>
      <c r="D1140" s="27"/>
      <c r="E1140" s="275"/>
      <c r="F1140" s="185"/>
      <c r="G1140" s="185"/>
      <c r="H1140" s="185"/>
      <c r="I1140" s="298"/>
      <c r="J1140" s="298"/>
      <c r="K1140" s="28"/>
      <c r="L1140" s="299"/>
      <c r="M1140" s="27"/>
      <c r="N1140" s="187"/>
      <c r="O1140" s="58"/>
      <c r="P1140" s="300"/>
      <c r="Q1140" s="58"/>
    </row>
    <row r="1141" ht="15.75" customHeight="1">
      <c r="A1141" s="27"/>
      <c r="B1141" s="27"/>
      <c r="C1141" s="275"/>
      <c r="D1141" s="27"/>
      <c r="E1141" s="275"/>
      <c r="F1141" s="185"/>
      <c r="G1141" s="185"/>
      <c r="H1141" s="185"/>
      <c r="I1141" s="298"/>
      <c r="J1141" s="298"/>
      <c r="K1141" s="28"/>
      <c r="L1141" s="299"/>
      <c r="M1141" s="27"/>
      <c r="N1141" s="187"/>
      <c r="O1141" s="58"/>
      <c r="P1141" s="300"/>
      <c r="Q1141" s="58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</row>
    <row r="1142" ht="15.75" customHeight="1">
      <c r="A1142" s="27"/>
      <c r="B1142" s="27"/>
      <c r="C1142" s="275"/>
      <c r="D1142" s="27"/>
      <c r="E1142" s="275"/>
      <c r="F1142" s="185"/>
      <c r="G1142" s="185"/>
      <c r="H1142" s="185"/>
      <c r="I1142" s="298"/>
      <c r="J1142" s="298"/>
      <c r="K1142" s="28"/>
      <c r="L1142" s="299"/>
      <c r="M1142" s="27"/>
      <c r="N1142" s="187"/>
      <c r="O1142" s="58"/>
      <c r="P1142" s="300"/>
      <c r="Q1142" s="58"/>
    </row>
    <row r="1143" ht="15.75" customHeight="1">
      <c r="A1143" s="27"/>
      <c r="B1143" s="27"/>
      <c r="C1143" s="275"/>
      <c r="D1143" s="27"/>
      <c r="E1143" s="275"/>
      <c r="F1143" s="185"/>
      <c r="G1143" s="185"/>
      <c r="H1143" s="185"/>
      <c r="I1143" s="298"/>
      <c r="J1143" s="298"/>
      <c r="K1143" s="28"/>
      <c r="L1143" s="299"/>
      <c r="M1143" s="27"/>
      <c r="N1143" s="187"/>
      <c r="O1143" s="58"/>
      <c r="P1143" s="300"/>
      <c r="Q1143" s="58"/>
    </row>
    <row r="1144" ht="15.75" customHeight="1">
      <c r="A1144" s="27"/>
      <c r="B1144" s="27"/>
      <c r="C1144" s="275"/>
      <c r="D1144" s="27"/>
      <c r="E1144" s="275"/>
      <c r="F1144" s="185"/>
      <c r="G1144" s="185"/>
      <c r="H1144" s="185"/>
      <c r="I1144" s="298"/>
      <c r="J1144" s="298"/>
      <c r="K1144" s="28"/>
      <c r="L1144" s="299"/>
      <c r="M1144" s="27"/>
      <c r="N1144" s="187"/>
      <c r="O1144" s="58"/>
      <c r="P1144" s="300"/>
      <c r="Q1144" s="58"/>
    </row>
    <row r="1145" ht="15.75" customHeight="1">
      <c r="A1145" s="27"/>
      <c r="B1145" s="27"/>
      <c r="C1145" s="275"/>
      <c r="D1145" s="27"/>
      <c r="E1145" s="275"/>
      <c r="F1145" s="185"/>
      <c r="G1145" s="185"/>
      <c r="H1145" s="185"/>
      <c r="I1145" s="298"/>
      <c r="J1145" s="298"/>
      <c r="K1145" s="28"/>
      <c r="L1145" s="299"/>
      <c r="M1145" s="27"/>
      <c r="N1145" s="187"/>
      <c r="O1145" s="58"/>
      <c r="P1145" s="300"/>
      <c r="Q1145" s="58"/>
    </row>
    <row r="1146" ht="15.75" customHeight="1">
      <c r="A1146" s="27"/>
      <c r="B1146" s="27"/>
      <c r="C1146" s="275"/>
      <c r="D1146" s="27"/>
      <c r="E1146" s="275"/>
      <c r="F1146" s="185"/>
      <c r="G1146" s="185"/>
      <c r="H1146" s="185"/>
      <c r="I1146" s="298"/>
      <c r="J1146" s="298"/>
      <c r="K1146" s="28"/>
      <c r="L1146" s="299"/>
      <c r="M1146" s="27"/>
      <c r="N1146" s="187"/>
      <c r="O1146" s="58"/>
      <c r="P1146" s="300"/>
      <c r="Q1146" s="58"/>
    </row>
    <row r="1147" ht="15.75" customHeight="1">
      <c r="A1147" s="27"/>
      <c r="B1147" s="27"/>
      <c r="C1147" s="275"/>
      <c r="D1147" s="27"/>
      <c r="E1147" s="275"/>
      <c r="F1147" s="185"/>
      <c r="G1147" s="185"/>
      <c r="H1147" s="185"/>
      <c r="I1147" s="298"/>
      <c r="J1147" s="298"/>
      <c r="K1147" s="28"/>
      <c r="L1147" s="299"/>
      <c r="M1147" s="27"/>
      <c r="N1147" s="187"/>
      <c r="O1147" s="58"/>
      <c r="P1147" s="300"/>
      <c r="Q1147" s="58"/>
    </row>
    <row r="1148" ht="15.75" customHeight="1">
      <c r="A1148" s="27"/>
      <c r="B1148" s="27"/>
      <c r="C1148" s="275"/>
      <c r="D1148" s="27"/>
      <c r="E1148" s="275"/>
      <c r="F1148" s="185"/>
      <c r="G1148" s="185"/>
      <c r="H1148" s="185"/>
      <c r="I1148" s="298"/>
      <c r="J1148" s="298"/>
      <c r="K1148" s="28"/>
      <c r="L1148" s="299"/>
      <c r="M1148" s="27"/>
      <c r="N1148" s="187"/>
      <c r="O1148" s="58"/>
      <c r="P1148" s="300"/>
      <c r="Q1148" s="58"/>
    </row>
    <row r="1149" ht="15.75" customHeight="1">
      <c r="A1149" s="27"/>
      <c r="B1149" s="27"/>
      <c r="C1149" s="275"/>
      <c r="D1149" s="27"/>
      <c r="E1149" s="275"/>
      <c r="F1149" s="185"/>
      <c r="G1149" s="185"/>
      <c r="H1149" s="185"/>
      <c r="I1149" s="298"/>
      <c r="J1149" s="298"/>
      <c r="K1149" s="28"/>
      <c r="L1149" s="299"/>
      <c r="M1149" s="27"/>
      <c r="N1149" s="187"/>
      <c r="O1149" s="58"/>
      <c r="P1149" s="300"/>
      <c r="Q1149" s="58"/>
    </row>
    <row r="1150" ht="15.75" customHeight="1">
      <c r="A1150" s="27"/>
      <c r="B1150" s="27"/>
      <c r="C1150" s="275"/>
      <c r="D1150" s="27"/>
      <c r="E1150" s="275"/>
      <c r="F1150" s="185"/>
      <c r="G1150" s="185"/>
      <c r="H1150" s="185"/>
      <c r="I1150" s="298"/>
      <c r="J1150" s="298"/>
      <c r="K1150" s="28"/>
      <c r="L1150" s="299"/>
      <c r="M1150" s="27"/>
      <c r="N1150" s="187"/>
      <c r="O1150" s="58"/>
      <c r="P1150" s="300"/>
      <c r="Q1150" s="58"/>
    </row>
    <row r="1151" ht="15.75" customHeight="1">
      <c r="A1151" s="27"/>
      <c r="B1151" s="27"/>
      <c r="C1151" s="275"/>
      <c r="D1151" s="27"/>
      <c r="E1151" s="275"/>
      <c r="F1151" s="185"/>
      <c r="G1151" s="185"/>
      <c r="H1151" s="185"/>
      <c r="I1151" s="298"/>
      <c r="J1151" s="298"/>
      <c r="K1151" s="28"/>
      <c r="L1151" s="299"/>
      <c r="M1151" s="27"/>
      <c r="N1151" s="187"/>
      <c r="O1151" s="58"/>
      <c r="P1151" s="300"/>
      <c r="Q1151" s="58"/>
    </row>
    <row r="1152" ht="15.75" customHeight="1">
      <c r="A1152" s="27"/>
      <c r="B1152" s="27"/>
      <c r="C1152" s="275"/>
      <c r="D1152" s="27"/>
      <c r="E1152" s="275"/>
      <c r="F1152" s="185"/>
      <c r="G1152" s="185"/>
      <c r="H1152" s="185"/>
      <c r="I1152" s="298"/>
      <c r="J1152" s="298"/>
      <c r="K1152" s="28"/>
      <c r="L1152" s="299"/>
      <c r="M1152" s="27"/>
      <c r="N1152" s="187"/>
      <c r="O1152" s="58"/>
      <c r="P1152" s="300"/>
      <c r="Q1152" s="58"/>
    </row>
    <row r="1153" ht="15.75" customHeight="1">
      <c r="A1153" s="27"/>
      <c r="B1153" s="27"/>
      <c r="C1153" s="275"/>
      <c r="D1153" s="27"/>
      <c r="E1153" s="275"/>
      <c r="F1153" s="185"/>
      <c r="G1153" s="185"/>
      <c r="H1153" s="185"/>
      <c r="I1153" s="298"/>
      <c r="J1153" s="298"/>
      <c r="K1153" s="28"/>
      <c r="L1153" s="299"/>
      <c r="M1153" s="27"/>
      <c r="N1153" s="187"/>
      <c r="O1153" s="58"/>
      <c r="P1153" s="300"/>
      <c r="Q1153" s="58"/>
    </row>
    <row r="1154" ht="15.75" customHeight="1">
      <c r="A1154" s="27"/>
      <c r="B1154" s="27"/>
      <c r="C1154" s="275"/>
      <c r="D1154" s="27"/>
      <c r="E1154" s="275"/>
      <c r="F1154" s="185"/>
      <c r="G1154" s="185"/>
      <c r="H1154" s="185"/>
      <c r="I1154" s="298"/>
      <c r="J1154" s="298"/>
      <c r="K1154" s="28"/>
      <c r="L1154" s="299"/>
      <c r="M1154" s="27"/>
      <c r="N1154" s="187"/>
      <c r="O1154" s="58"/>
      <c r="P1154" s="300"/>
      <c r="Q1154" s="58"/>
    </row>
    <row r="1155" ht="15.75" customHeight="1">
      <c r="A1155" s="27"/>
      <c r="B1155" s="27"/>
      <c r="C1155" s="275"/>
      <c r="D1155" s="27"/>
      <c r="E1155" s="275"/>
      <c r="F1155" s="185"/>
      <c r="G1155" s="185"/>
      <c r="H1155" s="185"/>
      <c r="I1155" s="298"/>
      <c r="J1155" s="298"/>
      <c r="K1155" s="28"/>
      <c r="L1155" s="299"/>
      <c r="M1155" s="27"/>
      <c r="N1155" s="187"/>
      <c r="O1155" s="58"/>
      <c r="P1155" s="300"/>
      <c r="Q1155" s="58"/>
    </row>
    <row r="1156" ht="15.75" customHeight="1">
      <c r="A1156" s="27"/>
      <c r="B1156" s="27"/>
      <c r="C1156" s="275"/>
      <c r="D1156" s="27"/>
      <c r="E1156" s="275"/>
      <c r="F1156" s="185"/>
      <c r="G1156" s="185"/>
      <c r="H1156" s="185"/>
      <c r="I1156" s="298"/>
      <c r="J1156" s="298"/>
      <c r="K1156" s="28"/>
      <c r="L1156" s="299"/>
      <c r="M1156" s="27"/>
      <c r="N1156" s="187"/>
      <c r="O1156" s="58"/>
      <c r="P1156" s="300"/>
      <c r="Q1156" s="58"/>
    </row>
    <row r="1157" ht="15.75" customHeight="1">
      <c r="A1157" s="27"/>
      <c r="B1157" s="27"/>
      <c r="C1157" s="275"/>
      <c r="D1157" s="27"/>
      <c r="E1157" s="275"/>
      <c r="F1157" s="185"/>
      <c r="G1157" s="185"/>
      <c r="H1157" s="185"/>
      <c r="I1157" s="298"/>
      <c r="J1157" s="298"/>
      <c r="K1157" s="28"/>
      <c r="L1157" s="299"/>
      <c r="M1157" s="27"/>
      <c r="N1157" s="187"/>
      <c r="O1157" s="58"/>
      <c r="P1157" s="300"/>
      <c r="Q1157" s="58"/>
    </row>
    <row r="1158" ht="15.75" customHeight="1">
      <c r="A1158" s="27"/>
      <c r="B1158" s="27"/>
      <c r="C1158" s="275"/>
      <c r="D1158" s="27"/>
      <c r="E1158" s="275"/>
      <c r="F1158" s="185"/>
      <c r="G1158" s="185"/>
      <c r="H1158" s="185"/>
      <c r="I1158" s="298"/>
      <c r="J1158" s="298"/>
      <c r="K1158" s="28"/>
      <c r="L1158" s="299"/>
      <c r="M1158" s="27"/>
      <c r="N1158" s="187"/>
      <c r="O1158" s="58"/>
      <c r="P1158" s="300"/>
      <c r="Q1158" s="58"/>
    </row>
    <row r="1159" ht="15.75" customHeight="1">
      <c r="A1159" s="27"/>
      <c r="B1159" s="27"/>
      <c r="C1159" s="275"/>
      <c r="D1159" s="27"/>
      <c r="E1159" s="275"/>
      <c r="F1159" s="185"/>
      <c r="G1159" s="185"/>
      <c r="H1159" s="185"/>
      <c r="I1159" s="298"/>
      <c r="J1159" s="298"/>
      <c r="K1159" s="28"/>
      <c r="L1159" s="299"/>
      <c r="M1159" s="27"/>
      <c r="N1159" s="187"/>
      <c r="O1159" s="58"/>
      <c r="P1159" s="300"/>
      <c r="Q1159" s="58"/>
    </row>
    <row r="1160" ht="15.75" customHeight="1">
      <c r="A1160" s="27"/>
      <c r="B1160" s="27"/>
      <c r="C1160" s="275"/>
      <c r="D1160" s="27"/>
      <c r="E1160" s="275"/>
      <c r="F1160" s="185"/>
      <c r="G1160" s="185"/>
      <c r="H1160" s="185"/>
      <c r="I1160" s="298"/>
      <c r="J1160" s="298"/>
      <c r="K1160" s="28"/>
      <c r="L1160" s="299"/>
      <c r="M1160" s="27"/>
      <c r="N1160" s="187"/>
      <c r="O1160" s="58"/>
      <c r="P1160" s="300"/>
      <c r="Q1160" s="58"/>
    </row>
    <row r="1161" ht="15.75" customHeight="1">
      <c r="A1161" s="27"/>
      <c r="B1161" s="27"/>
      <c r="C1161" s="275"/>
      <c r="D1161" s="27"/>
      <c r="E1161" s="275"/>
      <c r="F1161" s="185"/>
      <c r="G1161" s="185"/>
      <c r="H1161" s="185"/>
      <c r="I1161" s="298"/>
      <c r="J1161" s="298"/>
      <c r="K1161" s="28"/>
      <c r="L1161" s="299"/>
      <c r="M1161" s="27"/>
      <c r="N1161" s="187"/>
      <c r="O1161" s="58"/>
      <c r="P1161" s="300"/>
      <c r="Q1161" s="58"/>
    </row>
    <row r="1162" ht="15.75" customHeight="1">
      <c r="A1162" s="27"/>
      <c r="B1162" s="27"/>
      <c r="C1162" s="275"/>
      <c r="D1162" s="27"/>
      <c r="E1162" s="275"/>
      <c r="F1162" s="185"/>
      <c r="G1162" s="185"/>
      <c r="H1162" s="185"/>
      <c r="I1162" s="298"/>
      <c r="J1162" s="298"/>
      <c r="K1162" s="28"/>
      <c r="L1162" s="299"/>
      <c r="M1162" s="27"/>
      <c r="N1162" s="187"/>
      <c r="O1162" s="58"/>
      <c r="P1162" s="300"/>
      <c r="Q1162" s="58"/>
    </row>
    <row r="1163" ht="15.75" customHeight="1">
      <c r="A1163" s="27"/>
      <c r="B1163" s="27"/>
      <c r="C1163" s="275"/>
      <c r="D1163" s="27"/>
      <c r="E1163" s="275"/>
      <c r="F1163" s="185"/>
      <c r="G1163" s="185"/>
      <c r="H1163" s="185"/>
      <c r="I1163" s="298"/>
      <c r="J1163" s="298"/>
      <c r="K1163" s="28"/>
      <c r="L1163" s="299"/>
      <c r="M1163" s="27"/>
      <c r="N1163" s="187"/>
      <c r="O1163" s="58"/>
      <c r="P1163" s="300"/>
      <c r="Q1163" s="58"/>
    </row>
    <row r="1164" ht="15.75" customHeight="1">
      <c r="A1164" s="27"/>
      <c r="B1164" s="58"/>
      <c r="C1164" s="275"/>
      <c r="D1164" s="27"/>
      <c r="E1164" s="275"/>
      <c r="F1164" s="185"/>
      <c r="G1164" s="185"/>
      <c r="H1164" s="185"/>
      <c r="I1164" s="298"/>
      <c r="J1164" s="298"/>
      <c r="K1164" s="28"/>
      <c r="L1164" s="299"/>
      <c r="M1164" s="27"/>
      <c r="N1164" s="187"/>
      <c r="O1164" s="58"/>
      <c r="P1164" s="300"/>
      <c r="Q1164" s="58"/>
    </row>
    <row r="1165" ht="15.75" customHeight="1">
      <c r="A1165" s="27"/>
      <c r="B1165" s="27"/>
      <c r="C1165" s="275"/>
      <c r="D1165" s="27"/>
      <c r="E1165" s="275"/>
      <c r="F1165" s="185"/>
      <c r="G1165" s="185"/>
      <c r="H1165" s="185"/>
      <c r="I1165" s="298"/>
      <c r="J1165" s="298"/>
      <c r="K1165" s="28"/>
      <c r="L1165" s="299"/>
      <c r="M1165" s="27"/>
      <c r="N1165" s="187"/>
      <c r="O1165" s="58"/>
      <c r="P1165" s="300"/>
      <c r="Q1165" s="58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</row>
    <row r="1166" ht="15.75" customHeight="1">
      <c r="A1166" s="27"/>
      <c r="B1166" s="27"/>
      <c r="C1166" s="275"/>
      <c r="D1166" s="27"/>
      <c r="E1166" s="275"/>
      <c r="F1166" s="185"/>
      <c r="G1166" s="185"/>
      <c r="H1166" s="185"/>
      <c r="I1166" s="298"/>
      <c r="J1166" s="298"/>
      <c r="K1166" s="28"/>
      <c r="L1166" s="299"/>
      <c r="M1166" s="27"/>
      <c r="N1166" s="187"/>
      <c r="O1166" s="58"/>
      <c r="P1166" s="300"/>
      <c r="Q1166" s="58"/>
    </row>
    <row r="1167" ht="15.75" customHeight="1">
      <c r="A1167" s="27"/>
      <c r="B1167" s="27"/>
      <c r="C1167" s="275"/>
      <c r="D1167" s="27"/>
      <c r="E1167" s="275"/>
      <c r="F1167" s="185"/>
      <c r="G1167" s="185"/>
      <c r="H1167" s="185"/>
      <c r="I1167" s="298"/>
      <c r="J1167" s="298"/>
      <c r="K1167" s="28"/>
      <c r="L1167" s="299"/>
      <c r="M1167" s="27"/>
      <c r="N1167" s="187"/>
      <c r="O1167" s="58"/>
      <c r="P1167" s="300"/>
      <c r="Q1167" s="58"/>
    </row>
    <row r="1168" ht="15.75" customHeight="1">
      <c r="A1168" s="27"/>
      <c r="B1168" s="27"/>
      <c r="C1168" s="275"/>
      <c r="D1168" s="27"/>
      <c r="E1168" s="275"/>
      <c r="F1168" s="185"/>
      <c r="G1168" s="185"/>
      <c r="H1168" s="185"/>
      <c r="I1168" s="298"/>
      <c r="J1168" s="298"/>
      <c r="K1168" s="28"/>
      <c r="L1168" s="299"/>
      <c r="M1168" s="27"/>
      <c r="N1168" s="187"/>
      <c r="O1168" s="58"/>
      <c r="P1168" s="300"/>
      <c r="Q1168" s="58"/>
    </row>
    <row r="1169" ht="15.75" customHeight="1">
      <c r="A1169" s="27"/>
      <c r="B1169" s="27"/>
      <c r="C1169" s="275"/>
      <c r="D1169" s="27"/>
      <c r="E1169" s="275"/>
      <c r="F1169" s="185"/>
      <c r="G1169" s="185"/>
      <c r="H1169" s="185"/>
      <c r="I1169" s="298"/>
      <c r="J1169" s="298"/>
      <c r="K1169" s="28"/>
      <c r="L1169" s="299"/>
      <c r="M1169" s="27"/>
      <c r="N1169" s="187"/>
      <c r="O1169" s="58"/>
      <c r="P1169" s="300"/>
      <c r="Q1169" s="58"/>
    </row>
    <row r="1170" ht="15.75" customHeight="1">
      <c r="A1170" s="27"/>
      <c r="B1170" s="27"/>
      <c r="C1170" s="275"/>
      <c r="D1170" s="27"/>
      <c r="E1170" s="275"/>
      <c r="F1170" s="185"/>
      <c r="G1170" s="185"/>
      <c r="H1170" s="185"/>
      <c r="I1170" s="298"/>
      <c r="J1170" s="298"/>
      <c r="K1170" s="28"/>
      <c r="L1170" s="299"/>
      <c r="M1170" s="27"/>
      <c r="N1170" s="187"/>
      <c r="O1170" s="58"/>
      <c r="P1170" s="300"/>
      <c r="Q1170" s="58"/>
    </row>
    <row r="1171" ht="15.75" customHeight="1">
      <c r="A1171" s="27"/>
      <c r="B1171" s="27"/>
      <c r="C1171" s="275"/>
      <c r="D1171" s="27"/>
      <c r="E1171" s="275"/>
      <c r="F1171" s="185"/>
      <c r="G1171" s="185"/>
      <c r="H1171" s="185"/>
      <c r="I1171" s="298"/>
      <c r="J1171" s="298"/>
      <c r="K1171" s="28"/>
      <c r="L1171" s="299"/>
      <c r="M1171" s="27"/>
      <c r="N1171" s="187"/>
      <c r="O1171" s="58"/>
      <c r="P1171" s="300"/>
      <c r="Q1171" s="58"/>
    </row>
    <row r="1172" ht="15.75" customHeight="1">
      <c r="A1172" s="27"/>
      <c r="B1172" s="27"/>
      <c r="C1172" s="275"/>
      <c r="D1172" s="27"/>
      <c r="E1172" s="275"/>
      <c r="F1172" s="185"/>
      <c r="G1172" s="185"/>
      <c r="H1172" s="185"/>
      <c r="I1172" s="298"/>
      <c r="J1172" s="298"/>
      <c r="K1172" s="28"/>
      <c r="L1172" s="299"/>
      <c r="M1172" s="27"/>
      <c r="N1172" s="187"/>
      <c r="O1172" s="58"/>
      <c r="P1172" s="300"/>
      <c r="Q1172" s="58"/>
    </row>
    <row r="1173" ht="15.75" customHeight="1">
      <c r="A1173" s="27"/>
      <c r="B1173" s="27"/>
      <c r="C1173" s="275"/>
      <c r="D1173" s="27"/>
      <c r="E1173" s="275"/>
      <c r="F1173" s="185"/>
      <c r="G1173" s="185"/>
      <c r="H1173" s="185"/>
      <c r="I1173" s="298"/>
      <c r="J1173" s="298"/>
      <c r="K1173" s="28"/>
      <c r="L1173" s="299"/>
      <c r="M1173" s="27"/>
      <c r="N1173" s="187"/>
      <c r="O1173" s="58"/>
      <c r="P1173" s="300"/>
      <c r="Q1173" s="58"/>
    </row>
    <row r="1174" ht="15.75" customHeight="1">
      <c r="A1174" s="27"/>
      <c r="B1174" s="27"/>
      <c r="C1174" s="275"/>
      <c r="D1174" s="27"/>
      <c r="E1174" s="275"/>
      <c r="F1174" s="185"/>
      <c r="G1174" s="185"/>
      <c r="H1174" s="185"/>
      <c r="I1174" s="298"/>
      <c r="J1174" s="298"/>
      <c r="K1174" s="28"/>
      <c r="L1174" s="299"/>
      <c r="M1174" s="27"/>
      <c r="N1174" s="187"/>
      <c r="O1174" s="58"/>
      <c r="P1174" s="300"/>
      <c r="Q1174" s="58"/>
    </row>
    <row r="1175" ht="15.75" customHeight="1">
      <c r="A1175" s="27"/>
      <c r="B1175" s="27"/>
      <c r="C1175" s="275"/>
      <c r="D1175" s="27"/>
      <c r="E1175" s="275"/>
      <c r="F1175" s="185"/>
      <c r="G1175" s="185"/>
      <c r="H1175" s="185"/>
      <c r="I1175" s="298"/>
      <c r="J1175" s="298"/>
      <c r="K1175" s="28"/>
      <c r="L1175" s="299"/>
      <c r="M1175" s="27"/>
      <c r="N1175" s="187"/>
      <c r="O1175" s="58"/>
      <c r="P1175" s="300"/>
      <c r="Q1175" s="58"/>
    </row>
    <row r="1176" ht="15.75" customHeight="1">
      <c r="A1176" s="27"/>
      <c r="B1176" s="27"/>
      <c r="C1176" s="275"/>
      <c r="D1176" s="27"/>
      <c r="E1176" s="275"/>
      <c r="F1176" s="185"/>
      <c r="G1176" s="185"/>
      <c r="H1176" s="185"/>
      <c r="I1176" s="298"/>
      <c r="J1176" s="298"/>
      <c r="K1176" s="28"/>
      <c r="L1176" s="299"/>
      <c r="N1176" s="187"/>
      <c r="O1176" s="58"/>
      <c r="P1176" s="300"/>
      <c r="Q1176" s="58"/>
    </row>
    <row r="1177" ht="15.75" customHeight="1">
      <c r="A1177" s="27"/>
      <c r="B1177" s="27"/>
      <c r="C1177" s="275"/>
      <c r="D1177" s="27"/>
      <c r="E1177" s="275"/>
      <c r="F1177" s="185"/>
      <c r="G1177" s="185"/>
      <c r="H1177" s="185"/>
      <c r="I1177" s="298"/>
      <c r="J1177" s="298"/>
      <c r="K1177" s="28"/>
      <c r="L1177" s="299"/>
      <c r="N1177" s="187"/>
      <c r="O1177" s="58"/>
      <c r="P1177" s="300"/>
      <c r="Q1177" s="58"/>
    </row>
    <row r="1178" ht="15.75" customHeight="1">
      <c r="A1178" s="27"/>
      <c r="B1178" s="27"/>
      <c r="C1178" s="275"/>
      <c r="D1178" s="27"/>
      <c r="E1178" s="275"/>
      <c r="F1178" s="185"/>
      <c r="G1178" s="185"/>
      <c r="H1178" s="185"/>
      <c r="I1178" s="298"/>
      <c r="J1178" s="298"/>
      <c r="K1178" s="28"/>
      <c r="L1178" s="299"/>
      <c r="M1178" s="27"/>
      <c r="N1178" s="187"/>
      <c r="O1178" s="58"/>
      <c r="P1178" s="300"/>
      <c r="Q1178" s="58"/>
    </row>
    <row r="1179" ht="15.75" customHeight="1">
      <c r="A1179" s="27"/>
      <c r="B1179" s="27"/>
      <c r="C1179" s="275"/>
      <c r="D1179" s="27"/>
      <c r="E1179" s="275"/>
      <c r="F1179" s="185"/>
      <c r="G1179" s="185"/>
      <c r="H1179" s="185"/>
      <c r="I1179" s="298"/>
      <c r="J1179" s="298"/>
      <c r="K1179" s="28"/>
      <c r="L1179" s="299"/>
      <c r="M1179" s="27"/>
      <c r="N1179" s="187"/>
      <c r="O1179" s="58"/>
      <c r="P1179" s="300"/>
      <c r="Q1179" s="58"/>
    </row>
    <row r="1180" ht="15.75" customHeight="1">
      <c r="A1180" s="27"/>
      <c r="B1180" s="27"/>
      <c r="C1180" s="275"/>
      <c r="D1180" s="27"/>
      <c r="E1180" s="275"/>
      <c r="F1180" s="185"/>
      <c r="G1180" s="185"/>
      <c r="H1180" s="185"/>
      <c r="I1180" s="298"/>
      <c r="J1180" s="298"/>
      <c r="K1180" s="28"/>
      <c r="L1180" s="299"/>
      <c r="M1180" s="27"/>
      <c r="N1180" s="187"/>
      <c r="O1180" s="58"/>
      <c r="P1180" s="300"/>
      <c r="Q1180" s="58"/>
    </row>
    <row r="1181" ht="15.75" customHeight="1">
      <c r="A1181" s="27"/>
      <c r="B1181" s="27"/>
      <c r="C1181" s="275"/>
      <c r="D1181" s="27"/>
      <c r="E1181" s="275"/>
      <c r="F1181" s="185"/>
      <c r="G1181" s="185"/>
      <c r="H1181" s="185"/>
      <c r="I1181" s="298"/>
      <c r="J1181" s="298"/>
      <c r="K1181" s="28"/>
      <c r="L1181" s="299"/>
      <c r="M1181" s="27"/>
      <c r="N1181" s="187"/>
      <c r="O1181" s="58"/>
      <c r="P1181" s="300"/>
      <c r="Q1181" s="58"/>
      <c r="AF1181" s="27"/>
      <c r="AG1181" s="27"/>
      <c r="AH1181" s="27"/>
    </row>
    <row r="1182" ht="15.75" customHeight="1">
      <c r="A1182" s="27"/>
      <c r="B1182" s="27"/>
      <c r="C1182" s="275"/>
      <c r="D1182" s="27"/>
      <c r="E1182" s="275"/>
      <c r="F1182" s="185"/>
      <c r="G1182" s="185"/>
      <c r="H1182" s="185"/>
      <c r="I1182" s="298"/>
      <c r="J1182" s="298"/>
      <c r="K1182" s="28"/>
      <c r="L1182" s="299"/>
      <c r="M1182" s="27"/>
      <c r="N1182" s="187"/>
      <c r="O1182" s="58"/>
      <c r="P1182" s="300"/>
      <c r="Q1182" s="58"/>
    </row>
    <row r="1183" ht="15.75" customHeight="1">
      <c r="A1183" s="27"/>
      <c r="B1183" s="27"/>
      <c r="C1183" s="275"/>
      <c r="D1183" s="27"/>
      <c r="E1183" s="275"/>
      <c r="F1183" s="185"/>
      <c r="G1183" s="185"/>
      <c r="H1183" s="185"/>
      <c r="I1183" s="298"/>
      <c r="J1183" s="298"/>
      <c r="K1183" s="28"/>
      <c r="L1183" s="299"/>
      <c r="M1183" s="27"/>
      <c r="N1183" s="187"/>
      <c r="O1183" s="58"/>
      <c r="P1183" s="300"/>
      <c r="Q1183" s="58"/>
    </row>
    <row r="1184" ht="15.75" customHeight="1">
      <c r="A1184" s="27"/>
      <c r="B1184" s="27"/>
      <c r="C1184" s="275"/>
      <c r="D1184" s="27"/>
      <c r="E1184" s="275"/>
      <c r="F1184" s="185"/>
      <c r="G1184" s="185"/>
      <c r="H1184" s="185"/>
      <c r="I1184" s="298"/>
      <c r="J1184" s="298"/>
      <c r="K1184" s="28"/>
      <c r="L1184" s="299"/>
      <c r="N1184" s="187"/>
      <c r="O1184" s="58"/>
      <c r="P1184" s="300"/>
      <c r="Q1184" s="58"/>
    </row>
    <row r="1185" ht="15.75" customHeight="1">
      <c r="A1185" s="27"/>
      <c r="B1185" s="27"/>
      <c r="C1185" s="275"/>
      <c r="D1185" s="27"/>
      <c r="E1185" s="275"/>
      <c r="F1185" s="185"/>
      <c r="G1185" s="185"/>
      <c r="H1185" s="185"/>
      <c r="I1185" s="298"/>
      <c r="J1185" s="298"/>
      <c r="K1185" s="28"/>
      <c r="L1185" s="299"/>
      <c r="N1185" s="187"/>
      <c r="O1185" s="58"/>
      <c r="P1185" s="300"/>
      <c r="Q1185" s="58"/>
    </row>
    <row r="1186" ht="15.75" customHeight="1">
      <c r="A1186" s="27"/>
      <c r="B1186" s="27"/>
      <c r="C1186" s="275"/>
      <c r="D1186" s="27"/>
      <c r="E1186" s="275"/>
      <c r="F1186" s="185"/>
      <c r="G1186" s="185"/>
      <c r="H1186" s="185"/>
      <c r="I1186" s="298"/>
      <c r="J1186" s="298"/>
      <c r="K1186" s="28"/>
      <c r="L1186" s="299"/>
      <c r="N1186" s="187"/>
      <c r="O1186" s="58"/>
      <c r="P1186" s="300"/>
      <c r="Q1186" s="58"/>
    </row>
    <row r="1187" ht="15.75" customHeight="1">
      <c r="A1187" s="27"/>
      <c r="B1187" s="27"/>
      <c r="C1187" s="275"/>
      <c r="D1187" s="27"/>
      <c r="E1187" s="275"/>
      <c r="F1187" s="185"/>
      <c r="G1187" s="185"/>
      <c r="H1187" s="185"/>
      <c r="I1187" s="298"/>
      <c r="J1187" s="298"/>
      <c r="K1187" s="28"/>
      <c r="L1187" s="299"/>
      <c r="N1187" s="187"/>
      <c r="O1187" s="58"/>
      <c r="P1187" s="300"/>
      <c r="Q1187" s="58"/>
    </row>
    <row r="1188" ht="15.75" customHeight="1">
      <c r="A1188" s="27"/>
      <c r="B1188" s="27"/>
      <c r="C1188" s="275"/>
      <c r="D1188" s="27"/>
      <c r="E1188" s="275"/>
      <c r="F1188" s="185"/>
      <c r="G1188" s="185"/>
      <c r="H1188" s="185"/>
      <c r="I1188" s="298"/>
      <c r="J1188" s="298"/>
      <c r="K1188" s="28"/>
      <c r="L1188" s="299"/>
      <c r="N1188" s="187"/>
      <c r="O1188" s="58"/>
      <c r="P1188" s="300"/>
      <c r="Q1188" s="58"/>
    </row>
    <row r="1189" ht="15.75" customHeight="1">
      <c r="A1189" s="27"/>
      <c r="B1189" s="27"/>
      <c r="C1189" s="275"/>
      <c r="D1189" s="27"/>
      <c r="E1189" s="275"/>
      <c r="F1189" s="185"/>
      <c r="G1189" s="185"/>
      <c r="H1189" s="185"/>
      <c r="I1189" s="298"/>
      <c r="J1189" s="298"/>
      <c r="K1189" s="28"/>
      <c r="L1189" s="299"/>
      <c r="N1189" s="187"/>
      <c r="O1189" s="58"/>
      <c r="P1189" s="300"/>
      <c r="Q1189" s="58"/>
    </row>
    <row r="1190" ht="15.75" customHeight="1">
      <c r="A1190" s="27"/>
      <c r="B1190" s="27"/>
      <c r="C1190" s="275"/>
      <c r="D1190" s="27"/>
      <c r="E1190" s="275"/>
      <c r="F1190" s="185"/>
      <c r="G1190" s="185"/>
      <c r="H1190" s="185"/>
      <c r="I1190" s="298"/>
      <c r="J1190" s="298"/>
      <c r="K1190" s="28"/>
      <c r="L1190" s="299"/>
      <c r="M1190" s="27"/>
      <c r="N1190" s="187"/>
      <c r="O1190" s="58"/>
      <c r="P1190" s="300"/>
      <c r="Q1190" s="58"/>
    </row>
    <row r="1191" ht="15.75" customHeight="1">
      <c r="A1191" s="27"/>
      <c r="B1191" s="27"/>
      <c r="C1191" s="275"/>
      <c r="D1191" s="27"/>
      <c r="E1191" s="275"/>
      <c r="F1191" s="185"/>
      <c r="G1191" s="185"/>
      <c r="H1191" s="185"/>
      <c r="I1191" s="298"/>
      <c r="J1191" s="298"/>
      <c r="K1191" s="28"/>
      <c r="L1191" s="299"/>
      <c r="M1191" s="27"/>
      <c r="N1191" s="187"/>
      <c r="O1191" s="58"/>
      <c r="P1191" s="300"/>
      <c r="Q1191" s="58"/>
    </row>
    <row r="1192" ht="15.75" customHeight="1">
      <c r="A1192" s="27"/>
      <c r="B1192" s="27"/>
      <c r="C1192" s="275"/>
      <c r="D1192" s="27"/>
      <c r="E1192" s="275"/>
      <c r="F1192" s="185"/>
      <c r="G1192" s="185"/>
      <c r="H1192" s="185"/>
      <c r="I1192" s="298"/>
      <c r="J1192" s="298"/>
      <c r="K1192" s="28"/>
      <c r="L1192" s="299"/>
      <c r="N1192" s="187"/>
      <c r="O1192" s="58"/>
      <c r="P1192" s="300"/>
      <c r="Q1192" s="58"/>
    </row>
    <row r="1193" ht="15.75" customHeight="1">
      <c r="A1193" s="27"/>
      <c r="B1193" s="27"/>
      <c r="C1193" s="275"/>
      <c r="D1193" s="27"/>
      <c r="E1193" s="275"/>
      <c r="F1193" s="185"/>
      <c r="G1193" s="185"/>
      <c r="H1193" s="185"/>
      <c r="I1193" s="298"/>
      <c r="J1193" s="298"/>
      <c r="K1193" s="27"/>
      <c r="L1193" s="300"/>
      <c r="N1193" s="187"/>
      <c r="O1193" s="58"/>
      <c r="P1193" s="300"/>
      <c r="Q1193" s="58"/>
    </row>
    <row r="1194" ht="15.75" customHeight="1">
      <c r="A1194" s="27"/>
      <c r="B1194" s="58"/>
      <c r="C1194" s="275"/>
      <c r="D1194" s="27"/>
      <c r="E1194" s="275"/>
      <c r="F1194" s="185"/>
      <c r="G1194" s="185"/>
      <c r="H1194" s="185"/>
      <c r="I1194" s="298"/>
      <c r="J1194" s="298"/>
      <c r="K1194" s="28"/>
      <c r="L1194" s="299"/>
      <c r="N1194" s="187"/>
      <c r="O1194" s="58"/>
      <c r="P1194" s="300"/>
      <c r="Q1194" s="58"/>
    </row>
    <row r="1195" ht="15.75" customHeight="1">
      <c r="A1195" s="27"/>
      <c r="B1195" s="109"/>
      <c r="C1195" s="275"/>
      <c r="D1195" s="27"/>
      <c r="E1195" s="275"/>
      <c r="F1195" s="185"/>
      <c r="G1195" s="185"/>
      <c r="H1195" s="185"/>
      <c r="I1195" s="298"/>
      <c r="J1195" s="298"/>
      <c r="K1195" s="28"/>
      <c r="L1195" s="299"/>
      <c r="N1195" s="187"/>
      <c r="O1195" s="58"/>
      <c r="P1195" s="300"/>
      <c r="Q1195" s="58"/>
    </row>
    <row r="1196" ht="15.75" customHeight="1">
      <c r="A1196" s="27"/>
      <c r="B1196" s="27"/>
      <c r="C1196" s="275"/>
      <c r="D1196" s="27"/>
      <c r="E1196" s="275"/>
      <c r="F1196" s="185"/>
      <c r="G1196" s="185"/>
      <c r="H1196" s="185"/>
      <c r="I1196" s="298"/>
      <c r="J1196" s="298"/>
      <c r="K1196" s="28"/>
      <c r="L1196" s="299"/>
      <c r="M1196" s="27"/>
      <c r="N1196" s="187"/>
      <c r="O1196" s="58"/>
      <c r="P1196" s="300"/>
      <c r="Q1196" s="58"/>
      <c r="R1196" s="27"/>
      <c r="S1196" s="27"/>
      <c r="T1196" s="27"/>
      <c r="U1196" s="27"/>
    </row>
    <row r="1197" ht="15.75" customHeight="1">
      <c r="A1197" s="27"/>
      <c r="B1197" s="27"/>
      <c r="C1197" s="275"/>
      <c r="D1197" s="27"/>
      <c r="E1197" s="275"/>
      <c r="F1197" s="185"/>
      <c r="G1197" s="185"/>
      <c r="H1197" s="185"/>
      <c r="I1197" s="298"/>
      <c r="J1197" s="298"/>
      <c r="K1197" s="28"/>
      <c r="L1197" s="299"/>
      <c r="N1197" s="187"/>
      <c r="O1197" s="58"/>
      <c r="P1197" s="300"/>
      <c r="Q1197" s="58"/>
    </row>
    <row r="1198" ht="15.75" customHeight="1">
      <c r="A1198" s="27"/>
      <c r="B1198" s="27"/>
      <c r="C1198" s="275"/>
      <c r="D1198" s="27"/>
      <c r="E1198" s="275"/>
      <c r="F1198" s="185"/>
      <c r="G1198" s="185"/>
      <c r="H1198" s="185"/>
      <c r="I1198" s="298"/>
      <c r="J1198" s="298"/>
      <c r="K1198" s="28"/>
      <c r="L1198" s="299"/>
      <c r="N1198" s="187"/>
      <c r="O1198" s="58"/>
      <c r="P1198" s="300"/>
      <c r="Q1198" s="58"/>
    </row>
    <row r="1199" ht="15.75" customHeight="1">
      <c r="A1199" s="27"/>
      <c r="B1199" s="27"/>
      <c r="C1199" s="275"/>
      <c r="D1199" s="27"/>
      <c r="E1199" s="275"/>
      <c r="F1199" s="185"/>
      <c r="G1199" s="185"/>
      <c r="H1199" s="185"/>
      <c r="I1199" s="298"/>
      <c r="J1199" s="298"/>
      <c r="K1199" s="28"/>
      <c r="L1199" s="299"/>
      <c r="N1199" s="187"/>
      <c r="O1199" s="58"/>
      <c r="P1199" s="300"/>
      <c r="Q1199" s="58"/>
    </row>
    <row r="1200" ht="15.75" customHeight="1">
      <c r="A1200" s="27"/>
      <c r="B1200" s="27"/>
      <c r="C1200" s="275"/>
      <c r="D1200" s="27"/>
      <c r="E1200" s="275"/>
      <c r="F1200" s="185"/>
      <c r="G1200" s="185"/>
      <c r="H1200" s="185"/>
      <c r="I1200" s="298"/>
      <c r="J1200" s="298"/>
      <c r="K1200" s="28"/>
      <c r="L1200" s="299"/>
      <c r="N1200" s="187"/>
      <c r="O1200" s="58"/>
      <c r="P1200" s="300"/>
      <c r="Q1200" s="58"/>
    </row>
    <row r="1201" ht="15.75" customHeight="1">
      <c r="A1201" s="27"/>
      <c r="B1201" s="27"/>
      <c r="C1201" s="275"/>
      <c r="D1201" s="27"/>
      <c r="E1201" s="275"/>
      <c r="F1201" s="185"/>
      <c r="G1201" s="185"/>
      <c r="H1201" s="185"/>
      <c r="I1201" s="298"/>
      <c r="J1201" s="298"/>
      <c r="K1201" s="28"/>
      <c r="L1201" s="299"/>
      <c r="N1201" s="187"/>
      <c r="O1201" s="58"/>
      <c r="P1201" s="300"/>
      <c r="Q1201" s="58"/>
    </row>
    <row r="1202" ht="15.75" customHeight="1">
      <c r="A1202" s="27"/>
      <c r="B1202" s="27"/>
      <c r="C1202" s="275"/>
      <c r="D1202" s="27"/>
      <c r="E1202" s="275"/>
      <c r="F1202" s="185"/>
      <c r="G1202" s="185"/>
      <c r="H1202" s="185"/>
      <c r="I1202" s="298"/>
      <c r="J1202" s="298"/>
      <c r="K1202" s="28"/>
      <c r="L1202" s="299"/>
      <c r="N1202" s="187"/>
      <c r="O1202" s="58"/>
      <c r="P1202" s="300"/>
      <c r="Q1202" s="58"/>
    </row>
    <row r="1203" ht="15.75" customHeight="1">
      <c r="A1203" s="27"/>
      <c r="B1203" s="27"/>
      <c r="C1203" s="275"/>
      <c r="D1203" s="27"/>
      <c r="E1203" s="275"/>
      <c r="F1203" s="185"/>
      <c r="G1203" s="185"/>
      <c r="H1203" s="185"/>
      <c r="I1203" s="298"/>
      <c r="J1203" s="298"/>
      <c r="K1203" s="28"/>
      <c r="L1203" s="299"/>
      <c r="N1203" s="187"/>
      <c r="O1203" s="58"/>
      <c r="P1203" s="300"/>
      <c r="Q1203" s="58"/>
    </row>
    <row r="1204" ht="15.75" customHeight="1">
      <c r="A1204" s="27"/>
      <c r="B1204" s="27"/>
      <c r="C1204" s="275"/>
      <c r="D1204" s="27"/>
      <c r="E1204" s="275"/>
      <c r="F1204" s="185"/>
      <c r="G1204" s="185"/>
      <c r="H1204" s="185"/>
      <c r="I1204" s="298"/>
      <c r="J1204" s="298"/>
      <c r="K1204" s="28"/>
      <c r="L1204" s="299"/>
      <c r="N1204" s="187"/>
      <c r="O1204" s="58"/>
      <c r="P1204" s="300"/>
      <c r="Q1204" s="58"/>
    </row>
    <row r="1205" ht="15.75" customHeight="1">
      <c r="A1205" s="27"/>
      <c r="B1205" s="27"/>
      <c r="C1205" s="275"/>
      <c r="D1205" s="27"/>
      <c r="E1205" s="275"/>
      <c r="F1205" s="185"/>
      <c r="G1205" s="185"/>
      <c r="H1205" s="185"/>
      <c r="I1205" s="298"/>
      <c r="J1205" s="298"/>
      <c r="K1205" s="28"/>
      <c r="L1205" s="299"/>
      <c r="N1205" s="187"/>
      <c r="O1205" s="58"/>
      <c r="P1205" s="300"/>
      <c r="Q1205" s="58"/>
    </row>
    <row r="1206" ht="15.75" customHeight="1">
      <c r="A1206" s="27"/>
      <c r="B1206" s="27"/>
      <c r="C1206" s="275"/>
      <c r="D1206" s="27"/>
      <c r="E1206" s="275"/>
      <c r="F1206" s="185"/>
      <c r="G1206" s="185"/>
      <c r="H1206" s="185"/>
      <c r="I1206" s="298"/>
      <c r="J1206" s="298"/>
      <c r="K1206" s="28"/>
      <c r="L1206" s="299"/>
      <c r="N1206" s="187"/>
      <c r="O1206" s="58"/>
      <c r="P1206" s="300"/>
      <c r="Q1206" s="58"/>
    </row>
    <row r="1207" ht="15.75" customHeight="1">
      <c r="A1207" s="27"/>
      <c r="B1207" s="27"/>
      <c r="C1207" s="275"/>
      <c r="D1207" s="27"/>
      <c r="E1207" s="275"/>
      <c r="F1207" s="185"/>
      <c r="G1207" s="185"/>
      <c r="H1207" s="185"/>
      <c r="I1207" s="298"/>
      <c r="J1207" s="298"/>
      <c r="K1207" s="28"/>
      <c r="L1207" s="299"/>
      <c r="N1207" s="187"/>
      <c r="O1207" s="58"/>
      <c r="P1207" s="300"/>
      <c r="Q1207" s="58"/>
    </row>
    <row r="1208" ht="15.75" customHeight="1">
      <c r="A1208" s="27"/>
      <c r="B1208" s="27"/>
      <c r="C1208" s="275"/>
      <c r="D1208" s="27"/>
      <c r="E1208" s="275"/>
      <c r="F1208" s="185"/>
      <c r="G1208" s="185"/>
      <c r="H1208" s="185"/>
      <c r="I1208" s="298"/>
      <c r="J1208" s="298"/>
      <c r="K1208" s="28"/>
      <c r="L1208" s="299"/>
      <c r="N1208" s="187"/>
      <c r="O1208" s="58"/>
      <c r="P1208" s="300"/>
      <c r="Q1208" s="58"/>
    </row>
    <row r="1209" ht="15.75" customHeight="1">
      <c r="A1209" s="27"/>
      <c r="B1209" s="27"/>
      <c r="C1209" s="275"/>
      <c r="D1209" s="27"/>
      <c r="E1209" s="275"/>
      <c r="F1209" s="185"/>
      <c r="G1209" s="185"/>
      <c r="H1209" s="185"/>
      <c r="I1209" s="298"/>
      <c r="J1209" s="298"/>
      <c r="K1209" s="28"/>
      <c r="L1209" s="299"/>
      <c r="N1209" s="187"/>
      <c r="O1209" s="58"/>
      <c r="P1209" s="300"/>
      <c r="Q1209" s="58"/>
    </row>
    <row r="1210" ht="15.75" customHeight="1">
      <c r="A1210" s="27"/>
      <c r="B1210" s="27"/>
      <c r="C1210" s="275"/>
      <c r="D1210" s="27"/>
      <c r="E1210" s="275"/>
      <c r="F1210" s="185"/>
      <c r="G1210" s="185"/>
      <c r="H1210" s="185"/>
      <c r="I1210" s="298"/>
      <c r="J1210" s="298"/>
      <c r="K1210" s="28"/>
      <c r="L1210" s="299"/>
      <c r="M1210" s="27"/>
      <c r="N1210" s="187"/>
      <c r="O1210" s="58"/>
      <c r="P1210" s="300"/>
      <c r="Q1210" s="58"/>
    </row>
    <row r="1211" ht="15.75" customHeight="1">
      <c r="A1211" s="27"/>
      <c r="B1211" s="27"/>
      <c r="C1211" s="275"/>
      <c r="D1211" s="27"/>
      <c r="E1211" s="275"/>
      <c r="F1211" s="185"/>
      <c r="G1211" s="185"/>
      <c r="H1211" s="185"/>
      <c r="I1211" s="298"/>
      <c r="J1211" s="298"/>
      <c r="K1211" s="28"/>
      <c r="L1211" s="299"/>
      <c r="N1211" s="187"/>
      <c r="O1211" s="58"/>
      <c r="P1211" s="300"/>
      <c r="Q1211" s="58"/>
    </row>
    <row r="1212" ht="15.75" customHeight="1">
      <c r="A1212" s="27"/>
      <c r="B1212" s="27"/>
      <c r="C1212" s="275"/>
      <c r="D1212" s="27"/>
      <c r="E1212" s="275"/>
      <c r="F1212" s="185"/>
      <c r="G1212" s="185"/>
      <c r="H1212" s="185"/>
      <c r="I1212" s="298"/>
      <c r="J1212" s="298"/>
      <c r="K1212" s="28"/>
      <c r="L1212" s="299"/>
      <c r="N1212" s="187"/>
      <c r="O1212" s="58"/>
      <c r="P1212" s="300"/>
      <c r="Q1212" s="58"/>
    </row>
    <row r="1213" ht="15.75" customHeight="1">
      <c r="A1213" s="27"/>
      <c r="B1213" s="27"/>
      <c r="C1213" s="275"/>
      <c r="D1213" s="27"/>
      <c r="E1213" s="275"/>
      <c r="F1213" s="185"/>
      <c r="G1213" s="185"/>
      <c r="H1213" s="185"/>
      <c r="I1213" s="298"/>
      <c r="J1213" s="298"/>
      <c r="K1213" s="28"/>
      <c r="L1213" s="299"/>
      <c r="N1213" s="187"/>
      <c r="O1213" s="58"/>
      <c r="P1213" s="300"/>
      <c r="Q1213" s="58"/>
    </row>
    <row r="1214" ht="15.75" customHeight="1">
      <c r="A1214" s="27"/>
      <c r="B1214" s="27"/>
      <c r="C1214" s="275"/>
      <c r="D1214" s="27"/>
      <c r="E1214" s="275"/>
      <c r="F1214" s="185"/>
      <c r="G1214" s="185"/>
      <c r="H1214" s="185"/>
      <c r="I1214" s="298"/>
      <c r="J1214" s="298"/>
      <c r="K1214" s="28"/>
      <c r="L1214" s="299"/>
      <c r="N1214" s="187"/>
      <c r="O1214" s="58"/>
      <c r="P1214" s="300"/>
      <c r="Q1214" s="58"/>
    </row>
    <row r="1215" ht="15.75" customHeight="1">
      <c r="A1215" s="27"/>
      <c r="B1215" s="58"/>
      <c r="C1215" s="275"/>
      <c r="D1215" s="27"/>
      <c r="E1215" s="275"/>
      <c r="F1215" s="185"/>
      <c r="G1215" s="185"/>
      <c r="H1215" s="185"/>
      <c r="I1215" s="298"/>
      <c r="J1215" s="298"/>
      <c r="K1215" s="28"/>
      <c r="L1215" s="299"/>
      <c r="N1215" s="187"/>
      <c r="O1215" s="58"/>
      <c r="P1215" s="300"/>
      <c r="Q1215" s="58"/>
    </row>
    <row r="1216" ht="15.75" customHeight="1">
      <c r="A1216" s="27"/>
      <c r="B1216" s="27"/>
      <c r="C1216" s="275"/>
      <c r="D1216" s="27"/>
      <c r="E1216" s="275"/>
      <c r="F1216" s="185"/>
      <c r="G1216" s="185"/>
      <c r="H1216" s="185"/>
      <c r="I1216" s="298"/>
      <c r="J1216" s="298"/>
      <c r="K1216" s="28"/>
      <c r="L1216" s="299"/>
      <c r="N1216" s="187"/>
      <c r="O1216" s="58"/>
      <c r="P1216" s="300"/>
      <c r="Q1216" s="58"/>
    </row>
    <row r="1217" ht="15.75" customHeight="1">
      <c r="A1217" s="27"/>
      <c r="B1217" s="27"/>
      <c r="C1217" s="275"/>
      <c r="D1217" s="27"/>
      <c r="E1217" s="275"/>
      <c r="F1217" s="185"/>
      <c r="G1217" s="185"/>
      <c r="H1217" s="185"/>
      <c r="I1217" s="298"/>
      <c r="J1217" s="298"/>
      <c r="K1217" s="28"/>
      <c r="L1217" s="299"/>
      <c r="N1217" s="187"/>
      <c r="O1217" s="58"/>
      <c r="P1217" s="300"/>
      <c r="Q1217" s="58"/>
    </row>
    <row r="1218" ht="15.75" customHeight="1">
      <c r="A1218" s="27"/>
      <c r="B1218" s="27"/>
      <c r="C1218" s="275"/>
      <c r="D1218" s="27"/>
      <c r="E1218" s="275"/>
      <c r="F1218" s="185"/>
      <c r="G1218" s="185"/>
      <c r="H1218" s="185"/>
      <c r="I1218" s="298"/>
      <c r="J1218" s="298"/>
      <c r="K1218" s="28"/>
      <c r="L1218" s="299"/>
      <c r="N1218" s="187"/>
      <c r="O1218" s="58"/>
      <c r="P1218" s="300"/>
      <c r="Q1218" s="58"/>
    </row>
    <row r="1219" ht="15.75" customHeight="1">
      <c r="A1219" s="27"/>
      <c r="B1219" s="58"/>
      <c r="C1219" s="275"/>
      <c r="D1219" s="27"/>
      <c r="E1219" s="275"/>
      <c r="F1219" s="185"/>
      <c r="G1219" s="185"/>
      <c r="H1219" s="185"/>
      <c r="I1219" s="298"/>
      <c r="J1219" s="298"/>
      <c r="K1219" s="28"/>
      <c r="L1219" s="299"/>
      <c r="N1219" s="187"/>
      <c r="O1219" s="58"/>
      <c r="P1219" s="300"/>
      <c r="Q1219" s="58"/>
      <c r="AF1219" s="27"/>
      <c r="AG1219" s="27"/>
      <c r="AH1219" s="27"/>
    </row>
    <row r="1220" ht="15.75" customHeight="1">
      <c r="A1220" s="27"/>
      <c r="B1220" s="27"/>
      <c r="C1220" s="275"/>
      <c r="D1220" s="27"/>
      <c r="E1220" s="275"/>
      <c r="F1220" s="185"/>
      <c r="G1220" s="185"/>
      <c r="H1220" s="185"/>
      <c r="I1220" s="298"/>
      <c r="J1220" s="298"/>
      <c r="K1220" s="28"/>
      <c r="L1220" s="299"/>
      <c r="N1220" s="187"/>
      <c r="O1220" s="58"/>
      <c r="P1220" s="300"/>
      <c r="Q1220" s="58"/>
    </row>
    <row r="1221" ht="15.75" customHeight="1">
      <c r="A1221" s="27"/>
      <c r="B1221" s="27"/>
      <c r="C1221" s="275"/>
      <c r="D1221" s="27"/>
      <c r="E1221" s="275"/>
      <c r="F1221" s="185"/>
      <c r="G1221" s="185"/>
      <c r="H1221" s="185"/>
      <c r="I1221" s="298"/>
      <c r="J1221" s="298"/>
      <c r="K1221" s="28"/>
      <c r="L1221" s="299"/>
      <c r="N1221" s="187"/>
      <c r="O1221" s="58"/>
      <c r="P1221" s="300"/>
      <c r="Q1221" s="58"/>
    </row>
    <row r="1222" ht="15.75" customHeight="1">
      <c r="A1222" s="27"/>
      <c r="B1222" s="27"/>
      <c r="C1222" s="275"/>
      <c r="D1222" s="27"/>
      <c r="E1222" s="275"/>
      <c r="F1222" s="185"/>
      <c r="G1222" s="185"/>
      <c r="H1222" s="185"/>
      <c r="I1222" s="298"/>
      <c r="J1222" s="298"/>
      <c r="K1222" s="28"/>
      <c r="L1222" s="299"/>
      <c r="N1222" s="187"/>
      <c r="O1222" s="58"/>
      <c r="P1222" s="300"/>
      <c r="Q1222" s="58"/>
    </row>
    <row r="1223" ht="15.75" customHeight="1">
      <c r="A1223" s="27"/>
      <c r="B1223" s="27"/>
      <c r="C1223" s="275"/>
      <c r="D1223" s="27"/>
      <c r="E1223" s="275"/>
      <c r="F1223" s="185"/>
      <c r="G1223" s="185"/>
      <c r="H1223" s="185"/>
      <c r="I1223" s="298"/>
      <c r="J1223" s="298"/>
      <c r="K1223" s="28"/>
      <c r="L1223" s="299"/>
      <c r="N1223" s="187"/>
      <c r="O1223" s="58"/>
      <c r="P1223" s="300"/>
      <c r="Q1223" s="58"/>
    </row>
    <row r="1224" ht="15.75" customHeight="1">
      <c r="A1224" s="27"/>
      <c r="B1224" s="27"/>
      <c r="C1224" s="275"/>
      <c r="D1224" s="27"/>
      <c r="E1224" s="275"/>
      <c r="F1224" s="185"/>
      <c r="G1224" s="185"/>
      <c r="H1224" s="185"/>
      <c r="I1224" s="298"/>
      <c r="J1224" s="298"/>
      <c r="K1224" s="28"/>
      <c r="L1224" s="299"/>
      <c r="M1224" s="27"/>
      <c r="N1224" s="187"/>
      <c r="O1224" s="58"/>
      <c r="P1224" s="300"/>
      <c r="Q1224" s="58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</row>
    <row r="1225" ht="15.75" customHeight="1">
      <c r="A1225" s="27"/>
      <c r="B1225" s="27"/>
      <c r="C1225" s="275"/>
      <c r="D1225" s="27"/>
      <c r="E1225" s="275"/>
      <c r="F1225" s="185"/>
      <c r="G1225" s="185"/>
      <c r="H1225" s="185"/>
      <c r="I1225" s="298"/>
      <c r="J1225" s="298"/>
      <c r="K1225" s="28"/>
      <c r="L1225" s="299"/>
      <c r="N1225" s="187"/>
      <c r="O1225" s="58"/>
      <c r="P1225" s="300"/>
      <c r="Q1225" s="58"/>
    </row>
    <row r="1226" ht="15.75" customHeight="1">
      <c r="A1226" s="27"/>
      <c r="B1226" s="27"/>
      <c r="C1226" s="275"/>
      <c r="D1226" s="27"/>
      <c r="E1226" s="275"/>
      <c r="F1226" s="185"/>
      <c r="G1226" s="185"/>
      <c r="H1226" s="185"/>
      <c r="I1226" s="298"/>
      <c r="J1226" s="298"/>
      <c r="K1226" s="28"/>
      <c r="L1226" s="299"/>
      <c r="N1226" s="187"/>
      <c r="O1226" s="58"/>
      <c r="P1226" s="300"/>
      <c r="Q1226" s="58"/>
    </row>
    <row r="1227" ht="15.75" customHeight="1">
      <c r="A1227" s="27"/>
      <c r="B1227" s="27"/>
      <c r="C1227" s="275"/>
      <c r="D1227" s="27"/>
      <c r="E1227" s="275"/>
      <c r="F1227" s="185"/>
      <c r="G1227" s="185"/>
      <c r="H1227" s="185"/>
      <c r="I1227" s="298"/>
      <c r="J1227" s="298"/>
      <c r="K1227" s="28"/>
      <c r="L1227" s="299"/>
      <c r="M1227" s="27"/>
      <c r="N1227" s="187"/>
      <c r="O1227" s="58"/>
      <c r="P1227" s="300"/>
      <c r="Q1227" s="58"/>
      <c r="R1227" s="27"/>
      <c r="S1227" s="27"/>
      <c r="T1227" s="27"/>
      <c r="U1227" s="27"/>
    </row>
    <row r="1228" ht="15.75" customHeight="1">
      <c r="A1228" s="27"/>
      <c r="B1228" s="27"/>
      <c r="C1228" s="275"/>
      <c r="D1228" s="27"/>
      <c r="E1228" s="275"/>
      <c r="F1228" s="185"/>
      <c r="G1228" s="185"/>
      <c r="H1228" s="185"/>
      <c r="I1228" s="298"/>
      <c r="J1228" s="298"/>
      <c r="K1228" s="28"/>
      <c r="L1228" s="299"/>
      <c r="N1228" s="187"/>
      <c r="O1228" s="58"/>
      <c r="P1228" s="300"/>
      <c r="Q1228" s="58"/>
    </row>
    <row r="1229" ht="15.75" customHeight="1">
      <c r="A1229" s="27"/>
      <c r="B1229" s="27"/>
      <c r="C1229" s="275"/>
      <c r="D1229" s="27"/>
      <c r="E1229" s="275"/>
      <c r="F1229" s="185"/>
      <c r="G1229" s="185"/>
      <c r="H1229" s="185"/>
      <c r="I1229" s="298"/>
      <c r="J1229" s="298"/>
      <c r="K1229" s="28"/>
      <c r="L1229" s="299"/>
      <c r="N1229" s="187"/>
      <c r="O1229" s="58"/>
      <c r="P1229" s="300"/>
      <c r="Q1229" s="58"/>
    </row>
    <row r="1230" ht="15.75" customHeight="1">
      <c r="A1230" s="27"/>
      <c r="B1230" s="27"/>
      <c r="C1230" s="275"/>
      <c r="D1230" s="27"/>
      <c r="E1230" s="275"/>
      <c r="F1230" s="185"/>
      <c r="G1230" s="185"/>
      <c r="H1230" s="185"/>
      <c r="I1230" s="298"/>
      <c r="J1230" s="298"/>
      <c r="K1230" s="28"/>
      <c r="L1230" s="299"/>
      <c r="N1230" s="187"/>
      <c r="O1230" s="58"/>
      <c r="P1230" s="300"/>
      <c r="Q1230" s="58"/>
    </row>
    <row r="1231" ht="15.75" customHeight="1">
      <c r="A1231" s="27"/>
      <c r="B1231" s="27"/>
      <c r="C1231" s="275"/>
      <c r="D1231" s="27"/>
      <c r="E1231" s="275"/>
      <c r="F1231" s="185"/>
      <c r="G1231" s="185"/>
      <c r="H1231" s="185"/>
      <c r="I1231" s="298"/>
      <c r="J1231" s="298"/>
      <c r="K1231" s="28"/>
      <c r="L1231" s="299"/>
      <c r="N1231" s="187"/>
      <c r="O1231" s="58"/>
      <c r="P1231" s="300"/>
      <c r="Q1231" s="58"/>
    </row>
    <row r="1232" ht="15.75" customHeight="1">
      <c r="A1232" s="27"/>
      <c r="B1232" s="27"/>
      <c r="C1232" s="275"/>
      <c r="D1232" s="27"/>
      <c r="E1232" s="275"/>
      <c r="F1232" s="185"/>
      <c r="G1232" s="185"/>
      <c r="H1232" s="185"/>
      <c r="I1232" s="298"/>
      <c r="J1232" s="298"/>
      <c r="K1232" s="28"/>
      <c r="L1232" s="299"/>
      <c r="N1232" s="187"/>
      <c r="O1232" s="58"/>
      <c r="P1232" s="300"/>
      <c r="Q1232" s="58"/>
    </row>
    <row r="1233" ht="15.75" customHeight="1">
      <c r="A1233" s="27"/>
      <c r="B1233" s="27"/>
      <c r="C1233" s="275"/>
      <c r="D1233" s="27"/>
      <c r="E1233" s="275"/>
      <c r="F1233" s="185"/>
      <c r="G1233" s="185"/>
      <c r="H1233" s="185"/>
      <c r="I1233" s="298"/>
      <c r="J1233" s="298"/>
      <c r="K1233" s="28"/>
      <c r="L1233" s="299"/>
      <c r="N1233" s="187"/>
      <c r="O1233" s="58"/>
      <c r="P1233" s="300"/>
      <c r="Q1233" s="58"/>
    </row>
    <row r="1234" ht="15.75" customHeight="1">
      <c r="A1234" s="27"/>
      <c r="B1234" s="27"/>
      <c r="C1234" s="275"/>
      <c r="D1234" s="27"/>
      <c r="E1234" s="275"/>
      <c r="F1234" s="185"/>
      <c r="G1234" s="185"/>
      <c r="H1234" s="185"/>
      <c r="I1234" s="298"/>
      <c r="J1234" s="298"/>
      <c r="K1234" s="28"/>
      <c r="L1234" s="299"/>
      <c r="M1234" s="27"/>
      <c r="N1234" s="187"/>
      <c r="O1234" s="58"/>
      <c r="P1234" s="300"/>
      <c r="Q1234" s="58"/>
    </row>
    <row r="1235" ht="15.75" customHeight="1">
      <c r="A1235" s="27"/>
      <c r="B1235" s="27"/>
      <c r="C1235" s="275"/>
      <c r="D1235" s="27"/>
      <c r="E1235" s="275"/>
      <c r="F1235" s="185"/>
      <c r="G1235" s="185"/>
      <c r="H1235" s="185"/>
      <c r="I1235" s="298"/>
      <c r="J1235" s="298"/>
      <c r="K1235" s="28"/>
      <c r="L1235" s="299"/>
      <c r="M1235" s="301"/>
      <c r="N1235" s="187"/>
      <c r="O1235" s="346"/>
      <c r="P1235" s="347"/>
      <c r="Q1235" s="58"/>
    </row>
    <row r="1236" ht="15.75" customHeight="1">
      <c r="A1236" s="27"/>
      <c r="B1236" s="27"/>
      <c r="C1236" s="275"/>
      <c r="D1236" s="27"/>
      <c r="E1236" s="275"/>
      <c r="F1236" s="185"/>
      <c r="G1236" s="185"/>
      <c r="H1236" s="185"/>
      <c r="I1236" s="309"/>
      <c r="J1236" s="309"/>
      <c r="K1236" s="310"/>
      <c r="L1236" s="311"/>
      <c r="N1236" s="187"/>
      <c r="O1236" s="58"/>
      <c r="P1236" s="300"/>
      <c r="Q1236" s="346"/>
    </row>
    <row r="1237" ht="15.75" customHeight="1">
      <c r="A1237" s="27"/>
      <c r="B1237" s="109"/>
      <c r="C1237" s="275"/>
      <c r="D1237" s="27"/>
      <c r="E1237" s="275"/>
      <c r="F1237" s="185"/>
      <c r="G1237" s="185"/>
      <c r="H1237" s="185"/>
      <c r="I1237" s="298"/>
      <c r="J1237" s="298"/>
      <c r="K1237" s="28"/>
      <c r="L1237" s="299"/>
      <c r="N1237" s="187"/>
      <c r="O1237" s="58"/>
      <c r="P1237" s="300"/>
      <c r="Q1237" s="58"/>
    </row>
    <row r="1238" ht="15.75" customHeight="1">
      <c r="A1238" s="27"/>
      <c r="B1238" s="27"/>
      <c r="C1238" s="275"/>
      <c r="D1238" s="27"/>
      <c r="E1238" s="275"/>
      <c r="F1238" s="185"/>
      <c r="G1238" s="185"/>
      <c r="H1238" s="185"/>
      <c r="I1238" s="298"/>
      <c r="J1238" s="298"/>
      <c r="K1238" s="28"/>
      <c r="L1238" s="299"/>
      <c r="M1238" s="27"/>
      <c r="N1238" s="187"/>
      <c r="O1238" s="58"/>
      <c r="P1238" s="300"/>
      <c r="Q1238" s="58"/>
      <c r="R1238" s="27"/>
      <c r="S1238" s="27"/>
      <c r="T1238" s="27"/>
      <c r="U1238" s="27"/>
    </row>
    <row r="1239" ht="15.75" customHeight="1">
      <c r="A1239" s="27"/>
      <c r="B1239" s="58"/>
      <c r="C1239" s="275"/>
      <c r="D1239" s="27"/>
      <c r="E1239" s="275"/>
      <c r="F1239" s="185"/>
      <c r="G1239" s="185"/>
      <c r="H1239" s="185"/>
      <c r="I1239" s="298"/>
      <c r="J1239" s="298"/>
      <c r="K1239" s="28"/>
      <c r="L1239" s="299"/>
      <c r="N1239" s="187"/>
      <c r="O1239" s="58"/>
      <c r="P1239" s="300"/>
      <c r="Q1239" s="58"/>
    </row>
    <row r="1240" ht="15.75" customHeight="1">
      <c r="A1240" s="27"/>
      <c r="B1240" s="58"/>
      <c r="C1240" s="275"/>
      <c r="D1240" s="27"/>
      <c r="E1240" s="275"/>
      <c r="F1240" s="185"/>
      <c r="G1240" s="185"/>
      <c r="H1240" s="185"/>
      <c r="I1240" s="298"/>
      <c r="J1240" s="298"/>
      <c r="K1240" s="28"/>
      <c r="L1240" s="299"/>
      <c r="N1240" s="187"/>
      <c r="O1240" s="58"/>
      <c r="P1240" s="300"/>
      <c r="Q1240" s="58"/>
    </row>
    <row r="1241" ht="15.75" customHeight="1">
      <c r="A1241" s="27"/>
      <c r="B1241" s="58"/>
      <c r="C1241" s="275"/>
      <c r="D1241" s="74"/>
      <c r="E1241" s="183"/>
      <c r="F1241" s="185"/>
      <c r="G1241" s="185"/>
      <c r="H1241" s="185"/>
      <c r="I1241" s="298"/>
      <c r="J1241" s="298"/>
      <c r="K1241" s="28"/>
      <c r="L1241" s="299"/>
      <c r="M1241" s="185"/>
      <c r="N1241" s="187"/>
      <c r="O1241" s="286"/>
      <c r="P1241" s="187"/>
      <c r="Q1241" s="58"/>
      <c r="R1241" s="194"/>
      <c r="S1241" s="194"/>
      <c r="T1241" s="187"/>
      <c r="U1241" s="74"/>
    </row>
    <row r="1242" ht="15.75" customHeight="1">
      <c r="A1242" s="27"/>
      <c r="B1242" s="58"/>
      <c r="C1242" s="275"/>
      <c r="D1242" s="27"/>
      <c r="E1242" s="275"/>
      <c r="F1242" s="185"/>
      <c r="G1242" s="185"/>
      <c r="H1242" s="185"/>
      <c r="I1242" s="186"/>
      <c r="J1242" s="186"/>
      <c r="K1242" s="185"/>
      <c r="L1242" s="185"/>
      <c r="M1242" s="27"/>
      <c r="N1242" s="187"/>
      <c r="O1242" s="58"/>
      <c r="P1242" s="300"/>
      <c r="Q1242" s="18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27"/>
      <c r="AH1242" s="27"/>
    </row>
    <row r="1243" ht="15.75" customHeight="1">
      <c r="A1243" s="27"/>
      <c r="B1243" s="109"/>
      <c r="C1243" s="275"/>
      <c r="D1243" s="27"/>
      <c r="E1243" s="275"/>
      <c r="F1243" s="185"/>
      <c r="G1243" s="185"/>
      <c r="H1243" s="185"/>
      <c r="I1243" s="298"/>
      <c r="J1243" s="298"/>
      <c r="K1243" s="28"/>
      <c r="L1243" s="299"/>
      <c r="N1243" s="187"/>
      <c r="O1243" s="58"/>
      <c r="P1243" s="300"/>
      <c r="Q1243" s="58"/>
    </row>
    <row r="1244" ht="15.75" customHeight="1">
      <c r="A1244" s="27"/>
      <c r="B1244" s="27"/>
      <c r="C1244" s="275"/>
      <c r="D1244" s="27"/>
      <c r="E1244" s="275"/>
      <c r="F1244" s="185"/>
      <c r="G1244" s="185"/>
      <c r="H1244" s="185"/>
      <c r="I1244" s="298"/>
      <c r="J1244" s="298"/>
      <c r="K1244" s="28"/>
      <c r="L1244" s="299"/>
      <c r="N1244" s="187"/>
      <c r="O1244" s="58"/>
      <c r="P1244" s="300"/>
      <c r="Q1244" s="58"/>
    </row>
    <row r="1245" ht="15.75" customHeight="1">
      <c r="A1245" s="27"/>
      <c r="B1245" s="109"/>
      <c r="C1245" s="275"/>
      <c r="D1245" s="27"/>
      <c r="E1245" s="275"/>
      <c r="F1245" s="185"/>
      <c r="G1245" s="185"/>
      <c r="H1245" s="185"/>
      <c r="I1245" s="298"/>
      <c r="J1245" s="298"/>
      <c r="K1245" s="28"/>
      <c r="L1245" s="299"/>
      <c r="N1245" s="187"/>
      <c r="O1245" s="58"/>
      <c r="P1245" s="300"/>
      <c r="Q1245" s="58"/>
    </row>
    <row r="1246" ht="15.75" customHeight="1">
      <c r="A1246" s="27"/>
      <c r="B1246" s="109"/>
      <c r="C1246" s="275"/>
      <c r="D1246" s="27"/>
      <c r="E1246" s="275"/>
      <c r="F1246" s="185"/>
      <c r="G1246" s="185"/>
      <c r="H1246" s="185"/>
      <c r="I1246" s="298"/>
      <c r="J1246" s="298"/>
      <c r="K1246" s="28"/>
      <c r="L1246" s="299"/>
      <c r="N1246" s="187"/>
      <c r="O1246" s="58"/>
      <c r="P1246" s="300"/>
      <c r="Q1246" s="58"/>
    </row>
    <row r="1247" ht="15.75" customHeight="1">
      <c r="A1247" s="27"/>
      <c r="B1247" s="27"/>
      <c r="C1247" s="275"/>
      <c r="D1247" s="27"/>
      <c r="E1247" s="275"/>
      <c r="F1247" s="185"/>
      <c r="G1247" s="185"/>
      <c r="H1247" s="185"/>
      <c r="I1247" s="298"/>
      <c r="J1247" s="298"/>
      <c r="K1247" s="28"/>
      <c r="L1247" s="299"/>
      <c r="N1247" s="187"/>
      <c r="O1247" s="58"/>
      <c r="P1247" s="300"/>
      <c r="Q1247" s="58"/>
    </row>
    <row r="1248" ht="15.75" customHeight="1">
      <c r="A1248" s="27"/>
      <c r="B1248" s="109"/>
      <c r="C1248" s="275"/>
      <c r="D1248" s="27"/>
      <c r="E1248" s="275"/>
      <c r="F1248" s="185"/>
      <c r="G1248" s="185"/>
      <c r="H1248" s="185"/>
      <c r="I1248" s="298"/>
      <c r="J1248" s="298"/>
      <c r="K1248" s="28"/>
      <c r="L1248" s="299"/>
      <c r="N1248" s="187"/>
      <c r="O1248" s="58"/>
      <c r="P1248" s="300"/>
      <c r="Q1248" s="58"/>
    </row>
    <row r="1249" ht="15.75" customHeight="1">
      <c r="A1249" s="27"/>
      <c r="B1249" s="58"/>
      <c r="C1249" s="275"/>
      <c r="D1249" s="27"/>
      <c r="E1249" s="275"/>
      <c r="F1249" s="185"/>
      <c r="G1249" s="185"/>
      <c r="H1249" s="185"/>
      <c r="I1249" s="298"/>
      <c r="J1249" s="298"/>
      <c r="K1249" s="28"/>
      <c r="L1249" s="299"/>
      <c r="N1249" s="187"/>
      <c r="O1249" s="58"/>
      <c r="P1249" s="300"/>
      <c r="Q1249" s="58"/>
    </row>
    <row r="1250" ht="15.75" customHeight="1">
      <c r="A1250" s="74"/>
      <c r="B1250" s="74"/>
      <c r="C1250" s="183"/>
      <c r="D1250" s="74"/>
      <c r="E1250" s="184"/>
      <c r="F1250" s="185"/>
      <c r="G1250" s="185"/>
      <c r="H1250" s="185"/>
      <c r="I1250" s="348"/>
      <c r="J1250" s="348"/>
      <c r="K1250" s="299"/>
      <c r="L1250" s="299"/>
      <c r="M1250" s="194"/>
      <c r="N1250" s="187"/>
      <c r="O1250" s="202"/>
      <c r="P1250" s="194"/>
      <c r="Q1250" s="58"/>
      <c r="R1250" s="74"/>
      <c r="S1250" s="74"/>
      <c r="T1250" s="74"/>
      <c r="U1250" s="74"/>
      <c r="V1250" s="74"/>
      <c r="W1250" s="74"/>
      <c r="X1250" s="74"/>
      <c r="Y1250" s="74"/>
      <c r="Z1250" s="74"/>
      <c r="AA1250" s="74"/>
      <c r="AB1250" s="74"/>
      <c r="AC1250" s="74"/>
      <c r="AD1250" s="74"/>
      <c r="AE1250" s="74"/>
      <c r="AF1250" s="74"/>
      <c r="AG1250" s="74"/>
      <c r="AH1250" s="74"/>
    </row>
    <row r="1251" ht="15.75" customHeight="1">
      <c r="A1251" s="27"/>
      <c r="B1251" s="27"/>
      <c r="C1251" s="275"/>
      <c r="D1251" s="27"/>
      <c r="E1251" s="275"/>
      <c r="F1251" s="185"/>
      <c r="G1251" s="185"/>
      <c r="H1251" s="185"/>
      <c r="I1251" s="186"/>
      <c r="J1251" s="186"/>
      <c r="K1251" s="187"/>
      <c r="L1251" s="187"/>
      <c r="N1251" s="187"/>
      <c r="O1251" s="58"/>
      <c r="P1251" s="300"/>
      <c r="Q1251" s="74"/>
    </row>
    <row r="1252" ht="15.75" customHeight="1">
      <c r="A1252" s="27"/>
      <c r="B1252" s="58"/>
      <c r="C1252" s="275"/>
      <c r="D1252" s="27"/>
      <c r="E1252" s="275"/>
      <c r="F1252" s="185"/>
      <c r="G1252" s="185"/>
      <c r="H1252" s="185"/>
      <c r="I1252" s="298"/>
      <c r="J1252" s="298"/>
      <c r="K1252" s="28"/>
      <c r="L1252" s="299"/>
      <c r="N1252" s="187"/>
      <c r="O1252" s="58"/>
      <c r="P1252" s="300"/>
      <c r="Q1252" s="58"/>
    </row>
    <row r="1253" ht="15.75" customHeight="1">
      <c r="A1253" s="27"/>
      <c r="B1253" s="109"/>
      <c r="C1253" s="275"/>
      <c r="D1253" s="27"/>
      <c r="E1253" s="275"/>
      <c r="F1253" s="185"/>
      <c r="G1253" s="185"/>
      <c r="H1253" s="185"/>
      <c r="I1253" s="298"/>
      <c r="J1253" s="298"/>
      <c r="K1253" s="28"/>
      <c r="L1253" s="299"/>
      <c r="N1253" s="187"/>
      <c r="O1253" s="58"/>
      <c r="P1253" s="300"/>
      <c r="Q1253" s="58"/>
    </row>
    <row r="1254" ht="15.75" customHeight="1">
      <c r="A1254" s="27"/>
      <c r="B1254" s="58"/>
      <c r="C1254" s="275"/>
      <c r="D1254" s="27"/>
      <c r="E1254" s="275"/>
      <c r="F1254" s="185"/>
      <c r="G1254" s="185"/>
      <c r="H1254" s="185"/>
      <c r="I1254" s="298"/>
      <c r="J1254" s="298"/>
      <c r="K1254" s="28"/>
      <c r="L1254" s="299"/>
      <c r="N1254" s="187"/>
      <c r="O1254" s="58"/>
      <c r="P1254" s="300"/>
      <c r="Q1254" s="58"/>
    </row>
    <row r="1255" ht="15.75" customHeight="1">
      <c r="A1255" s="27"/>
      <c r="B1255" s="58"/>
      <c r="C1255" s="275"/>
      <c r="D1255" s="27"/>
      <c r="E1255" s="275"/>
      <c r="F1255" s="185"/>
      <c r="G1255" s="185"/>
      <c r="H1255" s="185"/>
      <c r="I1255" s="298"/>
      <c r="J1255" s="298"/>
      <c r="K1255" s="28"/>
      <c r="L1255" s="299"/>
      <c r="N1255" s="187"/>
      <c r="O1255" s="58"/>
      <c r="P1255" s="300"/>
      <c r="Q1255" s="58"/>
    </row>
    <row r="1256" ht="15.75" customHeight="1">
      <c r="A1256" s="27"/>
      <c r="B1256" s="109"/>
      <c r="C1256" s="275"/>
      <c r="D1256" s="27"/>
      <c r="E1256" s="275"/>
      <c r="F1256" s="185"/>
      <c r="G1256" s="185"/>
      <c r="H1256" s="185"/>
      <c r="I1256" s="298"/>
      <c r="J1256" s="298"/>
      <c r="K1256" s="28"/>
      <c r="L1256" s="299"/>
      <c r="N1256" s="187"/>
      <c r="O1256" s="58"/>
      <c r="P1256" s="300"/>
      <c r="Q1256" s="58"/>
    </row>
    <row r="1257" ht="15.75" customHeight="1">
      <c r="A1257" s="27"/>
      <c r="B1257" s="109"/>
      <c r="C1257" s="275"/>
      <c r="D1257" s="27"/>
      <c r="E1257" s="275"/>
      <c r="F1257" s="185"/>
      <c r="G1257" s="185"/>
      <c r="H1257" s="185"/>
      <c r="I1257" s="298"/>
      <c r="J1257" s="298"/>
      <c r="K1257" s="28"/>
      <c r="L1257" s="299"/>
      <c r="N1257" s="187"/>
      <c r="O1257" s="58"/>
      <c r="P1257" s="300"/>
      <c r="Q1257" s="58"/>
    </row>
    <row r="1258" ht="15.75" customHeight="1">
      <c r="A1258" s="27"/>
      <c r="B1258" s="58"/>
      <c r="C1258" s="275"/>
      <c r="D1258" s="27"/>
      <c r="E1258" s="275"/>
      <c r="F1258" s="185"/>
      <c r="G1258" s="185"/>
      <c r="H1258" s="185"/>
      <c r="I1258" s="298"/>
      <c r="J1258" s="298"/>
      <c r="K1258" s="28"/>
      <c r="L1258" s="299"/>
      <c r="N1258" s="187"/>
      <c r="O1258" s="58"/>
      <c r="P1258" s="300"/>
      <c r="Q1258" s="58"/>
    </row>
    <row r="1259" ht="15.75" customHeight="1">
      <c r="A1259" s="27"/>
      <c r="B1259" s="58"/>
      <c r="C1259" s="275"/>
      <c r="D1259" s="27"/>
      <c r="E1259" s="275"/>
      <c r="F1259" s="185"/>
      <c r="G1259" s="185"/>
      <c r="H1259" s="185"/>
      <c r="I1259" s="298"/>
      <c r="J1259" s="298"/>
      <c r="K1259" s="28"/>
      <c r="L1259" s="299"/>
      <c r="N1259" s="187"/>
      <c r="O1259" s="58"/>
      <c r="P1259" s="300"/>
      <c r="Q1259" s="58"/>
    </row>
    <row r="1260" ht="15.75" customHeight="1">
      <c r="A1260" s="27"/>
      <c r="B1260" s="58"/>
      <c r="C1260" s="275"/>
      <c r="D1260" s="27"/>
      <c r="E1260" s="275"/>
      <c r="F1260" s="185"/>
      <c r="G1260" s="185"/>
      <c r="H1260" s="185"/>
      <c r="I1260" s="298"/>
      <c r="J1260" s="298"/>
      <c r="K1260" s="28"/>
      <c r="L1260" s="299"/>
      <c r="N1260" s="187"/>
      <c r="O1260" s="58"/>
      <c r="P1260" s="300"/>
      <c r="Q1260" s="58"/>
    </row>
    <row r="1261" ht="15.75" customHeight="1">
      <c r="A1261" s="27"/>
      <c r="B1261" s="58"/>
      <c r="C1261" s="275"/>
      <c r="D1261" s="27"/>
      <c r="E1261" s="275"/>
      <c r="F1261" s="185"/>
      <c r="G1261" s="185"/>
      <c r="H1261" s="185"/>
      <c r="I1261" s="298"/>
      <c r="J1261" s="298"/>
      <c r="K1261" s="28"/>
      <c r="L1261" s="299"/>
      <c r="N1261" s="187"/>
      <c r="O1261" s="58"/>
      <c r="P1261" s="300"/>
      <c r="Q1261" s="58"/>
    </row>
    <row r="1262" ht="15.75" customHeight="1">
      <c r="A1262" s="27"/>
      <c r="B1262" s="58"/>
      <c r="C1262" s="275"/>
      <c r="D1262" s="27"/>
      <c r="E1262" s="275"/>
      <c r="F1262" s="185"/>
      <c r="G1262" s="185"/>
      <c r="H1262" s="185"/>
      <c r="I1262" s="298"/>
      <c r="J1262" s="298"/>
      <c r="K1262" s="28"/>
      <c r="L1262" s="299"/>
      <c r="N1262" s="187"/>
      <c r="O1262" s="58"/>
      <c r="P1262" s="300"/>
      <c r="Q1262" s="58"/>
    </row>
    <row r="1263" ht="15.75" customHeight="1">
      <c r="A1263" s="27"/>
      <c r="B1263" s="58"/>
      <c r="C1263" s="275"/>
      <c r="D1263" s="27"/>
      <c r="E1263" s="275"/>
      <c r="F1263" s="185"/>
      <c r="G1263" s="185"/>
      <c r="H1263" s="185"/>
      <c r="I1263" s="298"/>
      <c r="J1263" s="298"/>
      <c r="K1263" s="28"/>
      <c r="L1263" s="299"/>
      <c r="N1263" s="187"/>
      <c r="O1263" s="58"/>
      <c r="P1263" s="300"/>
      <c r="Q1263" s="58"/>
    </row>
    <row r="1264" ht="15.75" customHeight="1">
      <c r="A1264" s="27"/>
      <c r="B1264" s="58"/>
      <c r="C1264" s="275"/>
      <c r="D1264" s="27"/>
      <c r="E1264" s="275"/>
      <c r="F1264" s="185"/>
      <c r="G1264" s="185"/>
      <c r="H1264" s="185"/>
      <c r="I1264" s="298"/>
      <c r="J1264" s="298"/>
      <c r="K1264" s="28"/>
      <c r="L1264" s="299"/>
      <c r="N1264" s="187"/>
      <c r="O1264" s="58"/>
      <c r="P1264" s="300"/>
      <c r="Q1264" s="58"/>
    </row>
    <row r="1265" ht="15.75" customHeight="1">
      <c r="A1265" s="27"/>
      <c r="B1265" s="58"/>
      <c r="C1265" s="275"/>
      <c r="D1265" s="27"/>
      <c r="E1265" s="275"/>
      <c r="F1265" s="185"/>
      <c r="G1265" s="185"/>
      <c r="H1265" s="185"/>
      <c r="I1265" s="298"/>
      <c r="J1265" s="298"/>
      <c r="K1265" s="28"/>
      <c r="L1265" s="299"/>
      <c r="N1265" s="187"/>
      <c r="O1265" s="58"/>
      <c r="P1265" s="300"/>
      <c r="Q1265" s="58"/>
    </row>
    <row r="1266" ht="15.75" customHeight="1">
      <c r="A1266" s="27"/>
      <c r="B1266" s="109"/>
      <c r="C1266" s="275"/>
      <c r="D1266" s="27"/>
      <c r="E1266" s="275"/>
      <c r="F1266" s="185"/>
      <c r="G1266" s="185"/>
      <c r="H1266" s="185"/>
      <c r="I1266" s="298"/>
      <c r="J1266" s="298"/>
      <c r="K1266" s="28"/>
      <c r="L1266" s="299"/>
      <c r="N1266" s="187"/>
      <c r="O1266" s="58"/>
      <c r="P1266" s="300"/>
      <c r="Q1266" s="58"/>
    </row>
    <row r="1267" ht="15.75" customHeight="1">
      <c r="A1267" s="27"/>
      <c r="B1267" s="109"/>
      <c r="C1267" s="275"/>
      <c r="D1267" s="27"/>
      <c r="E1267" s="275"/>
      <c r="F1267" s="185"/>
      <c r="G1267" s="185"/>
      <c r="H1267" s="185"/>
      <c r="I1267" s="298"/>
      <c r="J1267" s="298"/>
      <c r="K1267" s="28"/>
      <c r="L1267" s="299"/>
      <c r="N1267" s="187"/>
      <c r="O1267" s="58"/>
      <c r="P1267" s="300"/>
      <c r="Q1267" s="58"/>
    </row>
    <row r="1268" ht="15.75" customHeight="1">
      <c r="A1268" s="27"/>
      <c r="B1268" s="109"/>
      <c r="C1268" s="275"/>
      <c r="D1268" s="27"/>
      <c r="E1268" s="275"/>
      <c r="F1268" s="185"/>
      <c r="G1268" s="185"/>
      <c r="H1268" s="185"/>
      <c r="I1268" s="298"/>
      <c r="J1268" s="298"/>
      <c r="K1268" s="28"/>
      <c r="L1268" s="299"/>
      <c r="N1268" s="187"/>
      <c r="O1268" s="58"/>
      <c r="P1268" s="300"/>
      <c r="Q1268" s="58"/>
    </row>
    <row r="1269" ht="15.75" customHeight="1">
      <c r="A1269" s="27"/>
      <c r="B1269" s="58"/>
      <c r="C1269" s="275"/>
      <c r="D1269" s="27"/>
      <c r="E1269" s="275"/>
      <c r="F1269" s="185"/>
      <c r="G1269" s="185"/>
      <c r="H1269" s="185"/>
      <c r="I1269" s="298"/>
      <c r="J1269" s="298"/>
      <c r="K1269" s="28"/>
      <c r="L1269" s="299"/>
      <c r="N1269" s="187"/>
      <c r="O1269" s="58"/>
      <c r="P1269" s="300"/>
      <c r="Q1269" s="58"/>
    </row>
    <row r="1270" ht="15.75" customHeight="1">
      <c r="A1270" s="27"/>
      <c r="B1270" s="109"/>
      <c r="C1270" s="275"/>
      <c r="D1270" s="27"/>
      <c r="E1270" s="275"/>
      <c r="F1270" s="185"/>
      <c r="G1270" s="185"/>
      <c r="H1270" s="185"/>
      <c r="I1270" s="298"/>
      <c r="J1270" s="298"/>
      <c r="K1270" s="28"/>
      <c r="L1270" s="299"/>
      <c r="N1270" s="187"/>
      <c r="O1270" s="58"/>
      <c r="P1270" s="300"/>
      <c r="Q1270" s="58"/>
    </row>
    <row r="1271" ht="15.75" customHeight="1">
      <c r="A1271" s="27"/>
      <c r="B1271" s="109"/>
      <c r="C1271" s="275"/>
      <c r="D1271" s="27"/>
      <c r="E1271" s="275"/>
      <c r="F1271" s="185"/>
      <c r="G1271" s="185"/>
      <c r="H1271" s="185"/>
      <c r="I1271" s="298"/>
      <c r="J1271" s="298"/>
      <c r="K1271" s="28"/>
      <c r="L1271" s="299"/>
      <c r="N1271" s="187"/>
      <c r="O1271" s="58"/>
      <c r="P1271" s="300"/>
      <c r="Q1271" s="58"/>
    </row>
    <row r="1272" ht="15.75" customHeight="1">
      <c r="A1272" s="27"/>
      <c r="B1272" s="109"/>
      <c r="C1272" s="275"/>
      <c r="D1272" s="27"/>
      <c r="E1272" s="275"/>
      <c r="F1272" s="185"/>
      <c r="G1272" s="185"/>
      <c r="H1272" s="185"/>
      <c r="I1272" s="298"/>
      <c r="J1272" s="298"/>
      <c r="K1272" s="28"/>
      <c r="L1272" s="299"/>
      <c r="N1272" s="187"/>
      <c r="O1272" s="58"/>
      <c r="P1272" s="300"/>
      <c r="Q1272" s="58"/>
    </row>
    <row r="1273" ht="15.75" customHeight="1">
      <c r="A1273" s="27"/>
      <c r="B1273" s="109"/>
      <c r="C1273" s="275"/>
      <c r="D1273" s="27"/>
      <c r="E1273" s="275"/>
      <c r="F1273" s="185"/>
      <c r="G1273" s="185"/>
      <c r="H1273" s="185"/>
      <c r="I1273" s="298"/>
      <c r="J1273" s="298"/>
      <c r="K1273" s="28"/>
      <c r="L1273" s="299"/>
      <c r="N1273" s="187"/>
      <c r="O1273" s="58"/>
      <c r="P1273" s="300"/>
      <c r="Q1273" s="58"/>
    </row>
    <row r="1274" ht="15.75" customHeight="1">
      <c r="A1274" s="27"/>
      <c r="B1274" s="27"/>
      <c r="C1274" s="275"/>
      <c r="D1274" s="27"/>
      <c r="E1274" s="275"/>
      <c r="F1274" s="185"/>
      <c r="G1274" s="185"/>
      <c r="H1274" s="185"/>
      <c r="I1274" s="298"/>
      <c r="J1274" s="298"/>
      <c r="K1274" s="28"/>
      <c r="L1274" s="299"/>
      <c r="N1274" s="187"/>
      <c r="O1274" s="58"/>
      <c r="P1274" s="300"/>
      <c r="Q1274" s="58"/>
    </row>
    <row r="1275" ht="15.75" customHeight="1">
      <c r="A1275" s="27"/>
      <c r="B1275" s="109"/>
      <c r="C1275" s="275"/>
      <c r="D1275" s="27"/>
      <c r="E1275" s="275"/>
      <c r="F1275" s="185"/>
      <c r="G1275" s="185"/>
      <c r="H1275" s="185"/>
      <c r="I1275" s="298"/>
      <c r="J1275" s="298"/>
      <c r="K1275" s="28"/>
      <c r="L1275" s="299"/>
      <c r="N1275" s="187"/>
      <c r="O1275" s="58"/>
      <c r="P1275" s="300"/>
      <c r="Q1275" s="58"/>
    </row>
    <row r="1276" ht="15.75" customHeight="1">
      <c r="A1276" s="27"/>
      <c r="B1276" s="58"/>
      <c r="C1276" s="275"/>
      <c r="D1276" s="27"/>
      <c r="E1276" s="275"/>
      <c r="F1276" s="185"/>
      <c r="G1276" s="185"/>
      <c r="H1276" s="185"/>
      <c r="I1276" s="298"/>
      <c r="J1276" s="298"/>
      <c r="K1276" s="28"/>
      <c r="L1276" s="299"/>
      <c r="N1276" s="187"/>
      <c r="O1276" s="58"/>
      <c r="P1276" s="300"/>
      <c r="Q1276" s="58"/>
    </row>
    <row r="1277" ht="15.75" customHeight="1">
      <c r="A1277" s="27"/>
      <c r="B1277" s="58"/>
      <c r="C1277" s="275"/>
      <c r="D1277" s="27"/>
      <c r="E1277" s="275"/>
      <c r="F1277" s="185"/>
      <c r="G1277" s="185"/>
      <c r="H1277" s="185"/>
      <c r="I1277" s="298"/>
      <c r="J1277" s="298"/>
      <c r="K1277" s="28"/>
      <c r="L1277" s="299"/>
      <c r="N1277" s="187"/>
      <c r="O1277" s="58"/>
      <c r="P1277" s="300"/>
      <c r="Q1277" s="58"/>
    </row>
    <row r="1278" ht="15.75" customHeight="1">
      <c r="A1278" s="27"/>
      <c r="B1278" s="58"/>
      <c r="C1278" s="275"/>
      <c r="D1278" s="27"/>
      <c r="E1278" s="275"/>
      <c r="F1278" s="185"/>
      <c r="G1278" s="185"/>
      <c r="H1278" s="185"/>
      <c r="I1278" s="298"/>
      <c r="J1278" s="298"/>
      <c r="K1278" s="28"/>
      <c r="L1278" s="299"/>
      <c r="N1278" s="187"/>
      <c r="O1278" s="58"/>
      <c r="P1278" s="300"/>
      <c r="Q1278" s="58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</row>
    <row r="1279" ht="15.75" customHeight="1">
      <c r="A1279" s="27"/>
      <c r="B1279" s="58"/>
      <c r="C1279" s="275"/>
      <c r="D1279" s="27"/>
      <c r="E1279" s="275"/>
      <c r="F1279" s="185"/>
      <c r="G1279" s="185"/>
      <c r="H1279" s="185"/>
      <c r="I1279" s="298"/>
      <c r="J1279" s="298"/>
      <c r="K1279" s="28"/>
      <c r="L1279" s="299"/>
      <c r="N1279" s="187"/>
      <c r="O1279" s="58"/>
      <c r="P1279" s="300"/>
      <c r="Q1279" s="58"/>
    </row>
    <row r="1280" ht="15.75" customHeight="1">
      <c r="A1280" s="27"/>
      <c r="B1280" s="58"/>
      <c r="C1280" s="275"/>
      <c r="D1280" s="27"/>
      <c r="E1280" s="275"/>
      <c r="F1280" s="185"/>
      <c r="G1280" s="185"/>
      <c r="H1280" s="185"/>
      <c r="I1280" s="298"/>
      <c r="J1280" s="298"/>
      <c r="K1280" s="28"/>
      <c r="L1280" s="299"/>
      <c r="N1280" s="187"/>
      <c r="O1280" s="58"/>
      <c r="P1280" s="300"/>
      <c r="Q1280" s="58"/>
    </row>
    <row r="1281" ht="15.75" customHeight="1">
      <c r="A1281" s="27"/>
      <c r="B1281" s="109"/>
      <c r="C1281" s="275"/>
      <c r="D1281" s="27"/>
      <c r="E1281" s="275"/>
      <c r="F1281" s="185"/>
      <c r="G1281" s="185"/>
      <c r="H1281" s="185"/>
      <c r="I1281" s="298"/>
      <c r="J1281" s="298"/>
      <c r="K1281" s="28"/>
      <c r="L1281" s="299"/>
      <c r="N1281" s="187"/>
      <c r="O1281" s="58"/>
      <c r="P1281" s="300"/>
      <c r="Q1281" s="58"/>
    </row>
    <row r="1282" ht="15.75" customHeight="1">
      <c r="A1282" s="27"/>
      <c r="B1282" s="109"/>
      <c r="C1282" s="275"/>
      <c r="D1282" s="27"/>
      <c r="E1282" s="275"/>
      <c r="F1282" s="185"/>
      <c r="G1282" s="185"/>
      <c r="H1282" s="185"/>
      <c r="I1282" s="298"/>
      <c r="J1282" s="298"/>
      <c r="K1282" s="28"/>
      <c r="L1282" s="299"/>
      <c r="N1282" s="187"/>
      <c r="O1282" s="58"/>
      <c r="P1282" s="300"/>
      <c r="Q1282" s="58"/>
    </row>
    <row r="1283" ht="15.75" customHeight="1">
      <c r="A1283" s="27"/>
      <c r="B1283" s="109"/>
      <c r="C1283" s="275"/>
      <c r="D1283" s="27"/>
      <c r="E1283" s="275"/>
      <c r="F1283" s="185"/>
      <c r="G1283" s="185"/>
      <c r="H1283" s="185"/>
      <c r="I1283" s="298"/>
      <c r="J1283" s="298"/>
      <c r="K1283" s="28"/>
      <c r="L1283" s="299"/>
      <c r="N1283" s="187"/>
      <c r="O1283" s="58"/>
      <c r="P1283" s="300"/>
      <c r="Q1283" s="58"/>
    </row>
    <row r="1284" ht="15.75" customHeight="1">
      <c r="A1284" s="27"/>
      <c r="B1284" s="58"/>
      <c r="C1284" s="275"/>
      <c r="D1284" s="27"/>
      <c r="E1284" s="275"/>
      <c r="F1284" s="185"/>
      <c r="G1284" s="185"/>
      <c r="H1284" s="185"/>
      <c r="I1284" s="298"/>
      <c r="J1284" s="298"/>
      <c r="K1284" s="27"/>
      <c r="L1284" s="300"/>
      <c r="N1284" s="187"/>
      <c r="O1284" s="58"/>
      <c r="P1284" s="300"/>
      <c r="Q1284" s="58"/>
    </row>
    <row r="1285" ht="15.75" customHeight="1">
      <c r="A1285" s="27"/>
      <c r="B1285" s="109"/>
      <c r="C1285" s="275"/>
      <c r="D1285" s="27"/>
      <c r="E1285" s="275"/>
      <c r="F1285" s="185"/>
      <c r="G1285" s="185"/>
      <c r="H1285" s="185"/>
      <c r="I1285" s="298"/>
      <c r="J1285" s="298"/>
      <c r="K1285" s="28"/>
      <c r="L1285" s="299"/>
      <c r="M1285" s="27"/>
      <c r="N1285" s="187"/>
      <c r="O1285" s="58"/>
      <c r="P1285" s="300"/>
      <c r="Q1285" s="58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27"/>
    </row>
    <row r="1286" ht="15.75" customHeight="1">
      <c r="A1286" s="27"/>
      <c r="B1286" s="27"/>
      <c r="C1286" s="275"/>
      <c r="D1286" s="27"/>
      <c r="E1286" s="275"/>
      <c r="F1286" s="185"/>
      <c r="G1286" s="185"/>
      <c r="H1286" s="185"/>
      <c r="I1286" s="298"/>
      <c r="J1286" s="298"/>
      <c r="K1286" s="27"/>
      <c r="L1286" s="300"/>
      <c r="N1286" s="187"/>
      <c r="O1286" s="58"/>
      <c r="P1286" s="300"/>
      <c r="Q1286" s="58"/>
    </row>
    <row r="1287" ht="15.75" customHeight="1">
      <c r="A1287" s="27"/>
      <c r="B1287" s="27"/>
      <c r="C1287" s="275"/>
      <c r="D1287" s="27"/>
      <c r="E1287" s="275"/>
      <c r="F1287" s="185"/>
      <c r="G1287" s="185"/>
      <c r="H1287" s="185"/>
      <c r="I1287" s="298"/>
      <c r="J1287" s="298"/>
      <c r="K1287" s="28"/>
      <c r="L1287" s="299"/>
      <c r="N1287" s="187"/>
      <c r="O1287" s="58"/>
      <c r="P1287" s="300"/>
      <c r="Q1287" s="58"/>
    </row>
    <row r="1288" ht="15.75" customHeight="1">
      <c r="A1288" s="27"/>
      <c r="B1288" s="109"/>
      <c r="C1288" s="275"/>
      <c r="D1288" s="27"/>
      <c r="E1288" s="275"/>
      <c r="F1288" s="185"/>
      <c r="G1288" s="185"/>
      <c r="H1288" s="185"/>
      <c r="I1288" s="298"/>
      <c r="J1288" s="298"/>
      <c r="K1288" s="28"/>
      <c r="L1288" s="299"/>
      <c r="M1288" s="27"/>
      <c r="N1288" s="187"/>
      <c r="O1288" s="58"/>
      <c r="P1288" s="300"/>
      <c r="Q1288" s="58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  <c r="AG1288" s="27"/>
      <c r="AH1288" s="27"/>
    </row>
    <row r="1289" ht="15.75" customHeight="1">
      <c r="A1289" s="27"/>
      <c r="B1289" s="109"/>
      <c r="C1289" s="275"/>
      <c r="D1289" s="27"/>
      <c r="E1289" s="275"/>
      <c r="F1289" s="185"/>
      <c r="G1289" s="185"/>
      <c r="H1289" s="185"/>
      <c r="I1289" s="298"/>
      <c r="J1289" s="298"/>
      <c r="K1289" s="27"/>
      <c r="L1289" s="300"/>
      <c r="M1289" s="27"/>
      <c r="N1289" s="187"/>
      <c r="O1289" s="58"/>
      <c r="P1289" s="300"/>
      <c r="Q1289" s="58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27"/>
    </row>
    <row r="1290" ht="15.75" customHeight="1">
      <c r="A1290" s="27"/>
      <c r="B1290" s="58"/>
      <c r="C1290" s="275"/>
      <c r="D1290" s="27"/>
      <c r="E1290" s="275"/>
      <c r="F1290" s="185"/>
      <c r="G1290" s="185"/>
      <c r="H1290" s="185"/>
      <c r="I1290" s="298"/>
      <c r="J1290" s="298"/>
      <c r="K1290" s="27"/>
      <c r="L1290" s="300"/>
      <c r="N1290" s="187"/>
      <c r="O1290" s="58"/>
      <c r="P1290" s="300"/>
      <c r="Q1290" s="58"/>
    </row>
    <row r="1291" ht="15.75" customHeight="1">
      <c r="A1291" s="27"/>
      <c r="B1291" s="58"/>
      <c r="C1291" s="275"/>
      <c r="D1291" s="27"/>
      <c r="E1291" s="275"/>
      <c r="F1291" s="185"/>
      <c r="G1291" s="185"/>
      <c r="H1291" s="185"/>
      <c r="I1291" s="298"/>
      <c r="J1291" s="298"/>
      <c r="K1291" s="28"/>
      <c r="L1291" s="299"/>
      <c r="N1291" s="187"/>
      <c r="O1291" s="58"/>
      <c r="P1291" s="300"/>
      <c r="Q1291" s="58"/>
    </row>
    <row r="1292" ht="15.75" customHeight="1">
      <c r="A1292" s="27"/>
      <c r="B1292" s="58"/>
      <c r="C1292" s="275"/>
      <c r="D1292" s="27"/>
      <c r="E1292" s="275"/>
      <c r="F1292" s="185"/>
      <c r="G1292" s="185"/>
      <c r="H1292" s="185"/>
      <c r="I1292" s="298"/>
      <c r="J1292" s="298"/>
      <c r="K1292" s="28"/>
      <c r="L1292" s="299"/>
      <c r="M1292" s="28"/>
      <c r="N1292" s="187"/>
      <c r="O1292" s="58"/>
      <c r="P1292" s="300"/>
      <c r="Q1292" s="58"/>
    </row>
    <row r="1293" ht="15.75" customHeight="1">
      <c r="A1293" s="27"/>
      <c r="B1293" s="58"/>
      <c r="C1293" s="275"/>
      <c r="D1293" s="27"/>
      <c r="E1293" s="275"/>
      <c r="F1293" s="185"/>
      <c r="G1293" s="185"/>
      <c r="H1293" s="185"/>
      <c r="I1293" s="298"/>
      <c r="J1293" s="298"/>
      <c r="K1293" s="28"/>
      <c r="L1293" s="299"/>
      <c r="N1293" s="187"/>
      <c r="O1293" s="58"/>
      <c r="P1293" s="300"/>
      <c r="Q1293" s="58"/>
    </row>
    <row r="1294" ht="15.75" customHeight="1">
      <c r="A1294" s="27"/>
      <c r="B1294" s="27"/>
      <c r="C1294" s="275"/>
      <c r="D1294" s="27"/>
      <c r="E1294" s="275"/>
      <c r="F1294" s="185"/>
      <c r="G1294" s="185"/>
      <c r="H1294" s="185"/>
      <c r="I1294" s="298"/>
      <c r="J1294" s="298"/>
      <c r="K1294" s="28"/>
      <c r="L1294" s="299"/>
      <c r="M1294" s="27"/>
      <c r="N1294" s="187"/>
      <c r="O1294" s="58"/>
      <c r="P1294" s="300"/>
      <c r="Q1294" s="58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</row>
    <row r="1295" ht="15.75" customHeight="1">
      <c r="A1295" s="27"/>
      <c r="B1295" s="27"/>
      <c r="C1295" s="275"/>
      <c r="D1295" s="27"/>
      <c r="E1295" s="275"/>
      <c r="F1295" s="185"/>
      <c r="G1295" s="185"/>
      <c r="H1295" s="185"/>
      <c r="I1295" s="298"/>
      <c r="J1295" s="298"/>
      <c r="K1295" s="28"/>
      <c r="L1295" s="299"/>
      <c r="N1295" s="187"/>
      <c r="O1295" s="58"/>
      <c r="P1295" s="300"/>
      <c r="Q1295" s="58"/>
    </row>
    <row r="1296" ht="15.75" customHeight="1">
      <c r="A1296" s="27"/>
      <c r="B1296" s="109"/>
      <c r="C1296" s="275"/>
      <c r="D1296" s="27"/>
      <c r="E1296" s="275"/>
      <c r="F1296" s="185"/>
      <c r="G1296" s="185"/>
      <c r="H1296" s="185"/>
      <c r="I1296" s="298"/>
      <c r="J1296" s="298"/>
      <c r="K1296" s="28"/>
      <c r="L1296" s="299"/>
      <c r="N1296" s="187"/>
      <c r="O1296" s="58"/>
      <c r="P1296" s="300"/>
      <c r="Q1296" s="58"/>
    </row>
    <row r="1297" ht="15.75" customHeight="1">
      <c r="A1297" s="27"/>
      <c r="B1297" s="58"/>
      <c r="C1297" s="275"/>
      <c r="D1297" s="27"/>
      <c r="E1297" s="275"/>
      <c r="F1297" s="185"/>
      <c r="G1297" s="185"/>
      <c r="H1297" s="185"/>
      <c r="I1297" s="298"/>
      <c r="J1297" s="298"/>
      <c r="K1297" s="28"/>
      <c r="L1297" s="299"/>
      <c r="N1297" s="187"/>
      <c r="O1297" s="58"/>
      <c r="P1297" s="300"/>
      <c r="Q1297" s="58"/>
    </row>
    <row r="1298" ht="15.75" customHeight="1">
      <c r="A1298" s="27"/>
      <c r="B1298" s="58"/>
      <c r="C1298" s="275"/>
      <c r="D1298" s="27"/>
      <c r="E1298" s="275"/>
      <c r="F1298" s="185"/>
      <c r="G1298" s="185"/>
      <c r="H1298" s="185"/>
      <c r="I1298" s="298"/>
      <c r="J1298" s="298"/>
      <c r="K1298" s="28"/>
      <c r="L1298" s="299"/>
      <c r="N1298" s="187"/>
      <c r="O1298" s="58"/>
      <c r="P1298" s="300"/>
      <c r="Q1298" s="58"/>
    </row>
    <row r="1299" ht="15.75" customHeight="1">
      <c r="A1299" s="27"/>
      <c r="B1299" s="27"/>
      <c r="C1299" s="275"/>
      <c r="D1299" s="27"/>
      <c r="E1299" s="275"/>
      <c r="F1299" s="185"/>
      <c r="G1299" s="185"/>
      <c r="H1299" s="185"/>
      <c r="I1299" s="298"/>
      <c r="J1299" s="298"/>
      <c r="K1299" s="28"/>
      <c r="L1299" s="299"/>
      <c r="N1299" s="187"/>
      <c r="O1299" s="58"/>
      <c r="P1299" s="300"/>
      <c r="Q1299" s="58"/>
    </row>
    <row r="1300" ht="15.75" customHeight="1">
      <c r="A1300" s="27"/>
      <c r="B1300" s="27"/>
      <c r="C1300" s="275"/>
      <c r="D1300" s="27"/>
      <c r="E1300" s="275"/>
      <c r="F1300" s="185"/>
      <c r="G1300" s="185"/>
      <c r="H1300" s="185"/>
      <c r="I1300" s="298"/>
      <c r="J1300" s="298"/>
      <c r="K1300" s="28"/>
      <c r="L1300" s="299"/>
      <c r="N1300" s="187"/>
      <c r="O1300" s="58"/>
      <c r="P1300" s="300"/>
      <c r="Q1300" s="58"/>
    </row>
    <row r="1301" ht="15.75" customHeight="1">
      <c r="A1301" s="27"/>
      <c r="B1301" s="58"/>
      <c r="C1301" s="275"/>
      <c r="D1301" s="27"/>
      <c r="E1301" s="275"/>
      <c r="F1301" s="185"/>
      <c r="G1301" s="185"/>
      <c r="H1301" s="185"/>
      <c r="I1301" s="298"/>
      <c r="J1301" s="298"/>
      <c r="K1301" s="28"/>
      <c r="L1301" s="299"/>
      <c r="N1301" s="187"/>
      <c r="O1301" s="58"/>
      <c r="P1301" s="300"/>
      <c r="Q1301" s="58"/>
    </row>
    <row r="1302" ht="15.75" customHeight="1">
      <c r="A1302" s="27"/>
      <c r="B1302" s="27"/>
      <c r="C1302" s="275"/>
      <c r="D1302" s="27"/>
      <c r="E1302" s="275"/>
      <c r="F1302" s="185"/>
      <c r="G1302" s="185"/>
      <c r="H1302" s="185"/>
      <c r="I1302" s="298"/>
      <c r="J1302" s="298"/>
      <c r="K1302" s="28"/>
      <c r="L1302" s="299"/>
      <c r="N1302" s="187"/>
      <c r="O1302" s="58"/>
      <c r="P1302" s="300"/>
      <c r="Q1302" s="58"/>
    </row>
    <row r="1303" ht="15.75" customHeight="1">
      <c r="A1303" s="27"/>
      <c r="B1303" s="27"/>
      <c r="C1303" s="275"/>
      <c r="D1303" s="27"/>
      <c r="E1303" s="275"/>
      <c r="F1303" s="185"/>
      <c r="G1303" s="185"/>
      <c r="H1303" s="185"/>
      <c r="I1303" s="298"/>
      <c r="J1303" s="298"/>
      <c r="K1303" s="28"/>
      <c r="L1303" s="299"/>
      <c r="N1303" s="187"/>
      <c r="O1303" s="58"/>
      <c r="P1303" s="300"/>
      <c r="Q1303" s="58"/>
    </row>
    <row r="1304" ht="15.75" customHeight="1">
      <c r="A1304" s="27"/>
      <c r="B1304" s="27"/>
      <c r="C1304" s="275"/>
      <c r="D1304" s="27"/>
      <c r="E1304" s="275"/>
      <c r="F1304" s="185"/>
      <c r="G1304" s="185"/>
      <c r="H1304" s="185"/>
      <c r="I1304" s="298"/>
      <c r="J1304" s="298"/>
      <c r="K1304" s="28"/>
      <c r="L1304" s="299"/>
      <c r="N1304" s="187"/>
      <c r="O1304" s="58"/>
      <c r="P1304" s="300"/>
      <c r="Q1304" s="58"/>
    </row>
    <row r="1305" ht="15.75" customHeight="1">
      <c r="A1305" s="27"/>
      <c r="B1305" s="27"/>
      <c r="C1305" s="275"/>
      <c r="D1305" s="27"/>
      <c r="E1305" s="275"/>
      <c r="F1305" s="185"/>
      <c r="G1305" s="185"/>
      <c r="H1305" s="185"/>
      <c r="I1305" s="298"/>
      <c r="J1305" s="298"/>
      <c r="K1305" s="28"/>
      <c r="L1305" s="299"/>
      <c r="N1305" s="187"/>
      <c r="O1305" s="58"/>
      <c r="P1305" s="300"/>
      <c r="Q1305" s="58"/>
    </row>
    <row r="1306" ht="15.75" customHeight="1">
      <c r="A1306" s="27"/>
      <c r="B1306" s="27"/>
      <c r="C1306" s="275"/>
      <c r="D1306" s="27"/>
      <c r="E1306" s="275"/>
      <c r="F1306" s="185"/>
      <c r="G1306" s="185"/>
      <c r="H1306" s="185"/>
      <c r="I1306" s="298"/>
      <c r="J1306" s="298"/>
      <c r="K1306" s="28"/>
      <c r="L1306" s="299"/>
      <c r="N1306" s="187"/>
      <c r="O1306" s="58"/>
      <c r="P1306" s="300"/>
      <c r="Q1306" s="58"/>
    </row>
    <row r="1307" ht="15.75" customHeight="1">
      <c r="A1307" s="27"/>
      <c r="B1307" s="27"/>
      <c r="C1307" s="275"/>
      <c r="D1307" s="27"/>
      <c r="E1307" s="275"/>
      <c r="F1307" s="185"/>
      <c r="G1307" s="185"/>
      <c r="H1307" s="185"/>
      <c r="I1307" s="298"/>
      <c r="J1307" s="298"/>
      <c r="K1307" s="28"/>
      <c r="L1307" s="299"/>
      <c r="N1307" s="187"/>
      <c r="O1307" s="58"/>
      <c r="P1307" s="300"/>
      <c r="Q1307" s="58"/>
    </row>
    <row r="1308" ht="15.75" customHeight="1">
      <c r="A1308" s="27"/>
      <c r="B1308" s="27"/>
      <c r="C1308" s="275"/>
      <c r="D1308" s="27"/>
      <c r="E1308" s="275"/>
      <c r="F1308" s="185"/>
      <c r="G1308" s="185"/>
      <c r="H1308" s="185"/>
      <c r="I1308" s="298"/>
      <c r="J1308" s="298"/>
      <c r="K1308" s="28"/>
      <c r="L1308" s="299"/>
      <c r="N1308" s="187"/>
      <c r="O1308" s="58"/>
      <c r="P1308" s="300"/>
      <c r="Q1308" s="58"/>
    </row>
    <row r="1309" ht="15.75" customHeight="1">
      <c r="A1309" s="27"/>
      <c r="B1309" s="27"/>
      <c r="C1309" s="275"/>
      <c r="D1309" s="27"/>
      <c r="E1309" s="275"/>
      <c r="F1309" s="185"/>
      <c r="G1309" s="185"/>
      <c r="H1309" s="185"/>
      <c r="I1309" s="298"/>
      <c r="J1309" s="298"/>
      <c r="K1309" s="28"/>
      <c r="L1309" s="299"/>
      <c r="N1309" s="187"/>
      <c r="O1309" s="58"/>
      <c r="P1309" s="300"/>
      <c r="Q1309" s="58"/>
    </row>
    <row r="1310" ht="15.75" customHeight="1">
      <c r="A1310" s="27"/>
      <c r="B1310" s="27"/>
      <c r="C1310" s="275"/>
      <c r="D1310" s="27"/>
      <c r="E1310" s="275"/>
      <c r="F1310" s="185"/>
      <c r="G1310" s="185"/>
      <c r="H1310" s="185"/>
      <c r="I1310" s="298"/>
      <c r="J1310" s="298"/>
      <c r="K1310" s="28"/>
      <c r="L1310" s="299"/>
      <c r="N1310" s="187"/>
      <c r="O1310" s="58"/>
      <c r="P1310" s="300"/>
      <c r="Q1310" s="58"/>
    </row>
    <row r="1311" ht="15.75" customHeight="1">
      <c r="A1311" s="27"/>
      <c r="B1311" s="27"/>
      <c r="C1311" s="275"/>
      <c r="D1311" s="27"/>
      <c r="E1311" s="275"/>
      <c r="F1311" s="185"/>
      <c r="G1311" s="185"/>
      <c r="H1311" s="185"/>
      <c r="I1311" s="298"/>
      <c r="J1311" s="298"/>
      <c r="K1311" s="28"/>
      <c r="L1311" s="299"/>
      <c r="N1311" s="187"/>
      <c r="O1311" s="58"/>
      <c r="P1311" s="300"/>
      <c r="Q1311" s="58"/>
    </row>
    <row r="1312" ht="15.75" customHeight="1">
      <c r="A1312" s="27"/>
      <c r="B1312" s="27"/>
      <c r="C1312" s="275"/>
      <c r="D1312" s="27"/>
      <c r="E1312" s="275"/>
      <c r="F1312" s="185"/>
      <c r="G1312" s="185"/>
      <c r="H1312" s="185"/>
      <c r="I1312" s="298"/>
      <c r="J1312" s="298"/>
      <c r="K1312" s="28"/>
      <c r="L1312" s="299"/>
      <c r="N1312" s="187"/>
      <c r="O1312" s="58"/>
      <c r="P1312" s="300"/>
      <c r="Q1312" s="58"/>
    </row>
    <row r="1313" ht="15.75" customHeight="1">
      <c r="A1313" s="27"/>
      <c r="B1313" s="27"/>
      <c r="C1313" s="275"/>
      <c r="D1313" s="27"/>
      <c r="E1313" s="275"/>
      <c r="F1313" s="185"/>
      <c r="G1313" s="185"/>
      <c r="H1313" s="185"/>
      <c r="I1313" s="298"/>
      <c r="J1313" s="298"/>
      <c r="K1313" s="28"/>
      <c r="L1313" s="299"/>
      <c r="N1313" s="187"/>
      <c r="O1313" s="58"/>
      <c r="P1313" s="300"/>
      <c r="Q1313" s="58"/>
    </row>
    <row r="1314" ht="15.75" customHeight="1">
      <c r="A1314" s="27"/>
      <c r="B1314" s="27"/>
      <c r="C1314" s="275"/>
      <c r="D1314" s="27"/>
      <c r="E1314" s="275"/>
      <c r="F1314" s="185"/>
      <c r="G1314" s="185"/>
      <c r="H1314" s="185"/>
      <c r="I1314" s="298"/>
      <c r="J1314" s="298"/>
      <c r="K1314" s="28"/>
      <c r="L1314" s="299"/>
      <c r="N1314" s="187"/>
      <c r="O1314" s="58"/>
      <c r="P1314" s="300"/>
      <c r="Q1314" s="58"/>
    </row>
    <row r="1315" ht="15.75" customHeight="1">
      <c r="A1315" s="27"/>
      <c r="B1315" s="27"/>
      <c r="C1315" s="275"/>
      <c r="D1315" s="27"/>
      <c r="E1315" s="275"/>
      <c r="F1315" s="185"/>
      <c r="G1315" s="185"/>
      <c r="H1315" s="185"/>
      <c r="I1315" s="298"/>
      <c r="J1315" s="298"/>
      <c r="K1315" s="28"/>
      <c r="L1315" s="299"/>
      <c r="N1315" s="187"/>
      <c r="O1315" s="58"/>
      <c r="P1315" s="300"/>
      <c r="Q1315" s="58"/>
    </row>
    <row r="1316" ht="15.75" customHeight="1">
      <c r="A1316" s="27"/>
      <c r="B1316" s="27"/>
      <c r="C1316" s="275"/>
      <c r="D1316" s="27"/>
      <c r="E1316" s="275"/>
      <c r="F1316" s="185"/>
      <c r="G1316" s="185"/>
      <c r="H1316" s="185"/>
      <c r="I1316" s="298"/>
      <c r="J1316" s="298"/>
      <c r="K1316" s="28"/>
      <c r="L1316" s="299"/>
      <c r="N1316" s="187"/>
      <c r="O1316" s="58"/>
      <c r="P1316" s="300"/>
      <c r="Q1316" s="58"/>
    </row>
    <row r="1317" ht="15.75" customHeight="1">
      <c r="A1317" s="27"/>
      <c r="B1317" s="27"/>
      <c r="C1317" s="275"/>
      <c r="D1317" s="27"/>
      <c r="E1317" s="275"/>
      <c r="F1317" s="185"/>
      <c r="G1317" s="185"/>
      <c r="H1317" s="185"/>
      <c r="I1317" s="298"/>
      <c r="J1317" s="298"/>
      <c r="K1317" s="28"/>
      <c r="L1317" s="299"/>
      <c r="N1317" s="187"/>
      <c r="O1317" s="58"/>
      <c r="P1317" s="300"/>
      <c r="Q1317" s="58"/>
    </row>
    <row r="1318" ht="15.75" customHeight="1">
      <c r="A1318" s="27"/>
      <c r="B1318" s="27"/>
      <c r="C1318" s="275"/>
      <c r="D1318" s="27"/>
      <c r="E1318" s="275"/>
      <c r="F1318" s="185"/>
      <c r="G1318" s="185"/>
      <c r="H1318" s="185"/>
      <c r="I1318" s="298"/>
      <c r="J1318" s="298"/>
      <c r="K1318" s="28"/>
      <c r="L1318" s="299"/>
      <c r="N1318" s="187"/>
      <c r="O1318" s="58"/>
      <c r="P1318" s="300"/>
      <c r="Q1318" s="58"/>
    </row>
    <row r="1319" ht="15.75" customHeight="1">
      <c r="A1319" s="27"/>
      <c r="B1319" s="27"/>
      <c r="C1319" s="275"/>
      <c r="D1319" s="27"/>
      <c r="E1319" s="275"/>
      <c r="F1319" s="185"/>
      <c r="G1319" s="185"/>
      <c r="H1319" s="185"/>
      <c r="I1319" s="298"/>
      <c r="J1319" s="298"/>
      <c r="K1319" s="28"/>
      <c r="L1319" s="299"/>
      <c r="N1319" s="187"/>
      <c r="O1319" s="58"/>
      <c r="P1319" s="300"/>
      <c r="Q1319" s="58"/>
    </row>
    <row r="1320" ht="15.75" customHeight="1">
      <c r="A1320" s="27"/>
      <c r="B1320" s="27"/>
      <c r="C1320" s="275"/>
      <c r="D1320" s="27"/>
      <c r="E1320" s="275"/>
      <c r="F1320" s="185"/>
      <c r="G1320" s="185"/>
      <c r="H1320" s="185"/>
      <c r="I1320" s="298"/>
      <c r="J1320" s="298"/>
      <c r="K1320" s="28"/>
      <c r="L1320" s="299"/>
      <c r="N1320" s="187"/>
      <c r="O1320" s="58"/>
      <c r="P1320" s="300"/>
      <c r="Q1320" s="58"/>
    </row>
    <row r="1321" ht="15.75" customHeight="1">
      <c r="A1321" s="27"/>
      <c r="B1321" s="27"/>
      <c r="C1321" s="275"/>
      <c r="D1321" s="27"/>
      <c r="E1321" s="275"/>
      <c r="F1321" s="185"/>
      <c r="G1321" s="185"/>
      <c r="H1321" s="185"/>
      <c r="I1321" s="298"/>
      <c r="J1321" s="298"/>
      <c r="K1321" s="28"/>
      <c r="L1321" s="299"/>
      <c r="N1321" s="187"/>
      <c r="O1321" s="58"/>
      <c r="P1321" s="300"/>
      <c r="Q1321" s="58"/>
    </row>
    <row r="1322" ht="15.75" customHeight="1">
      <c r="A1322" s="27"/>
      <c r="B1322" s="109"/>
      <c r="C1322" s="275"/>
      <c r="D1322" s="27"/>
      <c r="E1322" s="275"/>
      <c r="F1322" s="185"/>
      <c r="G1322" s="185"/>
      <c r="H1322" s="185"/>
      <c r="I1322" s="298"/>
      <c r="J1322" s="298"/>
      <c r="K1322" s="28"/>
      <c r="L1322" s="299"/>
      <c r="N1322" s="187"/>
      <c r="O1322" s="58"/>
      <c r="P1322" s="300"/>
      <c r="Q1322" s="58"/>
    </row>
    <row r="1323" ht="15.75" customHeight="1">
      <c r="A1323" s="27"/>
      <c r="B1323" s="27"/>
      <c r="C1323" s="275"/>
      <c r="D1323" s="27"/>
      <c r="E1323" s="275"/>
      <c r="F1323" s="185"/>
      <c r="G1323" s="185"/>
      <c r="H1323" s="185"/>
      <c r="I1323" s="298"/>
      <c r="J1323" s="298"/>
      <c r="K1323" s="28"/>
      <c r="L1323" s="299"/>
      <c r="N1323" s="187"/>
      <c r="O1323" s="58"/>
      <c r="P1323" s="300"/>
      <c r="Q1323" s="58"/>
    </row>
    <row r="1324" ht="15.75" customHeight="1">
      <c r="A1324" s="27"/>
      <c r="B1324" s="58"/>
      <c r="C1324" s="275"/>
      <c r="D1324" s="27"/>
      <c r="E1324" s="275"/>
      <c r="F1324" s="185"/>
      <c r="G1324" s="185"/>
      <c r="H1324" s="185"/>
      <c r="I1324" s="298"/>
      <c r="J1324" s="298"/>
      <c r="K1324" s="28"/>
      <c r="L1324" s="299"/>
      <c r="N1324" s="187"/>
      <c r="O1324" s="58"/>
      <c r="P1324" s="300"/>
      <c r="Q1324" s="58"/>
    </row>
    <row r="1325" ht="15.75" customHeight="1">
      <c r="A1325" s="27"/>
      <c r="B1325" s="27"/>
      <c r="C1325" s="275"/>
      <c r="D1325" s="27"/>
      <c r="E1325" s="275"/>
      <c r="F1325" s="185"/>
      <c r="G1325" s="185"/>
      <c r="H1325" s="185"/>
      <c r="I1325" s="298"/>
      <c r="J1325" s="298"/>
      <c r="K1325" s="28"/>
      <c r="L1325" s="299"/>
      <c r="N1325" s="187"/>
      <c r="O1325" s="58"/>
      <c r="P1325" s="300"/>
      <c r="Q1325" s="58"/>
    </row>
    <row r="1326" ht="15.75" customHeight="1">
      <c r="A1326" s="27"/>
      <c r="B1326" s="27"/>
      <c r="C1326" s="275"/>
      <c r="D1326" s="27"/>
      <c r="E1326" s="275"/>
      <c r="F1326" s="185"/>
      <c r="G1326" s="185"/>
      <c r="H1326" s="185"/>
      <c r="I1326" s="298"/>
      <c r="J1326" s="298"/>
      <c r="K1326" s="28"/>
      <c r="L1326" s="299"/>
      <c r="N1326" s="187"/>
      <c r="O1326" s="58"/>
      <c r="P1326" s="300"/>
      <c r="Q1326" s="58"/>
    </row>
    <row r="1327" ht="15.75" customHeight="1">
      <c r="A1327" s="27"/>
      <c r="B1327" s="27"/>
      <c r="C1327" s="275"/>
      <c r="D1327" s="27"/>
      <c r="E1327" s="275"/>
      <c r="F1327" s="185"/>
      <c r="G1327" s="185"/>
      <c r="H1327" s="185"/>
      <c r="I1327" s="298"/>
      <c r="J1327" s="298"/>
      <c r="K1327" s="28"/>
      <c r="L1327" s="299"/>
      <c r="N1327" s="187"/>
      <c r="O1327" s="58"/>
      <c r="P1327" s="300"/>
      <c r="Q1327" s="58"/>
    </row>
    <row r="1328" ht="15.75" customHeight="1">
      <c r="A1328" s="27"/>
      <c r="B1328" s="27"/>
      <c r="C1328" s="275"/>
      <c r="D1328" s="27"/>
      <c r="E1328" s="275"/>
      <c r="F1328" s="185"/>
      <c r="G1328" s="185"/>
      <c r="H1328" s="185"/>
      <c r="I1328" s="350"/>
      <c r="J1328" s="350"/>
      <c r="K1328" s="64"/>
      <c r="L1328" s="61"/>
      <c r="N1328" s="187"/>
      <c r="O1328" s="58"/>
      <c r="P1328" s="300"/>
      <c r="Q1328" s="58"/>
    </row>
    <row r="1329" ht="15.75" customHeight="1">
      <c r="A1329" s="27"/>
      <c r="B1329" s="27"/>
      <c r="C1329" s="275"/>
      <c r="D1329" s="27"/>
      <c r="E1329" s="275"/>
      <c r="F1329" s="185"/>
      <c r="G1329" s="185"/>
      <c r="H1329" s="185"/>
      <c r="I1329" s="350"/>
      <c r="J1329" s="350"/>
      <c r="K1329" s="64"/>
      <c r="L1329" s="61"/>
      <c r="N1329" s="187"/>
      <c r="O1329" s="58"/>
      <c r="P1329" s="300"/>
      <c r="Q1329" s="58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  <c r="AG1329" s="27"/>
      <c r="AH1329" s="27"/>
    </row>
    <row r="1330" ht="15.75" customHeight="1">
      <c r="A1330" s="27"/>
      <c r="B1330" s="27"/>
      <c r="C1330" s="275"/>
      <c r="D1330" s="27"/>
      <c r="E1330" s="275"/>
      <c r="F1330" s="185"/>
      <c r="G1330" s="185"/>
      <c r="H1330" s="185"/>
      <c r="I1330" s="350"/>
      <c r="J1330" s="350"/>
      <c r="K1330" s="64"/>
      <c r="L1330" s="61"/>
      <c r="N1330" s="187"/>
      <c r="O1330" s="58"/>
      <c r="P1330" s="300"/>
      <c r="Q1330" s="58"/>
    </row>
    <row r="1331" ht="15.75" customHeight="1">
      <c r="A1331" s="27"/>
      <c r="B1331" s="27"/>
      <c r="C1331" s="275"/>
      <c r="D1331" s="27"/>
      <c r="E1331" s="275"/>
      <c r="F1331" s="185"/>
      <c r="G1331" s="351"/>
      <c r="H1331" s="185"/>
      <c r="I1331" s="298"/>
      <c r="J1331" s="298"/>
      <c r="K1331" s="28"/>
      <c r="L1331" s="299"/>
      <c r="N1331" s="187"/>
      <c r="O1331" s="58"/>
      <c r="P1331" s="300"/>
      <c r="Q1331" s="58"/>
    </row>
    <row r="1332" ht="15.75" customHeight="1">
      <c r="A1332" s="27"/>
      <c r="B1332" s="27"/>
      <c r="C1332" s="275"/>
      <c r="D1332" s="27"/>
      <c r="E1332" s="275"/>
      <c r="F1332" s="185"/>
      <c r="G1332" s="185"/>
      <c r="H1332" s="185"/>
      <c r="I1332" s="298"/>
      <c r="J1332" s="298"/>
      <c r="K1332" s="302"/>
      <c r="L1332" s="303"/>
      <c r="N1332" s="352"/>
      <c r="O1332" s="154"/>
      <c r="P1332" s="353"/>
      <c r="Q1332" s="58"/>
    </row>
    <row r="1333" ht="15.75" customHeight="1">
      <c r="A1333" s="27"/>
      <c r="B1333" s="27"/>
      <c r="C1333" s="275"/>
      <c r="D1333" s="27"/>
      <c r="E1333" s="275"/>
      <c r="F1333" s="185"/>
      <c r="G1333" s="185"/>
      <c r="H1333" s="185"/>
      <c r="I1333" s="298"/>
      <c r="J1333" s="298"/>
      <c r="K1333" s="302"/>
      <c r="L1333" s="303"/>
      <c r="N1333" s="187"/>
      <c r="O1333" s="58"/>
      <c r="P1333" s="300"/>
      <c r="Q1333" s="154"/>
    </row>
    <row r="1334" ht="15.75" customHeight="1">
      <c r="A1334" s="27"/>
      <c r="B1334" s="27"/>
      <c r="C1334" s="275"/>
      <c r="D1334" s="27"/>
      <c r="E1334" s="275"/>
      <c r="F1334" s="185"/>
      <c r="G1334" s="185"/>
      <c r="H1334" s="185"/>
      <c r="I1334" s="298"/>
      <c r="J1334" s="298"/>
      <c r="K1334" s="302"/>
      <c r="L1334" s="303"/>
      <c r="N1334" s="352"/>
      <c r="O1334" s="154"/>
      <c r="P1334" s="353"/>
      <c r="Q1334" s="58"/>
    </row>
    <row r="1335" ht="15.75" customHeight="1">
      <c r="A1335" s="27"/>
      <c r="B1335" s="27"/>
      <c r="C1335" s="275"/>
      <c r="D1335" s="27"/>
      <c r="E1335" s="275"/>
      <c r="F1335" s="185"/>
      <c r="G1335" s="185"/>
      <c r="H1335" s="185"/>
      <c r="I1335" s="298"/>
      <c r="J1335" s="298"/>
      <c r="K1335" s="302"/>
      <c r="L1335" s="303"/>
      <c r="N1335" s="187"/>
      <c r="O1335" s="58"/>
      <c r="P1335" s="300"/>
      <c r="Q1335" s="154"/>
    </row>
    <row r="1336" ht="15.75" customHeight="1">
      <c r="A1336" s="27"/>
      <c r="B1336" s="27"/>
      <c r="C1336" s="275"/>
      <c r="D1336" s="27"/>
      <c r="E1336" s="275"/>
      <c r="F1336" s="185"/>
      <c r="G1336" s="185"/>
      <c r="H1336" s="185"/>
      <c r="I1336" s="350"/>
      <c r="J1336" s="350"/>
      <c r="K1336" s="354"/>
      <c r="L1336" s="355"/>
      <c r="N1336" s="352"/>
      <c r="O1336" s="154"/>
      <c r="P1336" s="353"/>
      <c r="Q1336" s="58"/>
    </row>
    <row r="1337" ht="15.75" customHeight="1">
      <c r="A1337" s="27"/>
      <c r="B1337" s="27"/>
      <c r="C1337" s="275"/>
      <c r="D1337" s="27"/>
      <c r="E1337" s="275"/>
      <c r="F1337" s="185"/>
      <c r="G1337" s="185"/>
      <c r="H1337" s="185"/>
      <c r="I1337" s="298"/>
      <c r="J1337" s="298"/>
      <c r="K1337" s="302"/>
      <c r="L1337" s="303"/>
      <c r="N1337" s="187"/>
      <c r="O1337" s="58"/>
      <c r="P1337" s="300"/>
      <c r="Q1337" s="154"/>
    </row>
    <row r="1338" ht="15.75" customHeight="1">
      <c r="A1338" s="27"/>
      <c r="B1338" s="27"/>
      <c r="C1338" s="275"/>
      <c r="D1338" s="27"/>
      <c r="E1338" s="275"/>
      <c r="F1338" s="185"/>
      <c r="G1338" s="185"/>
      <c r="H1338" s="185"/>
      <c r="I1338" s="298"/>
      <c r="J1338" s="298"/>
      <c r="K1338" s="356"/>
      <c r="L1338" s="353"/>
      <c r="N1338" s="187"/>
      <c r="O1338" s="58"/>
      <c r="P1338" s="300"/>
      <c r="Q1338" s="58"/>
    </row>
    <row r="1339" ht="15.75" customHeight="1">
      <c r="A1339" s="27"/>
      <c r="B1339" s="27"/>
      <c r="C1339" s="275"/>
      <c r="D1339" s="27"/>
      <c r="E1339" s="275"/>
      <c r="F1339" s="185"/>
      <c r="G1339" s="185"/>
      <c r="H1339" s="185"/>
      <c r="I1339" s="298"/>
      <c r="J1339" s="298"/>
      <c r="K1339" s="302"/>
      <c r="L1339" s="303"/>
      <c r="N1339" s="352"/>
      <c r="O1339" s="154"/>
      <c r="P1339" s="353"/>
      <c r="Q1339" s="58"/>
    </row>
    <row r="1340" ht="15.75" customHeight="1">
      <c r="A1340" s="27"/>
      <c r="B1340" s="27"/>
      <c r="C1340" s="275"/>
      <c r="D1340" s="27"/>
      <c r="E1340" s="275"/>
      <c r="F1340" s="185"/>
      <c r="G1340" s="185"/>
      <c r="H1340" s="185"/>
      <c r="I1340" s="298"/>
      <c r="J1340" s="298"/>
      <c r="K1340" s="302"/>
      <c r="L1340" s="303"/>
      <c r="N1340" s="187"/>
      <c r="O1340" s="58"/>
      <c r="P1340" s="300"/>
      <c r="Q1340" s="154"/>
    </row>
    <row r="1341" ht="15.75" customHeight="1">
      <c r="A1341" s="27"/>
      <c r="B1341" s="27"/>
      <c r="C1341" s="275"/>
      <c r="D1341" s="27"/>
      <c r="E1341" s="275"/>
      <c r="F1341" s="185"/>
      <c r="G1341" s="185"/>
      <c r="H1341" s="185"/>
      <c r="I1341" s="298"/>
      <c r="J1341" s="298"/>
      <c r="K1341" s="302"/>
      <c r="L1341" s="303"/>
      <c r="N1341" s="352"/>
      <c r="O1341" s="154"/>
      <c r="P1341" s="353"/>
      <c r="Q1341" s="58"/>
    </row>
    <row r="1342" ht="15.75" customHeight="1">
      <c r="A1342" s="27"/>
      <c r="B1342" s="27"/>
      <c r="C1342" s="275"/>
      <c r="D1342" s="27"/>
      <c r="E1342" s="275"/>
      <c r="F1342" s="185"/>
      <c r="G1342" s="185"/>
      <c r="H1342" s="185"/>
      <c r="I1342" s="298"/>
      <c r="J1342" s="298"/>
      <c r="K1342" s="302"/>
      <c r="L1342" s="303"/>
      <c r="N1342" s="352"/>
      <c r="O1342" s="154"/>
      <c r="P1342" s="353"/>
      <c r="Q1342" s="154"/>
    </row>
    <row r="1343" ht="15.75" customHeight="1">
      <c r="A1343" s="27"/>
      <c r="B1343" s="27"/>
      <c r="C1343" s="275"/>
      <c r="D1343" s="27"/>
      <c r="E1343" s="275"/>
      <c r="F1343" s="185"/>
      <c r="G1343" s="185"/>
      <c r="H1343" s="185"/>
      <c r="I1343" s="298"/>
      <c r="J1343" s="298"/>
      <c r="K1343" s="302"/>
      <c r="L1343" s="303"/>
      <c r="N1343" s="187"/>
      <c r="O1343" s="58"/>
      <c r="P1343" s="300"/>
      <c r="Q1343" s="154"/>
    </row>
    <row r="1344" ht="15.75" customHeight="1">
      <c r="A1344" s="27"/>
      <c r="B1344" s="27"/>
      <c r="C1344" s="275"/>
      <c r="D1344" s="27"/>
      <c r="E1344" s="275"/>
      <c r="F1344" s="185"/>
      <c r="G1344" s="185"/>
      <c r="H1344" s="185"/>
      <c r="I1344" s="298"/>
      <c r="J1344" s="298"/>
      <c r="K1344" s="302"/>
      <c r="L1344" s="303"/>
      <c r="N1344" s="187"/>
      <c r="O1344" s="58"/>
      <c r="P1344" s="300"/>
      <c r="Q1344" s="58"/>
    </row>
    <row r="1345" ht="15.75" customHeight="1">
      <c r="A1345" s="27"/>
      <c r="B1345" s="27"/>
      <c r="C1345" s="275"/>
      <c r="D1345" s="27"/>
      <c r="E1345" s="275"/>
      <c r="F1345" s="185"/>
      <c r="G1345" s="185"/>
      <c r="H1345" s="185"/>
      <c r="I1345" s="298"/>
      <c r="J1345" s="298"/>
      <c r="K1345" s="302"/>
      <c r="L1345" s="303"/>
      <c r="N1345" s="187"/>
      <c r="O1345" s="58"/>
      <c r="P1345" s="300"/>
      <c r="Q1345" s="58"/>
    </row>
    <row r="1346" ht="15.75" customHeight="1">
      <c r="A1346" s="27"/>
      <c r="B1346" s="27"/>
      <c r="C1346" s="275"/>
      <c r="D1346" s="27"/>
      <c r="E1346" s="275"/>
      <c r="F1346" s="185"/>
      <c r="G1346" s="185"/>
      <c r="H1346" s="185"/>
      <c r="I1346" s="298"/>
      <c r="J1346" s="298"/>
      <c r="K1346" s="302"/>
      <c r="L1346" s="303"/>
      <c r="N1346" s="187"/>
      <c r="O1346" s="58"/>
      <c r="P1346" s="300"/>
      <c r="Q1346" s="58"/>
    </row>
    <row r="1347" ht="15.75" customHeight="1">
      <c r="A1347" s="27"/>
      <c r="B1347" s="27"/>
      <c r="C1347" s="275"/>
      <c r="D1347" s="27"/>
      <c r="E1347" s="275"/>
      <c r="F1347" s="185"/>
      <c r="G1347" s="185"/>
      <c r="H1347" s="185"/>
      <c r="I1347" s="298"/>
      <c r="J1347" s="298"/>
      <c r="K1347" s="302"/>
      <c r="L1347" s="303"/>
      <c r="N1347" s="187"/>
      <c r="O1347" s="58"/>
      <c r="P1347" s="300"/>
      <c r="Q1347" s="58"/>
    </row>
    <row r="1348" ht="15.75" customHeight="1">
      <c r="A1348" s="27"/>
      <c r="B1348" s="27"/>
      <c r="C1348" s="275"/>
      <c r="D1348" s="27"/>
      <c r="E1348" s="275"/>
      <c r="F1348" s="185"/>
      <c r="G1348" s="185"/>
      <c r="H1348" s="185"/>
      <c r="I1348" s="298"/>
      <c r="J1348" s="298"/>
      <c r="K1348" s="302"/>
      <c r="L1348" s="303"/>
      <c r="N1348" s="187"/>
      <c r="O1348" s="58"/>
      <c r="P1348" s="300"/>
      <c r="Q1348" s="58"/>
    </row>
    <row r="1349" ht="15.75" customHeight="1">
      <c r="A1349" s="27"/>
      <c r="B1349" s="27"/>
      <c r="C1349" s="275"/>
      <c r="D1349" s="27"/>
      <c r="E1349" s="275"/>
      <c r="F1349" s="185"/>
      <c r="G1349" s="185"/>
      <c r="H1349" s="185"/>
      <c r="I1349" s="298"/>
      <c r="J1349" s="298"/>
      <c r="K1349" s="302"/>
      <c r="L1349" s="303"/>
      <c r="N1349" s="187"/>
      <c r="O1349" s="58"/>
      <c r="P1349" s="300"/>
      <c r="Q1349" s="58"/>
    </row>
    <row r="1350" ht="15.75" customHeight="1">
      <c r="A1350" s="356"/>
      <c r="B1350" s="356"/>
      <c r="C1350" s="363"/>
      <c r="D1350" s="356"/>
      <c r="E1350" s="363"/>
      <c r="F1350" s="185"/>
      <c r="G1350" s="185"/>
      <c r="H1350" s="185"/>
      <c r="I1350" s="298"/>
      <c r="J1350" s="298"/>
      <c r="K1350" s="302"/>
      <c r="L1350" s="303"/>
      <c r="M1350" s="356"/>
      <c r="N1350" s="352"/>
      <c r="O1350" s="154"/>
      <c r="P1350" s="353"/>
      <c r="Q1350" s="58"/>
      <c r="R1350" s="356"/>
      <c r="S1350" s="356"/>
      <c r="T1350" s="356"/>
      <c r="U1350" s="356"/>
    </row>
    <row r="1351" ht="15.75" customHeight="1">
      <c r="A1351" s="27"/>
      <c r="B1351" s="27"/>
      <c r="C1351" s="275"/>
      <c r="D1351" s="356"/>
      <c r="E1351" s="275"/>
      <c r="F1351" s="185"/>
      <c r="G1351" s="185"/>
      <c r="H1351" s="185"/>
      <c r="I1351" s="298"/>
      <c r="J1351" s="298"/>
      <c r="K1351" s="302"/>
      <c r="L1351" s="303"/>
      <c r="N1351" s="352"/>
      <c r="O1351" s="154"/>
      <c r="P1351" s="353"/>
      <c r="Q1351" s="154"/>
      <c r="V1351" s="356"/>
      <c r="W1351" s="356"/>
      <c r="X1351" s="356"/>
      <c r="Y1351" s="356"/>
      <c r="Z1351" s="356"/>
      <c r="AA1351" s="356"/>
      <c r="AB1351" s="356"/>
      <c r="AC1351" s="356"/>
      <c r="AD1351" s="356"/>
      <c r="AE1351" s="356"/>
      <c r="AF1351" s="356"/>
      <c r="AG1351" s="356"/>
      <c r="AH1351" s="356"/>
    </row>
    <row r="1352" ht="15.75" customHeight="1">
      <c r="A1352" s="27"/>
      <c r="B1352" s="27"/>
      <c r="C1352" s="275"/>
      <c r="D1352" s="356"/>
      <c r="E1352" s="275"/>
      <c r="F1352" s="185"/>
      <c r="G1352" s="185"/>
      <c r="H1352" s="185"/>
      <c r="I1352" s="298"/>
      <c r="J1352" s="298"/>
      <c r="K1352" s="302"/>
      <c r="L1352" s="303"/>
      <c r="N1352" s="352"/>
      <c r="O1352" s="154"/>
      <c r="P1352" s="353"/>
      <c r="Q1352" s="154"/>
      <c r="V1352" s="356"/>
      <c r="W1352" s="356"/>
      <c r="X1352" s="356"/>
      <c r="Y1352" s="356"/>
      <c r="Z1352" s="356"/>
      <c r="AA1352" s="356"/>
      <c r="AB1352" s="356"/>
      <c r="AC1352" s="356"/>
      <c r="AD1352" s="356"/>
      <c r="AE1352" s="356"/>
      <c r="AF1352" s="356"/>
      <c r="AG1352" s="356"/>
      <c r="AH1352" s="356"/>
    </row>
    <row r="1353" ht="15.75" customHeight="1">
      <c r="A1353" s="27"/>
      <c r="B1353" s="27"/>
      <c r="C1353" s="275"/>
      <c r="D1353" s="356"/>
      <c r="E1353" s="275"/>
      <c r="F1353" s="185"/>
      <c r="G1353" s="185"/>
      <c r="H1353" s="185"/>
      <c r="I1353" s="298"/>
      <c r="J1353" s="298"/>
      <c r="K1353" s="302"/>
      <c r="L1353" s="303"/>
      <c r="N1353" s="352"/>
      <c r="O1353" s="154"/>
      <c r="P1353" s="353"/>
      <c r="Q1353" s="154"/>
    </row>
    <row r="1354" ht="15.75" customHeight="1">
      <c r="A1354" s="356"/>
      <c r="B1354" s="356"/>
      <c r="C1354" s="363"/>
      <c r="D1354" s="356"/>
      <c r="E1354" s="363"/>
      <c r="F1354" s="185"/>
      <c r="G1354" s="185"/>
      <c r="H1354" s="185"/>
      <c r="I1354" s="298"/>
      <c r="J1354" s="298"/>
      <c r="K1354" s="302"/>
      <c r="L1354" s="303"/>
      <c r="M1354" s="356"/>
      <c r="N1354" s="352"/>
      <c r="O1354" s="154"/>
      <c r="P1354" s="353"/>
      <c r="Q1354" s="154"/>
      <c r="R1354" s="356"/>
      <c r="S1354" s="356"/>
      <c r="T1354" s="356"/>
      <c r="U1354" s="356"/>
    </row>
    <row r="1355" ht="15.75" customHeight="1">
      <c r="A1355" s="27"/>
      <c r="B1355" s="27"/>
      <c r="C1355" s="275"/>
      <c r="D1355" s="356"/>
      <c r="E1355" s="275"/>
      <c r="F1355" s="185"/>
      <c r="G1355" s="185"/>
      <c r="H1355" s="185"/>
      <c r="I1355" s="298"/>
      <c r="J1355" s="298"/>
      <c r="K1355" s="302"/>
      <c r="L1355" s="303"/>
      <c r="N1355" s="352"/>
      <c r="O1355" s="154"/>
      <c r="P1355" s="353"/>
      <c r="Q1355" s="154"/>
    </row>
    <row r="1356" ht="15.75" customHeight="1">
      <c r="A1356" s="27"/>
      <c r="B1356" s="27"/>
      <c r="C1356" s="275"/>
      <c r="D1356" s="356"/>
      <c r="E1356" s="275"/>
      <c r="F1356" s="185"/>
      <c r="G1356" s="185"/>
      <c r="H1356" s="185"/>
      <c r="I1356" s="298"/>
      <c r="J1356" s="298"/>
      <c r="K1356" s="302"/>
      <c r="L1356" s="303"/>
      <c r="N1356" s="352"/>
      <c r="O1356" s="154"/>
      <c r="P1356" s="353"/>
      <c r="Q1356" s="154"/>
    </row>
    <row r="1357" ht="15.75" customHeight="1">
      <c r="A1357" s="27"/>
      <c r="B1357" s="27"/>
      <c r="C1357" s="275"/>
      <c r="D1357" s="356"/>
      <c r="E1357" s="275"/>
      <c r="F1357" s="185"/>
      <c r="G1357" s="185"/>
      <c r="H1357" s="185"/>
      <c r="I1357" s="298"/>
      <c r="J1357" s="298"/>
      <c r="K1357" s="302"/>
      <c r="L1357" s="303"/>
      <c r="N1357" s="352"/>
      <c r="O1357" s="154"/>
      <c r="P1357" s="353"/>
      <c r="Q1357" s="154"/>
    </row>
    <row r="1358" ht="15.75" customHeight="1">
      <c r="A1358" s="259"/>
      <c r="B1358" s="356"/>
      <c r="C1358" s="363"/>
      <c r="D1358" s="356"/>
      <c r="E1358" s="363"/>
      <c r="F1358" s="185"/>
      <c r="G1358" s="185"/>
      <c r="H1358" s="185"/>
      <c r="I1358" s="298"/>
      <c r="J1358" s="298"/>
      <c r="K1358" s="302"/>
      <c r="L1358" s="303"/>
      <c r="M1358" s="356"/>
      <c r="N1358" s="352"/>
      <c r="O1358" s="154"/>
      <c r="P1358" s="353"/>
      <c r="Q1358" s="154"/>
      <c r="R1358" s="356"/>
      <c r="S1358" s="356"/>
      <c r="T1358" s="356">
        <v>22.95</v>
      </c>
      <c r="U1358" s="356">
        <v>8.15</v>
      </c>
    </row>
    <row r="1359" ht="15.75" customHeight="1">
      <c r="A1359" s="356"/>
      <c r="B1359" s="356"/>
      <c r="C1359" s="356"/>
      <c r="D1359" s="356"/>
      <c r="E1359" s="275"/>
      <c r="F1359" s="185"/>
      <c r="G1359" s="185"/>
      <c r="H1359" s="185"/>
      <c r="I1359" s="298"/>
      <c r="J1359" s="298"/>
      <c r="K1359" s="302"/>
      <c r="L1359" s="303"/>
      <c r="M1359" s="356"/>
      <c r="N1359" s="352"/>
      <c r="O1359" s="154"/>
      <c r="P1359" s="353"/>
      <c r="Q1359" s="154"/>
      <c r="R1359" s="356"/>
      <c r="S1359" s="356"/>
      <c r="T1359" s="356"/>
      <c r="U1359" s="356"/>
    </row>
    <row r="1360" ht="15.75" customHeight="1">
      <c r="A1360" s="27"/>
      <c r="B1360" s="27"/>
      <c r="C1360" s="275"/>
      <c r="D1360" s="27"/>
      <c r="E1360" s="275"/>
      <c r="F1360" s="185"/>
      <c r="G1360" s="185"/>
      <c r="H1360" s="185"/>
      <c r="I1360" s="298"/>
      <c r="J1360" s="298"/>
      <c r="K1360" s="302"/>
      <c r="L1360" s="303"/>
      <c r="N1360" s="187"/>
      <c r="O1360" s="58"/>
      <c r="P1360" s="300"/>
      <c r="Q1360" s="154"/>
    </row>
    <row r="1361" ht="15.75" customHeight="1">
      <c r="A1361" s="27"/>
      <c r="B1361" s="27"/>
      <c r="C1361" s="275"/>
      <c r="D1361" s="27"/>
      <c r="E1361" s="275"/>
      <c r="F1361" s="185"/>
      <c r="G1361" s="185"/>
      <c r="H1361" s="185"/>
      <c r="I1361" s="298"/>
      <c r="J1361" s="298"/>
      <c r="K1361" s="302"/>
      <c r="L1361" s="303"/>
      <c r="N1361" s="187"/>
      <c r="O1361" s="58"/>
      <c r="P1361" s="300"/>
      <c r="Q1361" s="58"/>
    </row>
    <row r="1362" ht="15.75" customHeight="1">
      <c r="A1362" s="27"/>
      <c r="B1362" s="27"/>
      <c r="C1362" s="275"/>
      <c r="D1362" s="356"/>
      <c r="E1362" s="275"/>
      <c r="F1362" s="185"/>
      <c r="G1362" s="185"/>
      <c r="H1362" s="185"/>
      <c r="I1362" s="298"/>
      <c r="J1362" s="298"/>
      <c r="K1362" s="302"/>
      <c r="L1362" s="303"/>
      <c r="N1362" s="352"/>
      <c r="O1362" s="154"/>
      <c r="P1362" s="353"/>
      <c r="Q1362" s="58"/>
    </row>
    <row r="1363" ht="15.75" customHeight="1">
      <c r="A1363" s="27"/>
      <c r="B1363" s="27"/>
      <c r="C1363" s="275"/>
      <c r="D1363" s="27"/>
      <c r="E1363" s="275"/>
      <c r="F1363" s="185"/>
      <c r="G1363" s="185"/>
      <c r="H1363" s="185"/>
      <c r="I1363" s="298"/>
      <c r="J1363" s="298"/>
      <c r="K1363" s="302"/>
      <c r="L1363" s="303"/>
      <c r="N1363" s="187"/>
      <c r="O1363" s="58"/>
      <c r="P1363" s="300"/>
      <c r="Q1363" s="154"/>
    </row>
    <row r="1364" ht="15.75" customHeight="1">
      <c r="A1364" s="27"/>
      <c r="B1364" s="27"/>
      <c r="C1364" s="275"/>
      <c r="D1364" s="356"/>
      <c r="E1364" s="275"/>
      <c r="F1364" s="185"/>
      <c r="G1364" s="185"/>
      <c r="H1364" s="185"/>
      <c r="I1364" s="298"/>
      <c r="J1364" s="298"/>
      <c r="K1364" s="302"/>
      <c r="L1364" s="303"/>
      <c r="N1364" s="352"/>
      <c r="O1364" s="154"/>
      <c r="P1364" s="353"/>
      <c r="Q1364" s="58"/>
    </row>
    <row r="1365" ht="15.75" customHeight="1">
      <c r="A1365" s="27"/>
      <c r="B1365" s="27"/>
      <c r="C1365" s="275"/>
      <c r="D1365" s="356"/>
      <c r="E1365" s="275"/>
      <c r="F1365" s="185"/>
      <c r="G1365" s="185"/>
      <c r="H1365" s="185"/>
      <c r="I1365" s="298"/>
      <c r="J1365" s="298"/>
      <c r="K1365" s="302"/>
      <c r="L1365" s="303"/>
      <c r="N1365" s="352"/>
      <c r="O1365" s="154"/>
      <c r="P1365" s="353"/>
      <c r="Q1365" s="154"/>
    </row>
    <row r="1366" ht="15.75" customHeight="1">
      <c r="A1366" s="27"/>
      <c r="B1366" s="27"/>
      <c r="C1366" s="275"/>
      <c r="D1366" s="356"/>
      <c r="E1366" s="275"/>
      <c r="F1366" s="185"/>
      <c r="G1366" s="185"/>
      <c r="H1366" s="185"/>
      <c r="I1366" s="298"/>
      <c r="J1366" s="298"/>
      <c r="K1366" s="302"/>
      <c r="L1366" s="303"/>
      <c r="N1366" s="352"/>
      <c r="O1366" s="154"/>
      <c r="P1366" s="353"/>
      <c r="Q1366" s="154"/>
    </row>
    <row r="1367" ht="15.75" customHeight="1">
      <c r="A1367" s="27"/>
      <c r="B1367" s="27"/>
      <c r="C1367" s="275"/>
      <c r="D1367" s="356"/>
      <c r="E1367" s="275"/>
      <c r="F1367" s="185"/>
      <c r="G1367" s="185"/>
      <c r="H1367" s="185"/>
      <c r="I1367" s="298"/>
      <c r="J1367" s="298"/>
      <c r="K1367" s="302"/>
      <c r="L1367" s="303"/>
      <c r="N1367" s="352"/>
      <c r="O1367" s="154"/>
      <c r="P1367" s="353"/>
      <c r="Q1367" s="154"/>
    </row>
    <row r="1368" ht="15.75" customHeight="1">
      <c r="A1368" s="27"/>
      <c r="B1368" s="27"/>
      <c r="C1368" s="275"/>
      <c r="D1368" s="27"/>
      <c r="E1368" s="275"/>
      <c r="F1368" s="185"/>
      <c r="G1368" s="185"/>
      <c r="H1368" s="185"/>
      <c r="I1368" s="298"/>
      <c r="J1368" s="298"/>
      <c r="K1368" s="302"/>
      <c r="L1368" s="303"/>
      <c r="N1368" s="187"/>
      <c r="O1368" s="58"/>
      <c r="P1368" s="300"/>
      <c r="Q1368" s="154"/>
    </row>
    <row r="1369" ht="15.75" customHeight="1">
      <c r="A1369" s="27"/>
      <c r="B1369" s="27"/>
      <c r="C1369" s="275"/>
      <c r="D1369" s="27"/>
      <c r="E1369" s="275"/>
      <c r="F1369" s="185"/>
      <c r="G1369" s="185"/>
      <c r="H1369" s="185"/>
      <c r="I1369" s="350"/>
      <c r="J1369" s="350"/>
      <c r="K1369" s="354"/>
      <c r="L1369" s="355"/>
      <c r="N1369" s="187"/>
      <c r="O1369" s="58"/>
      <c r="P1369" s="300"/>
      <c r="Q1369" s="58"/>
    </row>
    <row r="1370" ht="15.75" customHeight="1">
      <c r="A1370" s="27"/>
      <c r="B1370" s="27"/>
      <c r="C1370" s="275"/>
      <c r="D1370" s="27"/>
      <c r="E1370" s="275"/>
      <c r="F1370" s="185"/>
      <c r="G1370" s="185"/>
      <c r="H1370" s="185"/>
      <c r="I1370" s="298"/>
      <c r="J1370" s="298"/>
      <c r="K1370" s="302"/>
      <c r="L1370" s="303"/>
      <c r="N1370" s="187"/>
      <c r="O1370" s="58"/>
      <c r="P1370" s="300"/>
      <c r="Q1370" s="58"/>
    </row>
    <row r="1371" ht="15.75" customHeight="1">
      <c r="A1371" s="27"/>
      <c r="B1371" s="27"/>
      <c r="C1371" s="275"/>
      <c r="D1371" s="27"/>
      <c r="E1371" s="275"/>
      <c r="F1371" s="185"/>
      <c r="G1371" s="185"/>
      <c r="H1371" s="185"/>
      <c r="I1371" s="298"/>
      <c r="J1371" s="298"/>
      <c r="K1371" s="302"/>
      <c r="L1371" s="303"/>
      <c r="N1371" s="187"/>
      <c r="O1371" s="58"/>
      <c r="P1371" s="300"/>
      <c r="Q1371" s="58"/>
    </row>
    <row r="1372" ht="15.75" customHeight="1">
      <c r="A1372" s="27"/>
      <c r="B1372" s="27"/>
      <c r="C1372" s="275"/>
      <c r="D1372" s="27"/>
      <c r="E1372" s="275"/>
      <c r="F1372" s="185"/>
      <c r="G1372" s="185"/>
      <c r="H1372" s="185"/>
      <c r="I1372" s="298"/>
      <c r="J1372" s="298"/>
      <c r="K1372" s="302"/>
      <c r="L1372" s="303"/>
      <c r="N1372" s="187"/>
      <c r="O1372" s="58"/>
      <c r="P1372" s="300"/>
      <c r="Q1372" s="58"/>
    </row>
    <row r="1373" ht="15.75" customHeight="1">
      <c r="A1373" s="27"/>
      <c r="B1373" s="27"/>
      <c r="C1373" s="275"/>
      <c r="D1373" s="27"/>
      <c r="E1373" s="275"/>
      <c r="F1373" s="185"/>
      <c r="G1373" s="185"/>
      <c r="H1373" s="185"/>
      <c r="I1373" s="298"/>
      <c r="J1373" s="298"/>
      <c r="K1373" s="302"/>
      <c r="L1373" s="303"/>
      <c r="N1373" s="352"/>
      <c r="O1373" s="154"/>
      <c r="P1373" s="353"/>
      <c r="Q1373" s="58"/>
    </row>
    <row r="1374" ht="15.75" customHeight="1">
      <c r="A1374" s="27"/>
      <c r="B1374" s="27"/>
      <c r="C1374" s="275"/>
      <c r="D1374" s="27"/>
      <c r="E1374" s="275"/>
      <c r="F1374" s="185"/>
      <c r="G1374" s="185"/>
      <c r="H1374" s="185"/>
      <c r="I1374" s="298"/>
      <c r="J1374" s="298"/>
      <c r="K1374" s="302"/>
      <c r="L1374" s="303"/>
      <c r="N1374" s="352"/>
      <c r="O1374" s="154"/>
      <c r="P1374" s="353"/>
      <c r="Q1374" s="154"/>
    </row>
    <row r="1375" ht="15.75" customHeight="1">
      <c r="A1375" s="27"/>
      <c r="B1375" s="27"/>
      <c r="C1375" s="275"/>
      <c r="D1375" s="27"/>
      <c r="E1375" s="275"/>
      <c r="F1375" s="185"/>
      <c r="G1375" s="185"/>
      <c r="H1375" s="185"/>
      <c r="I1375" s="298"/>
      <c r="J1375" s="298"/>
      <c r="K1375" s="302"/>
      <c r="L1375" s="303"/>
      <c r="N1375" s="352"/>
      <c r="O1375" s="154"/>
      <c r="P1375" s="353"/>
      <c r="Q1375" s="154"/>
    </row>
    <row r="1376" ht="15.75" customHeight="1">
      <c r="A1376" s="27"/>
      <c r="B1376" s="27"/>
      <c r="C1376" s="275"/>
      <c r="D1376" s="27"/>
      <c r="E1376" s="275"/>
      <c r="F1376" s="185"/>
      <c r="G1376" s="185"/>
      <c r="H1376" s="185"/>
      <c r="I1376" s="298"/>
      <c r="J1376" s="298"/>
      <c r="K1376" s="302"/>
      <c r="L1376" s="303"/>
      <c r="N1376" s="352"/>
      <c r="O1376" s="154"/>
      <c r="P1376" s="353"/>
      <c r="Q1376" s="154"/>
    </row>
    <row r="1377" ht="15.75" customHeight="1">
      <c r="A1377" s="27"/>
      <c r="B1377" s="27"/>
      <c r="C1377" s="275"/>
      <c r="D1377" s="27"/>
      <c r="E1377" s="275"/>
      <c r="F1377" s="185"/>
      <c r="G1377" s="185"/>
      <c r="H1377" s="185"/>
      <c r="I1377" s="298"/>
      <c r="J1377" s="298"/>
      <c r="K1377" s="302"/>
      <c r="L1377" s="303"/>
      <c r="N1377" s="187"/>
      <c r="O1377" s="58"/>
      <c r="P1377" s="300"/>
      <c r="Q1377" s="154"/>
    </row>
    <row r="1378" ht="15.75" customHeight="1">
      <c r="A1378" s="27"/>
      <c r="B1378" s="27"/>
      <c r="C1378" s="275"/>
      <c r="D1378" s="27"/>
      <c r="E1378" s="275"/>
      <c r="F1378" s="185"/>
      <c r="G1378" s="185"/>
      <c r="H1378" s="185"/>
      <c r="I1378" s="298"/>
      <c r="J1378" s="298"/>
      <c r="K1378" s="356"/>
      <c r="L1378" s="353"/>
      <c r="N1378" s="352"/>
      <c r="O1378" s="154"/>
      <c r="P1378" s="353"/>
      <c r="Q1378" s="58"/>
    </row>
    <row r="1379" ht="15.75" customHeight="1">
      <c r="A1379" s="27"/>
      <c r="B1379" s="27"/>
      <c r="C1379" s="275"/>
      <c r="D1379" s="27"/>
      <c r="E1379" s="275"/>
      <c r="F1379" s="185"/>
      <c r="G1379" s="185"/>
      <c r="H1379" s="185"/>
      <c r="I1379" s="298"/>
      <c r="J1379" s="298"/>
      <c r="K1379" s="302"/>
      <c r="L1379" s="303"/>
      <c r="N1379" s="352"/>
      <c r="O1379" s="154"/>
      <c r="P1379" s="353"/>
      <c r="Q1379" s="154"/>
    </row>
    <row r="1380" ht="15.75" customHeight="1">
      <c r="A1380" s="27"/>
      <c r="B1380" s="27"/>
      <c r="C1380" s="275"/>
      <c r="D1380" s="27"/>
      <c r="E1380" s="275"/>
      <c r="F1380" s="185"/>
      <c r="G1380" s="185"/>
      <c r="H1380" s="185"/>
      <c r="I1380" s="298"/>
      <c r="J1380" s="298"/>
      <c r="K1380" s="302"/>
      <c r="L1380" s="303"/>
      <c r="N1380" s="352"/>
      <c r="O1380" s="154"/>
      <c r="P1380" s="353"/>
      <c r="Q1380" s="154"/>
    </row>
    <row r="1381" ht="15.75" customHeight="1">
      <c r="A1381" s="27"/>
      <c r="B1381" s="27"/>
      <c r="C1381" s="275"/>
      <c r="D1381" s="27"/>
      <c r="E1381" s="275"/>
      <c r="F1381" s="185"/>
      <c r="G1381" s="185"/>
      <c r="H1381" s="185"/>
      <c r="I1381" s="298"/>
      <c r="J1381" s="298"/>
      <c r="K1381" s="302"/>
      <c r="L1381" s="303"/>
      <c r="N1381" s="352"/>
      <c r="O1381" s="154"/>
      <c r="P1381" s="353"/>
      <c r="Q1381" s="154"/>
    </row>
    <row r="1382" ht="15.75" customHeight="1">
      <c r="A1382" s="27"/>
      <c r="B1382" s="27"/>
      <c r="C1382" s="275"/>
      <c r="D1382" s="27"/>
      <c r="E1382" s="275"/>
      <c r="F1382" s="185"/>
      <c r="G1382" s="185"/>
      <c r="H1382" s="185"/>
      <c r="I1382" s="298"/>
      <c r="J1382" s="298"/>
      <c r="K1382" s="302"/>
      <c r="L1382" s="303"/>
      <c r="N1382" s="187"/>
      <c r="O1382" s="58"/>
      <c r="P1382" s="300"/>
      <c r="Q1382" s="154"/>
    </row>
    <row r="1383" ht="15.75" customHeight="1">
      <c r="A1383" s="27"/>
      <c r="B1383" s="27"/>
      <c r="C1383" s="275"/>
      <c r="D1383" s="27"/>
      <c r="E1383" s="275"/>
      <c r="F1383" s="185"/>
      <c r="G1383" s="185"/>
      <c r="H1383" s="185"/>
      <c r="I1383" s="298"/>
      <c r="J1383" s="298"/>
      <c r="K1383" s="302"/>
      <c r="L1383" s="303"/>
      <c r="N1383" s="187"/>
      <c r="O1383" s="58"/>
      <c r="P1383" s="300"/>
      <c r="Q1383" s="58"/>
    </row>
    <row r="1384" ht="15.75" customHeight="1">
      <c r="A1384" s="27"/>
      <c r="B1384" s="27"/>
      <c r="C1384" s="275"/>
      <c r="D1384" s="27"/>
      <c r="E1384" s="275"/>
      <c r="F1384" s="185"/>
      <c r="G1384" s="185"/>
      <c r="H1384" s="185"/>
      <c r="I1384" s="298"/>
      <c r="J1384" s="298"/>
      <c r="K1384" s="302"/>
      <c r="L1384" s="303"/>
      <c r="N1384" s="352"/>
      <c r="O1384" s="364"/>
      <c r="P1384" s="365"/>
      <c r="Q1384" s="58"/>
    </row>
    <row r="1385" ht="15.75" customHeight="1">
      <c r="A1385" s="27"/>
      <c r="B1385" s="27"/>
      <c r="C1385" s="275"/>
      <c r="D1385" s="27"/>
      <c r="E1385" s="275"/>
      <c r="F1385" s="185"/>
      <c r="G1385" s="185"/>
      <c r="H1385" s="185"/>
      <c r="I1385" s="298"/>
      <c r="J1385" s="298"/>
      <c r="K1385" s="302"/>
      <c r="L1385" s="303"/>
      <c r="N1385" s="187"/>
      <c r="O1385" s="58"/>
      <c r="P1385" s="300"/>
      <c r="Q1385" s="364"/>
    </row>
    <row r="1386" ht="15.75" customHeight="1">
      <c r="A1386" s="27"/>
      <c r="B1386" s="27"/>
      <c r="C1386" s="275"/>
      <c r="D1386" s="27"/>
      <c r="E1386" s="275"/>
      <c r="F1386" s="185"/>
      <c r="G1386" s="185"/>
      <c r="H1386" s="185"/>
      <c r="I1386" s="298"/>
      <c r="J1386" s="298"/>
      <c r="K1386" s="302"/>
      <c r="L1386" s="303"/>
      <c r="N1386" s="352"/>
      <c r="O1386" s="154"/>
      <c r="P1386" s="353"/>
      <c r="Q1386" s="58"/>
    </row>
    <row r="1387" ht="15.75" customHeight="1">
      <c r="A1387" s="27"/>
      <c r="B1387" s="27"/>
      <c r="C1387" s="275"/>
      <c r="D1387" s="27"/>
      <c r="E1387" s="275"/>
      <c r="F1387" s="185"/>
      <c r="G1387" s="185"/>
      <c r="H1387" s="185"/>
      <c r="I1387" s="298"/>
      <c r="J1387" s="298"/>
      <c r="K1387" s="302"/>
      <c r="L1387" s="303"/>
      <c r="N1387" s="187"/>
      <c r="O1387" s="58"/>
      <c r="P1387" s="300"/>
      <c r="Q1387" s="154"/>
    </row>
    <row r="1388" ht="15.75" customHeight="1">
      <c r="A1388" s="27"/>
      <c r="B1388" s="27"/>
      <c r="C1388" s="275"/>
      <c r="D1388" s="27"/>
      <c r="E1388" s="275"/>
      <c r="F1388" s="185"/>
      <c r="G1388" s="185"/>
      <c r="H1388" s="185"/>
      <c r="I1388" s="298"/>
      <c r="J1388" s="298"/>
      <c r="K1388" s="302"/>
      <c r="L1388" s="303"/>
      <c r="N1388" s="187"/>
      <c r="O1388" s="58"/>
      <c r="P1388" s="300"/>
      <c r="Q1388" s="58"/>
    </row>
    <row r="1389" ht="15.75" customHeight="1">
      <c r="A1389" s="27"/>
      <c r="B1389" s="27"/>
      <c r="C1389" s="275"/>
      <c r="D1389" s="27"/>
      <c r="E1389" s="275"/>
      <c r="F1389" s="185"/>
      <c r="G1389" s="185"/>
      <c r="H1389" s="185"/>
      <c r="I1389" s="298"/>
      <c r="J1389" s="298"/>
      <c r="K1389" s="302"/>
      <c r="L1389" s="303"/>
      <c r="N1389" s="352"/>
      <c r="O1389" s="154"/>
      <c r="P1389" s="353"/>
      <c r="Q1389" s="58"/>
    </row>
    <row r="1390" ht="15.75" customHeight="1">
      <c r="A1390" s="27"/>
      <c r="B1390" s="27"/>
      <c r="C1390" s="275"/>
      <c r="D1390" s="27"/>
      <c r="E1390" s="275"/>
      <c r="F1390" s="185"/>
      <c r="G1390" s="185"/>
      <c r="H1390" s="185"/>
      <c r="I1390" s="298"/>
      <c r="J1390" s="298"/>
      <c r="K1390" s="302"/>
      <c r="L1390" s="303"/>
      <c r="N1390" s="352"/>
      <c r="O1390" s="154"/>
      <c r="P1390" s="353"/>
      <c r="Q1390" s="154"/>
    </row>
    <row r="1391" ht="15.75" customHeight="1">
      <c r="A1391" s="27"/>
      <c r="B1391" s="27"/>
      <c r="C1391" s="275"/>
      <c r="D1391" s="27"/>
      <c r="E1391" s="275"/>
      <c r="F1391" s="185"/>
      <c r="G1391" s="185"/>
      <c r="H1391" s="185"/>
      <c r="I1391" s="298"/>
      <c r="J1391" s="298"/>
      <c r="K1391" s="302"/>
      <c r="L1391" s="303"/>
      <c r="N1391" s="366"/>
      <c r="O1391" s="58"/>
      <c r="P1391" s="300"/>
      <c r="Q1391" s="154"/>
    </row>
    <row r="1392" ht="15.75" customHeight="1">
      <c r="A1392" s="27"/>
      <c r="B1392" s="27"/>
      <c r="C1392" s="275"/>
      <c r="D1392" s="27"/>
      <c r="E1392" s="275"/>
      <c r="F1392" s="185"/>
      <c r="G1392" s="185"/>
      <c r="H1392" s="185"/>
      <c r="I1392" s="298"/>
      <c r="J1392" s="298"/>
      <c r="K1392" s="302"/>
      <c r="L1392" s="303"/>
      <c r="N1392" s="352"/>
      <c r="O1392" s="154"/>
      <c r="P1392" s="353"/>
      <c r="Q1392" s="58"/>
      <c r="U1392" s="27" t="s">
        <v>1484</v>
      </c>
    </row>
    <row r="1393" ht="15.75" customHeight="1">
      <c r="A1393" s="27"/>
      <c r="B1393" s="27"/>
      <c r="C1393" s="275"/>
      <c r="D1393" s="27"/>
      <c r="E1393" s="275"/>
      <c r="F1393" s="185"/>
      <c r="G1393" s="185"/>
      <c r="H1393" s="185"/>
      <c r="I1393" s="298"/>
      <c r="J1393" s="298"/>
      <c r="K1393" s="302"/>
      <c r="L1393" s="303"/>
      <c r="N1393" s="187"/>
      <c r="O1393" s="58"/>
      <c r="P1393" s="300"/>
      <c r="Q1393" s="154"/>
    </row>
    <row r="1394" ht="15.75" customHeight="1">
      <c r="A1394" s="27"/>
      <c r="B1394" s="27"/>
      <c r="C1394" s="275"/>
      <c r="D1394" s="27"/>
      <c r="E1394" s="275"/>
      <c r="F1394" s="185"/>
      <c r="G1394" s="185"/>
      <c r="H1394" s="185"/>
      <c r="I1394" s="298"/>
      <c r="J1394" s="298"/>
      <c r="K1394" s="302"/>
      <c r="L1394" s="303"/>
      <c r="N1394" s="187"/>
      <c r="O1394" s="58"/>
      <c r="P1394" s="300"/>
      <c r="Q1394" s="58"/>
    </row>
    <row r="1395" ht="15.75" customHeight="1">
      <c r="A1395" s="27"/>
      <c r="B1395" s="27"/>
      <c r="C1395" s="275"/>
      <c r="D1395" s="27"/>
      <c r="E1395" s="275"/>
      <c r="F1395" s="185"/>
      <c r="G1395" s="185"/>
      <c r="H1395" s="185"/>
      <c r="I1395" s="298"/>
      <c r="J1395" s="298"/>
      <c r="K1395" s="302"/>
      <c r="L1395" s="303"/>
      <c r="N1395" s="352"/>
      <c r="O1395" s="154"/>
      <c r="P1395" s="353"/>
      <c r="Q1395" s="58"/>
    </row>
    <row r="1396" ht="15.75" customHeight="1">
      <c r="A1396" s="27"/>
      <c r="B1396" s="27"/>
      <c r="C1396" s="275"/>
      <c r="D1396" s="27"/>
      <c r="E1396" s="275"/>
      <c r="F1396" s="185"/>
      <c r="G1396" s="185"/>
      <c r="H1396" s="185"/>
      <c r="I1396" s="298"/>
      <c r="J1396" s="298"/>
      <c r="K1396" s="302"/>
      <c r="L1396" s="303"/>
      <c r="N1396" s="321"/>
      <c r="O1396" s="58"/>
      <c r="P1396" s="300"/>
      <c r="Q1396" s="154"/>
    </row>
    <row r="1397" ht="15.75" customHeight="1">
      <c r="A1397" s="27"/>
      <c r="B1397" s="27"/>
      <c r="C1397" s="275"/>
      <c r="D1397" s="27"/>
      <c r="E1397" s="275"/>
      <c r="F1397" s="185"/>
      <c r="G1397" s="185"/>
      <c r="H1397" s="185"/>
      <c r="I1397" s="298"/>
      <c r="J1397" s="298"/>
      <c r="K1397" s="302"/>
      <c r="L1397" s="303"/>
      <c r="N1397" s="321"/>
      <c r="O1397" s="58"/>
      <c r="P1397" s="300"/>
      <c r="Q1397" s="58"/>
    </row>
    <row r="1398" ht="15.75" customHeight="1">
      <c r="A1398" s="27"/>
      <c r="B1398" s="27"/>
      <c r="C1398" s="275"/>
      <c r="D1398" s="27"/>
      <c r="E1398" s="275"/>
      <c r="F1398" s="185"/>
      <c r="G1398" s="185"/>
      <c r="H1398" s="185"/>
      <c r="I1398" s="298"/>
      <c r="J1398" s="298"/>
      <c r="K1398" s="302"/>
      <c r="L1398" s="303"/>
      <c r="N1398" s="187"/>
      <c r="O1398" s="58"/>
      <c r="P1398" s="300"/>
      <c r="Q1398" s="58"/>
    </row>
    <row r="1399" ht="15.75" customHeight="1">
      <c r="A1399" s="27"/>
      <c r="B1399" s="27"/>
      <c r="C1399" s="275"/>
      <c r="D1399" s="27"/>
      <c r="E1399" s="275"/>
      <c r="F1399" s="185"/>
      <c r="G1399" s="185"/>
      <c r="H1399" s="185"/>
      <c r="I1399" s="298"/>
      <c r="J1399" s="298"/>
      <c r="K1399" s="302"/>
      <c r="L1399" s="303"/>
      <c r="N1399" s="321"/>
      <c r="O1399" s="58"/>
      <c r="P1399" s="300"/>
      <c r="Q1399" s="58"/>
    </row>
    <row r="1400" ht="15.75" customHeight="1">
      <c r="A1400" s="27"/>
      <c r="B1400" s="27"/>
      <c r="C1400" s="275"/>
      <c r="D1400" s="27"/>
      <c r="E1400" s="275"/>
      <c r="F1400" s="185"/>
      <c r="G1400" s="185"/>
      <c r="H1400" s="185"/>
      <c r="I1400" s="298"/>
      <c r="J1400" s="298"/>
      <c r="K1400" s="302"/>
      <c r="L1400" s="303"/>
      <c r="N1400" s="321"/>
      <c r="O1400" s="58"/>
      <c r="P1400" s="300"/>
      <c r="Q1400" s="58"/>
    </row>
    <row r="1401" ht="15.75" customHeight="1">
      <c r="A1401" s="27"/>
      <c r="B1401" s="27"/>
      <c r="C1401" s="275"/>
      <c r="D1401" s="27"/>
      <c r="E1401" s="275"/>
      <c r="F1401" s="185"/>
      <c r="G1401" s="185"/>
      <c r="H1401" s="185"/>
      <c r="I1401" s="298"/>
      <c r="J1401" s="298"/>
      <c r="K1401" s="302"/>
      <c r="L1401" s="303"/>
      <c r="N1401" s="352"/>
      <c r="O1401" s="154"/>
      <c r="P1401" s="353"/>
      <c r="Q1401" s="58"/>
    </row>
    <row r="1402" ht="15.75" customHeight="1">
      <c r="A1402" s="27"/>
      <c r="B1402" s="27"/>
      <c r="C1402" s="275"/>
      <c r="D1402" s="27"/>
      <c r="E1402" s="275"/>
      <c r="F1402" s="185"/>
      <c r="G1402" s="185"/>
      <c r="H1402" s="185"/>
      <c r="I1402" s="298"/>
      <c r="J1402" s="298"/>
      <c r="K1402" s="302"/>
      <c r="L1402" s="303"/>
      <c r="N1402" s="321"/>
      <c r="O1402" s="58"/>
      <c r="P1402" s="300"/>
      <c r="Q1402" s="154"/>
    </row>
    <row r="1403" ht="15.75" customHeight="1">
      <c r="A1403" s="27"/>
      <c r="B1403" s="27"/>
      <c r="C1403" s="275"/>
      <c r="D1403" s="27"/>
      <c r="E1403" s="275"/>
      <c r="F1403" s="185"/>
      <c r="G1403" s="185"/>
      <c r="H1403" s="185"/>
      <c r="I1403" s="298"/>
      <c r="J1403" s="298"/>
      <c r="K1403" s="302"/>
      <c r="L1403" s="303"/>
      <c r="N1403" s="352"/>
      <c r="O1403" s="154"/>
      <c r="P1403" s="353"/>
      <c r="Q1403" s="58"/>
    </row>
    <row r="1404" ht="15.75" customHeight="1">
      <c r="A1404" s="27"/>
      <c r="B1404" s="27"/>
      <c r="C1404" s="275"/>
      <c r="D1404" s="27"/>
      <c r="E1404" s="275"/>
      <c r="F1404" s="185"/>
      <c r="G1404" s="185"/>
      <c r="H1404" s="185"/>
      <c r="I1404" s="298"/>
      <c r="J1404" s="298"/>
      <c r="K1404" s="302"/>
      <c r="L1404" s="303"/>
      <c r="N1404" s="321"/>
      <c r="O1404" s="58"/>
      <c r="P1404" s="300"/>
      <c r="Q1404" s="154"/>
      <c r="V1404" s="356"/>
      <c r="W1404" s="356"/>
      <c r="X1404" s="356"/>
      <c r="Y1404" s="356"/>
      <c r="Z1404" s="356"/>
      <c r="AA1404" s="356"/>
      <c r="AB1404" s="356"/>
      <c r="AC1404" s="356"/>
      <c r="AD1404" s="356"/>
      <c r="AE1404" s="356"/>
      <c r="AF1404" s="356"/>
      <c r="AG1404" s="356"/>
      <c r="AH1404" s="356"/>
    </row>
    <row r="1405" ht="15.75" customHeight="1">
      <c r="A1405" s="27"/>
      <c r="B1405" s="27"/>
      <c r="C1405" s="275"/>
      <c r="D1405" s="27"/>
      <c r="E1405" s="275"/>
      <c r="F1405" s="185"/>
      <c r="G1405" s="185"/>
      <c r="H1405" s="185"/>
      <c r="I1405" s="298"/>
      <c r="J1405" s="298"/>
      <c r="K1405" s="302"/>
      <c r="L1405" s="303"/>
      <c r="N1405" s="352"/>
      <c r="O1405" s="154"/>
      <c r="P1405" s="353"/>
      <c r="Q1405" s="58"/>
    </row>
    <row r="1406" ht="15.75" customHeight="1">
      <c r="A1406" s="27"/>
      <c r="B1406" s="27"/>
      <c r="C1406" s="275"/>
      <c r="D1406" s="27"/>
      <c r="E1406" s="275"/>
      <c r="F1406" s="185"/>
      <c r="G1406" s="185"/>
      <c r="H1406" s="185"/>
      <c r="I1406" s="298"/>
      <c r="J1406" s="298"/>
      <c r="K1406" s="302"/>
      <c r="L1406" s="303"/>
      <c r="N1406" s="321"/>
      <c r="O1406" s="58"/>
      <c r="P1406" s="300"/>
      <c r="Q1406" s="154"/>
    </row>
    <row r="1407" ht="15.75" customHeight="1">
      <c r="A1407" s="27"/>
      <c r="B1407" s="27"/>
      <c r="C1407" s="275"/>
      <c r="D1407" s="27"/>
      <c r="E1407" s="275"/>
      <c r="F1407" s="185"/>
      <c r="G1407" s="185"/>
      <c r="H1407" s="185"/>
      <c r="I1407" s="298"/>
      <c r="J1407" s="298"/>
      <c r="K1407" s="302"/>
      <c r="L1407" s="303"/>
      <c r="N1407" s="321"/>
      <c r="O1407" s="58"/>
      <c r="P1407" s="300"/>
      <c r="Q1407" s="58"/>
    </row>
    <row r="1408" ht="15.75" customHeight="1">
      <c r="A1408" s="27"/>
      <c r="B1408" s="27"/>
      <c r="C1408" s="275"/>
      <c r="D1408" s="27"/>
      <c r="E1408" s="275"/>
      <c r="F1408" s="185"/>
      <c r="G1408" s="185"/>
      <c r="H1408" s="185"/>
      <c r="I1408" s="298"/>
      <c r="J1408" s="298"/>
      <c r="K1408" s="302"/>
      <c r="L1408" s="303"/>
      <c r="N1408" s="187"/>
      <c r="O1408" s="58"/>
      <c r="P1408" s="300"/>
      <c r="Q1408" s="58"/>
    </row>
    <row r="1409" ht="15.75" customHeight="1">
      <c r="A1409" s="27"/>
      <c r="B1409" s="27"/>
      <c r="C1409" s="275"/>
      <c r="D1409" s="27"/>
      <c r="E1409" s="275"/>
      <c r="F1409" s="185"/>
      <c r="G1409" s="185"/>
      <c r="H1409" s="185"/>
      <c r="I1409" s="298"/>
      <c r="J1409" s="298"/>
      <c r="K1409" s="302"/>
      <c r="L1409" s="303"/>
      <c r="N1409" s="187"/>
      <c r="O1409" s="58"/>
      <c r="P1409" s="300"/>
      <c r="Q1409" s="58"/>
    </row>
    <row r="1410" ht="15.75" customHeight="1">
      <c r="A1410" s="27"/>
      <c r="B1410" s="27"/>
      <c r="C1410" s="275"/>
      <c r="D1410" s="27"/>
      <c r="E1410" s="275"/>
      <c r="F1410" s="185"/>
      <c r="G1410" s="185"/>
      <c r="H1410" s="185"/>
      <c r="I1410" s="298"/>
      <c r="J1410" s="298"/>
      <c r="K1410" s="302"/>
      <c r="L1410" s="303"/>
      <c r="N1410" s="352"/>
      <c r="O1410" s="154"/>
      <c r="P1410" s="353"/>
      <c r="Q1410" s="58"/>
      <c r="U1410" s="27" t="s">
        <v>1484</v>
      </c>
    </row>
    <row r="1411" ht="15.75" customHeight="1">
      <c r="A1411" s="27"/>
      <c r="B1411" s="27"/>
      <c r="C1411" s="275"/>
      <c r="D1411" s="27"/>
      <c r="E1411" s="275"/>
      <c r="F1411" s="185"/>
      <c r="G1411" s="185"/>
      <c r="H1411" s="185"/>
      <c r="I1411" s="298"/>
      <c r="J1411" s="298"/>
      <c r="K1411" s="302"/>
      <c r="L1411" s="303"/>
      <c r="N1411" s="352"/>
      <c r="O1411" s="154"/>
      <c r="P1411" s="353"/>
      <c r="Q1411" s="154"/>
    </row>
    <row r="1412" ht="15.75" customHeight="1">
      <c r="A1412" s="27"/>
      <c r="B1412" s="27"/>
      <c r="C1412" s="275"/>
      <c r="D1412" s="27"/>
      <c r="E1412" s="275"/>
      <c r="F1412" s="185"/>
      <c r="G1412" s="185"/>
      <c r="H1412" s="185"/>
      <c r="I1412" s="298"/>
      <c r="J1412" s="298"/>
      <c r="K1412" s="302"/>
      <c r="L1412" s="303"/>
      <c r="M1412" s="301"/>
      <c r="N1412" s="187"/>
      <c r="O1412" s="369"/>
      <c r="P1412" s="370"/>
      <c r="Q1412" s="154"/>
    </row>
    <row r="1413" ht="15.75" customHeight="1">
      <c r="A1413" s="27"/>
      <c r="B1413" s="27"/>
      <c r="C1413" s="275"/>
      <c r="D1413" s="27"/>
      <c r="E1413" s="275"/>
      <c r="F1413" s="185"/>
      <c r="G1413" s="185"/>
      <c r="H1413" s="185"/>
      <c r="I1413" s="309"/>
      <c r="J1413" s="309"/>
      <c r="K1413" s="371"/>
      <c r="L1413" s="372"/>
      <c r="M1413" s="301"/>
      <c r="N1413" s="187"/>
      <c r="O1413" s="58"/>
      <c r="P1413" s="300"/>
      <c r="Q1413" s="369"/>
    </row>
    <row r="1414" ht="15.75" customHeight="1">
      <c r="A1414" s="27"/>
      <c r="B1414" s="27"/>
      <c r="C1414" s="275"/>
      <c r="D1414" s="27"/>
      <c r="E1414" s="275"/>
      <c r="F1414" s="185"/>
      <c r="G1414" s="185"/>
      <c r="H1414" s="185"/>
      <c r="I1414" s="309"/>
      <c r="J1414" s="309"/>
      <c r="K1414" s="371"/>
      <c r="L1414" s="372"/>
      <c r="N1414" s="352"/>
      <c r="O1414" s="154"/>
      <c r="P1414" s="353"/>
      <c r="Q1414" s="58"/>
    </row>
    <row r="1415" ht="15.75" customHeight="1">
      <c r="A1415" s="27"/>
      <c r="B1415" s="27"/>
      <c r="C1415" s="275"/>
      <c r="D1415" s="27"/>
      <c r="E1415" s="275"/>
      <c r="F1415" s="185"/>
      <c r="G1415" s="185"/>
      <c r="H1415" s="185"/>
      <c r="I1415" s="298"/>
      <c r="J1415" s="298"/>
      <c r="K1415" s="302"/>
      <c r="L1415" s="303"/>
      <c r="N1415" s="352"/>
      <c r="O1415" s="154"/>
      <c r="P1415" s="353"/>
      <c r="Q1415" s="154"/>
    </row>
    <row r="1416" ht="15.75" customHeight="1">
      <c r="A1416" s="27"/>
      <c r="B1416" s="27"/>
      <c r="C1416" s="275"/>
      <c r="D1416" s="27"/>
      <c r="E1416" s="275"/>
      <c r="F1416" s="185"/>
      <c r="G1416" s="185"/>
      <c r="H1416" s="185"/>
      <c r="I1416" s="298"/>
      <c r="J1416" s="298"/>
      <c r="K1416" s="302"/>
      <c r="L1416" s="303"/>
      <c r="N1416" s="352"/>
      <c r="O1416" s="154"/>
      <c r="P1416" s="353"/>
      <c r="Q1416" s="154"/>
    </row>
    <row r="1417" ht="15.75" customHeight="1">
      <c r="A1417" s="27"/>
      <c r="B1417" s="27"/>
      <c r="C1417" s="363"/>
      <c r="D1417" s="27"/>
      <c r="E1417" s="363"/>
      <c r="F1417" s="185"/>
      <c r="G1417" s="185"/>
      <c r="H1417" s="185"/>
      <c r="I1417" s="298"/>
      <c r="J1417" s="298"/>
      <c r="K1417" s="302"/>
      <c r="L1417" s="303"/>
      <c r="M1417" s="356"/>
      <c r="N1417" s="352"/>
      <c r="O1417" s="154"/>
      <c r="P1417" s="353"/>
      <c r="Q1417" s="154"/>
      <c r="R1417" s="356"/>
      <c r="S1417" s="356"/>
      <c r="T1417" s="356"/>
      <c r="U1417" s="356"/>
    </row>
    <row r="1418" ht="15.75" customHeight="1">
      <c r="A1418" s="27"/>
      <c r="B1418" s="27"/>
      <c r="C1418" s="275"/>
      <c r="D1418" s="27"/>
      <c r="E1418" s="275"/>
      <c r="F1418" s="185"/>
      <c r="G1418" s="185"/>
      <c r="H1418" s="185"/>
      <c r="I1418" s="298"/>
      <c r="J1418" s="298"/>
      <c r="K1418" s="302"/>
      <c r="L1418" s="303"/>
      <c r="N1418" s="352"/>
      <c r="O1418" s="154"/>
      <c r="P1418" s="353"/>
      <c r="Q1418" s="154"/>
    </row>
    <row r="1419" ht="15.75" customHeight="1">
      <c r="A1419" s="27"/>
      <c r="B1419" s="27"/>
      <c r="C1419" s="275"/>
      <c r="D1419" s="27"/>
      <c r="E1419" s="275"/>
      <c r="F1419" s="185"/>
      <c r="G1419" s="185"/>
      <c r="H1419" s="185"/>
      <c r="I1419" s="298"/>
      <c r="J1419" s="298"/>
      <c r="K1419" s="302"/>
      <c r="L1419" s="303"/>
      <c r="N1419" s="187"/>
      <c r="O1419" s="58"/>
      <c r="P1419" s="300"/>
      <c r="Q1419" s="154"/>
    </row>
    <row r="1420" ht="15.75" customHeight="1">
      <c r="A1420" s="27"/>
      <c r="B1420" s="27"/>
      <c r="C1420" s="275"/>
      <c r="D1420" s="27"/>
      <c r="E1420" s="275"/>
      <c r="F1420" s="185"/>
      <c r="G1420" s="185"/>
      <c r="H1420" s="185"/>
      <c r="I1420" s="298"/>
      <c r="J1420" s="298"/>
      <c r="K1420" s="302"/>
      <c r="L1420" s="303"/>
      <c r="N1420" s="187"/>
      <c r="O1420" s="58"/>
      <c r="P1420" s="300"/>
      <c r="Q1420" s="58"/>
    </row>
    <row r="1421" ht="15.75" customHeight="1">
      <c r="A1421" s="27"/>
      <c r="B1421" s="27"/>
      <c r="C1421" s="275"/>
      <c r="D1421" s="27"/>
      <c r="E1421" s="275"/>
      <c r="F1421" s="185"/>
      <c r="G1421" s="185"/>
      <c r="H1421" s="185"/>
      <c r="I1421" s="298"/>
      <c r="J1421" s="298"/>
      <c r="K1421" s="302"/>
      <c r="L1421" s="303"/>
      <c r="N1421" s="352"/>
      <c r="O1421" s="154"/>
      <c r="P1421" s="353"/>
      <c r="Q1421" s="58"/>
    </row>
    <row r="1422" ht="15.75" customHeight="1">
      <c r="A1422" s="27"/>
      <c r="B1422" s="27"/>
      <c r="C1422" s="275"/>
      <c r="D1422" s="27"/>
      <c r="E1422" s="275"/>
      <c r="F1422" s="185"/>
      <c r="G1422" s="185"/>
      <c r="H1422" s="185"/>
      <c r="I1422" s="298"/>
      <c r="J1422" s="298"/>
      <c r="K1422" s="302"/>
      <c r="L1422" s="303"/>
      <c r="N1422" s="352"/>
      <c r="O1422" s="154"/>
      <c r="P1422" s="353"/>
      <c r="Q1422" s="154"/>
    </row>
    <row r="1423" ht="15.75" customHeight="1">
      <c r="A1423" s="27"/>
      <c r="B1423" s="27"/>
      <c r="C1423" s="275"/>
      <c r="D1423" s="27"/>
      <c r="E1423" s="275"/>
      <c r="F1423" s="185"/>
      <c r="G1423" s="185"/>
      <c r="H1423" s="185"/>
      <c r="I1423" s="298"/>
      <c r="J1423" s="298"/>
      <c r="K1423" s="302"/>
      <c r="L1423" s="303"/>
      <c r="N1423" s="352"/>
      <c r="O1423" s="154"/>
      <c r="P1423" s="353"/>
      <c r="Q1423" s="154"/>
    </row>
    <row r="1424" ht="15.75" customHeight="1">
      <c r="A1424" s="27"/>
      <c r="B1424" s="27"/>
      <c r="C1424" s="275"/>
      <c r="D1424" s="27"/>
      <c r="E1424" s="275"/>
      <c r="F1424" s="185"/>
      <c r="G1424" s="185"/>
      <c r="H1424" s="185"/>
      <c r="I1424" s="298"/>
      <c r="J1424" s="298"/>
      <c r="K1424" s="302"/>
      <c r="L1424" s="303"/>
      <c r="N1424" s="187"/>
      <c r="O1424" s="58"/>
      <c r="P1424" s="300"/>
      <c r="Q1424" s="154"/>
    </row>
    <row r="1425" ht="15.75" customHeight="1">
      <c r="A1425" s="27"/>
      <c r="B1425" s="27"/>
      <c r="C1425" s="275"/>
      <c r="D1425" s="27"/>
      <c r="E1425" s="275"/>
      <c r="F1425" s="185"/>
      <c r="G1425" s="185"/>
      <c r="H1425" s="185"/>
      <c r="I1425" s="298"/>
      <c r="J1425" s="298"/>
      <c r="K1425" s="302"/>
      <c r="L1425" s="303"/>
      <c r="N1425" s="187"/>
      <c r="O1425" s="58"/>
      <c r="P1425" s="300"/>
      <c r="Q1425" s="58"/>
    </row>
    <row r="1426" ht="15.75" customHeight="1">
      <c r="A1426" s="27"/>
      <c r="B1426" s="27"/>
      <c r="C1426" s="275"/>
      <c r="D1426" s="27"/>
      <c r="E1426" s="275"/>
      <c r="F1426" s="185"/>
      <c r="G1426" s="351"/>
      <c r="H1426" s="185"/>
      <c r="I1426" s="298"/>
      <c r="J1426" s="298"/>
      <c r="K1426" s="302"/>
      <c r="L1426" s="303"/>
      <c r="N1426" s="187"/>
      <c r="O1426" s="58"/>
      <c r="P1426" s="300"/>
      <c r="Q1426" s="58"/>
    </row>
    <row r="1427" ht="15.75" customHeight="1">
      <c r="A1427" s="27"/>
      <c r="B1427" s="27"/>
      <c r="C1427" s="275"/>
      <c r="D1427" s="27"/>
      <c r="E1427" s="275"/>
      <c r="F1427" s="185"/>
      <c r="G1427" s="185"/>
      <c r="H1427" s="185"/>
      <c r="I1427" s="298"/>
      <c r="J1427" s="298"/>
      <c r="K1427" s="302"/>
      <c r="L1427" s="303"/>
      <c r="N1427" s="352"/>
      <c r="O1427" s="154"/>
      <c r="P1427" s="353"/>
      <c r="Q1427" s="58"/>
    </row>
    <row r="1428" ht="15.75" customHeight="1">
      <c r="A1428" s="27"/>
      <c r="B1428" s="27"/>
      <c r="C1428" s="275"/>
      <c r="D1428" s="27"/>
      <c r="E1428" s="275"/>
      <c r="F1428" s="185"/>
      <c r="G1428" s="185"/>
      <c r="H1428" s="185"/>
      <c r="I1428" s="298"/>
      <c r="J1428" s="298"/>
      <c r="K1428" s="302"/>
      <c r="L1428" s="303"/>
      <c r="N1428" s="352"/>
      <c r="O1428" s="154"/>
      <c r="P1428" s="353"/>
      <c r="Q1428" s="154"/>
    </row>
    <row r="1429" ht="15.75" customHeight="1">
      <c r="A1429" s="27"/>
      <c r="B1429" s="27"/>
      <c r="C1429" s="275"/>
      <c r="D1429" s="27"/>
      <c r="E1429" s="275"/>
      <c r="F1429" s="185"/>
      <c r="G1429" s="185"/>
      <c r="H1429" s="185"/>
      <c r="I1429" s="298"/>
      <c r="J1429" s="298"/>
      <c r="K1429" s="302"/>
      <c r="L1429" s="303"/>
      <c r="N1429" s="352"/>
      <c r="O1429" s="154"/>
      <c r="P1429" s="353"/>
      <c r="Q1429" s="154"/>
    </row>
    <row r="1430" ht="15.75" customHeight="1">
      <c r="A1430" s="27"/>
      <c r="B1430" s="27"/>
      <c r="C1430" s="275"/>
      <c r="D1430" s="27"/>
      <c r="E1430" s="275"/>
      <c r="F1430" s="185"/>
      <c r="G1430" s="185"/>
      <c r="H1430" s="185"/>
      <c r="I1430" s="298"/>
      <c r="J1430" s="298"/>
      <c r="K1430" s="302"/>
      <c r="L1430" s="303"/>
      <c r="N1430" s="352"/>
      <c r="O1430" s="154"/>
      <c r="P1430" s="353"/>
      <c r="Q1430" s="154"/>
    </row>
    <row r="1431" ht="15.75" customHeight="1">
      <c r="A1431" s="27"/>
      <c r="B1431" s="27"/>
      <c r="C1431" s="275"/>
      <c r="D1431" s="27"/>
      <c r="E1431" s="275"/>
      <c r="F1431" s="185"/>
      <c r="G1431" s="185"/>
      <c r="H1431" s="185"/>
      <c r="I1431" s="298"/>
      <c r="J1431" s="298"/>
      <c r="K1431" s="302"/>
      <c r="L1431" s="303"/>
      <c r="N1431" s="352"/>
      <c r="O1431" s="154"/>
      <c r="P1431" s="353"/>
      <c r="Q1431" s="154"/>
    </row>
    <row r="1432" ht="15.75" customHeight="1">
      <c r="A1432" s="27"/>
      <c r="B1432" s="27"/>
      <c r="C1432" s="275"/>
      <c r="D1432" s="27"/>
      <c r="E1432" s="275"/>
      <c r="F1432" s="185"/>
      <c r="G1432" s="185"/>
      <c r="H1432" s="185"/>
      <c r="I1432" s="298"/>
      <c r="J1432" s="298"/>
      <c r="K1432" s="302"/>
      <c r="L1432" s="303"/>
      <c r="N1432" s="352"/>
      <c r="O1432" s="154"/>
      <c r="P1432" s="353"/>
      <c r="Q1432" s="154"/>
    </row>
    <row r="1433" ht="15.75" customHeight="1">
      <c r="A1433" s="27"/>
      <c r="B1433" s="27"/>
      <c r="C1433" s="275"/>
      <c r="D1433" s="27"/>
      <c r="E1433" s="275"/>
      <c r="F1433" s="185"/>
      <c r="G1433" s="185"/>
      <c r="H1433" s="185"/>
      <c r="I1433" s="298"/>
      <c r="J1433" s="298"/>
      <c r="K1433" s="302"/>
      <c r="L1433" s="303"/>
      <c r="N1433" s="187"/>
      <c r="O1433" s="58"/>
      <c r="P1433" s="300"/>
      <c r="Q1433" s="154"/>
    </row>
    <row r="1434" ht="15.75" customHeight="1">
      <c r="A1434" s="27"/>
      <c r="B1434" s="27"/>
      <c r="C1434" s="275"/>
      <c r="D1434" s="27"/>
      <c r="E1434" s="275"/>
      <c r="F1434" s="185"/>
      <c r="G1434" s="185"/>
      <c r="H1434" s="185"/>
      <c r="I1434" s="298"/>
      <c r="J1434" s="298"/>
      <c r="K1434" s="302"/>
      <c r="L1434" s="303"/>
      <c r="N1434" s="187"/>
      <c r="O1434" s="58"/>
      <c r="P1434" s="300"/>
      <c r="Q1434" s="58"/>
    </row>
    <row r="1435" ht="15.75" customHeight="1">
      <c r="A1435" s="373"/>
      <c r="B1435" s="373"/>
      <c r="C1435" s="374"/>
      <c r="D1435" s="373"/>
      <c r="E1435" s="374"/>
      <c r="F1435" s="185"/>
      <c r="G1435" s="185"/>
      <c r="H1435" s="185"/>
      <c r="I1435" s="298"/>
      <c r="J1435" s="298"/>
      <c r="K1435" s="28"/>
      <c r="L1435" s="299"/>
      <c r="M1435" s="373"/>
      <c r="N1435" s="187"/>
      <c r="O1435" s="375"/>
      <c r="P1435" s="377"/>
      <c r="Q1435" s="58"/>
      <c r="R1435" s="373"/>
      <c r="S1435" s="373"/>
      <c r="T1435" s="373"/>
      <c r="U1435" s="373"/>
    </row>
    <row r="1436" ht="15.75" customHeight="1">
      <c r="A1436" s="27"/>
      <c r="B1436" s="27"/>
      <c r="C1436" s="275"/>
      <c r="D1436" s="27"/>
      <c r="E1436" s="275"/>
      <c r="F1436" s="185"/>
      <c r="G1436" s="185"/>
      <c r="H1436" s="185"/>
      <c r="I1436" s="378"/>
      <c r="J1436" s="378"/>
      <c r="K1436" s="379"/>
      <c r="L1436" s="380"/>
      <c r="N1436" s="187"/>
      <c r="O1436" s="58"/>
      <c r="P1436" s="300"/>
      <c r="Q1436" s="381"/>
    </row>
    <row r="1437" ht="15.75" customHeight="1">
      <c r="A1437" s="27"/>
      <c r="B1437" s="27"/>
      <c r="C1437" s="275"/>
      <c r="D1437" s="27"/>
      <c r="E1437" s="275"/>
      <c r="F1437" s="185"/>
      <c r="G1437" s="185"/>
      <c r="H1437" s="185"/>
      <c r="I1437" s="298"/>
      <c r="J1437" s="298"/>
      <c r="K1437" s="302"/>
      <c r="L1437" s="303"/>
      <c r="N1437" s="352"/>
      <c r="O1437" s="154"/>
      <c r="P1437" s="353"/>
      <c r="Q1437" s="58"/>
    </row>
    <row r="1438" ht="15.75" customHeight="1">
      <c r="A1438" s="27"/>
      <c r="B1438" s="27"/>
      <c r="C1438" s="275"/>
      <c r="D1438" s="27"/>
      <c r="E1438" s="275"/>
      <c r="F1438" s="185"/>
      <c r="G1438" s="185"/>
      <c r="H1438" s="185"/>
      <c r="I1438" s="298"/>
      <c r="J1438" s="298"/>
      <c r="K1438" s="302"/>
      <c r="L1438" s="303"/>
      <c r="N1438" s="187"/>
      <c r="O1438" s="58"/>
      <c r="P1438" s="300"/>
      <c r="Q1438" s="154"/>
    </row>
    <row r="1439" ht="15.75" customHeight="1">
      <c r="A1439" s="27"/>
      <c r="B1439" s="27"/>
      <c r="C1439" s="275"/>
      <c r="D1439" s="27"/>
      <c r="E1439" s="275"/>
      <c r="F1439" s="185"/>
      <c r="G1439" s="185"/>
      <c r="H1439" s="185"/>
      <c r="I1439" s="298"/>
      <c r="J1439" s="298"/>
      <c r="K1439" s="302"/>
      <c r="L1439" s="303"/>
      <c r="N1439" s="187"/>
      <c r="O1439" s="58"/>
      <c r="P1439" s="300"/>
      <c r="Q1439" s="58"/>
    </row>
    <row r="1440" ht="15.75" customHeight="1">
      <c r="A1440" s="27"/>
      <c r="B1440" s="27"/>
      <c r="C1440" s="275"/>
      <c r="D1440" s="27"/>
      <c r="E1440" s="275"/>
      <c r="F1440" s="185"/>
      <c r="G1440" s="185"/>
      <c r="H1440" s="185"/>
      <c r="I1440" s="298"/>
      <c r="J1440" s="298"/>
      <c r="K1440" s="302"/>
      <c r="L1440" s="303"/>
      <c r="N1440" s="187"/>
      <c r="O1440" s="58"/>
      <c r="P1440" s="300"/>
      <c r="Q1440" s="58"/>
    </row>
    <row r="1441" ht="15.75" customHeight="1">
      <c r="A1441" s="27"/>
      <c r="B1441" s="27"/>
      <c r="C1441" s="275"/>
      <c r="D1441" s="27"/>
      <c r="E1441" s="275"/>
      <c r="F1441" s="185"/>
      <c r="G1441" s="185"/>
      <c r="H1441" s="185"/>
      <c r="I1441" s="298"/>
      <c r="J1441" s="298"/>
      <c r="K1441" s="302"/>
      <c r="L1441" s="303"/>
      <c r="N1441" s="187"/>
      <c r="O1441" s="58"/>
      <c r="P1441" s="300"/>
      <c r="Q1441" s="58"/>
    </row>
    <row r="1442" ht="15.75" customHeight="1">
      <c r="A1442" s="27"/>
      <c r="B1442" s="27"/>
      <c r="C1442" s="275"/>
      <c r="D1442" s="27"/>
      <c r="E1442" s="275"/>
      <c r="F1442" s="185"/>
      <c r="G1442" s="185"/>
      <c r="H1442" s="185"/>
      <c r="I1442" s="298"/>
      <c r="J1442" s="298"/>
      <c r="K1442" s="302"/>
      <c r="L1442" s="303"/>
      <c r="N1442" s="187"/>
      <c r="O1442" s="58"/>
      <c r="P1442" s="300"/>
      <c r="Q1442" s="58"/>
    </row>
    <row r="1443" ht="15.75" customHeight="1">
      <c r="A1443" s="27"/>
      <c r="B1443" s="27"/>
      <c r="C1443" s="275"/>
      <c r="D1443" s="27"/>
      <c r="E1443" s="275"/>
      <c r="F1443" s="185"/>
      <c r="G1443" s="185"/>
      <c r="H1443" s="185"/>
      <c r="I1443" s="298"/>
      <c r="J1443" s="298"/>
      <c r="K1443" s="302"/>
      <c r="L1443" s="303"/>
      <c r="N1443" s="352"/>
      <c r="O1443" s="154"/>
      <c r="P1443" s="353"/>
      <c r="Q1443" s="58"/>
    </row>
    <row r="1444" ht="15.75" customHeight="1">
      <c r="A1444" s="27"/>
      <c r="B1444" s="27"/>
      <c r="C1444" s="275"/>
      <c r="D1444" s="27"/>
      <c r="E1444" s="275"/>
      <c r="F1444" s="185"/>
      <c r="G1444" s="185"/>
      <c r="H1444" s="185"/>
      <c r="I1444" s="298"/>
      <c r="J1444" s="298"/>
      <c r="K1444" s="302"/>
      <c r="L1444" s="303"/>
      <c r="N1444" s="187"/>
      <c r="O1444" s="58"/>
      <c r="P1444" s="300"/>
      <c r="Q1444" s="154"/>
    </row>
    <row r="1445" ht="15.75" customHeight="1">
      <c r="A1445" s="27"/>
      <c r="B1445" s="27"/>
      <c r="C1445" s="275"/>
      <c r="D1445" s="27"/>
      <c r="E1445" s="275"/>
      <c r="F1445" s="185"/>
      <c r="G1445" s="185"/>
      <c r="H1445" s="185"/>
      <c r="I1445" s="298"/>
      <c r="J1445" s="298"/>
      <c r="K1445" s="302"/>
      <c r="L1445" s="303"/>
      <c r="N1445" s="187"/>
      <c r="O1445" s="58"/>
      <c r="P1445" s="300"/>
      <c r="Q1445" s="58"/>
    </row>
    <row r="1446" ht="15.75" customHeight="1">
      <c r="A1446" s="27"/>
      <c r="B1446" s="27"/>
      <c r="C1446" s="275"/>
      <c r="D1446" s="27"/>
      <c r="E1446" s="275"/>
      <c r="F1446" s="185"/>
      <c r="G1446" s="185"/>
      <c r="H1446" s="185"/>
      <c r="I1446" s="298"/>
      <c r="J1446" s="298"/>
      <c r="K1446" s="302"/>
      <c r="L1446" s="303"/>
      <c r="N1446" s="352"/>
      <c r="O1446" s="154"/>
      <c r="P1446" s="353"/>
      <c r="Q1446" s="58"/>
    </row>
    <row r="1447" ht="15.75" customHeight="1">
      <c r="A1447" s="27"/>
      <c r="B1447" s="27"/>
      <c r="C1447" s="275"/>
      <c r="D1447" s="27"/>
      <c r="E1447" s="275"/>
      <c r="F1447" s="185"/>
      <c r="G1447" s="185"/>
      <c r="H1447" s="185"/>
      <c r="I1447" s="298"/>
      <c r="J1447" s="298"/>
      <c r="K1447" s="302"/>
      <c r="L1447" s="303"/>
      <c r="N1447" s="187"/>
      <c r="O1447" s="58"/>
      <c r="P1447" s="300"/>
      <c r="Q1447" s="154"/>
    </row>
    <row r="1448" ht="15.75" customHeight="1">
      <c r="A1448" s="27"/>
      <c r="B1448" s="27"/>
      <c r="C1448" s="275"/>
      <c r="D1448" s="27"/>
      <c r="E1448" s="275"/>
      <c r="F1448" s="185"/>
      <c r="G1448" s="185"/>
      <c r="H1448" s="185"/>
      <c r="I1448" s="298"/>
      <c r="J1448" s="298"/>
      <c r="K1448" s="302"/>
      <c r="L1448" s="303"/>
      <c r="N1448" s="187"/>
      <c r="O1448" s="58"/>
      <c r="P1448" s="300"/>
      <c r="Q1448" s="58"/>
    </row>
    <row r="1449" ht="15.75" customHeight="1">
      <c r="A1449" s="27"/>
      <c r="B1449" s="27"/>
      <c r="C1449" s="275"/>
      <c r="D1449" s="27"/>
      <c r="E1449" s="275"/>
      <c r="F1449" s="185"/>
      <c r="G1449" s="185"/>
      <c r="H1449" s="185"/>
      <c r="I1449" s="298"/>
      <c r="J1449" s="298"/>
      <c r="K1449" s="302"/>
      <c r="L1449" s="303"/>
      <c r="N1449" s="352"/>
      <c r="O1449" s="154"/>
      <c r="P1449" s="353"/>
      <c r="Q1449" s="58"/>
    </row>
    <row r="1450" ht="15.75" customHeight="1">
      <c r="A1450" s="27"/>
      <c r="B1450" s="27"/>
      <c r="C1450" s="275"/>
      <c r="D1450" s="27"/>
      <c r="E1450" s="275"/>
      <c r="F1450" s="185"/>
      <c r="G1450" s="185"/>
      <c r="H1450" s="185"/>
      <c r="I1450" s="298"/>
      <c r="J1450" s="298"/>
      <c r="K1450" s="302"/>
      <c r="L1450" s="303"/>
      <c r="N1450" s="187"/>
      <c r="O1450" s="58"/>
      <c r="P1450" s="300"/>
      <c r="Q1450" s="154"/>
    </row>
    <row r="1451" ht="15.75" customHeight="1">
      <c r="A1451" s="27"/>
      <c r="B1451" s="27"/>
      <c r="C1451" s="275"/>
      <c r="D1451" s="27"/>
      <c r="E1451" s="275"/>
      <c r="F1451" s="185"/>
      <c r="G1451" s="185"/>
      <c r="H1451" s="185"/>
      <c r="I1451" s="298"/>
      <c r="J1451" s="298"/>
      <c r="K1451" s="302"/>
      <c r="L1451" s="303"/>
      <c r="N1451" s="187"/>
      <c r="O1451" s="58"/>
      <c r="P1451" s="300"/>
      <c r="Q1451" s="58"/>
    </row>
    <row r="1452" ht="15.75" customHeight="1">
      <c r="A1452" s="27"/>
      <c r="B1452" s="27"/>
      <c r="C1452" s="275"/>
      <c r="D1452" s="27"/>
      <c r="E1452" s="275"/>
      <c r="F1452" s="185"/>
      <c r="G1452" s="185"/>
      <c r="H1452" s="185"/>
      <c r="I1452" s="298"/>
      <c r="J1452" s="298"/>
      <c r="K1452" s="302"/>
      <c r="L1452" s="303"/>
      <c r="N1452" s="352"/>
      <c r="O1452" s="154"/>
      <c r="P1452" s="353"/>
      <c r="Q1452" s="58"/>
    </row>
    <row r="1453" ht="15.75" customHeight="1">
      <c r="A1453" s="27"/>
      <c r="B1453" s="27"/>
      <c r="C1453" s="275"/>
      <c r="D1453" s="27"/>
      <c r="E1453" s="275"/>
      <c r="F1453" s="185"/>
      <c r="G1453" s="185"/>
      <c r="H1453" s="185"/>
      <c r="I1453" s="298"/>
      <c r="J1453" s="298"/>
      <c r="K1453" s="302"/>
      <c r="L1453" s="303"/>
      <c r="N1453" s="352"/>
      <c r="O1453" s="154"/>
      <c r="P1453" s="353"/>
      <c r="Q1453" s="154"/>
    </row>
    <row r="1454" ht="15.75" customHeight="1">
      <c r="A1454" s="27"/>
      <c r="B1454" s="27"/>
      <c r="C1454" s="275"/>
      <c r="D1454" s="27"/>
      <c r="E1454" s="275"/>
      <c r="F1454" s="185"/>
      <c r="G1454" s="185"/>
      <c r="H1454" s="185"/>
      <c r="I1454" s="298"/>
      <c r="J1454" s="298"/>
      <c r="K1454" s="302"/>
      <c r="L1454" s="303"/>
      <c r="N1454" s="187"/>
      <c r="O1454" s="58"/>
      <c r="P1454" s="300"/>
      <c r="Q1454" s="154"/>
    </row>
    <row r="1455" ht="15.75" customHeight="1">
      <c r="A1455" s="27"/>
      <c r="B1455" s="27"/>
      <c r="C1455" s="275"/>
      <c r="D1455" s="27"/>
      <c r="E1455" s="275"/>
      <c r="F1455" s="185"/>
      <c r="G1455" s="185"/>
      <c r="H1455" s="185"/>
      <c r="I1455" s="298"/>
      <c r="J1455" s="298"/>
      <c r="K1455" s="302"/>
      <c r="L1455" s="303"/>
      <c r="N1455" s="187"/>
      <c r="O1455" s="58"/>
      <c r="P1455" s="300"/>
      <c r="Q1455" s="58"/>
    </row>
    <row r="1456" ht="15.75" customHeight="1">
      <c r="A1456" s="27"/>
      <c r="B1456" s="27"/>
      <c r="C1456" s="275"/>
      <c r="D1456" s="27"/>
      <c r="E1456" s="275"/>
      <c r="F1456" s="185"/>
      <c r="G1456" s="185"/>
      <c r="H1456" s="185"/>
      <c r="I1456" s="298"/>
      <c r="J1456" s="298"/>
      <c r="K1456" s="302"/>
      <c r="L1456" s="303"/>
      <c r="N1456" s="352"/>
      <c r="O1456" s="154"/>
      <c r="P1456" s="353"/>
      <c r="Q1456" s="58"/>
    </row>
    <row r="1457" ht="15.75" customHeight="1">
      <c r="A1457" s="27"/>
      <c r="B1457" s="27"/>
      <c r="C1457" s="275"/>
      <c r="D1457" s="382"/>
      <c r="E1457" s="275"/>
      <c r="F1457" s="185"/>
      <c r="G1457" s="185"/>
      <c r="H1457" s="185"/>
      <c r="I1457" s="298"/>
      <c r="J1457" s="298"/>
      <c r="K1457" s="302"/>
      <c r="L1457" s="303"/>
      <c r="N1457" s="366"/>
      <c r="O1457" s="58"/>
      <c r="P1457" s="300"/>
      <c r="Q1457" s="154"/>
    </row>
    <row r="1458" ht="15.75" customHeight="1">
      <c r="A1458" s="27"/>
      <c r="B1458" s="27"/>
      <c r="C1458" s="275"/>
      <c r="D1458" s="382"/>
      <c r="E1458" s="275"/>
      <c r="F1458" s="185"/>
      <c r="G1458" s="185"/>
      <c r="H1458" s="185"/>
      <c r="I1458" s="298"/>
      <c r="J1458" s="298"/>
      <c r="K1458" s="302"/>
      <c r="L1458" s="303"/>
      <c r="N1458" s="187"/>
      <c r="O1458" s="58"/>
      <c r="P1458" s="300"/>
      <c r="Q1458" s="58"/>
    </row>
    <row r="1459" ht="15.75" customHeight="1">
      <c r="A1459" s="27"/>
      <c r="B1459" s="27"/>
      <c r="C1459" s="275"/>
      <c r="D1459" s="382"/>
      <c r="E1459" s="275"/>
      <c r="F1459" s="185"/>
      <c r="G1459" s="185"/>
      <c r="H1459" s="185"/>
      <c r="I1459" s="298"/>
      <c r="J1459" s="298"/>
      <c r="K1459" s="302"/>
      <c r="L1459" s="303"/>
      <c r="N1459" s="187"/>
      <c r="O1459" s="58"/>
      <c r="P1459" s="300"/>
      <c r="Q1459" s="58"/>
    </row>
    <row r="1460" ht="15.75" customHeight="1">
      <c r="A1460" s="27"/>
      <c r="B1460" s="27"/>
      <c r="C1460" s="275"/>
      <c r="D1460" s="382"/>
      <c r="E1460" s="275"/>
      <c r="F1460" s="185"/>
      <c r="G1460" s="185"/>
      <c r="H1460" s="185"/>
      <c r="I1460" s="298"/>
      <c r="J1460" s="298"/>
      <c r="K1460" s="302"/>
      <c r="L1460" s="303"/>
      <c r="N1460" s="187"/>
      <c r="O1460" s="58"/>
      <c r="P1460" s="300"/>
      <c r="Q1460" s="58"/>
    </row>
    <row r="1461" ht="15.75" customHeight="1">
      <c r="A1461" s="27"/>
      <c r="B1461" s="27"/>
      <c r="C1461" s="275"/>
      <c r="D1461" s="27"/>
      <c r="E1461" s="275"/>
      <c r="F1461" s="185"/>
      <c r="G1461" s="185"/>
      <c r="H1461" s="185"/>
      <c r="I1461" s="298"/>
      <c r="J1461" s="298"/>
      <c r="K1461" s="302"/>
      <c r="L1461" s="303"/>
      <c r="N1461" s="352"/>
      <c r="O1461" s="154"/>
      <c r="P1461" s="353"/>
      <c r="Q1461" s="58"/>
    </row>
    <row r="1462" ht="15.75" customHeight="1">
      <c r="A1462" s="27"/>
      <c r="B1462" s="27"/>
      <c r="C1462" s="275"/>
      <c r="D1462" s="27"/>
      <c r="E1462" s="275"/>
      <c r="F1462" s="185"/>
      <c r="G1462" s="185"/>
      <c r="H1462" s="185"/>
      <c r="I1462" s="298"/>
      <c r="J1462" s="298"/>
      <c r="K1462" s="302"/>
      <c r="L1462" s="303"/>
      <c r="N1462" s="352"/>
      <c r="O1462" s="154"/>
      <c r="P1462" s="353"/>
      <c r="Q1462" s="154"/>
    </row>
    <row r="1463" ht="15.75" customHeight="1">
      <c r="A1463" s="27"/>
      <c r="B1463" s="27"/>
      <c r="C1463" s="275"/>
      <c r="D1463" s="27"/>
      <c r="E1463" s="275"/>
      <c r="F1463" s="185"/>
      <c r="G1463" s="185"/>
      <c r="H1463" s="185"/>
      <c r="I1463" s="298"/>
      <c r="J1463" s="298"/>
      <c r="K1463" s="302"/>
      <c r="L1463" s="303"/>
      <c r="N1463" s="352"/>
      <c r="O1463" s="154"/>
      <c r="P1463" s="353"/>
      <c r="Q1463" s="154"/>
    </row>
    <row r="1464" ht="15.75" customHeight="1">
      <c r="A1464" s="27"/>
      <c r="B1464" s="27"/>
      <c r="C1464" s="275"/>
      <c r="D1464" s="27"/>
      <c r="E1464" s="275"/>
      <c r="F1464" s="351"/>
      <c r="G1464" s="185"/>
      <c r="H1464" s="185"/>
      <c r="I1464" s="298"/>
      <c r="J1464" s="298"/>
      <c r="K1464" s="302"/>
      <c r="L1464" s="303"/>
      <c r="N1464" s="352"/>
      <c r="O1464" s="154"/>
      <c r="P1464" s="353"/>
      <c r="Q1464" s="154"/>
    </row>
    <row r="1465" ht="15.75" customHeight="1">
      <c r="A1465" s="27"/>
      <c r="B1465" s="27"/>
      <c r="C1465" s="275"/>
      <c r="D1465" s="27"/>
      <c r="E1465" s="275"/>
      <c r="F1465" s="185"/>
      <c r="G1465" s="185"/>
      <c r="H1465" s="185"/>
      <c r="I1465" s="298"/>
      <c r="J1465" s="298"/>
      <c r="K1465" s="302"/>
      <c r="L1465" s="303"/>
      <c r="N1465" s="352"/>
      <c r="O1465" s="154"/>
      <c r="P1465" s="353"/>
      <c r="Q1465" s="154"/>
    </row>
    <row r="1466" ht="15.75" customHeight="1">
      <c r="A1466" s="27"/>
      <c r="B1466" s="27"/>
      <c r="C1466" s="275"/>
      <c r="D1466" s="27"/>
      <c r="E1466" s="275"/>
      <c r="F1466" s="351"/>
      <c r="G1466" s="185"/>
      <c r="H1466" s="185"/>
      <c r="I1466" s="298"/>
      <c r="J1466" s="298"/>
      <c r="K1466" s="302"/>
      <c r="L1466" s="303"/>
      <c r="N1466" s="352"/>
      <c r="O1466" s="154"/>
      <c r="P1466" s="353"/>
      <c r="Q1466" s="154"/>
    </row>
    <row r="1467" ht="15.75" customHeight="1">
      <c r="A1467" s="27"/>
      <c r="B1467" s="27"/>
      <c r="C1467" s="275"/>
      <c r="D1467" s="27"/>
      <c r="E1467" s="275"/>
      <c r="F1467" s="185"/>
      <c r="G1467" s="185"/>
      <c r="H1467" s="185"/>
      <c r="I1467" s="298"/>
      <c r="J1467" s="298"/>
      <c r="K1467" s="302"/>
      <c r="L1467" s="303"/>
      <c r="N1467" s="352"/>
      <c r="O1467" s="154"/>
      <c r="P1467" s="353"/>
      <c r="Q1467" s="154"/>
    </row>
    <row r="1468" ht="15.75" customHeight="1">
      <c r="A1468" s="27"/>
      <c r="B1468" s="27"/>
      <c r="C1468" s="275"/>
      <c r="D1468" s="27"/>
      <c r="E1468" s="275"/>
      <c r="F1468" s="185"/>
      <c r="G1468" s="185"/>
      <c r="H1468" s="185"/>
      <c r="I1468" s="298"/>
      <c r="J1468" s="298"/>
      <c r="K1468" s="302"/>
      <c r="L1468" s="303"/>
      <c r="N1468" s="352"/>
      <c r="O1468" s="154"/>
      <c r="P1468" s="353"/>
      <c r="Q1468" s="154"/>
    </row>
    <row r="1469" ht="15.75" customHeight="1">
      <c r="A1469" s="27"/>
      <c r="B1469" s="27"/>
      <c r="C1469" s="275"/>
      <c r="D1469" s="27"/>
      <c r="E1469" s="363"/>
      <c r="F1469" s="185"/>
      <c r="G1469" s="185"/>
      <c r="H1469" s="185"/>
      <c r="I1469" s="298"/>
      <c r="J1469" s="298"/>
      <c r="K1469" s="302"/>
      <c r="L1469" s="303"/>
      <c r="N1469" s="352"/>
      <c r="O1469" s="154"/>
      <c r="P1469" s="353"/>
      <c r="Q1469" s="154"/>
    </row>
    <row r="1470" ht="15.75" customHeight="1">
      <c r="A1470" s="27"/>
      <c r="B1470" s="27"/>
      <c r="C1470" s="275"/>
      <c r="D1470" s="27"/>
      <c r="E1470" s="275"/>
      <c r="F1470" s="185"/>
      <c r="G1470" s="185"/>
      <c r="H1470" s="185"/>
      <c r="I1470" s="298"/>
      <c r="J1470" s="298"/>
      <c r="K1470" s="302"/>
      <c r="L1470" s="303"/>
      <c r="N1470" s="187"/>
      <c r="O1470" s="58"/>
      <c r="P1470" s="300"/>
      <c r="Q1470" s="154"/>
    </row>
    <row r="1471" ht="15.75" customHeight="1">
      <c r="A1471" s="27"/>
      <c r="B1471" s="27"/>
      <c r="C1471" s="275"/>
      <c r="D1471" s="373"/>
      <c r="E1471" s="275"/>
      <c r="F1471" s="185"/>
      <c r="G1471" s="185"/>
      <c r="H1471" s="185"/>
      <c r="I1471" s="298"/>
      <c r="J1471" s="298"/>
      <c r="K1471" s="28"/>
      <c r="L1471" s="299"/>
      <c r="M1471" s="27"/>
      <c r="N1471" s="187"/>
      <c r="O1471" s="58"/>
      <c r="P1471" s="300"/>
      <c r="Q1471" s="58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  <c r="AG1471" s="27"/>
      <c r="AH1471" s="27"/>
    </row>
    <row r="1472" ht="15.75" customHeight="1">
      <c r="A1472" s="27"/>
      <c r="B1472" s="27"/>
      <c r="C1472" s="275"/>
      <c r="D1472" s="27"/>
      <c r="E1472" s="275"/>
      <c r="F1472" s="185"/>
      <c r="G1472" s="185"/>
      <c r="H1472" s="185"/>
      <c r="I1472" s="298"/>
      <c r="J1472" s="298"/>
      <c r="K1472" s="384"/>
      <c r="L1472" s="385"/>
      <c r="N1472" s="187"/>
      <c r="O1472" s="58"/>
      <c r="P1472" s="300"/>
      <c r="Q1472" s="386"/>
    </row>
    <row r="1473" ht="15.75" customHeight="1">
      <c r="A1473" s="27"/>
      <c r="B1473" s="27"/>
      <c r="C1473" s="275"/>
      <c r="D1473" s="27"/>
      <c r="E1473" s="275"/>
      <c r="F1473" s="185"/>
      <c r="G1473" s="185"/>
      <c r="H1473" s="185"/>
      <c r="I1473" s="298"/>
      <c r="J1473" s="298"/>
      <c r="K1473" s="302"/>
      <c r="L1473" s="303"/>
      <c r="N1473" s="352"/>
      <c r="O1473" s="154"/>
      <c r="P1473" s="353"/>
      <c r="Q1473" s="58"/>
    </row>
    <row r="1474" ht="15.75" customHeight="1">
      <c r="A1474" s="27"/>
      <c r="B1474" s="27"/>
      <c r="C1474" s="275"/>
      <c r="D1474" s="27"/>
      <c r="E1474" s="275"/>
      <c r="F1474" s="185"/>
      <c r="G1474" s="185"/>
      <c r="H1474" s="185"/>
      <c r="I1474" s="298"/>
      <c r="J1474" s="298"/>
      <c r="K1474" s="302"/>
      <c r="L1474" s="303"/>
      <c r="N1474" s="187"/>
      <c r="O1474" s="58"/>
      <c r="P1474" s="300"/>
      <c r="Q1474" s="154"/>
    </row>
    <row r="1475" ht="15.75" customHeight="1">
      <c r="A1475" s="27"/>
      <c r="B1475" s="27"/>
      <c r="C1475" s="275"/>
      <c r="D1475" s="27"/>
      <c r="E1475" s="275"/>
      <c r="F1475" s="185"/>
      <c r="G1475" s="185"/>
      <c r="H1475" s="185"/>
      <c r="I1475" s="298"/>
      <c r="J1475" s="298"/>
      <c r="K1475" s="302"/>
      <c r="L1475" s="303"/>
      <c r="N1475" s="187"/>
      <c r="O1475" s="58"/>
      <c r="P1475" s="300"/>
      <c r="Q1475" s="58"/>
    </row>
    <row r="1476" ht="15.75" customHeight="1">
      <c r="A1476" s="27"/>
      <c r="B1476" s="27"/>
      <c r="C1476" s="275"/>
      <c r="D1476" s="27"/>
      <c r="E1476" s="275"/>
      <c r="F1476" s="185"/>
      <c r="G1476" s="185"/>
      <c r="H1476" s="185"/>
      <c r="I1476" s="298"/>
      <c r="J1476" s="298"/>
      <c r="K1476" s="302"/>
      <c r="L1476" s="303"/>
      <c r="N1476" s="352"/>
      <c r="O1476" s="154"/>
      <c r="P1476" s="353"/>
      <c r="Q1476" s="58"/>
    </row>
    <row r="1477" ht="15.75" customHeight="1">
      <c r="A1477" s="27"/>
      <c r="B1477" s="27"/>
      <c r="C1477" s="275"/>
      <c r="D1477" s="27"/>
      <c r="E1477" s="275"/>
      <c r="F1477" s="185"/>
      <c r="G1477" s="185"/>
      <c r="H1477" s="185"/>
      <c r="I1477" s="298"/>
      <c r="J1477" s="298"/>
      <c r="K1477" s="302"/>
      <c r="L1477" s="303"/>
      <c r="N1477" s="352"/>
      <c r="O1477" s="154"/>
      <c r="P1477" s="353"/>
      <c r="Q1477" s="154"/>
      <c r="V1477" s="387"/>
      <c r="W1477" s="387"/>
      <c r="X1477" s="387"/>
      <c r="Y1477" s="387"/>
      <c r="Z1477" s="387"/>
      <c r="AA1477" s="387"/>
      <c r="AB1477" s="387"/>
      <c r="AC1477" s="387"/>
      <c r="AD1477" s="387"/>
      <c r="AE1477" s="387"/>
      <c r="AF1477" s="387"/>
      <c r="AG1477" s="387"/>
      <c r="AH1477" s="387"/>
    </row>
    <row r="1478" ht="15.75" customHeight="1">
      <c r="A1478" s="27"/>
      <c r="B1478" s="27"/>
      <c r="C1478" s="275"/>
      <c r="D1478" s="27"/>
      <c r="E1478" s="275"/>
      <c r="F1478" s="185"/>
      <c r="G1478" s="185"/>
      <c r="H1478" s="185"/>
      <c r="I1478" s="298"/>
      <c r="J1478" s="298"/>
      <c r="K1478" s="302"/>
      <c r="L1478" s="303"/>
      <c r="N1478" s="352"/>
      <c r="O1478" s="154"/>
      <c r="P1478" s="353"/>
      <c r="Q1478" s="154"/>
    </row>
    <row r="1479" ht="15.75" customHeight="1">
      <c r="A1479" s="27"/>
      <c r="B1479" s="27"/>
      <c r="C1479" s="275"/>
      <c r="D1479" s="27"/>
      <c r="E1479" s="275"/>
      <c r="F1479" s="185"/>
      <c r="G1479" s="185"/>
      <c r="H1479" s="185"/>
      <c r="I1479" s="298"/>
      <c r="J1479" s="298"/>
      <c r="K1479" s="302"/>
      <c r="L1479" s="303"/>
      <c r="N1479" s="352"/>
      <c r="O1479" s="154"/>
      <c r="P1479" s="353"/>
      <c r="Q1479" s="154"/>
    </row>
    <row r="1480" ht="15.75" customHeight="1">
      <c r="A1480" s="27"/>
      <c r="B1480" s="27"/>
      <c r="C1480" s="275"/>
      <c r="D1480" s="27"/>
      <c r="E1480" s="275"/>
      <c r="F1480" s="185"/>
      <c r="G1480" s="185"/>
      <c r="H1480" s="185"/>
      <c r="I1480" s="298"/>
      <c r="J1480" s="298"/>
      <c r="K1480" s="302"/>
      <c r="L1480" s="303"/>
      <c r="N1480" s="352"/>
      <c r="O1480" s="154"/>
      <c r="P1480" s="353"/>
      <c r="Q1480" s="154"/>
    </row>
    <row r="1481" ht="15.75" customHeight="1">
      <c r="A1481" s="27"/>
      <c r="B1481" s="27"/>
      <c r="C1481" s="275"/>
      <c r="D1481" s="27"/>
      <c r="E1481" s="275"/>
      <c r="F1481" s="185"/>
      <c r="G1481" s="185"/>
      <c r="H1481" s="185"/>
      <c r="I1481" s="298"/>
      <c r="J1481" s="298"/>
      <c r="K1481" s="302"/>
      <c r="L1481" s="303"/>
      <c r="N1481" s="352"/>
      <c r="O1481" s="154"/>
      <c r="P1481" s="353"/>
      <c r="Q1481" s="154"/>
    </row>
    <row r="1482" ht="15.75" customHeight="1">
      <c r="A1482" s="27"/>
      <c r="B1482" s="27"/>
      <c r="C1482" s="275"/>
      <c r="D1482" s="27"/>
      <c r="E1482" s="275"/>
      <c r="F1482" s="185"/>
      <c r="G1482" s="185"/>
      <c r="H1482" s="185"/>
      <c r="I1482" s="298"/>
      <c r="J1482" s="298"/>
      <c r="K1482" s="302"/>
      <c r="L1482" s="303"/>
      <c r="N1482" s="352"/>
      <c r="O1482" s="154"/>
      <c r="P1482" s="353"/>
      <c r="Q1482" s="154"/>
    </row>
    <row r="1483" ht="15.75" customHeight="1">
      <c r="A1483" s="27"/>
      <c r="B1483" s="27"/>
      <c r="C1483" s="275"/>
      <c r="D1483" s="27"/>
      <c r="E1483" s="275"/>
      <c r="F1483" s="185"/>
      <c r="G1483" s="185"/>
      <c r="H1483" s="185"/>
      <c r="I1483" s="298"/>
      <c r="J1483" s="298"/>
      <c r="K1483" s="302"/>
      <c r="L1483" s="303"/>
      <c r="N1483" s="352"/>
      <c r="O1483" s="154"/>
      <c r="P1483" s="353"/>
      <c r="Q1483" s="154"/>
    </row>
    <row r="1484" ht="15.75" customHeight="1">
      <c r="A1484" s="27"/>
      <c r="B1484" s="27"/>
      <c r="C1484" s="275"/>
      <c r="D1484" s="27"/>
      <c r="E1484" s="275"/>
      <c r="F1484" s="185"/>
      <c r="G1484" s="185"/>
      <c r="H1484" s="185"/>
      <c r="I1484" s="298"/>
      <c r="J1484" s="298"/>
      <c r="K1484" s="356"/>
      <c r="L1484" s="353"/>
      <c r="N1484" s="352"/>
      <c r="O1484" s="154"/>
      <c r="P1484" s="353"/>
      <c r="Q1484" s="154"/>
    </row>
    <row r="1485" ht="15.75" customHeight="1">
      <c r="A1485" s="27"/>
      <c r="B1485" s="27"/>
      <c r="C1485" s="275"/>
      <c r="D1485" s="27"/>
      <c r="E1485" s="275"/>
      <c r="F1485" s="185"/>
      <c r="G1485" s="185"/>
      <c r="H1485" s="185"/>
      <c r="I1485" s="298"/>
      <c r="J1485" s="298"/>
      <c r="K1485" s="302"/>
      <c r="L1485" s="303"/>
      <c r="N1485" s="187"/>
      <c r="O1485" s="58"/>
      <c r="P1485" s="300"/>
      <c r="Q1485" s="154"/>
    </row>
    <row r="1486" ht="15.75" customHeight="1">
      <c r="A1486" s="27"/>
      <c r="B1486" s="27"/>
      <c r="C1486" s="275"/>
      <c r="D1486" s="27"/>
      <c r="E1486" s="275"/>
      <c r="F1486" s="185"/>
      <c r="G1486" s="185"/>
      <c r="H1486" s="185"/>
      <c r="I1486" s="298"/>
      <c r="J1486" s="298"/>
      <c r="K1486" s="302"/>
      <c r="L1486" s="303"/>
      <c r="N1486" s="187"/>
      <c r="O1486" s="58"/>
      <c r="P1486" s="300"/>
      <c r="Q1486" s="58"/>
    </row>
    <row r="1487" ht="15.75" customHeight="1">
      <c r="A1487" s="27"/>
      <c r="B1487" s="27"/>
      <c r="C1487" s="275"/>
      <c r="D1487" s="27"/>
      <c r="E1487" s="275"/>
      <c r="F1487" s="185"/>
      <c r="G1487" s="185"/>
      <c r="H1487" s="185"/>
      <c r="I1487" s="298"/>
      <c r="J1487" s="298"/>
      <c r="K1487" s="302"/>
      <c r="L1487" s="303"/>
      <c r="N1487" s="187"/>
      <c r="O1487" s="58"/>
      <c r="P1487" s="300"/>
      <c r="Q1487" s="58"/>
    </row>
    <row r="1488" ht="15.75" customHeight="1">
      <c r="A1488" s="27"/>
      <c r="B1488" s="27"/>
      <c r="C1488" s="275"/>
      <c r="D1488" s="27"/>
      <c r="E1488" s="275"/>
      <c r="F1488" s="185"/>
      <c r="G1488" s="185"/>
      <c r="H1488" s="185"/>
      <c r="I1488" s="298"/>
      <c r="J1488" s="298"/>
      <c r="K1488" s="302"/>
      <c r="L1488" s="303"/>
      <c r="N1488" s="187"/>
      <c r="O1488" s="58"/>
      <c r="P1488" s="300"/>
      <c r="Q1488" s="58"/>
    </row>
    <row r="1489" ht="15.75" customHeight="1">
      <c r="A1489" s="27"/>
      <c r="B1489" s="27"/>
      <c r="C1489" s="275"/>
      <c r="D1489" s="27"/>
      <c r="E1489" s="275"/>
      <c r="F1489" s="185"/>
      <c r="G1489" s="185"/>
      <c r="H1489" s="185"/>
      <c r="I1489" s="298"/>
      <c r="J1489" s="298"/>
      <c r="K1489" s="28"/>
      <c r="L1489" s="299"/>
      <c r="M1489" s="27"/>
      <c r="N1489" s="187"/>
      <c r="O1489" s="58"/>
      <c r="P1489" s="300"/>
      <c r="Q1489" s="58"/>
    </row>
    <row r="1490" ht="15.75" customHeight="1">
      <c r="A1490" s="27"/>
      <c r="B1490" s="27"/>
      <c r="C1490" s="275"/>
      <c r="D1490" s="27"/>
      <c r="E1490" s="275"/>
      <c r="F1490" s="185"/>
      <c r="G1490" s="185"/>
      <c r="H1490" s="185"/>
      <c r="I1490" s="298"/>
      <c r="J1490" s="298"/>
      <c r="K1490" s="384"/>
      <c r="L1490" s="385"/>
      <c r="N1490" s="352"/>
      <c r="O1490" s="154"/>
      <c r="P1490" s="353"/>
      <c r="Q1490" s="386"/>
    </row>
    <row r="1491" ht="15.75" customHeight="1">
      <c r="A1491" s="27"/>
      <c r="B1491" s="27"/>
      <c r="C1491" s="275"/>
      <c r="D1491" s="27"/>
      <c r="E1491" s="275"/>
      <c r="F1491" s="185"/>
      <c r="G1491" s="185"/>
      <c r="H1491" s="185"/>
      <c r="I1491" s="298"/>
      <c r="J1491" s="298"/>
      <c r="K1491" s="302"/>
      <c r="L1491" s="303"/>
      <c r="N1491" s="187"/>
      <c r="O1491" s="58"/>
      <c r="P1491" s="300"/>
      <c r="Q1491" s="154"/>
    </row>
    <row r="1492" ht="15.75" customHeight="1">
      <c r="A1492" s="27"/>
      <c r="B1492" s="27"/>
      <c r="C1492" s="275"/>
      <c r="D1492" s="27"/>
      <c r="E1492" s="275"/>
      <c r="F1492" s="185"/>
      <c r="G1492" s="185"/>
      <c r="H1492" s="185"/>
      <c r="I1492" s="298"/>
      <c r="J1492" s="298"/>
      <c r="K1492" s="302"/>
      <c r="L1492" s="303"/>
      <c r="N1492" s="366"/>
      <c r="O1492" s="58"/>
      <c r="P1492" s="300"/>
      <c r="Q1492" s="58"/>
    </row>
    <row r="1493" ht="15.75" customHeight="1">
      <c r="A1493" s="27"/>
      <c r="B1493" s="27"/>
      <c r="C1493" s="275"/>
      <c r="D1493" s="27"/>
      <c r="E1493" s="275"/>
      <c r="F1493" s="185"/>
      <c r="G1493" s="185"/>
      <c r="H1493" s="185"/>
      <c r="I1493" s="298"/>
      <c r="J1493" s="298"/>
      <c r="K1493" s="302"/>
      <c r="L1493" s="303"/>
      <c r="N1493" s="187"/>
      <c r="O1493" s="58"/>
      <c r="P1493" s="300"/>
      <c r="Q1493" s="58"/>
    </row>
    <row r="1494" ht="15.75" customHeight="1">
      <c r="A1494" s="27"/>
      <c r="B1494" s="27"/>
      <c r="C1494" s="275"/>
      <c r="D1494" s="27"/>
      <c r="E1494" s="275"/>
      <c r="F1494" s="185"/>
      <c r="G1494" s="351"/>
      <c r="H1494" s="185"/>
      <c r="I1494" s="298"/>
      <c r="J1494" s="298"/>
      <c r="K1494" s="302"/>
      <c r="L1494" s="303"/>
      <c r="N1494" s="187"/>
      <c r="O1494" s="58"/>
      <c r="P1494" s="300"/>
      <c r="Q1494" s="58"/>
    </row>
    <row r="1495" ht="15.75" customHeight="1">
      <c r="A1495" s="27"/>
      <c r="B1495" s="58"/>
      <c r="C1495" s="275"/>
      <c r="D1495" s="27"/>
      <c r="E1495" s="275"/>
      <c r="F1495" s="185"/>
      <c r="G1495" s="185"/>
      <c r="H1495" s="185"/>
      <c r="I1495" s="298"/>
      <c r="J1495" s="298"/>
      <c r="K1495" s="28"/>
      <c r="L1495" s="299"/>
      <c r="M1495" s="27"/>
      <c r="N1495" s="187"/>
      <c r="O1495" s="58"/>
      <c r="P1495" s="300"/>
      <c r="Q1495" s="58"/>
    </row>
    <row r="1496" ht="15.75" customHeight="1">
      <c r="A1496" s="27"/>
      <c r="B1496" s="27"/>
      <c r="C1496" s="275"/>
      <c r="D1496" s="27"/>
      <c r="E1496" s="275"/>
      <c r="F1496" s="185"/>
      <c r="G1496" s="185"/>
      <c r="H1496" s="185"/>
      <c r="I1496" s="298"/>
      <c r="J1496" s="298"/>
      <c r="K1496" s="28"/>
      <c r="L1496" s="299"/>
      <c r="M1496" s="27"/>
      <c r="N1496" s="187"/>
      <c r="O1496" s="58"/>
      <c r="P1496" s="300"/>
      <c r="Q1496" s="58"/>
    </row>
    <row r="1497" ht="15.75" customHeight="1">
      <c r="A1497" s="27"/>
      <c r="B1497" s="27"/>
      <c r="C1497" s="275"/>
      <c r="D1497" s="27"/>
      <c r="E1497" s="275"/>
      <c r="F1497" s="185"/>
      <c r="G1497" s="185"/>
      <c r="H1497" s="185"/>
      <c r="I1497" s="298"/>
      <c r="J1497" s="298"/>
      <c r="K1497" s="391"/>
      <c r="L1497" s="392"/>
      <c r="N1497" s="187"/>
      <c r="O1497" s="58"/>
      <c r="P1497" s="300"/>
      <c r="Q1497" s="393"/>
    </row>
    <row r="1498" ht="15.75" customHeight="1">
      <c r="A1498" s="27"/>
      <c r="B1498" s="109"/>
      <c r="C1498" s="275"/>
      <c r="D1498" s="27"/>
      <c r="E1498" s="275"/>
      <c r="F1498" s="185"/>
      <c r="G1498" s="185"/>
      <c r="H1498" s="185"/>
      <c r="I1498" s="298"/>
      <c r="J1498" s="298"/>
      <c r="K1498" s="28"/>
      <c r="L1498" s="299"/>
      <c r="M1498" s="27"/>
      <c r="N1498" s="187"/>
      <c r="O1498" s="58"/>
      <c r="P1498" s="300"/>
      <c r="Q1498" s="58"/>
    </row>
    <row r="1499" ht="15.75" customHeight="1">
      <c r="A1499" s="27"/>
      <c r="B1499" s="27"/>
      <c r="C1499" s="275"/>
      <c r="D1499" s="27"/>
      <c r="E1499" s="275"/>
      <c r="F1499" s="185"/>
      <c r="G1499" s="185"/>
      <c r="H1499" s="185"/>
      <c r="I1499" s="298"/>
      <c r="J1499" s="298"/>
      <c r="K1499" s="28"/>
      <c r="L1499" s="299"/>
      <c r="M1499" s="27"/>
      <c r="N1499" s="187"/>
      <c r="O1499" s="58"/>
      <c r="P1499" s="300"/>
      <c r="Q1499" s="58"/>
    </row>
    <row r="1500" ht="15.75" customHeight="1">
      <c r="A1500" s="27"/>
      <c r="B1500" s="27"/>
      <c r="C1500" s="275"/>
      <c r="D1500" s="27"/>
      <c r="E1500" s="275"/>
      <c r="F1500" s="185"/>
      <c r="G1500" s="185"/>
      <c r="H1500" s="185"/>
      <c r="I1500" s="298"/>
      <c r="J1500" s="298"/>
      <c r="K1500" s="28"/>
      <c r="L1500" s="299"/>
      <c r="M1500" s="27"/>
      <c r="N1500" s="187"/>
      <c r="O1500" s="58"/>
      <c r="P1500" s="300"/>
      <c r="Q1500" s="58"/>
    </row>
    <row r="1501" ht="15.75" customHeight="1">
      <c r="A1501" s="27"/>
      <c r="B1501" s="27"/>
      <c r="C1501" s="275"/>
      <c r="D1501" s="27"/>
      <c r="E1501" s="275"/>
      <c r="F1501" s="185"/>
      <c r="G1501" s="185"/>
      <c r="H1501" s="185"/>
      <c r="I1501" s="298"/>
      <c r="J1501" s="298"/>
      <c r="K1501" s="391"/>
      <c r="L1501" s="392"/>
      <c r="N1501" s="352"/>
      <c r="O1501" s="58"/>
      <c r="P1501" s="300"/>
      <c r="Q1501" s="393"/>
    </row>
    <row r="1502" ht="15.75" customHeight="1">
      <c r="A1502" s="27"/>
      <c r="B1502" s="27"/>
      <c r="C1502" s="275"/>
      <c r="D1502" s="27"/>
      <c r="E1502" s="275"/>
      <c r="F1502" s="185"/>
      <c r="G1502" s="185"/>
      <c r="H1502" s="185"/>
      <c r="I1502" s="298"/>
      <c r="J1502" s="298"/>
      <c r="K1502" s="302"/>
      <c r="L1502" s="303"/>
      <c r="N1502" s="187"/>
      <c r="O1502" s="58"/>
      <c r="P1502" s="300"/>
      <c r="Q1502" s="58"/>
    </row>
    <row r="1503" ht="15.75" customHeight="1">
      <c r="A1503" s="27"/>
      <c r="B1503" s="27"/>
      <c r="C1503" s="275"/>
      <c r="D1503" s="27"/>
      <c r="E1503" s="275"/>
      <c r="F1503" s="185"/>
      <c r="G1503" s="185"/>
      <c r="H1503" s="185"/>
      <c r="I1503" s="298"/>
      <c r="J1503" s="298"/>
      <c r="K1503" s="302"/>
      <c r="L1503" s="303"/>
      <c r="N1503" s="394"/>
      <c r="O1503" s="58"/>
      <c r="P1503" s="300"/>
      <c r="Q1503" s="58"/>
    </row>
    <row r="1504" ht="15.75" customHeight="1">
      <c r="A1504" s="27"/>
      <c r="B1504" s="27"/>
      <c r="C1504" s="275"/>
      <c r="D1504" s="27"/>
      <c r="E1504" s="275"/>
      <c r="F1504" s="185"/>
      <c r="G1504" s="185"/>
      <c r="H1504" s="185"/>
      <c r="I1504" s="298"/>
      <c r="J1504" s="298"/>
      <c r="K1504" s="302"/>
      <c r="L1504" s="303"/>
      <c r="N1504" s="187"/>
      <c r="O1504" s="58"/>
      <c r="P1504" s="300"/>
      <c r="Q1504" s="58"/>
    </row>
    <row r="1505" ht="15.75" customHeight="1">
      <c r="A1505" s="27"/>
      <c r="B1505" s="27"/>
      <c r="C1505" s="275"/>
      <c r="D1505" s="27"/>
      <c r="E1505" s="275"/>
      <c r="F1505" s="185"/>
      <c r="G1505" s="185"/>
      <c r="H1505" s="185"/>
      <c r="I1505" s="298"/>
      <c r="J1505" s="298"/>
      <c r="K1505" s="28"/>
      <c r="L1505" s="299"/>
      <c r="M1505" s="27"/>
      <c r="N1505" s="187"/>
      <c r="O1505" s="58"/>
      <c r="P1505" s="300"/>
      <c r="Q1505" s="58"/>
    </row>
    <row r="1506" ht="15.75" customHeight="1">
      <c r="A1506" s="27"/>
      <c r="B1506" s="27"/>
      <c r="C1506" s="275"/>
      <c r="D1506" s="27"/>
      <c r="E1506" s="275"/>
      <c r="F1506" s="185"/>
      <c r="G1506" s="185"/>
      <c r="H1506" s="185"/>
      <c r="I1506" s="298"/>
      <c r="J1506" s="298"/>
      <c r="K1506" s="391"/>
      <c r="L1506" s="392"/>
      <c r="N1506" s="394"/>
      <c r="O1506" s="58"/>
      <c r="P1506" s="300"/>
      <c r="Q1506" s="393"/>
    </row>
    <row r="1507" ht="15.75" customHeight="1">
      <c r="A1507" s="27"/>
      <c r="B1507" s="27"/>
      <c r="C1507" s="275"/>
      <c r="D1507" s="27"/>
      <c r="E1507" s="275"/>
      <c r="F1507" s="185"/>
      <c r="G1507" s="185"/>
      <c r="H1507" s="185"/>
      <c r="I1507" s="298"/>
      <c r="J1507" s="298"/>
      <c r="K1507" s="28"/>
      <c r="L1507" s="299"/>
      <c r="M1507" s="27"/>
      <c r="N1507" s="187"/>
      <c r="O1507" s="58"/>
      <c r="P1507" s="300"/>
      <c r="Q1507" s="58"/>
      <c r="R1507" s="27"/>
      <c r="S1507" s="27"/>
    </row>
    <row r="1508" ht="15.75" customHeight="1">
      <c r="A1508" s="27"/>
      <c r="B1508" s="27"/>
      <c r="C1508" s="275"/>
      <c r="D1508" s="27"/>
      <c r="E1508" s="275"/>
      <c r="F1508" s="185"/>
      <c r="G1508" s="185"/>
      <c r="H1508" s="185"/>
      <c r="I1508" s="298"/>
      <c r="J1508" s="298"/>
      <c r="K1508" s="28"/>
      <c r="L1508" s="299"/>
      <c r="M1508" s="27"/>
      <c r="N1508" s="187"/>
      <c r="O1508" s="58"/>
      <c r="P1508" s="300"/>
      <c r="Q1508" s="58"/>
    </row>
    <row r="1509" ht="15.75" customHeight="1">
      <c r="A1509" s="27"/>
      <c r="B1509" s="27"/>
      <c r="C1509" s="275"/>
      <c r="D1509" s="27"/>
      <c r="E1509" s="275"/>
      <c r="F1509" s="185"/>
      <c r="G1509" s="185"/>
      <c r="H1509" s="185"/>
      <c r="I1509" s="298"/>
      <c r="J1509" s="298"/>
      <c r="K1509" s="391"/>
      <c r="L1509" s="392"/>
      <c r="N1509" s="394"/>
      <c r="O1509" s="58"/>
      <c r="P1509" s="300"/>
      <c r="Q1509" s="393"/>
    </row>
    <row r="1510" ht="15.75" customHeight="1">
      <c r="A1510" s="27"/>
      <c r="B1510" s="27"/>
      <c r="C1510" s="275"/>
      <c r="D1510" s="27"/>
      <c r="E1510" s="275"/>
      <c r="F1510" s="185"/>
      <c r="G1510" s="185"/>
      <c r="H1510" s="185"/>
      <c r="I1510" s="298"/>
      <c r="J1510" s="298"/>
      <c r="K1510" s="28"/>
      <c r="L1510" s="299"/>
      <c r="M1510" s="27"/>
      <c r="N1510" s="187"/>
      <c r="O1510" s="58"/>
      <c r="P1510" s="300"/>
      <c r="Q1510" s="58"/>
    </row>
    <row r="1511" ht="15.75" customHeight="1">
      <c r="A1511" s="27"/>
      <c r="B1511" s="27"/>
      <c r="C1511" s="275"/>
      <c r="D1511" s="27"/>
      <c r="E1511" s="275"/>
      <c r="F1511" s="185"/>
      <c r="G1511" s="185"/>
      <c r="H1511" s="185"/>
      <c r="I1511" s="298"/>
      <c r="J1511" s="298"/>
      <c r="K1511" s="391"/>
      <c r="L1511" s="392"/>
      <c r="N1511" s="187"/>
      <c r="O1511" s="58"/>
      <c r="P1511" s="300"/>
      <c r="Q1511" s="393"/>
    </row>
    <row r="1512" ht="15.75" customHeight="1">
      <c r="A1512" s="27"/>
      <c r="B1512" s="27"/>
      <c r="C1512" s="275"/>
      <c r="D1512" s="27"/>
      <c r="E1512" s="275"/>
      <c r="F1512" s="185"/>
      <c r="G1512" s="185"/>
      <c r="H1512" s="185"/>
      <c r="I1512" s="298"/>
      <c r="J1512" s="298"/>
      <c r="K1512" s="302"/>
      <c r="L1512" s="303"/>
      <c r="N1512" s="394"/>
      <c r="O1512" s="58"/>
      <c r="P1512" s="300"/>
      <c r="Q1512" s="58"/>
    </row>
    <row r="1513" ht="15.75" customHeight="1">
      <c r="A1513" s="27"/>
      <c r="B1513" s="27"/>
      <c r="C1513" s="275"/>
      <c r="D1513" s="27"/>
      <c r="E1513" s="275"/>
      <c r="F1513" s="185"/>
      <c r="G1513" s="185"/>
      <c r="H1513" s="185"/>
      <c r="I1513" s="298"/>
      <c r="J1513" s="298"/>
      <c r="K1513" s="302"/>
      <c r="L1513" s="303"/>
      <c r="N1513" s="187"/>
      <c r="O1513" s="58"/>
      <c r="P1513" s="300"/>
      <c r="Q1513" s="58"/>
    </row>
    <row r="1514" ht="15.75" customHeight="1">
      <c r="A1514" s="27"/>
      <c r="B1514" s="27"/>
      <c r="C1514" s="275"/>
      <c r="D1514" s="27"/>
      <c r="E1514" s="275"/>
      <c r="F1514" s="185"/>
      <c r="G1514" s="185"/>
      <c r="H1514" s="185"/>
      <c r="I1514" s="298"/>
      <c r="J1514" s="298"/>
      <c r="K1514" s="302"/>
      <c r="L1514" s="303"/>
      <c r="N1514" s="352"/>
      <c r="O1514" s="58"/>
      <c r="P1514" s="300"/>
      <c r="Q1514" s="58"/>
    </row>
    <row r="1515" ht="15.75" customHeight="1">
      <c r="A1515" s="27"/>
      <c r="B1515" s="27"/>
      <c r="C1515" s="275"/>
      <c r="D1515" s="27"/>
      <c r="E1515" s="275"/>
      <c r="F1515" s="185"/>
      <c r="G1515" s="185"/>
      <c r="H1515" s="185"/>
      <c r="I1515" s="298"/>
      <c r="J1515" s="298"/>
      <c r="K1515" s="28"/>
      <c r="L1515" s="299"/>
      <c r="M1515" s="27"/>
      <c r="N1515" s="187"/>
      <c r="O1515" s="58"/>
      <c r="P1515" s="300"/>
      <c r="Q1515" s="58"/>
    </row>
    <row r="1516" ht="15.75" customHeight="1">
      <c r="A1516" s="27"/>
      <c r="B1516" s="27"/>
      <c r="C1516" s="275"/>
      <c r="D1516" s="27"/>
      <c r="E1516" s="275"/>
      <c r="F1516" s="185"/>
      <c r="G1516" s="185"/>
      <c r="H1516" s="185"/>
      <c r="I1516" s="298"/>
      <c r="J1516" s="298"/>
      <c r="K1516" s="28"/>
      <c r="L1516" s="299"/>
      <c r="M1516" s="27"/>
      <c r="N1516" s="187"/>
      <c r="O1516" s="58"/>
      <c r="P1516" s="300"/>
      <c r="Q1516" s="58"/>
    </row>
    <row r="1517" ht="15.75" customHeight="1">
      <c r="A1517" s="27"/>
      <c r="B1517" s="27"/>
      <c r="C1517" s="275"/>
      <c r="D1517" s="27"/>
      <c r="E1517" s="275"/>
      <c r="F1517" s="185"/>
      <c r="G1517" s="185"/>
      <c r="H1517" s="185"/>
      <c r="I1517" s="298"/>
      <c r="J1517" s="298"/>
      <c r="K1517" s="391"/>
      <c r="L1517" s="392"/>
      <c r="N1517" s="187"/>
      <c r="O1517" s="58"/>
      <c r="P1517" s="300"/>
      <c r="Q1517" s="393"/>
    </row>
    <row r="1518" ht="15.75" customHeight="1">
      <c r="A1518" s="27"/>
      <c r="B1518" s="27"/>
      <c r="C1518" s="275"/>
      <c r="D1518" s="27"/>
      <c r="E1518" s="275"/>
      <c r="F1518" s="185"/>
      <c r="G1518" s="185"/>
      <c r="H1518" s="185"/>
      <c r="I1518" s="298"/>
      <c r="J1518" s="298"/>
      <c r="K1518" s="28"/>
      <c r="L1518" s="299"/>
      <c r="M1518" s="27"/>
      <c r="N1518" s="187"/>
      <c r="O1518" s="58"/>
      <c r="P1518" s="300"/>
      <c r="Q1518" s="58"/>
    </row>
    <row r="1519" ht="15.75" customHeight="1">
      <c r="A1519" s="27"/>
      <c r="B1519" s="27"/>
      <c r="C1519" s="275"/>
      <c r="D1519" s="27"/>
      <c r="E1519" s="275"/>
      <c r="F1519" s="185"/>
      <c r="G1519" s="185"/>
      <c r="H1519" s="185"/>
      <c r="I1519" s="298"/>
      <c r="J1519" s="298"/>
      <c r="K1519" s="28"/>
      <c r="L1519" s="299"/>
      <c r="M1519" s="27"/>
      <c r="N1519" s="187"/>
      <c r="O1519" s="58"/>
      <c r="P1519" s="300"/>
      <c r="Q1519" s="58"/>
    </row>
    <row r="1520" ht="15.75" customHeight="1">
      <c r="A1520" s="27"/>
      <c r="B1520" s="27"/>
      <c r="C1520" s="275"/>
      <c r="D1520" s="27"/>
      <c r="E1520" s="275"/>
      <c r="F1520" s="185"/>
      <c r="G1520" s="185"/>
      <c r="H1520" s="185"/>
      <c r="I1520" s="298"/>
      <c r="J1520" s="298"/>
      <c r="K1520" s="28"/>
      <c r="L1520" s="299"/>
      <c r="M1520" s="27"/>
      <c r="N1520" s="187"/>
      <c r="O1520" s="58"/>
      <c r="P1520" s="300"/>
      <c r="Q1520" s="58"/>
    </row>
    <row r="1521" ht="15.75" customHeight="1">
      <c r="A1521" s="27"/>
      <c r="B1521" s="27"/>
      <c r="C1521" s="275"/>
      <c r="D1521" s="27"/>
      <c r="E1521" s="275"/>
      <c r="F1521" s="185"/>
      <c r="G1521" s="185"/>
      <c r="H1521" s="185"/>
      <c r="I1521" s="298"/>
      <c r="J1521" s="298"/>
      <c r="K1521" s="391"/>
      <c r="L1521" s="392"/>
      <c r="N1521" s="352"/>
      <c r="O1521" s="58"/>
      <c r="P1521" s="300"/>
      <c r="Q1521" s="393"/>
    </row>
    <row r="1522" ht="15.75" customHeight="1">
      <c r="A1522" s="27"/>
      <c r="B1522" s="27"/>
      <c r="C1522" s="275"/>
      <c r="D1522" s="27"/>
      <c r="E1522" s="275"/>
      <c r="F1522" s="185"/>
      <c r="G1522" s="185"/>
      <c r="H1522" s="185"/>
      <c r="I1522" s="298"/>
      <c r="J1522" s="298"/>
      <c r="K1522" s="302"/>
      <c r="L1522" s="303"/>
      <c r="N1522" s="187"/>
      <c r="O1522" s="58"/>
      <c r="P1522" s="300"/>
      <c r="Q1522" s="58"/>
    </row>
    <row r="1523" ht="15.75" customHeight="1">
      <c r="A1523" s="27"/>
      <c r="B1523" s="27"/>
      <c r="C1523" s="275"/>
      <c r="D1523" s="27"/>
      <c r="E1523" s="275"/>
      <c r="F1523" s="185"/>
      <c r="G1523" s="185"/>
      <c r="H1523" s="185"/>
      <c r="I1523" s="298"/>
      <c r="J1523" s="298"/>
      <c r="K1523" s="302"/>
      <c r="L1523" s="303"/>
      <c r="N1523" s="187"/>
      <c r="O1523" s="58"/>
      <c r="P1523" s="300"/>
      <c r="Q1523" s="58"/>
    </row>
    <row r="1524" ht="15.75" customHeight="1">
      <c r="A1524" s="27"/>
      <c r="B1524" s="27"/>
      <c r="C1524" s="275"/>
      <c r="D1524" s="27"/>
      <c r="E1524" s="275"/>
      <c r="F1524" s="185"/>
      <c r="G1524" s="185"/>
      <c r="H1524" s="185"/>
      <c r="I1524" s="298"/>
      <c r="J1524" s="298"/>
      <c r="K1524" s="302"/>
      <c r="L1524" s="303"/>
      <c r="N1524" s="352"/>
      <c r="O1524" s="58"/>
      <c r="P1524" s="300"/>
      <c r="Q1524" s="58"/>
    </row>
    <row r="1525" ht="15.75" customHeight="1">
      <c r="A1525" s="27"/>
      <c r="B1525" s="27"/>
      <c r="C1525" s="275"/>
      <c r="D1525" s="27"/>
      <c r="E1525" s="275"/>
      <c r="F1525" s="185"/>
      <c r="G1525" s="185"/>
      <c r="H1525" s="185"/>
      <c r="I1525" s="298"/>
      <c r="J1525" s="298"/>
      <c r="K1525" s="28"/>
      <c r="L1525" s="299"/>
      <c r="M1525" s="27"/>
      <c r="N1525" s="187"/>
      <c r="O1525" s="58"/>
      <c r="P1525" s="300"/>
      <c r="Q1525" s="58"/>
    </row>
    <row r="1526" ht="15.75" customHeight="1">
      <c r="A1526" s="27"/>
      <c r="B1526" s="27"/>
      <c r="C1526" s="275"/>
      <c r="D1526" s="27"/>
      <c r="E1526" s="275"/>
      <c r="F1526" s="185"/>
      <c r="G1526" s="185"/>
      <c r="H1526" s="185"/>
      <c r="I1526" s="298"/>
      <c r="J1526" s="298"/>
      <c r="K1526" s="28"/>
      <c r="L1526" s="299"/>
      <c r="M1526" s="27"/>
      <c r="N1526" s="187"/>
      <c r="O1526" s="58"/>
      <c r="P1526" s="300"/>
      <c r="Q1526" s="58"/>
    </row>
    <row r="1527" ht="15.75" customHeight="1">
      <c r="A1527" s="27"/>
      <c r="B1527" s="27"/>
      <c r="C1527" s="275"/>
      <c r="D1527" s="27"/>
      <c r="E1527" s="275"/>
      <c r="F1527" s="185"/>
      <c r="G1527" s="185"/>
      <c r="H1527" s="185"/>
      <c r="I1527" s="298"/>
      <c r="J1527" s="298"/>
      <c r="K1527" s="391"/>
      <c r="L1527" s="392"/>
      <c r="N1527" s="187"/>
      <c r="O1527" s="58"/>
      <c r="P1527" s="300"/>
      <c r="Q1527" s="393"/>
    </row>
    <row r="1528" ht="15.75" customHeight="1">
      <c r="A1528" s="27"/>
      <c r="B1528" s="27"/>
      <c r="C1528" s="275"/>
      <c r="D1528" s="27"/>
      <c r="E1528" s="275"/>
      <c r="F1528" s="185"/>
      <c r="G1528" s="185"/>
      <c r="H1528" s="185"/>
      <c r="I1528" s="298"/>
      <c r="J1528" s="298"/>
      <c r="K1528" s="302"/>
      <c r="L1528" s="303"/>
      <c r="N1528" s="187"/>
      <c r="O1528" s="58"/>
      <c r="P1528" s="300"/>
      <c r="Q1528" s="58"/>
    </row>
    <row r="1529" ht="15.75" customHeight="1">
      <c r="A1529" s="27"/>
      <c r="B1529" s="27"/>
      <c r="C1529" s="275"/>
      <c r="D1529" s="27"/>
      <c r="E1529" s="275"/>
      <c r="F1529" s="185"/>
      <c r="G1529" s="185"/>
      <c r="H1529" s="185"/>
      <c r="I1529" s="298"/>
      <c r="J1529" s="298"/>
      <c r="K1529" s="302"/>
      <c r="L1529" s="303"/>
      <c r="N1529" s="187"/>
      <c r="O1529" s="58"/>
      <c r="P1529" s="300"/>
      <c r="Q1529" s="58"/>
    </row>
    <row r="1530" ht="15.75" customHeight="1">
      <c r="A1530" s="27"/>
      <c r="B1530" s="27"/>
      <c r="C1530" s="275"/>
      <c r="D1530" s="27"/>
      <c r="E1530" s="275"/>
      <c r="F1530" s="185"/>
      <c r="G1530" s="185"/>
      <c r="H1530" s="185"/>
      <c r="I1530" s="298"/>
      <c r="J1530" s="298"/>
      <c r="K1530" s="302"/>
      <c r="L1530" s="303"/>
      <c r="N1530" s="187"/>
      <c r="O1530" s="58"/>
      <c r="P1530" s="300"/>
      <c r="Q1530" s="58"/>
    </row>
    <row r="1531" ht="15.75" customHeight="1">
      <c r="A1531" s="27"/>
      <c r="B1531" s="27"/>
      <c r="C1531" s="275"/>
      <c r="D1531" s="27"/>
      <c r="E1531" s="275"/>
      <c r="F1531" s="185"/>
      <c r="G1531" s="185"/>
      <c r="H1531" s="185"/>
      <c r="I1531" s="298"/>
      <c r="J1531" s="298"/>
      <c r="K1531" s="28"/>
      <c r="L1531" s="299"/>
      <c r="M1531" s="27"/>
      <c r="N1531" s="187"/>
      <c r="O1531" s="58"/>
      <c r="P1531" s="300"/>
      <c r="Q1531" s="58"/>
    </row>
    <row r="1532" ht="15.75" customHeight="1">
      <c r="A1532" s="27"/>
      <c r="B1532" s="27"/>
      <c r="C1532" s="275"/>
      <c r="D1532" s="27"/>
      <c r="E1532" s="275"/>
      <c r="F1532" s="185"/>
      <c r="G1532" s="185"/>
      <c r="H1532" s="185"/>
      <c r="I1532" s="298"/>
      <c r="J1532" s="298"/>
      <c r="K1532" s="28"/>
      <c r="L1532" s="299"/>
      <c r="M1532" s="27"/>
      <c r="N1532" s="187"/>
      <c r="O1532" s="58"/>
      <c r="P1532" s="300"/>
      <c r="Q1532" s="58"/>
    </row>
    <row r="1533" ht="15.75" customHeight="1">
      <c r="A1533" s="27"/>
      <c r="B1533" s="27"/>
      <c r="C1533" s="275"/>
      <c r="D1533" s="27"/>
      <c r="E1533" s="275"/>
      <c r="F1533" s="185"/>
      <c r="G1533" s="185"/>
      <c r="H1533" s="185"/>
      <c r="I1533" s="298"/>
      <c r="J1533" s="298"/>
      <c r="K1533" s="28"/>
      <c r="L1533" s="299"/>
      <c r="M1533" s="27"/>
      <c r="N1533" s="187"/>
      <c r="O1533" s="58"/>
      <c r="P1533" s="300"/>
      <c r="Q1533" s="58"/>
    </row>
    <row r="1534" ht="15.75" customHeight="1">
      <c r="A1534" s="27"/>
      <c r="B1534" s="27"/>
      <c r="C1534" s="275"/>
      <c r="D1534" s="27"/>
      <c r="E1534" s="275"/>
      <c r="F1534" s="185"/>
      <c r="G1534" s="185"/>
      <c r="H1534" s="185"/>
      <c r="I1534" s="298"/>
      <c r="J1534" s="298"/>
      <c r="K1534" s="391"/>
      <c r="L1534" s="392"/>
      <c r="N1534" s="187"/>
      <c r="O1534" s="58"/>
      <c r="P1534" s="300"/>
      <c r="Q1534" s="393"/>
    </row>
    <row r="1535" ht="15.75" customHeight="1">
      <c r="A1535" s="27"/>
      <c r="B1535" s="27"/>
      <c r="C1535" s="275"/>
      <c r="D1535" s="27"/>
      <c r="E1535" s="275"/>
      <c r="F1535" s="185"/>
      <c r="G1535" s="185"/>
      <c r="H1535" s="185"/>
      <c r="I1535" s="298"/>
      <c r="J1535" s="298"/>
      <c r="K1535" s="28"/>
      <c r="L1535" s="299"/>
      <c r="M1535" s="27"/>
      <c r="N1535" s="187"/>
      <c r="O1535" s="58"/>
      <c r="P1535" s="300"/>
      <c r="Q1535" s="58"/>
    </row>
    <row r="1536" ht="15.75" customHeight="1">
      <c r="A1536" s="27"/>
      <c r="B1536" s="27"/>
      <c r="C1536" s="275"/>
      <c r="D1536" s="27"/>
      <c r="E1536" s="275"/>
      <c r="F1536" s="185"/>
      <c r="G1536" s="185"/>
      <c r="H1536" s="185"/>
      <c r="I1536" s="298"/>
      <c r="J1536" s="298"/>
      <c r="K1536" s="391"/>
      <c r="L1536" s="392"/>
      <c r="N1536" s="187"/>
      <c r="O1536" s="58"/>
      <c r="P1536" s="300"/>
      <c r="Q1536" s="393"/>
    </row>
    <row r="1537" ht="15.75" customHeight="1">
      <c r="A1537" s="27"/>
      <c r="B1537" s="27"/>
      <c r="C1537" s="275"/>
      <c r="D1537" s="27"/>
      <c r="E1537" s="275"/>
      <c r="F1537" s="185"/>
      <c r="G1537" s="185"/>
      <c r="H1537" s="185"/>
      <c r="I1537" s="298"/>
      <c r="J1537" s="298"/>
      <c r="K1537" s="28"/>
      <c r="L1537" s="299"/>
      <c r="M1537" s="27"/>
      <c r="N1537" s="187"/>
      <c r="O1537" s="58"/>
      <c r="P1537" s="300"/>
      <c r="Q1537" s="58"/>
    </row>
    <row r="1538" ht="15.75" customHeight="1">
      <c r="A1538" s="27"/>
      <c r="B1538" s="27"/>
      <c r="C1538" s="275"/>
      <c r="D1538" s="27"/>
      <c r="E1538" s="275"/>
      <c r="F1538" s="185"/>
      <c r="G1538" s="185"/>
      <c r="H1538" s="185"/>
      <c r="I1538" s="298"/>
      <c r="J1538" s="298"/>
      <c r="K1538" s="28"/>
      <c r="L1538" s="299"/>
      <c r="M1538" s="27"/>
      <c r="N1538" s="187"/>
      <c r="O1538" s="58"/>
      <c r="P1538" s="300"/>
      <c r="Q1538" s="58"/>
    </row>
    <row r="1539" ht="15.75" customHeight="1">
      <c r="A1539" s="27"/>
      <c r="B1539" s="27"/>
      <c r="C1539" s="275"/>
      <c r="D1539" s="27"/>
      <c r="E1539" s="275"/>
      <c r="F1539" s="185"/>
      <c r="G1539" s="185"/>
      <c r="H1539" s="185"/>
      <c r="I1539" s="298"/>
      <c r="J1539" s="298"/>
      <c r="K1539" s="28"/>
      <c r="L1539" s="299"/>
      <c r="M1539" s="27"/>
      <c r="N1539" s="187"/>
      <c r="O1539" s="58"/>
      <c r="P1539" s="300"/>
      <c r="Q1539" s="58"/>
    </row>
    <row r="1540" ht="15.75" customHeight="1">
      <c r="A1540" s="27"/>
      <c r="B1540" s="27"/>
      <c r="C1540" s="275"/>
      <c r="D1540" s="27"/>
      <c r="E1540" s="275"/>
      <c r="F1540" s="185"/>
      <c r="G1540" s="185"/>
      <c r="H1540" s="185"/>
      <c r="I1540" s="298"/>
      <c r="J1540" s="298"/>
      <c r="K1540" s="28"/>
      <c r="L1540" s="299"/>
      <c r="M1540" s="27"/>
      <c r="N1540" s="187"/>
      <c r="O1540" s="58"/>
      <c r="P1540" s="300"/>
      <c r="Q1540" s="58"/>
    </row>
    <row r="1541" ht="15.75" customHeight="1">
      <c r="A1541" s="27"/>
      <c r="B1541" s="27"/>
      <c r="C1541" s="275"/>
      <c r="D1541" s="27"/>
      <c r="E1541" s="275"/>
      <c r="F1541" s="185"/>
      <c r="G1541" s="185"/>
      <c r="H1541" s="185"/>
      <c r="I1541" s="298"/>
      <c r="J1541" s="298"/>
      <c r="K1541" s="391"/>
      <c r="L1541" s="392"/>
      <c r="N1541" s="187"/>
      <c r="O1541" s="58"/>
      <c r="P1541" s="300"/>
      <c r="Q1541" s="393"/>
    </row>
    <row r="1542" ht="15.75" customHeight="1">
      <c r="A1542" s="27"/>
      <c r="B1542" s="27"/>
      <c r="C1542" s="275"/>
      <c r="D1542" s="27"/>
      <c r="E1542" s="275"/>
      <c r="F1542" s="185"/>
      <c r="G1542" s="185"/>
      <c r="H1542" s="185"/>
      <c r="I1542" s="298"/>
      <c r="J1542" s="298"/>
      <c r="K1542" s="28"/>
      <c r="L1542" s="299"/>
      <c r="M1542" s="27"/>
      <c r="N1542" s="187"/>
      <c r="O1542" s="58"/>
      <c r="P1542" s="300"/>
      <c r="Q1542" s="58"/>
    </row>
    <row r="1543" ht="15.75" customHeight="1">
      <c r="A1543" s="27"/>
      <c r="B1543" s="27"/>
      <c r="C1543" s="275"/>
      <c r="D1543" s="27"/>
      <c r="E1543" s="275"/>
      <c r="F1543" s="185"/>
      <c r="G1543" s="185"/>
      <c r="H1543" s="185"/>
      <c r="I1543" s="298"/>
      <c r="J1543" s="298"/>
      <c r="K1543" s="28"/>
      <c r="L1543" s="299"/>
      <c r="M1543" s="27"/>
      <c r="N1543" s="187"/>
      <c r="O1543" s="58"/>
      <c r="P1543" s="300"/>
      <c r="Q1543" s="58"/>
    </row>
    <row r="1544" ht="15.75" customHeight="1">
      <c r="A1544" s="27"/>
      <c r="B1544" s="27"/>
      <c r="C1544" s="275"/>
      <c r="D1544" s="27"/>
      <c r="E1544" s="275"/>
      <c r="F1544" s="185"/>
      <c r="G1544" s="185"/>
      <c r="H1544" s="185"/>
      <c r="I1544" s="298"/>
      <c r="J1544" s="298"/>
      <c r="K1544" s="28"/>
      <c r="L1544" s="299"/>
      <c r="M1544" s="27"/>
      <c r="N1544" s="187"/>
      <c r="O1544" s="58"/>
      <c r="P1544" s="300"/>
      <c r="Q1544" s="58"/>
    </row>
    <row r="1545" ht="15.75" customHeight="1">
      <c r="A1545" s="27"/>
      <c r="B1545" s="27"/>
      <c r="C1545" s="275"/>
      <c r="D1545" s="27"/>
      <c r="E1545" s="275"/>
      <c r="F1545" s="185"/>
      <c r="G1545" s="185"/>
      <c r="H1545" s="185"/>
      <c r="I1545" s="298"/>
      <c r="J1545" s="298"/>
      <c r="K1545" s="391"/>
      <c r="L1545" s="392"/>
      <c r="N1545" s="187"/>
      <c r="O1545" s="58"/>
      <c r="P1545" s="300"/>
      <c r="Q1545" s="393"/>
    </row>
    <row r="1546" ht="15.75" customHeight="1">
      <c r="A1546" s="27"/>
      <c r="B1546" s="27"/>
      <c r="C1546" s="275"/>
      <c r="D1546" s="27"/>
      <c r="E1546" s="275"/>
      <c r="F1546" s="185"/>
      <c r="G1546" s="185"/>
      <c r="H1546" s="185"/>
      <c r="I1546" s="298"/>
      <c r="J1546" s="298"/>
      <c r="K1546" s="302"/>
      <c r="L1546" s="303"/>
      <c r="N1546" s="187"/>
      <c r="O1546" s="58"/>
      <c r="P1546" s="300"/>
      <c r="Q1546" s="58"/>
    </row>
    <row r="1547" ht="15.75" customHeight="1">
      <c r="A1547" s="27"/>
      <c r="B1547" s="27"/>
      <c r="C1547" s="275"/>
      <c r="D1547" s="27"/>
      <c r="E1547" s="275"/>
      <c r="F1547" s="185"/>
      <c r="G1547" s="185"/>
      <c r="H1547" s="185"/>
      <c r="I1547" s="298"/>
      <c r="J1547" s="298"/>
      <c r="K1547" s="28"/>
      <c r="L1547" s="299"/>
      <c r="M1547" s="27"/>
      <c r="N1547" s="187"/>
      <c r="O1547" s="58"/>
      <c r="P1547" s="300"/>
      <c r="Q1547" s="58"/>
    </row>
    <row r="1548" ht="15.75" customHeight="1">
      <c r="A1548" s="27"/>
      <c r="B1548" s="27"/>
      <c r="C1548" s="275"/>
      <c r="D1548" s="27"/>
      <c r="E1548" s="275"/>
      <c r="F1548" s="185"/>
      <c r="G1548" s="185"/>
      <c r="H1548" s="185"/>
      <c r="I1548" s="298"/>
      <c r="J1548" s="298"/>
      <c r="K1548" s="391"/>
      <c r="L1548" s="392"/>
      <c r="N1548" s="187"/>
      <c r="O1548" s="58"/>
      <c r="P1548" s="300"/>
      <c r="Q1548" s="393"/>
    </row>
    <row r="1549" ht="15.75" customHeight="1">
      <c r="A1549" s="27"/>
      <c r="B1549" s="27"/>
      <c r="C1549" s="275"/>
      <c r="D1549" s="27"/>
      <c r="E1549" s="275"/>
      <c r="F1549" s="185"/>
      <c r="G1549" s="185"/>
      <c r="H1549" s="185"/>
      <c r="I1549" s="298"/>
      <c r="J1549" s="298"/>
      <c r="K1549" s="302"/>
      <c r="L1549" s="303"/>
      <c r="N1549" s="187"/>
      <c r="O1549" s="58"/>
      <c r="P1549" s="300"/>
      <c r="Q1549" s="58"/>
    </row>
    <row r="1550" ht="15.75" customHeight="1">
      <c r="A1550" s="27"/>
      <c r="B1550" s="27"/>
      <c r="C1550" s="275"/>
      <c r="D1550" s="27"/>
      <c r="E1550" s="275"/>
      <c r="F1550" s="185"/>
      <c r="G1550" s="185"/>
      <c r="H1550" s="185"/>
      <c r="I1550" s="298"/>
      <c r="J1550" s="298"/>
      <c r="K1550" s="302"/>
      <c r="L1550" s="303"/>
      <c r="N1550" s="187"/>
      <c r="O1550" s="58"/>
      <c r="P1550" s="300"/>
      <c r="Q1550" s="58"/>
      <c r="R1550" s="373"/>
      <c r="S1550" s="373"/>
    </row>
    <row r="1551" ht="15.75" customHeight="1">
      <c r="A1551" s="27"/>
      <c r="B1551" s="27"/>
      <c r="C1551" s="275"/>
      <c r="D1551" s="27"/>
      <c r="E1551" s="275"/>
      <c r="F1551" s="185"/>
      <c r="G1551" s="185"/>
      <c r="H1551" s="185"/>
      <c r="I1551" s="298"/>
      <c r="J1551" s="298"/>
      <c r="K1551" s="302"/>
      <c r="L1551" s="303"/>
      <c r="N1551" s="187"/>
      <c r="O1551" s="58"/>
      <c r="P1551" s="300"/>
      <c r="Q1551" s="58"/>
    </row>
    <row r="1552" ht="15.75" customHeight="1">
      <c r="A1552" s="27"/>
      <c r="B1552" s="27"/>
      <c r="C1552" s="275"/>
      <c r="D1552" s="27"/>
      <c r="E1552" s="275"/>
      <c r="F1552" s="185"/>
      <c r="G1552" s="351"/>
      <c r="H1552" s="185"/>
      <c r="I1552" s="298"/>
      <c r="J1552" s="298"/>
      <c r="K1552" s="302"/>
      <c r="L1552" s="303"/>
      <c r="N1552" s="187"/>
      <c r="O1552" s="58"/>
      <c r="P1552" s="300"/>
      <c r="Q1552" s="58"/>
    </row>
    <row r="1553" ht="15.75" customHeight="1">
      <c r="A1553" s="27"/>
      <c r="B1553" s="27"/>
      <c r="C1553" s="275"/>
      <c r="D1553" s="27"/>
      <c r="E1553" s="275"/>
      <c r="F1553" s="185"/>
      <c r="G1553" s="185"/>
      <c r="H1553" s="185"/>
      <c r="I1553" s="298"/>
      <c r="J1553" s="298"/>
      <c r="K1553" s="302"/>
      <c r="L1553" s="303"/>
      <c r="N1553" s="187"/>
      <c r="O1553" s="58"/>
      <c r="P1553" s="300"/>
      <c r="Q1553" s="58"/>
    </row>
    <row r="1554" ht="15.75" customHeight="1">
      <c r="A1554" s="27"/>
      <c r="B1554" s="27"/>
      <c r="C1554" s="275"/>
      <c r="D1554" s="27"/>
      <c r="E1554" s="275"/>
      <c r="F1554" s="185"/>
      <c r="G1554" s="185"/>
      <c r="H1554" s="185"/>
      <c r="I1554" s="298"/>
      <c r="J1554" s="298"/>
      <c r="K1554" s="302"/>
      <c r="L1554" s="303"/>
      <c r="N1554" s="187"/>
      <c r="O1554" s="58"/>
      <c r="P1554" s="300"/>
      <c r="Q1554" s="58"/>
    </row>
    <row r="1555" ht="15.75" customHeight="1">
      <c r="A1555" s="27"/>
      <c r="B1555" s="27"/>
      <c r="C1555" s="275"/>
      <c r="D1555" s="27"/>
      <c r="E1555" s="275"/>
      <c r="F1555" s="185"/>
      <c r="G1555" s="185"/>
      <c r="H1555" s="185"/>
      <c r="I1555" s="298"/>
      <c r="J1555" s="298"/>
      <c r="K1555" s="302"/>
      <c r="L1555" s="303"/>
      <c r="N1555" s="187"/>
      <c r="O1555" s="58"/>
      <c r="P1555" s="300"/>
      <c r="Q1555" s="58"/>
    </row>
    <row r="1556" ht="15.75" customHeight="1">
      <c r="A1556" s="27"/>
      <c r="B1556" s="27"/>
      <c r="C1556" s="275"/>
      <c r="D1556" s="27"/>
      <c r="E1556" s="275"/>
      <c r="F1556" s="185"/>
      <c r="G1556" s="185"/>
      <c r="H1556" s="185"/>
      <c r="I1556" s="298"/>
      <c r="J1556" s="298"/>
      <c r="K1556" s="28"/>
      <c r="L1556" s="299"/>
      <c r="M1556" s="27"/>
      <c r="N1556" s="187"/>
      <c r="O1556" s="58"/>
      <c r="P1556" s="300"/>
      <c r="Q1556" s="58"/>
    </row>
    <row r="1557" ht="15.75" customHeight="1">
      <c r="A1557" s="27"/>
      <c r="B1557" s="27"/>
      <c r="C1557" s="275"/>
      <c r="D1557" s="27"/>
      <c r="E1557" s="275"/>
      <c r="F1557" s="185"/>
      <c r="G1557" s="185"/>
      <c r="H1557" s="185"/>
      <c r="I1557" s="298"/>
      <c r="J1557" s="298"/>
      <c r="K1557" s="28"/>
      <c r="L1557" s="299"/>
      <c r="M1557" s="27"/>
      <c r="N1557" s="187"/>
      <c r="O1557" s="58"/>
      <c r="P1557" s="300"/>
      <c r="Q1557" s="58"/>
    </row>
    <row r="1558" ht="15.75" customHeight="1">
      <c r="A1558" s="27"/>
      <c r="B1558" s="27"/>
      <c r="C1558" s="275"/>
      <c r="D1558" s="27"/>
      <c r="E1558" s="275"/>
      <c r="F1558" s="185"/>
      <c r="G1558" s="185"/>
      <c r="H1558" s="185"/>
      <c r="I1558" s="298"/>
      <c r="J1558" s="298"/>
      <c r="K1558" s="391"/>
      <c r="L1558" s="392"/>
      <c r="N1558" s="187"/>
      <c r="O1558" s="58"/>
      <c r="P1558" s="300"/>
      <c r="Q1558" s="393"/>
    </row>
    <row r="1559" ht="15.75" customHeight="1">
      <c r="A1559" s="27"/>
      <c r="B1559" s="27"/>
      <c r="C1559" s="275"/>
      <c r="D1559" s="27"/>
      <c r="E1559" s="275"/>
      <c r="F1559" s="185"/>
      <c r="G1559" s="185"/>
      <c r="H1559" s="185"/>
      <c r="I1559" s="298"/>
      <c r="J1559" s="298"/>
      <c r="K1559" s="28"/>
      <c r="L1559" s="299"/>
      <c r="M1559" s="27"/>
      <c r="N1559" s="187"/>
      <c r="O1559" s="58"/>
      <c r="P1559" s="300"/>
      <c r="Q1559" s="58"/>
      <c r="U1559" s="27" t="s">
        <v>1654</v>
      </c>
    </row>
    <row r="1560" ht="15.75" customHeight="1">
      <c r="A1560" s="27"/>
      <c r="B1560" s="27"/>
      <c r="C1560" s="275"/>
      <c r="D1560" s="27"/>
      <c r="E1560" s="275"/>
      <c r="F1560" s="185"/>
      <c r="G1560" s="185"/>
      <c r="H1560" s="185"/>
      <c r="I1560" s="298"/>
      <c r="J1560" s="298"/>
      <c r="K1560" s="28"/>
      <c r="L1560" s="299"/>
      <c r="M1560" s="27"/>
      <c r="N1560" s="187"/>
      <c r="O1560" s="58"/>
      <c r="P1560" s="300"/>
      <c r="Q1560" s="58"/>
    </row>
    <row r="1561" ht="15.75" customHeight="1">
      <c r="A1561" s="27"/>
      <c r="B1561" s="27"/>
      <c r="C1561" s="275"/>
      <c r="D1561" s="27"/>
      <c r="E1561" s="275"/>
      <c r="F1561" s="185"/>
      <c r="G1561" s="185"/>
      <c r="H1561" s="185"/>
      <c r="I1561" s="298"/>
      <c r="J1561" s="298"/>
      <c r="K1561" s="28"/>
      <c r="L1561" s="299"/>
      <c r="M1561" s="27"/>
      <c r="N1561" s="187"/>
      <c r="O1561" s="58"/>
      <c r="P1561" s="300"/>
      <c r="Q1561" s="58"/>
    </row>
    <row r="1562" ht="15.75" customHeight="1">
      <c r="A1562" s="27"/>
      <c r="B1562" s="27"/>
      <c r="C1562" s="275"/>
      <c r="D1562" s="27"/>
      <c r="E1562" s="275"/>
      <c r="F1562" s="185"/>
      <c r="G1562" s="185"/>
      <c r="H1562" s="185"/>
      <c r="I1562" s="298"/>
      <c r="J1562" s="298"/>
      <c r="K1562" s="28"/>
      <c r="L1562" s="299"/>
      <c r="M1562" s="27"/>
      <c r="N1562" s="187"/>
      <c r="O1562" s="58"/>
      <c r="P1562" s="300"/>
      <c r="Q1562" s="58"/>
      <c r="R1562" s="27"/>
      <c r="S1562" s="27"/>
    </row>
    <row r="1563" ht="15.75" customHeight="1">
      <c r="A1563" s="27"/>
      <c r="B1563" s="27"/>
      <c r="C1563" s="275"/>
      <c r="D1563" s="27"/>
      <c r="E1563" s="275"/>
      <c r="F1563" s="185"/>
      <c r="G1563" s="185"/>
      <c r="H1563" s="185"/>
      <c r="I1563" s="298"/>
      <c r="J1563" s="298"/>
      <c r="K1563" s="28"/>
      <c r="L1563" s="299"/>
      <c r="M1563" s="27"/>
      <c r="N1563" s="187"/>
      <c r="O1563" s="58"/>
      <c r="P1563" s="300"/>
      <c r="Q1563" s="58"/>
    </row>
    <row r="1564" ht="15.75" customHeight="1">
      <c r="A1564" s="27"/>
      <c r="B1564" s="27"/>
      <c r="C1564" s="275"/>
      <c r="D1564" s="27"/>
      <c r="E1564" s="275"/>
      <c r="F1564" s="185"/>
      <c r="G1564" s="185"/>
      <c r="H1564" s="185"/>
      <c r="I1564" s="298"/>
      <c r="J1564" s="298"/>
      <c r="K1564" s="391"/>
      <c r="L1564" s="392"/>
      <c r="N1564" s="394"/>
      <c r="O1564" s="58"/>
      <c r="P1564" s="300"/>
      <c r="Q1564" s="393"/>
    </row>
    <row r="1565" ht="15.75" customHeight="1">
      <c r="A1565" s="27"/>
      <c r="B1565" s="27"/>
      <c r="C1565" s="275"/>
      <c r="D1565" s="27"/>
      <c r="E1565" s="275"/>
      <c r="F1565" s="185"/>
      <c r="G1565" s="185"/>
      <c r="H1565" s="185"/>
      <c r="I1565" s="298"/>
      <c r="J1565" s="298"/>
      <c r="K1565" s="28"/>
      <c r="L1565" s="299"/>
      <c r="M1565" s="27"/>
      <c r="N1565" s="187"/>
      <c r="O1565" s="58"/>
      <c r="P1565" s="300"/>
      <c r="Q1565" s="58"/>
    </row>
    <row r="1566" ht="15.75" customHeight="1">
      <c r="A1566" s="27"/>
      <c r="B1566" s="27"/>
      <c r="C1566" s="275"/>
      <c r="D1566" s="27"/>
      <c r="E1566" s="275"/>
      <c r="F1566" s="185"/>
      <c r="G1566" s="185"/>
      <c r="H1566" s="185"/>
      <c r="I1566" s="298"/>
      <c r="J1566" s="298"/>
      <c r="K1566" s="391"/>
      <c r="L1566" s="392"/>
      <c r="N1566" s="352"/>
      <c r="O1566" s="58"/>
      <c r="P1566" s="300"/>
      <c r="Q1566" s="393"/>
    </row>
    <row r="1567" ht="15.75" customHeight="1">
      <c r="A1567" s="27"/>
      <c r="B1567" s="27"/>
      <c r="C1567" s="275"/>
      <c r="D1567" s="27"/>
      <c r="E1567" s="275"/>
      <c r="F1567" s="185"/>
      <c r="G1567" s="185"/>
      <c r="H1567" s="185"/>
      <c r="I1567" s="298"/>
      <c r="J1567" s="298"/>
      <c r="K1567" s="28"/>
      <c r="L1567" s="299"/>
      <c r="M1567" s="27"/>
      <c r="N1567" s="187"/>
      <c r="O1567" s="58"/>
      <c r="P1567" s="300"/>
      <c r="Q1567" s="58"/>
    </row>
    <row r="1568" ht="15.75" customHeight="1">
      <c r="A1568" s="27"/>
      <c r="B1568" s="27"/>
      <c r="C1568" s="275"/>
      <c r="D1568" s="27"/>
      <c r="E1568" s="275"/>
      <c r="F1568" s="185"/>
      <c r="G1568" s="185"/>
      <c r="H1568" s="185"/>
      <c r="I1568" s="298"/>
      <c r="J1568" s="298"/>
      <c r="K1568" s="28"/>
      <c r="L1568" s="299"/>
      <c r="M1568" s="27"/>
      <c r="N1568" s="187"/>
      <c r="O1568" s="58"/>
      <c r="P1568" s="300"/>
      <c r="Q1568" s="58"/>
    </row>
    <row r="1569" ht="15.75" customHeight="1">
      <c r="A1569" s="27"/>
      <c r="B1569" s="27"/>
      <c r="C1569" s="275"/>
      <c r="D1569" s="27"/>
      <c r="E1569" s="275"/>
      <c r="F1569" s="185"/>
      <c r="G1569" s="185"/>
      <c r="H1569" s="185"/>
      <c r="I1569" s="298"/>
      <c r="J1569" s="298"/>
      <c r="K1569" s="28"/>
      <c r="L1569" s="299"/>
      <c r="M1569" s="27"/>
      <c r="N1569" s="187"/>
      <c r="O1569" s="58"/>
      <c r="P1569" s="300"/>
      <c r="Q1569" s="58"/>
    </row>
    <row r="1570" ht="15.75" customHeight="1">
      <c r="A1570" s="27"/>
      <c r="B1570" s="27"/>
      <c r="C1570" s="275"/>
      <c r="D1570" s="27"/>
      <c r="E1570" s="275"/>
      <c r="F1570" s="185"/>
      <c r="G1570" s="185"/>
      <c r="H1570" s="185"/>
      <c r="I1570" s="298"/>
      <c r="J1570" s="298"/>
      <c r="K1570" s="28"/>
      <c r="L1570" s="299"/>
      <c r="M1570" s="27"/>
      <c r="N1570" s="187"/>
      <c r="O1570" s="58"/>
      <c r="P1570" s="300"/>
      <c r="Q1570" s="58"/>
      <c r="T1570" s="27" t="s">
        <v>1662</v>
      </c>
    </row>
    <row r="1571" ht="15.75" customHeight="1">
      <c r="A1571" s="27"/>
      <c r="B1571" s="27"/>
      <c r="C1571" s="275"/>
      <c r="D1571" s="27"/>
      <c r="E1571" s="275"/>
      <c r="F1571" s="185"/>
      <c r="G1571" s="185"/>
      <c r="H1571" s="185"/>
      <c r="I1571" s="298"/>
      <c r="J1571" s="298"/>
      <c r="K1571" s="28"/>
      <c r="L1571" s="299"/>
      <c r="M1571" s="27"/>
      <c r="N1571" s="187"/>
      <c r="O1571" s="58"/>
      <c r="P1571" s="300"/>
      <c r="Q1571" s="58"/>
    </row>
    <row r="1572" ht="15.75" customHeight="1">
      <c r="A1572" s="27"/>
      <c r="B1572" s="27"/>
      <c r="C1572" s="275"/>
      <c r="D1572" s="27"/>
      <c r="E1572" s="275"/>
      <c r="F1572" s="185"/>
      <c r="G1572" s="185"/>
      <c r="H1572" s="185"/>
      <c r="I1572" s="298"/>
      <c r="J1572" s="298"/>
      <c r="K1572" s="28"/>
      <c r="L1572" s="299"/>
      <c r="M1572" s="27"/>
      <c r="N1572" s="187"/>
      <c r="O1572" s="58"/>
      <c r="P1572" s="300"/>
      <c r="Q1572" s="58"/>
    </row>
    <row r="1573" ht="15.75" customHeight="1">
      <c r="A1573" s="27"/>
      <c r="B1573" s="27"/>
      <c r="C1573" s="275"/>
      <c r="D1573" s="27"/>
      <c r="E1573" s="275"/>
      <c r="F1573" s="185"/>
      <c r="G1573" s="185"/>
      <c r="H1573" s="185"/>
      <c r="I1573" s="298"/>
      <c r="J1573" s="298"/>
      <c r="K1573" s="28"/>
      <c r="L1573" s="299"/>
      <c r="M1573" s="27"/>
      <c r="N1573" s="187"/>
      <c r="O1573" s="58"/>
      <c r="P1573" s="300"/>
      <c r="Q1573" s="58"/>
    </row>
    <row r="1574" ht="15.75" customHeight="1">
      <c r="A1574" s="27"/>
      <c r="B1574" s="27"/>
      <c r="C1574" s="275"/>
      <c r="D1574" s="27"/>
      <c r="E1574" s="275"/>
      <c r="F1574" s="185"/>
      <c r="G1574" s="185"/>
      <c r="H1574" s="185"/>
      <c r="I1574" s="298"/>
      <c r="J1574" s="298"/>
      <c r="K1574" s="28"/>
      <c r="L1574" s="299"/>
      <c r="M1574" s="27"/>
      <c r="N1574" s="187"/>
      <c r="O1574" s="58"/>
      <c r="P1574" s="300"/>
      <c r="Q1574" s="58"/>
      <c r="T1574" s="27" t="s">
        <v>1665</v>
      </c>
    </row>
    <row r="1575" ht="15.75" customHeight="1">
      <c r="A1575" s="27"/>
      <c r="B1575" s="27"/>
      <c r="C1575" s="275"/>
      <c r="D1575" s="27"/>
      <c r="E1575" s="275"/>
      <c r="F1575" s="185"/>
      <c r="G1575" s="185"/>
      <c r="H1575" s="185"/>
      <c r="I1575" s="298"/>
      <c r="J1575" s="298"/>
      <c r="K1575" s="28"/>
      <c r="L1575" s="299"/>
      <c r="M1575" s="27"/>
      <c r="N1575" s="187"/>
      <c r="O1575" s="58"/>
      <c r="P1575" s="300"/>
      <c r="Q1575" s="58"/>
    </row>
    <row r="1576" ht="15.75" customHeight="1">
      <c r="A1576" s="27"/>
      <c r="B1576" s="27"/>
      <c r="C1576" s="275"/>
      <c r="D1576" s="27"/>
      <c r="E1576" s="275"/>
      <c r="F1576" s="185"/>
      <c r="G1576" s="185"/>
      <c r="H1576" s="185"/>
      <c r="I1576" s="298"/>
      <c r="J1576" s="298"/>
      <c r="K1576" s="391"/>
      <c r="L1576" s="392"/>
      <c r="N1576" s="394"/>
      <c r="O1576" s="58"/>
      <c r="P1576" s="300"/>
      <c r="Q1576" s="393"/>
    </row>
    <row r="1577" ht="15.75" customHeight="1">
      <c r="A1577" s="27"/>
      <c r="B1577" s="27"/>
      <c r="C1577" s="275"/>
      <c r="D1577" s="27"/>
      <c r="E1577" s="275"/>
      <c r="F1577" s="185"/>
      <c r="G1577" s="185"/>
      <c r="H1577" s="185"/>
      <c r="I1577" s="298"/>
      <c r="J1577" s="298"/>
      <c r="K1577" s="302"/>
      <c r="L1577" s="303"/>
      <c r="N1577" s="394"/>
      <c r="O1577" s="58"/>
      <c r="P1577" s="300"/>
      <c r="Q1577" s="58"/>
    </row>
    <row r="1578" ht="15.75" customHeight="1">
      <c r="A1578" s="27"/>
      <c r="B1578" s="27"/>
      <c r="C1578" s="275"/>
      <c r="D1578" s="27"/>
      <c r="E1578" s="275"/>
      <c r="F1578" s="185"/>
      <c r="G1578" s="185"/>
      <c r="H1578" s="185"/>
      <c r="I1578" s="298"/>
      <c r="J1578" s="298"/>
      <c r="K1578" s="28"/>
      <c r="L1578" s="299"/>
      <c r="M1578" s="27"/>
      <c r="N1578" s="187"/>
      <c r="O1578" s="58"/>
      <c r="P1578" s="300"/>
      <c r="Q1578" s="58"/>
    </row>
    <row r="1579" ht="15.75" customHeight="1">
      <c r="A1579" s="27"/>
      <c r="B1579" s="27"/>
      <c r="C1579" s="275"/>
      <c r="D1579" s="27"/>
      <c r="E1579" s="275"/>
      <c r="F1579" s="185"/>
      <c r="G1579" s="185"/>
      <c r="H1579" s="185"/>
      <c r="I1579" s="298"/>
      <c r="J1579" s="298"/>
      <c r="K1579" s="391"/>
      <c r="L1579" s="392"/>
      <c r="N1579" s="394"/>
      <c r="O1579" s="58"/>
      <c r="P1579" s="300"/>
      <c r="Q1579" s="393"/>
    </row>
    <row r="1580" ht="15.75" customHeight="1">
      <c r="A1580" s="27"/>
      <c r="B1580" s="27"/>
      <c r="C1580" s="275"/>
      <c r="D1580" s="27"/>
      <c r="E1580" s="275"/>
      <c r="F1580" s="185"/>
      <c r="G1580" s="185"/>
      <c r="H1580" s="185"/>
      <c r="I1580" s="298"/>
      <c r="J1580" s="298"/>
      <c r="K1580" s="28"/>
      <c r="L1580" s="299"/>
      <c r="M1580" s="27"/>
      <c r="N1580" s="187"/>
      <c r="O1580" s="58"/>
      <c r="P1580" s="300"/>
      <c r="Q1580" s="58"/>
    </row>
    <row r="1581" ht="15.75" customHeight="1">
      <c r="A1581" s="27"/>
      <c r="B1581" s="27"/>
      <c r="C1581" s="275"/>
      <c r="D1581" s="27"/>
      <c r="E1581" s="275"/>
      <c r="F1581" s="185"/>
      <c r="G1581" s="185"/>
      <c r="H1581" s="185"/>
      <c r="I1581" s="298"/>
      <c r="J1581" s="298"/>
      <c r="K1581" s="391"/>
      <c r="L1581" s="392"/>
      <c r="N1581" s="394"/>
      <c r="O1581" s="58"/>
      <c r="P1581" s="300"/>
      <c r="Q1581" s="393"/>
    </row>
    <row r="1582" ht="15.75" customHeight="1">
      <c r="A1582" s="27"/>
      <c r="B1582" s="27"/>
      <c r="C1582" s="275"/>
      <c r="D1582" s="27"/>
      <c r="E1582" s="275"/>
      <c r="F1582" s="185"/>
      <c r="G1582" s="185"/>
      <c r="H1582" s="185"/>
      <c r="I1582" s="298"/>
      <c r="J1582" s="298"/>
      <c r="K1582" s="302"/>
      <c r="L1582" s="303"/>
      <c r="N1582" s="394"/>
      <c r="O1582" s="58"/>
      <c r="P1582" s="300"/>
      <c r="Q1582" s="58"/>
    </row>
    <row r="1583" ht="15.75" customHeight="1">
      <c r="A1583" s="27"/>
      <c r="B1583" s="27"/>
      <c r="C1583" s="275"/>
      <c r="D1583" s="27"/>
      <c r="E1583" s="275"/>
      <c r="F1583" s="185"/>
      <c r="G1583" s="185"/>
      <c r="H1583" s="185"/>
      <c r="I1583" s="298"/>
      <c r="J1583" s="298"/>
      <c r="K1583" s="356"/>
      <c r="L1583" s="353"/>
      <c r="N1583" s="394"/>
      <c r="O1583" s="58"/>
      <c r="P1583" s="300"/>
      <c r="Q1583" s="58"/>
    </row>
    <row r="1584" ht="15.75" customHeight="1">
      <c r="A1584" s="27"/>
      <c r="B1584" s="27"/>
      <c r="C1584" s="275"/>
      <c r="D1584" s="27"/>
      <c r="E1584" s="275"/>
      <c r="F1584" s="185"/>
      <c r="G1584" s="185"/>
      <c r="H1584" s="185"/>
      <c r="I1584" s="298"/>
      <c r="J1584" s="298"/>
      <c r="K1584" s="302"/>
      <c r="L1584" s="303"/>
      <c r="N1584" s="394"/>
      <c r="O1584" s="58"/>
      <c r="P1584" s="300"/>
      <c r="Q1584" s="58"/>
    </row>
    <row r="1585" ht="15.75" customHeight="1">
      <c r="A1585" s="27"/>
      <c r="B1585" s="27"/>
      <c r="C1585" s="275"/>
      <c r="D1585" s="27"/>
      <c r="E1585" s="275"/>
      <c r="F1585" s="185"/>
      <c r="G1585" s="185"/>
      <c r="H1585" s="185"/>
      <c r="I1585" s="298"/>
      <c r="J1585" s="298"/>
      <c r="K1585" s="28"/>
      <c r="L1585" s="299"/>
      <c r="M1585" s="27"/>
      <c r="N1585" s="187"/>
      <c r="O1585" s="58"/>
      <c r="P1585" s="300"/>
      <c r="Q1585" s="58"/>
    </row>
    <row r="1586" ht="15.75" customHeight="1">
      <c r="A1586" s="27"/>
      <c r="B1586" s="27"/>
      <c r="C1586" s="275"/>
      <c r="D1586" s="27"/>
      <c r="E1586" s="275"/>
      <c r="F1586" s="185"/>
      <c r="G1586" s="185"/>
      <c r="H1586" s="185"/>
      <c r="I1586" s="298"/>
      <c r="J1586" s="298"/>
      <c r="K1586" s="28"/>
      <c r="L1586" s="299"/>
      <c r="M1586" s="27"/>
      <c r="N1586" s="187"/>
      <c r="O1586" s="58"/>
      <c r="P1586" s="300"/>
      <c r="Q1586" s="58"/>
    </row>
    <row r="1587" ht="15.75" customHeight="1">
      <c r="A1587" s="27"/>
      <c r="B1587" s="27"/>
      <c r="C1587" s="275"/>
      <c r="D1587" s="27"/>
      <c r="E1587" s="275"/>
      <c r="F1587" s="185"/>
      <c r="G1587" s="185"/>
      <c r="H1587" s="185"/>
      <c r="I1587" s="298"/>
      <c r="J1587" s="298"/>
      <c r="K1587" s="28"/>
      <c r="L1587" s="299"/>
      <c r="M1587" s="27"/>
      <c r="N1587" s="187"/>
      <c r="O1587" s="58"/>
      <c r="P1587" s="300"/>
      <c r="Q1587" s="58"/>
    </row>
    <row r="1588" ht="15.75" customHeight="1">
      <c r="A1588" s="27"/>
      <c r="B1588" s="27"/>
      <c r="C1588" s="275"/>
      <c r="D1588" s="27"/>
      <c r="E1588" s="275"/>
      <c r="F1588" s="185"/>
      <c r="G1588" s="185"/>
      <c r="H1588" s="185"/>
      <c r="I1588" s="298"/>
      <c r="J1588" s="298"/>
      <c r="K1588" s="28"/>
      <c r="L1588" s="299"/>
      <c r="M1588" s="27"/>
      <c r="N1588" s="187"/>
      <c r="O1588" s="58"/>
      <c r="P1588" s="300"/>
      <c r="Q1588" s="58"/>
    </row>
    <row r="1589" ht="15.75" customHeight="1">
      <c r="A1589" s="27"/>
      <c r="B1589" s="27"/>
      <c r="C1589" s="275"/>
      <c r="D1589" s="27"/>
      <c r="E1589" s="275"/>
      <c r="F1589" s="185"/>
      <c r="G1589" s="185"/>
      <c r="H1589" s="185"/>
      <c r="I1589" s="298"/>
      <c r="J1589" s="298"/>
      <c r="K1589" s="391"/>
      <c r="L1589" s="392"/>
      <c r="N1589" s="394"/>
      <c r="O1589" s="58"/>
      <c r="P1589" s="300"/>
      <c r="Q1589" s="393"/>
    </row>
    <row r="1590" ht="15.75" customHeight="1">
      <c r="A1590" s="27"/>
      <c r="B1590" s="27"/>
      <c r="C1590" s="275"/>
      <c r="D1590" s="27"/>
      <c r="E1590" s="275"/>
      <c r="F1590" s="185"/>
      <c r="G1590" s="185"/>
      <c r="H1590" s="185"/>
      <c r="I1590" s="298"/>
      <c r="J1590" s="298"/>
      <c r="K1590" s="28"/>
      <c r="L1590" s="299"/>
      <c r="M1590" s="27"/>
      <c r="N1590" s="187"/>
      <c r="O1590" s="58"/>
      <c r="P1590" s="300"/>
      <c r="Q1590" s="58"/>
    </row>
    <row r="1591" ht="15.75" customHeight="1">
      <c r="A1591" s="27"/>
      <c r="B1591" s="27"/>
      <c r="C1591" s="275"/>
      <c r="D1591" s="27"/>
      <c r="E1591" s="275"/>
      <c r="F1591" s="185"/>
      <c r="G1591" s="185"/>
      <c r="H1591" s="185"/>
      <c r="I1591" s="298"/>
      <c r="J1591" s="298"/>
      <c r="K1591" s="28"/>
      <c r="L1591" s="299"/>
      <c r="M1591" s="27"/>
      <c r="N1591" s="187"/>
      <c r="O1591" s="58"/>
      <c r="P1591" s="300"/>
      <c r="Q1591" s="58"/>
    </row>
    <row r="1592" ht="15.75" customHeight="1">
      <c r="A1592" s="27"/>
      <c r="B1592" s="27"/>
      <c r="C1592" s="275"/>
      <c r="D1592" s="27"/>
      <c r="E1592" s="275"/>
      <c r="F1592" s="185"/>
      <c r="G1592" s="185"/>
      <c r="H1592" s="185"/>
      <c r="I1592" s="298"/>
      <c r="J1592" s="298"/>
      <c r="K1592" s="28"/>
      <c r="L1592" s="299"/>
      <c r="M1592" s="27"/>
      <c r="N1592" s="187"/>
      <c r="O1592" s="58"/>
      <c r="P1592" s="300"/>
      <c r="Q1592" s="58"/>
    </row>
    <row r="1593" ht="15.75" customHeight="1">
      <c r="A1593" s="27"/>
      <c r="B1593" s="27"/>
      <c r="C1593" s="275"/>
      <c r="D1593" s="27"/>
      <c r="E1593" s="275"/>
      <c r="F1593" s="185"/>
      <c r="G1593" s="185"/>
      <c r="H1593" s="185"/>
      <c r="I1593" s="298"/>
      <c r="J1593" s="298"/>
      <c r="K1593" s="391"/>
      <c r="L1593" s="392"/>
      <c r="N1593" s="394"/>
      <c r="O1593" s="397"/>
      <c r="P1593" s="398"/>
      <c r="Q1593" s="393"/>
    </row>
    <row r="1594" ht="15.75" customHeight="1">
      <c r="A1594" s="27"/>
      <c r="B1594" s="27"/>
      <c r="C1594" s="275"/>
      <c r="D1594" s="27"/>
      <c r="E1594" s="275"/>
      <c r="F1594" s="185"/>
      <c r="G1594" s="185"/>
      <c r="H1594" s="185"/>
      <c r="I1594" s="298"/>
      <c r="J1594" s="298"/>
      <c r="K1594" s="28"/>
      <c r="L1594" s="299"/>
      <c r="M1594" s="27"/>
      <c r="N1594" s="187"/>
      <c r="O1594" s="58"/>
      <c r="P1594" s="300"/>
      <c r="Q1594" s="58"/>
    </row>
    <row r="1595" ht="15.75" customHeight="1">
      <c r="A1595" s="27"/>
      <c r="B1595" s="27"/>
      <c r="C1595" s="275"/>
      <c r="D1595" s="27"/>
      <c r="E1595" s="275"/>
      <c r="F1595" s="185"/>
      <c r="G1595" s="185"/>
      <c r="H1595" s="185"/>
      <c r="I1595" s="298"/>
      <c r="J1595" s="298"/>
      <c r="K1595" s="391"/>
      <c r="L1595" s="392"/>
      <c r="N1595" s="394"/>
      <c r="O1595" s="58"/>
      <c r="P1595" s="300"/>
      <c r="Q1595" s="393"/>
    </row>
    <row r="1596" ht="15.75" customHeight="1">
      <c r="A1596" s="27"/>
      <c r="B1596" s="27"/>
      <c r="C1596" s="275"/>
      <c r="D1596" s="27"/>
      <c r="E1596" s="275"/>
      <c r="F1596" s="185"/>
      <c r="G1596" s="185"/>
      <c r="H1596" s="185"/>
      <c r="I1596" s="298"/>
      <c r="J1596" s="298"/>
      <c r="K1596" s="28"/>
      <c r="L1596" s="299"/>
      <c r="M1596" s="27"/>
      <c r="N1596" s="187"/>
      <c r="O1596" s="58"/>
      <c r="P1596" s="300"/>
      <c r="Q1596" s="58"/>
    </row>
    <row r="1597" ht="15.75" customHeight="1">
      <c r="A1597" s="27"/>
      <c r="B1597" s="27"/>
      <c r="C1597" s="275"/>
      <c r="D1597" s="27"/>
      <c r="E1597" s="275"/>
      <c r="F1597" s="185"/>
      <c r="G1597" s="185"/>
      <c r="H1597" s="185"/>
      <c r="I1597" s="298"/>
      <c r="J1597" s="298"/>
      <c r="K1597" s="391"/>
      <c r="L1597" s="392"/>
      <c r="N1597" s="394"/>
      <c r="O1597" s="58"/>
      <c r="P1597" s="300"/>
      <c r="Q1597" s="393"/>
    </row>
    <row r="1598" ht="15.75" customHeight="1">
      <c r="A1598" s="27"/>
      <c r="B1598" s="27"/>
      <c r="C1598" s="275"/>
      <c r="D1598" s="27"/>
      <c r="E1598" s="275"/>
      <c r="F1598" s="185"/>
      <c r="G1598" s="185"/>
      <c r="H1598" s="185"/>
      <c r="I1598" s="298"/>
      <c r="J1598" s="298"/>
      <c r="K1598" s="302"/>
      <c r="L1598" s="303"/>
      <c r="N1598" s="394"/>
      <c r="O1598" s="58"/>
      <c r="P1598" s="300"/>
      <c r="Q1598" s="58"/>
    </row>
    <row r="1599" ht="15.75" customHeight="1">
      <c r="A1599" s="27"/>
      <c r="B1599" s="27"/>
      <c r="C1599" s="275"/>
      <c r="D1599" s="27"/>
      <c r="E1599" s="275"/>
      <c r="F1599" s="185"/>
      <c r="G1599" s="185"/>
      <c r="H1599" s="185"/>
      <c r="I1599" s="298"/>
      <c r="J1599" s="298"/>
      <c r="K1599" s="28"/>
      <c r="L1599" s="299"/>
      <c r="M1599" s="27"/>
      <c r="N1599" s="187"/>
      <c r="O1599" s="58"/>
      <c r="P1599" s="300"/>
      <c r="Q1599" s="58"/>
    </row>
    <row r="1600" ht="15.75" customHeight="1">
      <c r="A1600" s="27"/>
      <c r="B1600" s="27"/>
      <c r="C1600" s="275"/>
      <c r="D1600" s="27"/>
      <c r="E1600" s="275"/>
      <c r="F1600" s="185"/>
      <c r="G1600" s="351"/>
      <c r="H1600" s="185"/>
      <c r="I1600" s="298"/>
      <c r="J1600" s="298"/>
      <c r="K1600" s="391"/>
      <c r="L1600" s="392"/>
      <c r="N1600" s="394"/>
      <c r="O1600" s="58"/>
      <c r="P1600" s="300"/>
      <c r="Q1600" s="393"/>
    </row>
    <row r="1601" ht="15.75" customHeight="1">
      <c r="A1601" s="27"/>
      <c r="B1601" s="27"/>
      <c r="C1601" s="275"/>
      <c r="D1601" s="27"/>
      <c r="E1601" s="275"/>
      <c r="F1601" s="185"/>
      <c r="G1601" s="185"/>
      <c r="H1601" s="185"/>
      <c r="I1601" s="298"/>
      <c r="J1601" s="298"/>
      <c r="K1601" s="28"/>
      <c r="L1601" s="299"/>
      <c r="M1601" s="27"/>
      <c r="N1601" s="187"/>
      <c r="O1601" s="58"/>
      <c r="P1601" s="300"/>
      <c r="Q1601" s="58"/>
    </row>
    <row r="1602" ht="15.75" customHeight="1">
      <c r="A1602" s="27"/>
      <c r="B1602" s="27"/>
      <c r="C1602" s="275"/>
      <c r="D1602" s="27"/>
      <c r="E1602" s="275"/>
      <c r="F1602" s="185"/>
      <c r="G1602" s="351"/>
      <c r="H1602" s="185"/>
      <c r="I1602" s="298"/>
      <c r="J1602" s="298"/>
      <c r="K1602" s="391"/>
      <c r="L1602" s="392"/>
      <c r="N1602" s="399"/>
      <c r="O1602" s="58"/>
      <c r="P1602" s="300"/>
      <c r="Q1602" s="393"/>
    </row>
    <row r="1603" ht="15.75" customHeight="1">
      <c r="A1603" s="27"/>
      <c r="B1603" s="27"/>
      <c r="C1603" s="275"/>
      <c r="D1603" s="27"/>
      <c r="E1603" s="275"/>
      <c r="F1603" s="185"/>
      <c r="G1603" s="185"/>
      <c r="H1603" s="185"/>
      <c r="I1603" s="298"/>
      <c r="J1603" s="298"/>
      <c r="K1603" s="28"/>
      <c r="L1603" s="299"/>
      <c r="M1603" s="27"/>
      <c r="N1603" s="187"/>
      <c r="O1603" s="58"/>
      <c r="P1603" s="300"/>
      <c r="Q1603" s="58"/>
    </row>
    <row r="1604" ht="15.75" customHeight="1">
      <c r="A1604" s="27"/>
      <c r="B1604" s="27"/>
      <c r="C1604" s="275"/>
      <c r="D1604" s="27"/>
      <c r="E1604" s="275"/>
      <c r="F1604" s="185"/>
      <c r="G1604" s="185"/>
      <c r="H1604" s="185"/>
      <c r="I1604" s="298"/>
      <c r="J1604" s="298"/>
      <c r="K1604" s="391"/>
      <c r="L1604" s="392"/>
      <c r="N1604" s="394"/>
      <c r="O1604" s="58"/>
      <c r="P1604" s="300"/>
      <c r="Q1604" s="393"/>
    </row>
    <row r="1605" ht="15.75" customHeight="1">
      <c r="A1605" s="27"/>
      <c r="B1605" s="27"/>
      <c r="C1605" s="275"/>
      <c r="D1605" s="27"/>
      <c r="E1605" s="275"/>
      <c r="F1605" s="185"/>
      <c r="G1605" s="185"/>
      <c r="H1605" s="185"/>
      <c r="I1605" s="298"/>
      <c r="J1605" s="298"/>
      <c r="K1605" s="302"/>
      <c r="L1605" s="303"/>
      <c r="N1605" s="394"/>
      <c r="O1605" s="58"/>
      <c r="P1605" s="300"/>
      <c r="Q1605" s="58"/>
    </row>
    <row r="1606" ht="15.75" customHeight="1">
      <c r="A1606" s="27"/>
      <c r="B1606" s="27"/>
      <c r="C1606" s="275"/>
      <c r="D1606" s="27"/>
      <c r="E1606" s="275"/>
      <c r="F1606" s="185"/>
      <c r="G1606" s="185"/>
      <c r="H1606" s="185"/>
      <c r="I1606" s="298"/>
      <c r="J1606" s="298"/>
      <c r="K1606" s="302"/>
      <c r="L1606" s="303"/>
      <c r="N1606" s="394"/>
      <c r="O1606" s="58"/>
      <c r="P1606" s="300"/>
      <c r="Q1606" s="58"/>
    </row>
    <row r="1607" ht="15.75" customHeight="1">
      <c r="A1607" s="27"/>
      <c r="B1607" s="27"/>
      <c r="C1607" s="275"/>
      <c r="D1607" s="27"/>
      <c r="E1607" s="275"/>
      <c r="F1607" s="185"/>
      <c r="G1607" s="185"/>
      <c r="H1607" s="185"/>
      <c r="I1607" s="298"/>
      <c r="J1607" s="298"/>
      <c r="K1607" s="302"/>
      <c r="L1607" s="303"/>
      <c r="N1607" s="394"/>
      <c r="O1607" s="58"/>
      <c r="P1607" s="300"/>
      <c r="Q1607" s="58"/>
    </row>
    <row r="1608" ht="15.75" customHeight="1">
      <c r="A1608" s="27"/>
      <c r="B1608" s="27"/>
      <c r="C1608" s="275"/>
      <c r="D1608" s="27"/>
      <c r="E1608" s="275"/>
      <c r="F1608" s="185"/>
      <c r="G1608" s="185"/>
      <c r="H1608" s="185"/>
      <c r="I1608" s="298"/>
      <c r="J1608" s="298"/>
      <c r="K1608" s="28"/>
      <c r="L1608" s="299"/>
      <c r="M1608" s="27"/>
      <c r="N1608" s="187"/>
      <c r="O1608" s="58"/>
      <c r="P1608" s="300"/>
      <c r="Q1608" s="58"/>
    </row>
    <row r="1609" ht="15.75" customHeight="1">
      <c r="A1609" s="27"/>
      <c r="B1609" s="27"/>
      <c r="C1609" s="275"/>
      <c r="D1609" s="27"/>
      <c r="E1609" s="275"/>
      <c r="F1609" s="185"/>
      <c r="G1609" s="185"/>
      <c r="H1609" s="185"/>
      <c r="I1609" s="298"/>
      <c r="J1609" s="298"/>
      <c r="K1609" s="400"/>
      <c r="L1609" s="401"/>
      <c r="N1609" s="394"/>
      <c r="O1609" s="58"/>
      <c r="P1609" s="300"/>
      <c r="Q1609" s="393"/>
    </row>
    <row r="1610" ht="15.75" customHeight="1">
      <c r="A1610" s="27"/>
      <c r="B1610" s="27"/>
      <c r="C1610" s="275"/>
      <c r="D1610" s="27"/>
      <c r="E1610" s="275"/>
      <c r="F1610" s="185"/>
      <c r="G1610" s="185"/>
      <c r="H1610" s="185"/>
      <c r="I1610" s="298"/>
      <c r="J1610" s="298"/>
      <c r="K1610" s="28"/>
      <c r="L1610" s="299"/>
      <c r="M1610" s="27"/>
      <c r="N1610" s="187"/>
      <c r="O1610" s="58"/>
      <c r="P1610" s="300"/>
      <c r="Q1610" s="58"/>
    </row>
    <row r="1611" ht="15.75" customHeight="1">
      <c r="A1611" s="27"/>
      <c r="B1611" s="27"/>
      <c r="C1611" s="275"/>
      <c r="D1611" s="27"/>
      <c r="E1611" s="275"/>
      <c r="F1611" s="185"/>
      <c r="G1611" s="185"/>
      <c r="H1611" s="185"/>
      <c r="I1611" s="298"/>
      <c r="J1611" s="298"/>
      <c r="K1611" s="28"/>
      <c r="L1611" s="299"/>
      <c r="M1611" s="27"/>
      <c r="N1611" s="187"/>
      <c r="O1611" s="58"/>
      <c r="P1611" s="300"/>
      <c r="Q1611" s="58"/>
    </row>
    <row r="1612" ht="15.75" customHeight="1">
      <c r="A1612" s="27"/>
      <c r="B1612" s="27"/>
      <c r="C1612" s="275"/>
      <c r="D1612" s="27"/>
      <c r="E1612" s="275"/>
      <c r="F1612" s="185"/>
      <c r="G1612" s="185"/>
      <c r="H1612" s="185"/>
      <c r="I1612" s="298"/>
      <c r="J1612" s="298"/>
      <c r="K1612" s="28"/>
      <c r="L1612" s="299"/>
      <c r="M1612" s="27"/>
      <c r="N1612" s="187"/>
      <c r="O1612" s="58"/>
      <c r="P1612" s="300"/>
      <c r="Q1612" s="58"/>
    </row>
    <row r="1613" ht="15.75" customHeight="1">
      <c r="A1613" s="27"/>
      <c r="B1613" s="27"/>
      <c r="C1613" s="275"/>
      <c r="D1613" s="27"/>
      <c r="E1613" s="275"/>
      <c r="F1613" s="185"/>
      <c r="G1613" s="185"/>
      <c r="H1613" s="185"/>
      <c r="I1613" s="298"/>
      <c r="J1613" s="298"/>
      <c r="K1613" s="28"/>
      <c r="L1613" s="299"/>
      <c r="M1613" s="27"/>
      <c r="N1613" s="187"/>
      <c r="O1613" s="58"/>
      <c r="P1613" s="300"/>
      <c r="Q1613" s="58"/>
    </row>
    <row r="1614" ht="15.75" customHeight="1">
      <c r="A1614" s="27"/>
      <c r="B1614" s="27"/>
      <c r="C1614" s="275"/>
      <c r="D1614" s="27"/>
      <c r="E1614" s="275"/>
      <c r="F1614" s="185"/>
      <c r="G1614" s="185"/>
      <c r="H1614" s="185"/>
      <c r="I1614" s="298"/>
      <c r="J1614" s="298"/>
      <c r="K1614" s="28"/>
      <c r="L1614" s="299"/>
      <c r="M1614" s="27"/>
      <c r="N1614" s="187"/>
      <c r="O1614" s="58"/>
      <c r="P1614" s="300"/>
      <c r="Q1614" s="58"/>
    </row>
    <row r="1615" ht="15.75" customHeight="1">
      <c r="A1615" s="27"/>
      <c r="B1615" s="27"/>
      <c r="C1615" s="275"/>
      <c r="D1615" s="27"/>
      <c r="E1615" s="275"/>
      <c r="F1615" s="185"/>
      <c r="G1615" s="185"/>
      <c r="H1615" s="185"/>
      <c r="I1615" s="298"/>
      <c r="J1615" s="298"/>
      <c r="K1615" s="391"/>
      <c r="L1615" s="392"/>
      <c r="N1615" s="187"/>
      <c r="O1615" s="58"/>
      <c r="P1615" s="300"/>
      <c r="Q1615" s="393"/>
    </row>
    <row r="1616" ht="15.75" customHeight="1">
      <c r="A1616" s="27"/>
      <c r="B1616" s="27"/>
      <c r="C1616" s="275"/>
      <c r="D1616" s="27"/>
      <c r="E1616" s="275"/>
      <c r="F1616" s="185"/>
      <c r="G1616" s="185"/>
      <c r="H1616" s="185"/>
      <c r="I1616" s="298"/>
      <c r="J1616" s="298"/>
      <c r="K1616" s="28"/>
      <c r="L1616" s="299"/>
      <c r="M1616" s="27"/>
      <c r="N1616" s="187"/>
      <c r="O1616" s="58"/>
      <c r="P1616" s="300"/>
      <c r="Q1616" s="58"/>
    </row>
    <row r="1617" ht="15.75" customHeight="1">
      <c r="A1617" s="27"/>
      <c r="B1617" s="27"/>
      <c r="C1617" s="275"/>
      <c r="D1617" s="27"/>
      <c r="E1617" s="275"/>
      <c r="F1617" s="185"/>
      <c r="G1617" s="185"/>
      <c r="H1617" s="185"/>
      <c r="I1617" s="298"/>
      <c r="J1617" s="298"/>
      <c r="K1617" s="28"/>
      <c r="L1617" s="299"/>
      <c r="M1617" s="27"/>
      <c r="N1617" s="187"/>
      <c r="O1617" s="58"/>
      <c r="P1617" s="300"/>
      <c r="Q1617" s="58"/>
    </row>
    <row r="1618" ht="15.75" customHeight="1">
      <c r="A1618" s="27"/>
      <c r="B1618" s="27"/>
      <c r="C1618" s="275"/>
      <c r="D1618" s="27"/>
      <c r="E1618" s="275"/>
      <c r="F1618" s="185"/>
      <c r="G1618" s="185"/>
      <c r="H1618" s="185"/>
      <c r="I1618" s="298"/>
      <c r="J1618" s="298"/>
      <c r="K1618" s="391"/>
      <c r="L1618" s="392"/>
      <c r="N1618" s="187"/>
      <c r="O1618" s="58"/>
      <c r="P1618" s="300"/>
      <c r="Q1618" s="393"/>
    </row>
    <row r="1619" ht="15.75" customHeight="1">
      <c r="A1619" s="27"/>
      <c r="B1619" s="27"/>
      <c r="C1619" s="275"/>
      <c r="D1619" s="27"/>
      <c r="E1619" s="275"/>
      <c r="F1619" s="185"/>
      <c r="G1619" s="185"/>
      <c r="H1619" s="185"/>
      <c r="I1619" s="298"/>
      <c r="J1619" s="298"/>
      <c r="K1619" s="302"/>
      <c r="L1619" s="303"/>
      <c r="N1619" s="187"/>
      <c r="O1619" s="58"/>
      <c r="P1619" s="300"/>
      <c r="Q1619" s="58"/>
    </row>
    <row r="1620" ht="15.75" customHeight="1">
      <c r="A1620" s="27"/>
      <c r="B1620" s="27"/>
      <c r="C1620" s="275"/>
      <c r="D1620" s="27"/>
      <c r="E1620" s="275"/>
      <c r="F1620" s="185"/>
      <c r="G1620" s="185"/>
      <c r="H1620" s="185"/>
      <c r="I1620" s="298"/>
      <c r="J1620" s="298"/>
      <c r="K1620" s="302"/>
      <c r="L1620" s="303"/>
      <c r="N1620" s="187"/>
      <c r="O1620" s="58"/>
      <c r="P1620" s="300"/>
      <c r="Q1620" s="58"/>
    </row>
    <row r="1621" ht="15.75" customHeight="1">
      <c r="A1621" s="27"/>
      <c r="B1621" s="27"/>
      <c r="C1621" s="275"/>
      <c r="D1621" s="27"/>
      <c r="E1621" s="275"/>
      <c r="F1621" s="185"/>
      <c r="G1621" s="185"/>
      <c r="H1621" s="185"/>
      <c r="I1621" s="298"/>
      <c r="J1621" s="298"/>
      <c r="K1621" s="302"/>
      <c r="L1621" s="303"/>
      <c r="N1621" s="187"/>
      <c r="O1621" s="58"/>
      <c r="P1621" s="300"/>
      <c r="Q1621" s="58"/>
    </row>
    <row r="1622" ht="15.75" customHeight="1">
      <c r="A1622" s="27"/>
      <c r="B1622" s="27"/>
      <c r="C1622" s="275"/>
      <c r="D1622" s="27"/>
      <c r="E1622" s="275"/>
      <c r="F1622" s="185"/>
      <c r="G1622" s="185"/>
      <c r="H1622" s="185"/>
      <c r="I1622" s="298"/>
      <c r="J1622" s="298"/>
      <c r="K1622" s="302"/>
      <c r="L1622" s="303"/>
      <c r="N1622" s="187"/>
      <c r="O1622" s="58"/>
      <c r="P1622" s="300"/>
      <c r="Q1622" s="58"/>
    </row>
    <row r="1623" ht="15.75" customHeight="1">
      <c r="A1623" s="27"/>
      <c r="B1623" s="27"/>
      <c r="C1623" s="275"/>
      <c r="D1623" s="27"/>
      <c r="E1623" s="275"/>
      <c r="F1623" s="185"/>
      <c r="G1623" s="185"/>
      <c r="H1623" s="185"/>
      <c r="I1623" s="298"/>
      <c r="J1623" s="298"/>
      <c r="K1623" s="302"/>
      <c r="L1623" s="303"/>
      <c r="N1623" s="187"/>
      <c r="O1623" s="58"/>
      <c r="P1623" s="300"/>
      <c r="Q1623" s="58"/>
    </row>
    <row r="1624" ht="15.75" customHeight="1">
      <c r="A1624" s="27"/>
      <c r="B1624" s="27"/>
      <c r="C1624" s="275"/>
      <c r="D1624" s="27"/>
      <c r="E1624" s="275"/>
      <c r="F1624" s="185"/>
      <c r="G1624" s="185"/>
      <c r="H1624" s="185"/>
      <c r="I1624" s="298"/>
      <c r="J1624" s="298"/>
      <c r="K1624" s="302"/>
      <c r="L1624" s="303"/>
      <c r="N1624" s="187"/>
      <c r="O1624" s="58"/>
      <c r="P1624" s="300"/>
      <c r="Q1624" s="58"/>
    </row>
    <row r="1625" ht="15.75" customHeight="1">
      <c r="A1625" s="27"/>
      <c r="B1625" s="27"/>
      <c r="C1625" s="275"/>
      <c r="D1625" s="27"/>
      <c r="E1625" s="275"/>
      <c r="F1625" s="185"/>
      <c r="G1625" s="185"/>
      <c r="H1625" s="185"/>
      <c r="I1625" s="298"/>
      <c r="J1625" s="298"/>
      <c r="K1625" s="302"/>
      <c r="L1625" s="303"/>
      <c r="N1625" s="187"/>
      <c r="O1625" s="58"/>
      <c r="P1625" s="300"/>
      <c r="Q1625" s="58"/>
    </row>
    <row r="1626" ht="15.75" customHeight="1">
      <c r="A1626" s="27"/>
      <c r="B1626" s="27"/>
      <c r="C1626" s="275"/>
      <c r="D1626" s="27"/>
      <c r="E1626" s="275"/>
      <c r="F1626" s="185"/>
      <c r="G1626" s="185"/>
      <c r="H1626" s="185"/>
      <c r="I1626" s="298"/>
      <c r="J1626" s="298"/>
      <c r="K1626" s="302"/>
      <c r="L1626" s="303"/>
      <c r="N1626" s="187"/>
      <c r="O1626" s="58"/>
      <c r="P1626" s="300"/>
      <c r="Q1626" s="58"/>
    </row>
    <row r="1627" ht="15.75" customHeight="1">
      <c r="A1627" s="27"/>
      <c r="B1627" s="27"/>
      <c r="C1627" s="275"/>
      <c r="D1627" s="27"/>
      <c r="E1627" s="275"/>
      <c r="F1627" s="185"/>
      <c r="G1627" s="185"/>
      <c r="H1627" s="185"/>
      <c r="I1627" s="298"/>
      <c r="J1627" s="298"/>
      <c r="K1627" s="28"/>
      <c r="L1627" s="299"/>
      <c r="M1627" s="27"/>
      <c r="N1627" s="187"/>
      <c r="O1627" s="58"/>
      <c r="P1627" s="300"/>
      <c r="Q1627" s="58"/>
    </row>
    <row r="1628" ht="15.75" customHeight="1">
      <c r="A1628" s="27"/>
      <c r="B1628" s="27"/>
      <c r="C1628" s="275"/>
      <c r="D1628" s="27"/>
      <c r="E1628" s="275"/>
      <c r="F1628" s="185"/>
      <c r="G1628" s="185"/>
      <c r="H1628" s="185"/>
      <c r="I1628" s="298"/>
      <c r="J1628" s="298"/>
      <c r="K1628" s="28"/>
      <c r="L1628" s="299"/>
      <c r="M1628" s="27"/>
      <c r="N1628" s="187"/>
      <c r="O1628" s="58"/>
      <c r="P1628" s="300"/>
      <c r="Q1628" s="58"/>
    </row>
    <row r="1629" ht="15.75" customHeight="1">
      <c r="A1629" s="27"/>
      <c r="B1629" s="27"/>
      <c r="C1629" s="275"/>
      <c r="D1629" s="27"/>
      <c r="E1629" s="275"/>
      <c r="F1629" s="185"/>
      <c r="G1629" s="185"/>
      <c r="H1629" s="185"/>
      <c r="I1629" s="298"/>
      <c r="J1629" s="298"/>
      <c r="K1629" s="28"/>
      <c r="L1629" s="299"/>
      <c r="M1629" s="27"/>
      <c r="N1629" s="187"/>
      <c r="O1629" s="58"/>
      <c r="P1629" s="300"/>
      <c r="Q1629" s="58"/>
    </row>
    <row r="1630" ht="15.75" customHeight="1">
      <c r="A1630" s="27"/>
      <c r="B1630" s="27"/>
      <c r="C1630" s="275"/>
      <c r="D1630" s="27"/>
      <c r="E1630" s="275"/>
      <c r="F1630" s="185"/>
      <c r="G1630" s="185"/>
      <c r="H1630" s="185"/>
      <c r="I1630" s="298"/>
      <c r="J1630" s="298"/>
      <c r="K1630" s="28"/>
      <c r="L1630" s="299"/>
      <c r="M1630" s="27"/>
      <c r="N1630" s="187"/>
      <c r="O1630" s="58"/>
      <c r="P1630" s="300"/>
      <c r="Q1630" s="58"/>
    </row>
    <row r="1631" ht="15.75" customHeight="1">
      <c r="A1631" s="27"/>
      <c r="B1631" s="27"/>
      <c r="C1631" s="275"/>
      <c r="D1631" s="27"/>
      <c r="E1631" s="275"/>
      <c r="F1631" s="185"/>
      <c r="G1631" s="185"/>
      <c r="H1631" s="185"/>
      <c r="I1631" s="298"/>
      <c r="J1631" s="298"/>
      <c r="K1631" s="28"/>
      <c r="L1631" s="299"/>
      <c r="M1631" s="27"/>
      <c r="N1631" s="187"/>
      <c r="O1631" s="58"/>
      <c r="P1631" s="300"/>
      <c r="Q1631" s="58"/>
    </row>
    <row r="1632" ht="15.75" customHeight="1">
      <c r="A1632" s="27"/>
      <c r="B1632" s="27"/>
      <c r="C1632" s="275"/>
      <c r="D1632" s="27"/>
      <c r="E1632" s="275"/>
      <c r="F1632" s="185"/>
      <c r="G1632" s="185"/>
      <c r="H1632" s="185"/>
      <c r="I1632" s="298"/>
      <c r="J1632" s="298"/>
      <c r="K1632" s="391"/>
      <c r="L1632" s="392"/>
      <c r="N1632" s="394"/>
      <c r="O1632" s="58"/>
      <c r="P1632" s="300"/>
      <c r="Q1632" s="393"/>
    </row>
    <row r="1633" ht="15.75" customHeight="1">
      <c r="A1633" s="27"/>
      <c r="B1633" s="27"/>
      <c r="C1633" s="275"/>
      <c r="D1633" s="27"/>
      <c r="E1633" s="275"/>
      <c r="F1633" s="185"/>
      <c r="G1633" s="185"/>
      <c r="H1633" s="185"/>
      <c r="I1633" s="298"/>
      <c r="J1633" s="298"/>
      <c r="K1633" s="302"/>
      <c r="L1633" s="303"/>
      <c r="N1633" s="187"/>
      <c r="O1633" s="58"/>
      <c r="P1633" s="300"/>
      <c r="Q1633" s="58"/>
    </row>
    <row r="1634" ht="15.75" customHeight="1">
      <c r="A1634" s="27"/>
      <c r="B1634" s="27"/>
      <c r="C1634" s="275"/>
      <c r="D1634" s="27"/>
      <c r="E1634" s="275"/>
      <c r="F1634" s="185"/>
      <c r="G1634" s="185"/>
      <c r="H1634" s="185"/>
      <c r="I1634" s="298"/>
      <c r="J1634" s="298"/>
      <c r="K1634" s="28"/>
      <c r="L1634" s="299"/>
      <c r="M1634" s="27"/>
      <c r="N1634" s="187"/>
      <c r="O1634" s="58"/>
      <c r="P1634" s="300"/>
      <c r="Q1634" s="58"/>
    </row>
    <row r="1635" ht="15.75" customHeight="1">
      <c r="A1635" s="27"/>
      <c r="B1635" s="27"/>
      <c r="C1635" s="275"/>
      <c r="D1635" s="27"/>
      <c r="E1635" s="275"/>
      <c r="F1635" s="185"/>
      <c r="G1635" s="185"/>
      <c r="H1635" s="185"/>
      <c r="I1635" s="298"/>
      <c r="J1635" s="298"/>
      <c r="K1635" s="28"/>
      <c r="L1635" s="299"/>
      <c r="M1635" s="27"/>
      <c r="N1635" s="187"/>
      <c r="O1635" s="58"/>
      <c r="P1635" s="300"/>
      <c r="Q1635" s="58"/>
    </row>
    <row r="1636" ht="15.75" customHeight="1">
      <c r="A1636" s="27"/>
      <c r="B1636" s="27"/>
      <c r="C1636" s="275"/>
      <c r="D1636" s="27"/>
      <c r="E1636" s="275"/>
      <c r="F1636" s="185"/>
      <c r="G1636" s="185"/>
      <c r="H1636" s="185"/>
      <c r="I1636" s="298"/>
      <c r="J1636" s="298"/>
      <c r="K1636" s="391"/>
      <c r="L1636" s="392"/>
      <c r="N1636" s="394"/>
      <c r="O1636" s="58"/>
      <c r="P1636" s="300"/>
      <c r="Q1636" s="393"/>
    </row>
    <row r="1637" ht="15.75" customHeight="1">
      <c r="A1637" s="27"/>
      <c r="B1637" s="27"/>
      <c r="C1637" s="275"/>
      <c r="D1637" s="27"/>
      <c r="E1637" s="275"/>
      <c r="F1637" s="185"/>
      <c r="G1637" s="185"/>
      <c r="H1637" s="185"/>
      <c r="I1637" s="298"/>
      <c r="J1637" s="298"/>
      <c r="K1637" s="302"/>
      <c r="L1637" s="303"/>
      <c r="N1637" s="187"/>
      <c r="O1637" s="58"/>
      <c r="P1637" s="300"/>
      <c r="Q1637" s="58"/>
    </row>
    <row r="1638" ht="15.75" customHeight="1">
      <c r="A1638" s="27"/>
      <c r="B1638" s="27"/>
      <c r="C1638" s="275"/>
      <c r="D1638" s="27"/>
      <c r="E1638" s="275"/>
      <c r="F1638" s="185"/>
      <c r="G1638" s="185"/>
      <c r="H1638" s="185"/>
      <c r="I1638" s="298"/>
      <c r="J1638" s="298"/>
      <c r="K1638" s="302"/>
      <c r="L1638" s="303"/>
      <c r="N1638" s="187"/>
      <c r="O1638" s="58"/>
      <c r="P1638" s="300"/>
      <c r="Q1638" s="58"/>
    </row>
    <row r="1639" ht="15.75" customHeight="1">
      <c r="A1639" s="27"/>
      <c r="B1639" s="27"/>
      <c r="C1639" s="275"/>
      <c r="D1639" s="27"/>
      <c r="E1639" s="275"/>
      <c r="F1639" s="185"/>
      <c r="G1639" s="185"/>
      <c r="H1639" s="185"/>
      <c r="I1639" s="298"/>
      <c r="J1639" s="298"/>
      <c r="K1639" s="28"/>
      <c r="L1639" s="299"/>
      <c r="M1639" s="27"/>
      <c r="N1639" s="187"/>
      <c r="O1639" s="58"/>
      <c r="P1639" s="300"/>
      <c r="Q1639" s="58"/>
    </row>
    <row r="1640" ht="15.75" customHeight="1">
      <c r="A1640" s="27"/>
      <c r="B1640" s="27"/>
      <c r="C1640" s="275"/>
      <c r="D1640" s="27"/>
      <c r="E1640" s="275"/>
      <c r="F1640" s="185"/>
      <c r="G1640" s="185"/>
      <c r="H1640" s="185"/>
      <c r="I1640" s="298"/>
      <c r="J1640" s="298"/>
      <c r="K1640" s="391"/>
      <c r="L1640" s="392"/>
      <c r="N1640" s="187"/>
      <c r="O1640" s="58"/>
      <c r="P1640" s="300"/>
      <c r="Q1640" s="393"/>
    </row>
    <row r="1641" ht="15.75" customHeight="1">
      <c r="A1641" s="27"/>
      <c r="B1641" s="27"/>
      <c r="C1641" s="275"/>
      <c r="D1641" s="27"/>
      <c r="E1641" s="275"/>
      <c r="F1641" s="185"/>
      <c r="G1641" s="185"/>
      <c r="H1641" s="185"/>
      <c r="I1641" s="298"/>
      <c r="J1641" s="298"/>
      <c r="K1641" s="302"/>
      <c r="L1641" s="303"/>
      <c r="N1641" s="187"/>
      <c r="O1641" s="58"/>
      <c r="P1641" s="300"/>
      <c r="Q1641" s="58"/>
    </row>
    <row r="1642" ht="15.75" customHeight="1">
      <c r="A1642" s="27"/>
      <c r="B1642" s="27"/>
      <c r="C1642" s="275"/>
      <c r="D1642" s="27"/>
      <c r="E1642" s="275"/>
      <c r="F1642" s="185"/>
      <c r="G1642" s="185"/>
      <c r="H1642" s="185"/>
      <c r="I1642" s="298"/>
      <c r="J1642" s="298"/>
      <c r="K1642" s="302"/>
      <c r="L1642" s="303"/>
      <c r="N1642" s="187"/>
      <c r="O1642" s="58"/>
      <c r="P1642" s="300"/>
      <c r="Q1642" s="58"/>
    </row>
    <row r="1643" ht="15.75" customHeight="1">
      <c r="A1643" s="27"/>
      <c r="B1643" s="27"/>
      <c r="C1643" s="275"/>
      <c r="D1643" s="27"/>
      <c r="E1643" s="275"/>
      <c r="F1643" s="185"/>
      <c r="G1643" s="185"/>
      <c r="H1643" s="185"/>
      <c r="I1643" s="298"/>
      <c r="J1643" s="298"/>
      <c r="K1643" s="302"/>
      <c r="L1643" s="303"/>
      <c r="N1643" s="187"/>
      <c r="O1643" s="58"/>
      <c r="P1643" s="300"/>
      <c r="Q1643" s="58"/>
    </row>
    <row r="1644" ht="15.75" customHeight="1">
      <c r="A1644" s="27"/>
      <c r="B1644" s="27"/>
      <c r="C1644" s="275"/>
      <c r="D1644" s="27"/>
      <c r="E1644" s="275"/>
      <c r="F1644" s="185"/>
      <c r="G1644" s="185"/>
      <c r="H1644" s="185"/>
      <c r="I1644" s="298"/>
      <c r="J1644" s="298"/>
      <c r="K1644" s="302"/>
      <c r="L1644" s="303"/>
      <c r="N1644" s="187"/>
      <c r="O1644" s="58"/>
      <c r="P1644" s="300"/>
      <c r="Q1644" s="58"/>
    </row>
    <row r="1645" ht="15.75" customHeight="1">
      <c r="A1645" s="27"/>
      <c r="B1645" s="27"/>
      <c r="C1645" s="275"/>
      <c r="D1645" s="27"/>
      <c r="E1645" s="275"/>
      <c r="F1645" s="185"/>
      <c r="G1645" s="185"/>
      <c r="H1645" s="185"/>
      <c r="I1645" s="298"/>
      <c r="J1645" s="298"/>
      <c r="K1645" s="28"/>
      <c r="L1645" s="299"/>
      <c r="M1645" s="27"/>
      <c r="N1645" s="187"/>
      <c r="O1645" s="58"/>
      <c r="P1645" s="300"/>
      <c r="Q1645" s="58"/>
    </row>
    <row r="1646" ht="15.75" customHeight="1">
      <c r="A1646" s="27"/>
      <c r="B1646" s="27"/>
      <c r="C1646" s="275"/>
      <c r="D1646" s="27"/>
      <c r="E1646" s="275"/>
      <c r="F1646" s="185"/>
      <c r="G1646" s="185"/>
      <c r="H1646" s="185"/>
      <c r="I1646" s="298"/>
      <c r="J1646" s="298"/>
      <c r="K1646" s="391"/>
      <c r="L1646" s="392"/>
      <c r="N1646" s="187"/>
      <c r="O1646" s="58"/>
      <c r="P1646" s="300"/>
      <c r="Q1646" s="393"/>
    </row>
    <row r="1647" ht="15.75" customHeight="1">
      <c r="A1647" s="27"/>
      <c r="B1647" s="27"/>
      <c r="C1647" s="275"/>
      <c r="D1647" s="27"/>
      <c r="E1647" s="275"/>
      <c r="F1647" s="185"/>
      <c r="G1647" s="185"/>
      <c r="H1647" s="185"/>
      <c r="I1647" s="298"/>
      <c r="J1647" s="298"/>
      <c r="K1647" s="302"/>
      <c r="L1647" s="303"/>
      <c r="N1647" s="187"/>
      <c r="O1647" s="58"/>
      <c r="P1647" s="300"/>
      <c r="Q1647" s="58"/>
    </row>
    <row r="1648" ht="15.75" customHeight="1">
      <c r="A1648" s="27"/>
      <c r="B1648" s="27"/>
      <c r="C1648" s="275"/>
      <c r="D1648" s="27"/>
      <c r="E1648" s="275"/>
      <c r="F1648" s="185"/>
      <c r="G1648" s="185"/>
      <c r="H1648" s="185"/>
      <c r="I1648" s="298"/>
      <c r="J1648" s="298"/>
      <c r="K1648" s="28"/>
      <c r="L1648" s="299"/>
      <c r="M1648" s="27"/>
      <c r="N1648" s="187"/>
      <c r="O1648" s="58"/>
      <c r="P1648" s="300"/>
      <c r="Q1648" s="58"/>
    </row>
    <row r="1649" ht="15.75" customHeight="1">
      <c r="A1649" s="27"/>
      <c r="B1649" s="27"/>
      <c r="C1649" s="275"/>
      <c r="D1649" s="27"/>
      <c r="E1649" s="275"/>
      <c r="F1649" s="185"/>
      <c r="G1649" s="185"/>
      <c r="H1649" s="185"/>
      <c r="I1649" s="298"/>
      <c r="J1649" s="298"/>
      <c r="K1649" s="391"/>
      <c r="L1649" s="392"/>
      <c r="N1649" s="187"/>
      <c r="O1649" s="58"/>
      <c r="P1649" s="300"/>
      <c r="Q1649" s="393"/>
    </row>
    <row r="1650" ht="15.75" customHeight="1">
      <c r="A1650" s="27"/>
      <c r="B1650" s="27"/>
      <c r="C1650" s="275"/>
      <c r="D1650" s="27"/>
      <c r="E1650" s="275"/>
      <c r="F1650" s="185"/>
      <c r="G1650" s="185"/>
      <c r="H1650" s="185"/>
      <c r="I1650" s="298"/>
      <c r="J1650" s="298"/>
      <c r="K1650" s="28"/>
      <c r="L1650" s="299"/>
      <c r="M1650" s="27"/>
      <c r="N1650" s="187"/>
      <c r="O1650" s="58"/>
      <c r="P1650" s="300"/>
      <c r="Q1650" s="58"/>
    </row>
    <row r="1651" ht="15.75" customHeight="1">
      <c r="A1651" s="27"/>
      <c r="B1651" s="27"/>
      <c r="C1651" s="275"/>
      <c r="D1651" s="27"/>
      <c r="E1651" s="275"/>
      <c r="F1651" s="185"/>
      <c r="G1651" s="185"/>
      <c r="H1651" s="185"/>
      <c r="I1651" s="298"/>
      <c r="J1651" s="298"/>
      <c r="K1651" s="28"/>
      <c r="L1651" s="299"/>
      <c r="M1651" s="27"/>
      <c r="N1651" s="187"/>
      <c r="O1651" s="58"/>
      <c r="P1651" s="300"/>
      <c r="Q1651" s="58"/>
    </row>
    <row r="1652" ht="15.75" customHeight="1">
      <c r="A1652" s="27"/>
      <c r="B1652" s="27"/>
      <c r="C1652" s="275"/>
      <c r="D1652" s="27"/>
      <c r="E1652" s="275"/>
      <c r="F1652" s="185"/>
      <c r="G1652" s="185"/>
      <c r="H1652" s="185"/>
      <c r="I1652" s="298"/>
      <c r="J1652" s="298"/>
      <c r="K1652" s="391"/>
      <c r="L1652" s="392"/>
      <c r="N1652" s="187"/>
      <c r="O1652" s="58"/>
      <c r="P1652" s="300"/>
      <c r="Q1652" s="393"/>
    </row>
    <row r="1653" ht="15.75" customHeight="1">
      <c r="A1653" s="27"/>
      <c r="B1653" s="27"/>
      <c r="C1653" s="275"/>
      <c r="D1653" s="27"/>
      <c r="E1653" s="275"/>
      <c r="F1653" s="185"/>
      <c r="G1653" s="185"/>
      <c r="H1653" s="185"/>
      <c r="I1653" s="298"/>
      <c r="J1653" s="298"/>
      <c r="K1653" s="28"/>
      <c r="L1653" s="299"/>
      <c r="M1653" s="27"/>
      <c r="N1653" s="187"/>
      <c r="O1653" s="58"/>
      <c r="P1653" s="300"/>
      <c r="Q1653" s="58"/>
    </row>
    <row r="1654" ht="15.75" customHeight="1">
      <c r="A1654" s="27"/>
      <c r="B1654" s="27"/>
      <c r="C1654" s="275"/>
      <c r="D1654" s="27"/>
      <c r="E1654" s="275"/>
      <c r="F1654" s="185"/>
      <c r="G1654" s="185"/>
      <c r="H1654" s="185"/>
      <c r="I1654" s="298"/>
      <c r="J1654" s="298"/>
      <c r="K1654" s="28"/>
      <c r="L1654" s="299"/>
      <c r="M1654" s="27"/>
      <c r="N1654" s="187"/>
      <c r="O1654" s="58"/>
      <c r="P1654" s="300"/>
      <c r="Q1654" s="58"/>
    </row>
    <row r="1655" ht="15.75" customHeight="1">
      <c r="A1655" s="27"/>
      <c r="B1655" s="27"/>
      <c r="C1655" s="275"/>
      <c r="D1655" s="27"/>
      <c r="E1655" s="275"/>
      <c r="F1655" s="185"/>
      <c r="G1655" s="185"/>
      <c r="H1655" s="185"/>
      <c r="I1655" s="298"/>
      <c r="J1655" s="298"/>
      <c r="K1655" s="28"/>
      <c r="L1655" s="299"/>
      <c r="M1655" s="27"/>
      <c r="N1655" s="187"/>
      <c r="O1655" s="58"/>
      <c r="P1655" s="300"/>
      <c r="Q1655" s="58"/>
    </row>
    <row r="1656" ht="15.75" customHeight="1">
      <c r="A1656" s="27"/>
      <c r="B1656" s="27"/>
      <c r="C1656" s="275"/>
      <c r="D1656" s="27"/>
      <c r="E1656" s="275"/>
      <c r="F1656" s="185"/>
      <c r="G1656" s="185"/>
      <c r="H1656" s="185"/>
      <c r="I1656" s="298"/>
      <c r="J1656" s="298"/>
      <c r="K1656" s="28"/>
      <c r="L1656" s="299"/>
      <c r="M1656" s="27"/>
      <c r="N1656" s="187"/>
      <c r="O1656" s="58"/>
      <c r="P1656" s="300"/>
      <c r="Q1656" s="58"/>
    </row>
    <row r="1657" ht="15.75" customHeight="1">
      <c r="A1657" s="27"/>
      <c r="B1657" s="27"/>
      <c r="C1657" s="275"/>
      <c r="D1657" s="27"/>
      <c r="E1657" s="275"/>
      <c r="F1657" s="185"/>
      <c r="G1657" s="185"/>
      <c r="H1657" s="185"/>
      <c r="I1657" s="298"/>
      <c r="J1657" s="298"/>
      <c r="K1657" s="28"/>
      <c r="L1657" s="299"/>
      <c r="M1657" s="27"/>
      <c r="N1657" s="187"/>
      <c r="O1657" s="58"/>
      <c r="P1657" s="300"/>
      <c r="Q1657" s="58"/>
    </row>
    <row r="1658" ht="15.75" customHeight="1">
      <c r="A1658" s="27"/>
      <c r="B1658" s="27"/>
      <c r="C1658" s="275"/>
      <c r="D1658" s="27"/>
      <c r="E1658" s="275"/>
      <c r="F1658" s="185"/>
      <c r="G1658" s="185"/>
      <c r="H1658" s="185"/>
      <c r="I1658" s="298"/>
      <c r="J1658" s="298"/>
      <c r="K1658" s="28"/>
      <c r="L1658" s="299"/>
      <c r="M1658" s="27"/>
      <c r="N1658" s="187"/>
      <c r="O1658" s="58"/>
      <c r="P1658" s="300"/>
      <c r="Q1658" s="58"/>
    </row>
    <row r="1659" ht="15.75" customHeight="1">
      <c r="A1659" s="27"/>
      <c r="B1659" s="27"/>
      <c r="C1659" s="275"/>
      <c r="D1659" s="27"/>
      <c r="E1659" s="275"/>
      <c r="F1659" s="185"/>
      <c r="G1659" s="185"/>
      <c r="H1659" s="185"/>
      <c r="I1659" s="298"/>
      <c r="J1659" s="298"/>
      <c r="K1659" s="28"/>
      <c r="L1659" s="299"/>
      <c r="M1659" s="27"/>
      <c r="N1659" s="187"/>
      <c r="O1659" s="58"/>
      <c r="P1659" s="300"/>
      <c r="Q1659" s="58"/>
    </row>
    <row r="1660" ht="15.75" customHeight="1">
      <c r="A1660" s="27"/>
      <c r="B1660" s="27"/>
      <c r="C1660" s="275"/>
      <c r="D1660" s="27"/>
      <c r="E1660" s="275"/>
      <c r="F1660" s="185"/>
      <c r="G1660" s="185"/>
      <c r="H1660" s="185"/>
      <c r="I1660" s="298"/>
      <c r="J1660" s="298"/>
      <c r="K1660" s="28"/>
      <c r="L1660" s="299"/>
      <c r="M1660" s="27"/>
      <c r="N1660" s="187"/>
      <c r="O1660" s="58"/>
      <c r="P1660" s="300"/>
      <c r="Q1660" s="58"/>
    </row>
    <row r="1661" ht="15.75" customHeight="1">
      <c r="A1661" s="27"/>
      <c r="B1661" s="27"/>
      <c r="C1661" s="275"/>
      <c r="D1661" s="27"/>
      <c r="E1661" s="275"/>
      <c r="F1661" s="185"/>
      <c r="G1661" s="185"/>
      <c r="H1661" s="185"/>
      <c r="I1661" s="298"/>
      <c r="J1661" s="298"/>
      <c r="K1661" s="28"/>
      <c r="L1661" s="299"/>
      <c r="M1661" s="27"/>
      <c r="N1661" s="187"/>
      <c r="O1661" s="58"/>
      <c r="P1661" s="300"/>
      <c r="Q1661" s="58"/>
    </row>
    <row r="1662" ht="15.75" customHeight="1">
      <c r="A1662" s="27"/>
      <c r="B1662" s="27"/>
      <c r="C1662" s="275"/>
      <c r="D1662" s="27"/>
      <c r="E1662" s="275"/>
      <c r="F1662" s="185"/>
      <c r="G1662" s="185"/>
      <c r="H1662" s="185"/>
      <c r="I1662" s="298"/>
      <c r="J1662" s="298"/>
      <c r="K1662" s="391"/>
      <c r="L1662" s="392"/>
      <c r="N1662" s="352"/>
      <c r="O1662" s="58"/>
      <c r="P1662" s="300"/>
      <c r="Q1662" s="393"/>
    </row>
    <row r="1663" ht="15.75" customHeight="1">
      <c r="A1663" s="27"/>
      <c r="B1663" s="27"/>
      <c r="C1663" s="275"/>
      <c r="D1663" s="27"/>
      <c r="E1663" s="275"/>
      <c r="F1663" s="185"/>
      <c r="G1663" s="185"/>
      <c r="H1663" s="185"/>
      <c r="I1663" s="298"/>
      <c r="J1663" s="298"/>
      <c r="K1663" s="28"/>
      <c r="L1663" s="299"/>
      <c r="M1663" s="27"/>
      <c r="N1663" s="187"/>
      <c r="O1663" s="58"/>
      <c r="P1663" s="300"/>
      <c r="Q1663" s="58"/>
    </row>
    <row r="1664" ht="15.75" customHeight="1">
      <c r="A1664" s="27"/>
      <c r="B1664" s="27"/>
      <c r="C1664" s="275"/>
      <c r="D1664" s="27"/>
      <c r="E1664" s="275"/>
      <c r="F1664" s="185"/>
      <c r="G1664" s="185"/>
      <c r="H1664" s="185"/>
      <c r="I1664" s="298"/>
      <c r="J1664" s="298"/>
      <c r="K1664" s="391"/>
      <c r="L1664" s="392"/>
      <c r="N1664" s="187"/>
      <c r="O1664" s="58"/>
      <c r="P1664" s="300"/>
      <c r="Q1664" s="393"/>
    </row>
    <row r="1665" ht="15.75" customHeight="1">
      <c r="A1665" s="27"/>
      <c r="B1665" s="27"/>
      <c r="C1665" s="275"/>
      <c r="D1665" s="27"/>
      <c r="E1665" s="275"/>
      <c r="F1665" s="185"/>
      <c r="G1665" s="185"/>
      <c r="H1665" s="185"/>
      <c r="I1665" s="298"/>
      <c r="J1665" s="298"/>
      <c r="K1665" s="302"/>
      <c r="L1665" s="303"/>
      <c r="N1665" s="187"/>
      <c r="O1665" s="58"/>
      <c r="P1665" s="300"/>
      <c r="Q1665" s="58"/>
    </row>
    <row r="1666" ht="15.75" customHeight="1">
      <c r="A1666" s="27"/>
      <c r="B1666" s="27"/>
      <c r="C1666" s="275"/>
      <c r="D1666" s="27"/>
      <c r="E1666" s="275"/>
      <c r="F1666" s="185"/>
      <c r="G1666" s="185"/>
      <c r="H1666" s="185"/>
      <c r="I1666" s="298"/>
      <c r="J1666" s="298"/>
      <c r="K1666" s="302"/>
      <c r="L1666" s="303"/>
      <c r="N1666" s="187"/>
      <c r="O1666" s="58"/>
      <c r="P1666" s="300"/>
      <c r="Q1666" s="58"/>
    </row>
    <row r="1667" ht="15.75" customHeight="1">
      <c r="A1667" s="27"/>
      <c r="B1667" s="27"/>
      <c r="C1667" s="275"/>
      <c r="D1667" s="27"/>
      <c r="E1667" s="275"/>
      <c r="F1667" s="185"/>
      <c r="G1667" s="185"/>
      <c r="H1667" s="185"/>
      <c r="I1667" s="298"/>
      <c r="J1667" s="298"/>
      <c r="K1667" s="302"/>
      <c r="L1667" s="303"/>
      <c r="N1667" s="187"/>
      <c r="O1667" s="58"/>
      <c r="P1667" s="300"/>
      <c r="Q1667" s="58"/>
    </row>
    <row r="1668" ht="15.75" customHeight="1">
      <c r="A1668" s="27"/>
      <c r="B1668" s="27"/>
      <c r="C1668" s="275"/>
      <c r="D1668" s="27"/>
      <c r="E1668" s="275"/>
      <c r="F1668" s="185"/>
      <c r="G1668" s="185"/>
      <c r="H1668" s="185"/>
      <c r="I1668" s="298"/>
      <c r="J1668" s="298"/>
      <c r="K1668" s="302"/>
      <c r="L1668" s="303"/>
      <c r="N1668" s="187"/>
      <c r="O1668" s="58"/>
      <c r="P1668" s="300"/>
      <c r="Q1668" s="58"/>
    </row>
    <row r="1669" ht="15.75" customHeight="1">
      <c r="A1669" s="27"/>
      <c r="B1669" s="27"/>
      <c r="C1669" s="275"/>
      <c r="D1669" s="27"/>
      <c r="E1669" s="275"/>
      <c r="F1669" s="185"/>
      <c r="G1669" s="185"/>
      <c r="H1669" s="185"/>
      <c r="I1669" s="298"/>
      <c r="J1669" s="298"/>
      <c r="K1669" s="302"/>
      <c r="L1669" s="303"/>
      <c r="N1669" s="394"/>
      <c r="O1669" s="58"/>
      <c r="P1669" s="300"/>
      <c r="Q1669" s="58"/>
    </row>
    <row r="1670" ht="15.75" customHeight="1">
      <c r="A1670" s="27"/>
      <c r="B1670" s="27"/>
      <c r="C1670" s="275"/>
      <c r="D1670" s="27"/>
      <c r="E1670" s="275"/>
      <c r="F1670" s="185"/>
      <c r="G1670" s="185"/>
      <c r="H1670" s="185"/>
      <c r="I1670" s="298"/>
      <c r="J1670" s="298"/>
      <c r="K1670" s="28"/>
      <c r="L1670" s="299"/>
      <c r="M1670" s="27"/>
      <c r="N1670" s="187"/>
      <c r="O1670" s="58"/>
      <c r="P1670" s="300"/>
      <c r="Q1670" s="58"/>
    </row>
    <row r="1671" ht="15.75" customHeight="1">
      <c r="A1671" s="27"/>
      <c r="B1671" s="27"/>
      <c r="C1671" s="275"/>
      <c r="D1671" s="27"/>
      <c r="E1671" s="275"/>
      <c r="F1671" s="185"/>
      <c r="G1671" s="185"/>
      <c r="H1671" s="185"/>
      <c r="I1671" s="298"/>
      <c r="J1671" s="298"/>
      <c r="K1671" s="391"/>
      <c r="L1671" s="392"/>
      <c r="N1671" s="352"/>
      <c r="O1671" s="58"/>
      <c r="P1671" s="300"/>
      <c r="Q1671" s="393"/>
    </row>
    <row r="1672" ht="15.75" customHeight="1">
      <c r="A1672" s="27"/>
      <c r="B1672" s="27"/>
      <c r="C1672" s="275"/>
      <c r="D1672" s="27"/>
      <c r="E1672" s="275"/>
      <c r="F1672" s="185"/>
      <c r="G1672" s="185"/>
      <c r="H1672" s="185"/>
      <c r="I1672" s="298"/>
      <c r="J1672" s="298"/>
      <c r="K1672" s="28"/>
      <c r="L1672" s="299"/>
      <c r="M1672" s="27"/>
      <c r="N1672" s="187"/>
      <c r="O1672" s="58"/>
      <c r="P1672" s="300"/>
      <c r="Q1672" s="58"/>
    </row>
    <row r="1673" ht="15.75" customHeight="1">
      <c r="A1673" s="27"/>
      <c r="B1673" s="27"/>
      <c r="C1673" s="275"/>
      <c r="D1673" s="27"/>
      <c r="E1673" s="275"/>
      <c r="F1673" s="185"/>
      <c r="G1673" s="185"/>
      <c r="H1673" s="185"/>
      <c r="I1673" s="298"/>
      <c r="J1673" s="298"/>
      <c r="K1673" s="28"/>
      <c r="L1673" s="299"/>
      <c r="M1673" s="27"/>
      <c r="N1673" s="187"/>
      <c r="O1673" s="58"/>
      <c r="P1673" s="300"/>
      <c r="Q1673" s="58"/>
    </row>
    <row r="1674" ht="15.75" customHeight="1">
      <c r="A1674" s="27"/>
      <c r="B1674" s="27"/>
      <c r="C1674" s="275"/>
      <c r="D1674" s="27"/>
      <c r="E1674" s="275"/>
      <c r="F1674" s="185"/>
      <c r="G1674" s="185"/>
      <c r="H1674" s="185"/>
      <c r="I1674" s="298"/>
      <c r="J1674" s="298"/>
      <c r="K1674" s="391"/>
      <c r="L1674" s="392"/>
      <c r="N1674" s="187"/>
      <c r="O1674" s="58"/>
      <c r="P1674" s="300"/>
      <c r="Q1674" s="393"/>
    </row>
    <row r="1675" ht="15.75" customHeight="1">
      <c r="A1675" s="27"/>
      <c r="B1675" s="27"/>
      <c r="C1675" s="275"/>
      <c r="D1675" s="27"/>
      <c r="E1675" s="275"/>
      <c r="F1675" s="185"/>
      <c r="G1675" s="185"/>
      <c r="H1675" s="185"/>
      <c r="I1675" s="298"/>
      <c r="J1675" s="298"/>
      <c r="K1675" s="302"/>
      <c r="L1675" s="303"/>
      <c r="N1675" s="187"/>
      <c r="O1675" s="58"/>
      <c r="P1675" s="300"/>
      <c r="Q1675" s="58"/>
    </row>
    <row r="1676" ht="15.75" customHeight="1">
      <c r="A1676" s="27"/>
      <c r="B1676" s="27"/>
      <c r="C1676" s="275"/>
      <c r="D1676" s="27"/>
      <c r="E1676" s="275"/>
      <c r="F1676" s="185"/>
      <c r="G1676" s="185"/>
      <c r="H1676" s="185"/>
      <c r="I1676" s="298"/>
      <c r="J1676" s="298"/>
      <c r="K1676" s="28"/>
      <c r="L1676" s="299"/>
      <c r="M1676" s="27"/>
      <c r="N1676" s="187"/>
      <c r="O1676" s="58"/>
      <c r="P1676" s="300"/>
      <c r="Q1676" s="58"/>
    </row>
    <row r="1677" ht="15.75" customHeight="1">
      <c r="A1677" s="27"/>
      <c r="B1677" s="27"/>
      <c r="C1677" s="275"/>
      <c r="D1677" s="27"/>
      <c r="E1677" s="275"/>
      <c r="F1677" s="185"/>
      <c r="G1677" s="185"/>
      <c r="H1677" s="185"/>
      <c r="I1677" s="298"/>
      <c r="J1677" s="298"/>
      <c r="K1677" s="28"/>
      <c r="L1677" s="299"/>
      <c r="M1677" s="27"/>
      <c r="N1677" s="187"/>
      <c r="O1677" s="58"/>
      <c r="P1677" s="300"/>
      <c r="Q1677" s="58"/>
    </row>
    <row r="1678" ht="15.75" customHeight="1">
      <c r="A1678" s="27"/>
      <c r="B1678" s="27"/>
      <c r="C1678" s="275"/>
      <c r="D1678" s="27"/>
      <c r="E1678" s="275"/>
      <c r="F1678" s="185"/>
      <c r="G1678" s="185"/>
      <c r="H1678" s="185"/>
      <c r="I1678" s="298"/>
      <c r="J1678" s="298"/>
      <c r="K1678" s="28"/>
      <c r="L1678" s="299"/>
      <c r="M1678" s="27"/>
      <c r="N1678" s="187"/>
      <c r="O1678" s="58"/>
      <c r="P1678" s="300"/>
      <c r="Q1678" s="58"/>
    </row>
    <row r="1679" ht="15.75" customHeight="1">
      <c r="A1679" s="27"/>
      <c r="B1679" s="27"/>
      <c r="C1679" s="275"/>
      <c r="D1679" s="27"/>
      <c r="E1679" s="275"/>
      <c r="F1679" s="185"/>
      <c r="G1679" s="185"/>
      <c r="H1679" s="185"/>
      <c r="I1679" s="298"/>
      <c r="J1679" s="298"/>
      <c r="K1679" s="391"/>
      <c r="L1679" s="392"/>
      <c r="N1679" s="187"/>
      <c r="O1679" s="58"/>
      <c r="P1679" s="300"/>
      <c r="Q1679" s="393"/>
    </row>
    <row r="1680" ht="15.75" customHeight="1">
      <c r="A1680" s="27"/>
      <c r="B1680" s="27"/>
      <c r="C1680" s="275"/>
      <c r="D1680" s="27"/>
      <c r="E1680" s="275"/>
      <c r="F1680" s="185"/>
      <c r="G1680" s="185"/>
      <c r="H1680" s="185"/>
      <c r="I1680" s="298"/>
      <c r="J1680" s="298"/>
      <c r="K1680" s="302"/>
      <c r="L1680" s="303"/>
      <c r="N1680" s="187"/>
      <c r="O1680" s="58"/>
      <c r="P1680" s="300"/>
      <c r="Q1680" s="58"/>
    </row>
    <row r="1681" ht="15.75" customHeight="1">
      <c r="A1681" s="27"/>
      <c r="B1681" s="27"/>
      <c r="C1681" s="275"/>
      <c r="D1681" s="27"/>
      <c r="E1681" s="275"/>
      <c r="F1681" s="405"/>
      <c r="G1681" s="185"/>
      <c r="H1681" s="185"/>
      <c r="I1681" s="298"/>
      <c r="J1681" s="298"/>
      <c r="K1681" s="302"/>
      <c r="L1681" s="303"/>
      <c r="N1681" s="187"/>
      <c r="O1681" s="58"/>
      <c r="P1681" s="300"/>
      <c r="Q1681" s="58"/>
    </row>
    <row r="1682" ht="15.75" customHeight="1">
      <c r="A1682" s="27"/>
      <c r="B1682" s="27"/>
      <c r="C1682" s="275"/>
      <c r="D1682" s="27"/>
      <c r="E1682" s="275"/>
      <c r="F1682" s="185"/>
      <c r="G1682" s="185"/>
      <c r="H1682" s="185"/>
      <c r="I1682" s="298"/>
      <c r="J1682" s="298"/>
      <c r="K1682" s="302"/>
      <c r="L1682" s="303"/>
      <c r="N1682" s="187"/>
      <c r="O1682" s="58"/>
      <c r="P1682" s="300"/>
      <c r="Q1682" s="58"/>
    </row>
    <row r="1683" ht="15.75" customHeight="1">
      <c r="A1683" s="27"/>
      <c r="B1683" s="27"/>
      <c r="C1683" s="275"/>
      <c r="D1683" s="27"/>
      <c r="E1683" s="275"/>
      <c r="F1683" s="185"/>
      <c r="G1683" s="185"/>
      <c r="H1683" s="185"/>
      <c r="I1683" s="298"/>
      <c r="J1683" s="298"/>
      <c r="K1683" s="302"/>
      <c r="L1683" s="303"/>
      <c r="N1683" s="187"/>
      <c r="O1683" s="58"/>
      <c r="P1683" s="300"/>
      <c r="Q1683" s="58"/>
    </row>
    <row r="1684" ht="15.75" customHeight="1">
      <c r="A1684" s="27"/>
      <c r="B1684" s="27"/>
      <c r="C1684" s="275"/>
      <c r="D1684" s="27"/>
      <c r="E1684" s="275"/>
      <c r="F1684" s="185"/>
      <c r="G1684" s="185"/>
      <c r="H1684" s="185"/>
      <c r="I1684" s="298"/>
      <c r="J1684" s="298"/>
      <c r="K1684" s="302"/>
      <c r="L1684" s="303"/>
      <c r="N1684" s="187"/>
      <c r="O1684" s="58"/>
      <c r="P1684" s="300"/>
      <c r="Q1684" s="58"/>
    </row>
    <row r="1685" ht="15.75" customHeight="1">
      <c r="A1685" s="27"/>
      <c r="B1685" s="27"/>
      <c r="C1685" s="275"/>
      <c r="D1685" s="27"/>
      <c r="E1685" s="275"/>
      <c r="F1685" s="185"/>
      <c r="G1685" s="185"/>
      <c r="H1685" s="185"/>
      <c r="I1685" s="298"/>
      <c r="J1685" s="298"/>
      <c r="K1685" s="28"/>
      <c r="L1685" s="299"/>
      <c r="M1685" s="27"/>
      <c r="N1685" s="187"/>
      <c r="O1685" s="58"/>
      <c r="P1685" s="300"/>
      <c r="Q1685" s="58"/>
    </row>
    <row r="1686" ht="15.75" customHeight="1">
      <c r="A1686" s="27"/>
      <c r="B1686" s="27"/>
      <c r="C1686" s="275"/>
      <c r="D1686" s="27"/>
      <c r="E1686" s="275"/>
      <c r="F1686" s="185"/>
      <c r="G1686" s="185"/>
      <c r="H1686" s="185"/>
      <c r="I1686" s="298"/>
      <c r="J1686" s="298"/>
      <c r="K1686" s="28"/>
      <c r="L1686" s="299"/>
      <c r="M1686" s="27"/>
      <c r="N1686" s="187"/>
      <c r="O1686" s="58"/>
      <c r="P1686" s="300"/>
      <c r="Q1686" s="58"/>
    </row>
    <row r="1687" ht="15.75" customHeight="1">
      <c r="A1687" s="27"/>
      <c r="B1687" s="27"/>
      <c r="C1687" s="275"/>
      <c r="D1687" s="27"/>
      <c r="E1687" s="275"/>
      <c r="F1687" s="185"/>
      <c r="G1687" s="185"/>
      <c r="H1687" s="185"/>
      <c r="I1687" s="298"/>
      <c r="J1687" s="298"/>
      <c r="K1687" s="28"/>
      <c r="L1687" s="299"/>
      <c r="M1687" s="27"/>
      <c r="N1687" s="187"/>
      <c r="O1687" s="58"/>
      <c r="P1687" s="300"/>
      <c r="Q1687" s="58"/>
    </row>
    <row r="1688" ht="15.75" customHeight="1">
      <c r="A1688" s="27"/>
      <c r="B1688" s="27"/>
      <c r="C1688" s="275"/>
      <c r="D1688" s="27"/>
      <c r="E1688" s="275"/>
      <c r="F1688" s="185"/>
      <c r="G1688" s="185"/>
      <c r="H1688" s="185"/>
      <c r="I1688" s="298"/>
      <c r="J1688" s="298"/>
      <c r="K1688" s="391"/>
      <c r="L1688" s="392"/>
      <c r="N1688" s="187"/>
      <c r="O1688" s="58"/>
      <c r="P1688" s="300"/>
      <c r="Q1688" s="393"/>
    </row>
    <row r="1689" ht="15.75" customHeight="1">
      <c r="A1689" s="27"/>
      <c r="B1689" s="27"/>
      <c r="C1689" s="275"/>
      <c r="D1689" s="27"/>
      <c r="E1689" s="275"/>
      <c r="F1689" s="185"/>
      <c r="G1689" s="185"/>
      <c r="H1689" s="185"/>
      <c r="I1689" s="298"/>
      <c r="J1689" s="298"/>
      <c r="K1689" s="28"/>
      <c r="L1689" s="299"/>
      <c r="M1689" s="27"/>
      <c r="N1689" s="187"/>
      <c r="O1689" s="58"/>
      <c r="P1689" s="300"/>
      <c r="Q1689" s="58"/>
    </row>
    <row r="1690" ht="15.75" customHeight="1">
      <c r="A1690" s="27"/>
      <c r="B1690" s="27"/>
      <c r="C1690" s="275"/>
      <c r="D1690" s="27"/>
      <c r="E1690" s="275"/>
      <c r="F1690" s="185"/>
      <c r="G1690" s="185"/>
      <c r="H1690" s="185"/>
      <c r="I1690" s="298"/>
      <c r="J1690" s="298"/>
      <c r="K1690" s="28"/>
      <c r="L1690" s="299"/>
      <c r="M1690" s="27"/>
      <c r="N1690" s="187"/>
      <c r="O1690" s="58"/>
      <c r="P1690" s="300"/>
      <c r="Q1690" s="58"/>
    </row>
    <row r="1691" ht="15.75" customHeight="1">
      <c r="A1691" s="27"/>
      <c r="B1691" s="27"/>
      <c r="C1691" s="275"/>
      <c r="D1691" s="27"/>
      <c r="E1691" s="275"/>
      <c r="F1691" s="185"/>
      <c r="G1691" s="185"/>
      <c r="H1691" s="185"/>
      <c r="I1691" s="298"/>
      <c r="J1691" s="298"/>
      <c r="K1691" s="391"/>
      <c r="L1691" s="392"/>
      <c r="N1691" s="187"/>
      <c r="O1691" s="58"/>
      <c r="P1691" s="300"/>
      <c r="Q1691" s="393"/>
    </row>
    <row r="1692" ht="15.75" customHeight="1">
      <c r="A1692" s="27"/>
      <c r="B1692" s="27"/>
      <c r="C1692" s="275"/>
      <c r="D1692" s="27"/>
      <c r="E1692" s="275"/>
      <c r="F1692" s="185"/>
      <c r="G1692" s="185"/>
      <c r="H1692" s="185"/>
      <c r="I1692" s="298"/>
      <c r="J1692" s="298"/>
      <c r="K1692" s="302"/>
      <c r="L1692" s="303"/>
      <c r="N1692" s="352"/>
      <c r="O1692" s="58"/>
      <c r="P1692" s="300"/>
      <c r="Q1692" s="58"/>
    </row>
    <row r="1693" ht="15.75" customHeight="1">
      <c r="A1693" s="27"/>
      <c r="B1693" s="27"/>
      <c r="C1693" s="275"/>
      <c r="D1693" s="27"/>
      <c r="E1693" s="275"/>
      <c r="F1693" s="185"/>
      <c r="G1693" s="185"/>
      <c r="H1693" s="185"/>
      <c r="I1693" s="298"/>
      <c r="J1693" s="298"/>
      <c r="K1693" s="28"/>
      <c r="L1693" s="299"/>
      <c r="M1693" s="27"/>
      <c r="N1693" s="187"/>
      <c r="O1693" s="58"/>
      <c r="P1693" s="300"/>
      <c r="Q1693" s="58"/>
    </row>
    <row r="1694" ht="15.75" customHeight="1">
      <c r="A1694" s="27"/>
      <c r="B1694" s="27"/>
      <c r="C1694" s="275"/>
      <c r="D1694" s="27"/>
      <c r="E1694" s="275"/>
      <c r="F1694" s="185"/>
      <c r="G1694" s="185"/>
      <c r="H1694" s="185"/>
      <c r="I1694" s="298"/>
      <c r="J1694" s="298"/>
      <c r="K1694" s="28"/>
      <c r="L1694" s="299"/>
      <c r="M1694" s="27"/>
      <c r="N1694" s="187"/>
      <c r="O1694" s="58"/>
      <c r="P1694" s="300"/>
      <c r="Q1694" s="58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7"/>
      <c r="AD1694" s="27"/>
      <c r="AE1694" s="27"/>
      <c r="AF1694" s="27"/>
      <c r="AG1694" s="27"/>
      <c r="AH1694" s="27"/>
    </row>
    <row r="1695" ht="15.75" customHeight="1">
      <c r="A1695" s="27"/>
      <c r="B1695" s="27"/>
      <c r="C1695" s="275"/>
      <c r="D1695" s="27"/>
      <c r="E1695" s="275"/>
      <c r="F1695" s="185"/>
      <c r="G1695" s="185"/>
      <c r="H1695" s="185"/>
      <c r="I1695" s="298"/>
      <c r="J1695" s="298"/>
      <c r="K1695" s="384"/>
      <c r="L1695" s="385"/>
      <c r="N1695" s="352"/>
      <c r="O1695" s="58"/>
      <c r="P1695" s="300"/>
      <c r="Q1695" s="386"/>
    </row>
    <row r="1696" ht="15.75" customHeight="1">
      <c r="A1696" s="27"/>
      <c r="B1696" s="27"/>
      <c r="C1696" s="275"/>
      <c r="D1696" s="27"/>
      <c r="E1696" s="275"/>
      <c r="F1696" s="185"/>
      <c r="G1696" s="185"/>
      <c r="H1696" s="185"/>
      <c r="I1696" s="298"/>
      <c r="J1696" s="298"/>
      <c r="K1696" s="302"/>
      <c r="L1696" s="303"/>
      <c r="N1696" s="394"/>
      <c r="O1696" s="58"/>
      <c r="P1696" s="300"/>
      <c r="Q1696" s="58"/>
    </row>
    <row r="1697" ht="15.75" customHeight="1">
      <c r="A1697" s="27"/>
      <c r="B1697" s="27"/>
      <c r="C1697" s="275"/>
      <c r="D1697" s="27"/>
      <c r="E1697" s="275"/>
      <c r="F1697" s="185"/>
      <c r="G1697" s="185"/>
      <c r="H1697" s="185"/>
      <c r="I1697" s="298"/>
      <c r="J1697" s="298"/>
      <c r="K1697" s="302"/>
      <c r="L1697" s="303"/>
      <c r="N1697" s="352"/>
      <c r="O1697" s="58"/>
      <c r="P1697" s="300"/>
      <c r="Q1697" s="58"/>
    </row>
    <row r="1698" ht="15.75" customHeight="1">
      <c r="A1698" s="27"/>
      <c r="B1698" s="27"/>
      <c r="C1698" s="275"/>
      <c r="D1698" s="27"/>
      <c r="E1698" s="275"/>
      <c r="F1698" s="185"/>
      <c r="G1698" s="185"/>
      <c r="H1698" s="185"/>
      <c r="I1698" s="298"/>
      <c r="J1698" s="298"/>
      <c r="K1698" s="302"/>
      <c r="L1698" s="303"/>
      <c r="N1698" s="352"/>
      <c r="O1698" s="58"/>
      <c r="P1698" s="300"/>
      <c r="Q1698" s="58"/>
    </row>
    <row r="1699" ht="15.75" customHeight="1">
      <c r="A1699" s="27"/>
      <c r="B1699" s="27"/>
      <c r="C1699" s="275"/>
      <c r="D1699" s="27"/>
      <c r="E1699" s="275"/>
      <c r="F1699" s="185"/>
      <c r="G1699" s="185"/>
      <c r="H1699" s="185"/>
      <c r="I1699" s="298"/>
      <c r="J1699" s="298"/>
      <c r="K1699" s="302"/>
      <c r="L1699" s="303"/>
      <c r="N1699" s="352"/>
      <c r="O1699" s="58"/>
      <c r="P1699" s="300"/>
      <c r="Q1699" s="58"/>
    </row>
    <row r="1700" ht="15.75" customHeight="1">
      <c r="A1700" s="27"/>
      <c r="B1700" s="27"/>
      <c r="C1700" s="275"/>
      <c r="D1700" s="27"/>
      <c r="E1700" s="275"/>
      <c r="F1700" s="185"/>
      <c r="G1700" s="185"/>
      <c r="H1700" s="185"/>
      <c r="I1700" s="298"/>
      <c r="J1700" s="298"/>
      <c r="K1700" s="302"/>
      <c r="L1700" s="303"/>
      <c r="N1700" s="352"/>
      <c r="O1700" s="58"/>
      <c r="P1700" s="300"/>
      <c r="Q1700" s="58"/>
    </row>
    <row r="1701" ht="15.75" customHeight="1">
      <c r="A1701" s="27"/>
      <c r="B1701" s="27"/>
      <c r="C1701" s="275"/>
      <c r="D1701" s="27"/>
      <c r="E1701" s="275"/>
      <c r="F1701" s="185"/>
      <c r="G1701" s="185"/>
      <c r="H1701" s="185"/>
      <c r="I1701" s="298"/>
      <c r="J1701" s="298"/>
      <c r="K1701" s="302"/>
      <c r="L1701" s="303"/>
      <c r="N1701" s="352"/>
      <c r="O1701" s="58"/>
      <c r="P1701" s="300"/>
      <c r="Q1701" s="58"/>
    </row>
    <row r="1702" ht="15.75" customHeight="1">
      <c r="A1702" s="27"/>
      <c r="B1702" s="27"/>
      <c r="C1702" s="275"/>
      <c r="D1702" s="27"/>
      <c r="E1702" s="275"/>
      <c r="F1702" s="185"/>
      <c r="G1702" s="185"/>
      <c r="H1702" s="185"/>
      <c r="I1702" s="298"/>
      <c r="J1702" s="298"/>
      <c r="K1702" s="28"/>
      <c r="L1702" s="299"/>
      <c r="M1702" s="27"/>
      <c r="N1702" s="187"/>
      <c r="O1702" s="58"/>
      <c r="P1702" s="300"/>
      <c r="Q1702" s="58"/>
    </row>
    <row r="1703" ht="15.75" customHeight="1">
      <c r="A1703" s="27"/>
      <c r="B1703" s="27"/>
      <c r="C1703" s="275"/>
      <c r="D1703" s="27"/>
      <c r="E1703" s="275"/>
      <c r="F1703" s="185"/>
      <c r="G1703" s="185"/>
      <c r="H1703" s="185"/>
      <c r="I1703" s="298"/>
      <c r="J1703" s="298"/>
      <c r="K1703" s="391"/>
      <c r="L1703" s="392"/>
      <c r="N1703" s="352"/>
      <c r="O1703" s="409"/>
      <c r="P1703" s="410"/>
      <c r="Q1703" s="393"/>
    </row>
    <row r="1704" ht="15.75" customHeight="1">
      <c r="A1704" s="27"/>
      <c r="B1704" s="27"/>
      <c r="C1704" s="275"/>
      <c r="D1704" s="27"/>
      <c r="E1704" s="275"/>
      <c r="F1704" s="185"/>
      <c r="G1704" s="185"/>
      <c r="H1704" s="185"/>
      <c r="I1704" s="298"/>
      <c r="J1704" s="298"/>
      <c r="K1704" s="302"/>
      <c r="L1704" s="303"/>
      <c r="N1704" s="352"/>
      <c r="O1704" s="58"/>
      <c r="P1704" s="300"/>
      <c r="Q1704" s="409"/>
    </row>
    <row r="1705" ht="15.75" customHeight="1">
      <c r="A1705" s="27"/>
      <c r="B1705" s="27"/>
      <c r="C1705" s="275"/>
      <c r="D1705" s="27"/>
      <c r="E1705" s="275"/>
      <c r="F1705" s="185"/>
      <c r="G1705" s="185"/>
      <c r="H1705" s="185"/>
      <c r="I1705" s="298"/>
      <c r="J1705" s="298"/>
      <c r="K1705" s="302"/>
      <c r="L1705" s="303"/>
      <c r="N1705" s="352"/>
      <c r="O1705" s="58"/>
      <c r="P1705" s="300"/>
      <c r="Q1705" s="58"/>
    </row>
    <row r="1706" ht="15.75" customHeight="1">
      <c r="A1706" s="27"/>
      <c r="B1706" s="27"/>
      <c r="C1706" s="275"/>
      <c r="D1706" s="27"/>
      <c r="E1706" s="275"/>
      <c r="F1706" s="185"/>
      <c r="G1706" s="185"/>
      <c r="H1706" s="185"/>
      <c r="I1706" s="298"/>
      <c r="J1706" s="298"/>
      <c r="K1706" s="302"/>
      <c r="L1706" s="303"/>
      <c r="N1706" s="352"/>
      <c r="O1706" s="409"/>
      <c r="P1706" s="410"/>
      <c r="Q1706" s="58"/>
    </row>
    <row r="1707" ht="15.75" customHeight="1">
      <c r="A1707" s="27"/>
      <c r="B1707" s="27"/>
      <c r="C1707" s="275"/>
      <c r="D1707" s="27"/>
      <c r="E1707" s="275"/>
      <c r="F1707" s="185"/>
      <c r="G1707" s="185"/>
      <c r="H1707" s="185"/>
      <c r="I1707" s="298"/>
      <c r="J1707" s="298"/>
      <c r="K1707" s="302"/>
      <c r="L1707" s="303"/>
      <c r="N1707" s="352"/>
      <c r="O1707" s="58"/>
      <c r="P1707" s="300"/>
      <c r="Q1707" s="409"/>
    </row>
    <row r="1708" ht="15.75" customHeight="1">
      <c r="A1708" s="27"/>
      <c r="B1708" s="27"/>
      <c r="C1708" s="275"/>
      <c r="D1708" s="27"/>
      <c r="E1708" s="275"/>
      <c r="F1708" s="185"/>
      <c r="G1708" s="185"/>
      <c r="H1708" s="185"/>
      <c r="I1708" s="298"/>
      <c r="J1708" s="298"/>
      <c r="K1708" s="302"/>
      <c r="L1708" s="303"/>
      <c r="N1708" s="352"/>
      <c r="O1708" s="58"/>
      <c r="P1708" s="300"/>
      <c r="Q1708" s="58"/>
    </row>
    <row r="1709" ht="15.75" customHeight="1">
      <c r="A1709" s="27"/>
      <c r="B1709" s="27"/>
      <c r="C1709" s="275"/>
      <c r="D1709" s="27"/>
      <c r="E1709" s="275"/>
      <c r="F1709" s="185"/>
      <c r="G1709" s="185"/>
      <c r="H1709" s="185"/>
      <c r="I1709" s="298"/>
      <c r="J1709" s="298"/>
      <c r="K1709" s="302"/>
      <c r="L1709" s="303"/>
      <c r="N1709" s="352"/>
      <c r="O1709" s="58"/>
      <c r="P1709" s="300"/>
      <c r="Q1709" s="58"/>
    </row>
    <row r="1710" ht="15.75" customHeight="1">
      <c r="A1710" s="27"/>
      <c r="B1710" s="27"/>
      <c r="C1710" s="275"/>
      <c r="D1710" s="27"/>
      <c r="E1710" s="275"/>
      <c r="F1710" s="185"/>
      <c r="G1710" s="185"/>
      <c r="H1710" s="185"/>
      <c r="I1710" s="298"/>
      <c r="J1710" s="298"/>
      <c r="K1710" s="302"/>
      <c r="L1710" s="303"/>
      <c r="N1710" s="352"/>
      <c r="O1710" s="58"/>
      <c r="P1710" s="300"/>
      <c r="Q1710" s="58"/>
    </row>
    <row r="1711" ht="15.75" customHeight="1">
      <c r="A1711" s="27"/>
      <c r="B1711" s="27"/>
      <c r="C1711" s="275"/>
      <c r="D1711" s="27"/>
      <c r="E1711" s="275"/>
      <c r="F1711" s="185"/>
      <c r="G1711" s="185"/>
      <c r="H1711" s="185"/>
      <c r="I1711" s="298"/>
      <c r="J1711" s="298"/>
      <c r="K1711" s="28"/>
      <c r="L1711" s="299"/>
      <c r="M1711" s="27"/>
      <c r="N1711" s="187"/>
      <c r="O1711" s="58"/>
      <c r="P1711" s="300"/>
      <c r="Q1711" s="58"/>
    </row>
    <row r="1712" ht="15.75" customHeight="1">
      <c r="A1712" s="27"/>
      <c r="B1712" s="27"/>
      <c r="C1712" s="275"/>
      <c r="D1712" s="27"/>
      <c r="E1712" s="275"/>
      <c r="F1712" s="185"/>
      <c r="G1712" s="185"/>
      <c r="H1712" s="185"/>
      <c r="I1712" s="298"/>
      <c r="J1712" s="298"/>
      <c r="K1712" s="391"/>
      <c r="L1712" s="392"/>
      <c r="N1712" s="187"/>
      <c r="O1712" s="58"/>
      <c r="P1712" s="300"/>
      <c r="Q1712" s="393"/>
    </row>
    <row r="1713" ht="15.75" customHeight="1">
      <c r="A1713" s="27"/>
      <c r="B1713" s="27"/>
      <c r="C1713" s="275"/>
      <c r="D1713" s="27"/>
      <c r="E1713" s="275"/>
      <c r="F1713" s="185"/>
      <c r="G1713" s="185"/>
      <c r="H1713" s="185"/>
      <c r="I1713" s="298"/>
      <c r="J1713" s="298"/>
      <c r="K1713" s="302"/>
      <c r="L1713" s="303"/>
      <c r="N1713" s="352"/>
      <c r="O1713" s="409"/>
      <c r="P1713" s="410"/>
      <c r="Q1713" s="58"/>
    </row>
    <row r="1714" ht="15.75" customHeight="1">
      <c r="A1714" s="27"/>
      <c r="B1714" s="27"/>
      <c r="C1714" s="275"/>
      <c r="D1714" s="27"/>
      <c r="E1714" s="275"/>
      <c r="F1714" s="185"/>
      <c r="G1714" s="185"/>
      <c r="H1714" s="185"/>
      <c r="I1714" s="298"/>
      <c r="J1714" s="298"/>
      <c r="K1714" s="302"/>
      <c r="L1714" s="303"/>
      <c r="N1714" s="352"/>
      <c r="O1714" s="58"/>
      <c r="P1714" s="300"/>
      <c r="Q1714" s="409"/>
    </row>
    <row r="1715" ht="15.75" customHeight="1">
      <c r="A1715" s="27"/>
      <c r="B1715" s="27"/>
      <c r="C1715" s="275"/>
      <c r="D1715" s="27"/>
      <c r="E1715" s="275"/>
      <c r="F1715" s="185"/>
      <c r="G1715" s="185"/>
      <c r="H1715" s="185"/>
      <c r="I1715" s="298"/>
      <c r="J1715" s="298"/>
      <c r="K1715" s="302"/>
      <c r="L1715" s="303"/>
      <c r="N1715" s="352"/>
      <c r="O1715" s="58"/>
      <c r="P1715" s="300"/>
      <c r="Q1715" s="58"/>
    </row>
    <row r="1716" ht="15.75" customHeight="1">
      <c r="A1716" s="27"/>
      <c r="B1716" s="27"/>
      <c r="C1716" s="275"/>
      <c r="D1716" s="27"/>
      <c r="E1716" s="275"/>
      <c r="F1716" s="185"/>
      <c r="G1716" s="185"/>
      <c r="H1716" s="185"/>
      <c r="I1716" s="298"/>
      <c r="J1716" s="298"/>
      <c r="K1716" s="302"/>
      <c r="L1716" s="303"/>
      <c r="N1716" s="187"/>
      <c r="O1716" s="58"/>
      <c r="P1716" s="300"/>
      <c r="Q1716" s="58"/>
    </row>
    <row r="1717" ht="15.75" customHeight="1">
      <c r="A1717" s="27"/>
      <c r="B1717" s="27"/>
      <c r="C1717" s="275"/>
      <c r="D1717" s="27"/>
      <c r="E1717" s="275"/>
      <c r="F1717" s="185"/>
      <c r="G1717" s="185"/>
      <c r="H1717" s="185"/>
      <c r="I1717" s="298"/>
      <c r="J1717" s="298"/>
      <c r="K1717" s="302"/>
      <c r="L1717" s="303"/>
      <c r="N1717" s="187"/>
      <c r="O1717" s="58"/>
      <c r="P1717" s="300"/>
      <c r="Q1717" s="58"/>
    </row>
    <row r="1718" ht="15.75" customHeight="1">
      <c r="A1718" s="27"/>
      <c r="B1718" s="27"/>
      <c r="C1718" s="275"/>
      <c r="D1718" s="27"/>
      <c r="E1718" s="275"/>
      <c r="F1718" s="185"/>
      <c r="G1718" s="185"/>
      <c r="H1718" s="185"/>
      <c r="I1718" s="298"/>
      <c r="J1718" s="298"/>
      <c r="K1718" s="302"/>
      <c r="L1718" s="303"/>
      <c r="N1718" s="352"/>
      <c r="O1718" s="58"/>
      <c r="P1718" s="300"/>
      <c r="Q1718" s="58"/>
    </row>
    <row r="1719" ht="15.75" customHeight="1">
      <c r="A1719" s="27"/>
      <c r="B1719" s="27"/>
      <c r="C1719" s="275"/>
      <c r="D1719" s="27"/>
      <c r="E1719" s="275"/>
      <c r="F1719" s="185"/>
      <c r="G1719" s="185"/>
      <c r="H1719" s="185"/>
      <c r="I1719" s="298"/>
      <c r="J1719" s="298"/>
      <c r="K1719" s="302"/>
      <c r="L1719" s="303"/>
      <c r="N1719" s="352"/>
      <c r="O1719" s="58"/>
      <c r="P1719" s="300"/>
      <c r="Q1719" s="58"/>
    </row>
    <row r="1720" ht="15.75" customHeight="1">
      <c r="A1720" s="27"/>
      <c r="B1720" s="27"/>
      <c r="C1720" s="275"/>
      <c r="D1720" s="27"/>
      <c r="E1720" s="275"/>
      <c r="F1720" s="185"/>
      <c r="G1720" s="185"/>
      <c r="H1720" s="185"/>
      <c r="I1720" s="298"/>
      <c r="J1720" s="298"/>
      <c r="K1720" s="302"/>
      <c r="L1720" s="303"/>
      <c r="N1720" s="187"/>
      <c r="O1720" s="58"/>
      <c r="P1720" s="300"/>
      <c r="Q1720" s="58"/>
    </row>
    <row r="1721" ht="15.75" customHeight="1">
      <c r="A1721" s="27"/>
      <c r="B1721" s="27"/>
      <c r="C1721" s="275"/>
      <c r="D1721" s="27"/>
      <c r="E1721" s="275"/>
      <c r="F1721" s="185"/>
      <c r="G1721" s="185"/>
      <c r="H1721" s="185"/>
      <c r="I1721" s="298"/>
      <c r="J1721" s="298"/>
      <c r="K1721" s="302"/>
      <c r="L1721" s="303"/>
      <c r="N1721" s="187"/>
      <c r="O1721" s="58"/>
      <c r="P1721" s="300"/>
      <c r="Q1721" s="58"/>
    </row>
    <row r="1722" ht="15.75" customHeight="1">
      <c r="A1722" s="27"/>
      <c r="B1722" s="27"/>
      <c r="C1722" s="275"/>
      <c r="D1722" s="27"/>
      <c r="E1722" s="275"/>
      <c r="F1722" s="185"/>
      <c r="G1722" s="185"/>
      <c r="H1722" s="185"/>
      <c r="I1722" s="298"/>
      <c r="J1722" s="298"/>
      <c r="K1722" s="302"/>
      <c r="L1722" s="303"/>
      <c r="N1722" s="352"/>
      <c r="O1722" s="58"/>
      <c r="P1722" s="300"/>
      <c r="Q1722" s="58"/>
    </row>
    <row r="1723" ht="15.75" customHeight="1">
      <c r="A1723" s="27"/>
      <c r="B1723" s="27"/>
      <c r="C1723" s="275"/>
      <c r="D1723" s="27"/>
      <c r="E1723" s="275"/>
      <c r="F1723" s="185"/>
      <c r="G1723" s="185"/>
      <c r="H1723" s="185"/>
      <c r="I1723" s="298"/>
      <c r="J1723" s="298"/>
      <c r="K1723" s="302"/>
      <c r="L1723" s="303"/>
      <c r="N1723" s="352"/>
      <c r="O1723" s="58"/>
      <c r="P1723" s="300"/>
      <c r="Q1723" s="58"/>
    </row>
    <row r="1724" ht="15.75" customHeight="1">
      <c r="A1724" s="27"/>
      <c r="B1724" s="27"/>
      <c r="C1724" s="275"/>
      <c r="D1724" s="27"/>
      <c r="E1724" s="275"/>
      <c r="F1724" s="185"/>
      <c r="G1724" s="185"/>
      <c r="H1724" s="185"/>
      <c r="I1724" s="298"/>
      <c r="J1724" s="298"/>
      <c r="K1724" s="302"/>
      <c r="L1724" s="303"/>
      <c r="N1724" s="352"/>
      <c r="O1724" s="58"/>
      <c r="P1724" s="300"/>
      <c r="Q1724" s="58"/>
    </row>
    <row r="1725" ht="15.75" customHeight="1">
      <c r="A1725" s="27"/>
      <c r="B1725" s="27"/>
      <c r="C1725" s="275"/>
      <c r="D1725" s="27"/>
      <c r="E1725" s="275"/>
      <c r="F1725" s="185"/>
      <c r="G1725" s="185"/>
      <c r="H1725" s="185"/>
      <c r="I1725" s="298"/>
      <c r="J1725" s="298"/>
      <c r="K1725" s="302"/>
      <c r="L1725" s="303"/>
      <c r="N1725" s="352"/>
      <c r="O1725" s="58"/>
      <c r="P1725" s="300"/>
      <c r="Q1725" s="58"/>
    </row>
    <row r="1726" ht="15.75" customHeight="1">
      <c r="A1726" s="27"/>
      <c r="B1726" s="27"/>
      <c r="C1726" s="275"/>
      <c r="D1726" s="27"/>
      <c r="E1726" s="275"/>
      <c r="F1726" s="185"/>
      <c r="G1726" s="185"/>
      <c r="H1726" s="185"/>
      <c r="I1726" s="298"/>
      <c r="J1726" s="298"/>
      <c r="K1726" s="302"/>
      <c r="L1726" s="303"/>
      <c r="N1726" s="352"/>
      <c r="O1726" s="58"/>
      <c r="P1726" s="300"/>
      <c r="Q1726" s="58"/>
    </row>
    <row r="1727" ht="15.75" customHeight="1">
      <c r="A1727" s="27"/>
      <c r="B1727" s="27"/>
      <c r="C1727" s="275"/>
      <c r="D1727" s="27"/>
      <c r="E1727" s="275"/>
      <c r="F1727" s="185"/>
      <c r="G1727" s="185"/>
      <c r="H1727" s="185"/>
      <c r="I1727" s="298"/>
      <c r="J1727" s="298"/>
      <c r="K1727" s="302"/>
      <c r="L1727" s="303"/>
      <c r="N1727" s="352"/>
      <c r="O1727" s="58"/>
      <c r="P1727" s="300"/>
      <c r="Q1727" s="58"/>
    </row>
    <row r="1728" ht="15.75" customHeight="1">
      <c r="A1728" s="27"/>
      <c r="B1728" s="27"/>
      <c r="C1728" s="275"/>
      <c r="D1728" s="27"/>
      <c r="E1728" s="275"/>
      <c r="F1728" s="185"/>
      <c r="G1728" s="185"/>
      <c r="H1728" s="185"/>
      <c r="I1728" s="298"/>
      <c r="J1728" s="298"/>
      <c r="K1728" s="302"/>
      <c r="L1728" s="303"/>
      <c r="N1728" s="352"/>
      <c r="O1728" s="58"/>
      <c r="P1728" s="300"/>
      <c r="Q1728" s="58"/>
    </row>
    <row r="1729" ht="15.75" customHeight="1">
      <c r="A1729" s="27"/>
      <c r="B1729" s="27"/>
      <c r="C1729" s="275"/>
      <c r="D1729" s="27"/>
      <c r="E1729" s="275"/>
      <c r="F1729" s="185"/>
      <c r="G1729" s="185"/>
      <c r="H1729" s="185"/>
      <c r="I1729" s="298"/>
      <c r="J1729" s="298"/>
      <c r="K1729" s="302"/>
      <c r="L1729" s="303"/>
      <c r="N1729" s="352"/>
      <c r="O1729" s="58"/>
      <c r="P1729" s="300"/>
      <c r="Q1729" s="58"/>
    </row>
    <row r="1730" ht="15.75" customHeight="1">
      <c r="A1730" s="27"/>
      <c r="B1730" s="27"/>
      <c r="C1730" s="275"/>
      <c r="D1730" s="27"/>
      <c r="E1730" s="275"/>
      <c r="F1730" s="185"/>
      <c r="G1730" s="185"/>
      <c r="H1730" s="185"/>
      <c r="I1730" s="298"/>
      <c r="J1730" s="298"/>
      <c r="K1730" s="302"/>
      <c r="L1730" s="303"/>
      <c r="N1730" s="352"/>
      <c r="O1730" s="58"/>
      <c r="P1730" s="300"/>
      <c r="Q1730" s="58"/>
    </row>
    <row r="1731" ht="15.75" customHeight="1">
      <c r="A1731" s="27"/>
      <c r="B1731" s="27"/>
      <c r="C1731" s="275"/>
      <c r="D1731" s="27"/>
      <c r="E1731" s="275"/>
      <c r="F1731" s="185"/>
      <c r="G1731" s="185"/>
      <c r="H1731" s="185"/>
      <c r="I1731" s="298"/>
      <c r="J1731" s="298"/>
      <c r="K1731" s="302"/>
      <c r="L1731" s="303"/>
      <c r="N1731" s="352"/>
      <c r="O1731" s="58"/>
      <c r="P1731" s="300"/>
      <c r="Q1731" s="58"/>
    </row>
    <row r="1732" ht="15.75" customHeight="1">
      <c r="A1732" s="27"/>
      <c r="B1732" s="27"/>
      <c r="C1732" s="275"/>
      <c r="D1732" s="27"/>
      <c r="E1732" s="275"/>
      <c r="F1732" s="185"/>
      <c r="G1732" s="185"/>
      <c r="H1732" s="185"/>
      <c r="I1732" s="298"/>
      <c r="J1732" s="298"/>
      <c r="K1732" s="302"/>
      <c r="L1732" s="303"/>
      <c r="N1732" s="352"/>
      <c r="O1732" s="58"/>
      <c r="P1732" s="300"/>
      <c r="Q1732" s="58"/>
    </row>
    <row r="1733" ht="15.75" customHeight="1">
      <c r="A1733" s="27"/>
      <c r="B1733" s="27"/>
      <c r="C1733" s="275"/>
      <c r="D1733" s="27"/>
      <c r="E1733" s="275"/>
      <c r="F1733" s="185"/>
      <c r="G1733" s="185"/>
      <c r="H1733" s="185"/>
      <c r="I1733" s="298"/>
      <c r="J1733" s="298"/>
      <c r="K1733" s="302"/>
      <c r="L1733" s="303"/>
      <c r="N1733" s="352"/>
      <c r="O1733" s="58"/>
      <c r="P1733" s="300"/>
      <c r="Q1733" s="58"/>
    </row>
    <row r="1734" ht="15.75" customHeight="1">
      <c r="A1734" s="27"/>
      <c r="B1734" s="27"/>
      <c r="C1734" s="275"/>
      <c r="D1734" s="27"/>
      <c r="E1734" s="275"/>
      <c r="F1734" s="185"/>
      <c r="G1734" s="185"/>
      <c r="H1734" s="185"/>
      <c r="I1734" s="298"/>
      <c r="J1734" s="298"/>
      <c r="K1734" s="302"/>
      <c r="L1734" s="303"/>
      <c r="N1734" s="352"/>
      <c r="O1734" s="58"/>
      <c r="P1734" s="300"/>
      <c r="Q1734" s="58"/>
    </row>
    <row r="1735" ht="15.75" customHeight="1">
      <c r="A1735" s="27"/>
      <c r="B1735" s="27"/>
      <c r="C1735" s="275"/>
      <c r="D1735" s="27"/>
      <c r="E1735" s="275"/>
      <c r="F1735" s="185"/>
      <c r="G1735" s="185"/>
      <c r="H1735" s="185"/>
      <c r="I1735" s="298"/>
      <c r="J1735" s="298"/>
      <c r="K1735" s="302"/>
      <c r="L1735" s="303"/>
      <c r="N1735" s="352"/>
      <c r="O1735" s="58"/>
      <c r="P1735" s="300"/>
      <c r="Q1735" s="58"/>
    </row>
    <row r="1736" ht="15.75" customHeight="1">
      <c r="A1736" s="27"/>
      <c r="B1736" s="27"/>
      <c r="C1736" s="275"/>
      <c r="D1736" s="27"/>
      <c r="E1736" s="275"/>
      <c r="F1736" s="185"/>
      <c r="G1736" s="185"/>
      <c r="H1736" s="185"/>
      <c r="I1736" s="298"/>
      <c r="J1736" s="298"/>
      <c r="K1736" s="302"/>
      <c r="L1736" s="303"/>
      <c r="N1736" s="352"/>
      <c r="O1736" s="58"/>
      <c r="P1736" s="300"/>
      <c r="Q1736" s="58"/>
    </row>
    <row r="1737" ht="15.75" customHeight="1">
      <c r="A1737" s="27"/>
      <c r="B1737" s="27"/>
      <c r="C1737" s="275"/>
      <c r="D1737" s="27"/>
      <c r="E1737" s="275"/>
      <c r="F1737" s="185"/>
      <c r="G1737" s="185"/>
      <c r="H1737" s="185"/>
      <c r="I1737" s="298"/>
      <c r="J1737" s="298"/>
      <c r="K1737" s="302"/>
      <c r="L1737" s="303"/>
      <c r="N1737" s="352"/>
      <c r="O1737" s="58"/>
      <c r="P1737" s="300"/>
      <c r="Q1737" s="58"/>
    </row>
    <row r="1738" ht="15.75" customHeight="1">
      <c r="A1738" s="27"/>
      <c r="B1738" s="27"/>
      <c r="C1738" s="275"/>
      <c r="D1738" s="27"/>
      <c r="E1738" s="275"/>
      <c r="F1738" s="185"/>
      <c r="G1738" s="185"/>
      <c r="H1738" s="185"/>
      <c r="I1738" s="298"/>
      <c r="J1738" s="298"/>
      <c r="K1738" s="302"/>
      <c r="L1738" s="303"/>
      <c r="N1738" s="352"/>
      <c r="O1738" s="58"/>
      <c r="P1738" s="300"/>
      <c r="Q1738" s="58"/>
    </row>
    <row r="1739" ht="15.75" customHeight="1">
      <c r="A1739" s="27"/>
      <c r="B1739" s="27"/>
      <c r="C1739" s="275"/>
      <c r="D1739" s="27"/>
      <c r="E1739" s="275"/>
      <c r="F1739" s="185"/>
      <c r="G1739" s="185"/>
      <c r="H1739" s="185"/>
      <c r="I1739" s="298"/>
      <c r="J1739" s="298"/>
      <c r="K1739" s="302"/>
      <c r="L1739" s="303"/>
      <c r="N1739" s="352"/>
      <c r="O1739" s="58"/>
      <c r="P1739" s="300"/>
      <c r="Q1739" s="58"/>
    </row>
    <row r="1740" ht="15.75" customHeight="1">
      <c r="A1740" s="27"/>
      <c r="B1740" s="27"/>
      <c r="C1740" s="275"/>
      <c r="D1740" s="27"/>
      <c r="E1740" s="275"/>
      <c r="F1740" s="185"/>
      <c r="G1740" s="185"/>
      <c r="H1740" s="185"/>
      <c r="I1740" s="298"/>
      <c r="J1740" s="298"/>
      <c r="K1740" s="302"/>
      <c r="L1740" s="303"/>
      <c r="N1740" s="352"/>
      <c r="O1740" s="58"/>
      <c r="P1740" s="300"/>
      <c r="Q1740" s="58"/>
    </row>
    <row r="1741" ht="15.75" customHeight="1">
      <c r="A1741" s="27"/>
      <c r="B1741" s="27"/>
      <c r="C1741" s="275"/>
      <c r="D1741" s="27"/>
      <c r="E1741" s="275"/>
      <c r="F1741" s="185"/>
      <c r="G1741" s="185"/>
      <c r="H1741" s="185"/>
      <c r="I1741" s="298"/>
      <c r="J1741" s="298"/>
      <c r="K1741" s="411"/>
      <c r="L1741" s="412"/>
      <c r="N1741" s="352"/>
      <c r="O1741" s="58"/>
      <c r="P1741" s="300"/>
      <c r="Q1741" s="58"/>
    </row>
    <row r="1742" ht="15.75" customHeight="1">
      <c r="A1742" s="27"/>
      <c r="B1742" s="27"/>
      <c r="C1742" s="275"/>
      <c r="D1742" s="27"/>
      <c r="E1742" s="275"/>
      <c r="F1742" s="185"/>
      <c r="G1742" s="185"/>
      <c r="H1742" s="185"/>
      <c r="I1742" s="298"/>
      <c r="J1742" s="298"/>
      <c r="K1742" s="411"/>
      <c r="L1742" s="412"/>
      <c r="N1742" s="352"/>
      <c r="O1742" s="58"/>
      <c r="P1742" s="300"/>
      <c r="Q1742" s="58"/>
    </row>
    <row r="1743" ht="15.75" customHeight="1">
      <c r="A1743" s="27"/>
      <c r="B1743" s="27"/>
      <c r="C1743" s="275"/>
      <c r="D1743" s="27"/>
      <c r="E1743" s="275"/>
      <c r="F1743" s="185"/>
      <c r="G1743" s="185"/>
      <c r="H1743" s="185"/>
      <c r="I1743" s="298"/>
      <c r="J1743" s="298"/>
      <c r="K1743" s="411"/>
      <c r="L1743" s="412"/>
      <c r="N1743" s="352"/>
      <c r="O1743" s="58"/>
      <c r="P1743" s="300"/>
      <c r="Q1743" s="58"/>
    </row>
    <row r="1744" ht="15.75" customHeight="1">
      <c r="A1744" s="27"/>
      <c r="B1744" s="27"/>
      <c r="C1744" s="275"/>
      <c r="D1744" s="27"/>
      <c r="E1744" s="275"/>
      <c r="F1744" s="185"/>
      <c r="G1744" s="185"/>
      <c r="H1744" s="185"/>
      <c r="I1744" s="298"/>
      <c r="J1744" s="298"/>
      <c r="K1744" s="411"/>
      <c r="L1744" s="412"/>
      <c r="N1744" s="352"/>
      <c r="O1744" s="58"/>
      <c r="P1744" s="300"/>
      <c r="Q1744" s="58"/>
    </row>
    <row r="1745" ht="15.75" customHeight="1">
      <c r="A1745" s="27"/>
      <c r="B1745" s="27"/>
      <c r="C1745" s="275"/>
      <c r="D1745" s="27"/>
      <c r="E1745" s="275"/>
      <c r="F1745" s="185"/>
      <c r="G1745" s="185"/>
      <c r="H1745" s="185"/>
      <c r="I1745" s="298"/>
      <c r="J1745" s="298"/>
      <c r="K1745" s="302"/>
      <c r="L1745" s="303"/>
      <c r="N1745" s="352"/>
      <c r="O1745" s="58"/>
      <c r="P1745" s="300"/>
    </row>
    <row r="1746" ht="15.75" customHeight="1">
      <c r="A1746" s="27"/>
      <c r="B1746" s="27"/>
      <c r="C1746" s="275"/>
      <c r="D1746" s="27"/>
      <c r="E1746" s="275"/>
      <c r="F1746" s="185"/>
      <c r="G1746" s="185"/>
      <c r="H1746" s="185"/>
      <c r="I1746" s="298"/>
      <c r="J1746" s="298"/>
      <c r="K1746" s="302"/>
      <c r="L1746" s="303"/>
      <c r="N1746" s="352"/>
      <c r="O1746" s="58"/>
      <c r="P1746" s="300"/>
      <c r="Q1746" s="58"/>
      <c r="V1746" s="387"/>
      <c r="W1746" s="387"/>
      <c r="X1746" s="387"/>
      <c r="Y1746" s="387"/>
      <c r="Z1746" s="387"/>
      <c r="AA1746" s="387"/>
      <c r="AB1746" s="387"/>
      <c r="AC1746" s="387"/>
      <c r="AD1746" s="387"/>
      <c r="AE1746" s="387"/>
      <c r="AF1746" s="387"/>
      <c r="AG1746" s="387"/>
      <c r="AH1746" s="387"/>
    </row>
    <row r="1747" ht="15.75" customHeight="1">
      <c r="A1747" s="27"/>
      <c r="B1747" s="27"/>
      <c r="C1747" s="275"/>
      <c r="D1747" s="27"/>
      <c r="E1747" s="275"/>
      <c r="F1747" s="185"/>
      <c r="G1747" s="185"/>
      <c r="H1747" s="185"/>
      <c r="I1747" s="298"/>
      <c r="J1747" s="298"/>
      <c r="K1747" s="302"/>
      <c r="L1747" s="303"/>
      <c r="N1747" s="413"/>
      <c r="O1747" s="58"/>
      <c r="P1747" s="300"/>
      <c r="Q1747" s="58"/>
    </row>
    <row r="1748" ht="15.75" customHeight="1">
      <c r="A1748" s="27"/>
      <c r="B1748" s="27"/>
      <c r="C1748" s="275"/>
      <c r="D1748" s="27"/>
      <c r="E1748" s="275"/>
      <c r="F1748" s="185"/>
      <c r="G1748" s="185"/>
      <c r="H1748" s="185"/>
      <c r="I1748" s="298"/>
      <c r="J1748" s="298"/>
      <c r="K1748" s="302"/>
      <c r="L1748" s="303"/>
      <c r="N1748" s="413"/>
      <c r="O1748" s="58"/>
      <c r="P1748" s="300"/>
      <c r="Q1748" s="58"/>
    </row>
    <row r="1749" ht="15.75" customHeight="1">
      <c r="A1749" s="27"/>
      <c r="B1749" s="27"/>
      <c r="C1749" s="275"/>
      <c r="D1749" s="27"/>
      <c r="E1749" s="275"/>
      <c r="F1749" s="185"/>
      <c r="G1749" s="185"/>
      <c r="H1749" s="185"/>
      <c r="I1749" s="298"/>
      <c r="J1749" s="298"/>
      <c r="K1749" s="302"/>
      <c r="L1749" s="303"/>
      <c r="N1749" s="413"/>
      <c r="O1749" s="58"/>
      <c r="P1749" s="300"/>
      <c r="Q1749" s="58"/>
    </row>
    <row r="1750" ht="15.75" customHeight="1">
      <c r="A1750" s="27"/>
      <c r="B1750" s="27"/>
      <c r="C1750" s="275"/>
      <c r="D1750" s="27"/>
      <c r="E1750" s="275"/>
      <c r="F1750" s="185"/>
      <c r="G1750" s="185"/>
      <c r="H1750" s="185"/>
      <c r="I1750" s="298"/>
      <c r="J1750" s="298"/>
      <c r="K1750" s="302"/>
      <c r="L1750" s="303"/>
      <c r="N1750" s="413"/>
      <c r="O1750" s="58"/>
      <c r="P1750" s="300"/>
      <c r="Q1750" s="58"/>
    </row>
    <row r="1751" ht="15.75" customHeight="1">
      <c r="A1751" s="27"/>
      <c r="B1751" s="27"/>
      <c r="C1751" s="275"/>
      <c r="D1751" s="27"/>
      <c r="E1751" s="275"/>
      <c r="F1751" s="185"/>
      <c r="G1751" s="185"/>
      <c r="H1751" s="185"/>
      <c r="I1751" s="298"/>
      <c r="J1751" s="298"/>
      <c r="K1751" s="302"/>
      <c r="L1751" s="303"/>
      <c r="N1751" s="413"/>
      <c r="O1751" s="58"/>
      <c r="P1751" s="300"/>
      <c r="Q1751" s="58"/>
      <c r="V1751" s="387"/>
      <c r="W1751" s="387"/>
      <c r="X1751" s="387"/>
      <c r="Y1751" s="387"/>
      <c r="Z1751" s="387"/>
      <c r="AA1751" s="387"/>
      <c r="AB1751" s="387"/>
      <c r="AC1751" s="387"/>
      <c r="AD1751" s="387"/>
      <c r="AE1751" s="387"/>
      <c r="AF1751" s="387"/>
      <c r="AG1751" s="387"/>
      <c r="AH1751" s="387"/>
    </row>
    <row r="1752" ht="15.75" customHeight="1">
      <c r="A1752" s="27"/>
      <c r="B1752" s="27"/>
      <c r="C1752" s="275"/>
      <c r="D1752" s="27"/>
      <c r="E1752" s="275"/>
      <c r="F1752" s="185"/>
      <c r="G1752" s="185"/>
      <c r="H1752" s="185"/>
      <c r="I1752" s="298"/>
      <c r="J1752" s="298"/>
      <c r="K1752" s="302"/>
      <c r="L1752" s="303"/>
      <c r="N1752" s="413"/>
      <c r="O1752" s="58"/>
      <c r="P1752" s="300"/>
      <c r="Q1752" s="58"/>
    </row>
    <row r="1753" ht="15.75" customHeight="1">
      <c r="A1753" s="27"/>
      <c r="B1753" s="27"/>
      <c r="C1753" s="275"/>
      <c r="D1753" s="27"/>
      <c r="E1753" s="275"/>
      <c r="F1753" s="185"/>
      <c r="G1753" s="185"/>
      <c r="H1753" s="185"/>
      <c r="I1753" s="298"/>
      <c r="J1753" s="298"/>
      <c r="K1753" s="302"/>
      <c r="L1753" s="303"/>
      <c r="N1753" s="352"/>
      <c r="O1753" s="58"/>
      <c r="P1753" s="300"/>
      <c r="Q1753" s="58"/>
    </row>
    <row r="1754" ht="15.75" customHeight="1">
      <c r="A1754" s="27"/>
      <c r="B1754" s="27"/>
      <c r="C1754" s="275"/>
      <c r="D1754" s="27"/>
      <c r="E1754" s="275"/>
      <c r="F1754" s="185"/>
      <c r="G1754" s="185"/>
      <c r="H1754" s="185"/>
      <c r="I1754" s="298"/>
      <c r="J1754" s="298"/>
      <c r="K1754" s="411"/>
      <c r="L1754" s="412"/>
      <c r="N1754" s="352"/>
      <c r="O1754" s="58"/>
      <c r="P1754" s="300"/>
      <c r="Q1754" s="58"/>
    </row>
    <row r="1755" ht="15.75" customHeight="1">
      <c r="A1755" s="27"/>
      <c r="B1755" s="27"/>
      <c r="C1755" s="275"/>
      <c r="D1755" s="27"/>
      <c r="E1755" s="275"/>
      <c r="F1755" s="185"/>
      <c r="G1755" s="185"/>
      <c r="H1755" s="185"/>
      <c r="I1755" s="298"/>
      <c r="J1755" s="298"/>
      <c r="K1755" s="411"/>
      <c r="L1755" s="412"/>
      <c r="N1755" s="352"/>
      <c r="O1755" s="58"/>
      <c r="P1755" s="300"/>
      <c r="Q1755" s="58"/>
    </row>
    <row r="1756" ht="15.75" customHeight="1">
      <c r="A1756" s="27"/>
      <c r="B1756" s="27"/>
      <c r="C1756" s="275"/>
      <c r="D1756" s="27"/>
      <c r="E1756" s="275"/>
      <c r="F1756" s="185"/>
      <c r="G1756" s="185"/>
      <c r="H1756" s="185"/>
      <c r="I1756" s="298"/>
      <c r="J1756" s="298"/>
      <c r="K1756" s="302"/>
      <c r="L1756" s="303"/>
      <c r="N1756" s="352"/>
      <c r="O1756" s="58"/>
      <c r="P1756" s="300"/>
      <c r="Q1756" s="58"/>
    </row>
    <row r="1757" ht="15.75" customHeight="1">
      <c r="A1757" s="27"/>
      <c r="B1757" s="27"/>
      <c r="C1757" s="275"/>
      <c r="D1757" s="27"/>
      <c r="E1757" s="275"/>
      <c r="F1757" s="185"/>
      <c r="G1757" s="185"/>
      <c r="H1757" s="185"/>
      <c r="I1757" s="298"/>
      <c r="J1757" s="298"/>
      <c r="K1757" s="28"/>
      <c r="L1757" s="299"/>
      <c r="M1757" s="27"/>
      <c r="N1757" s="187"/>
      <c r="O1757" s="58"/>
      <c r="P1757" s="300"/>
      <c r="Q1757" s="58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  <c r="AC1757" s="27"/>
      <c r="AD1757" s="27"/>
      <c r="AE1757" s="27"/>
      <c r="AF1757" s="27"/>
      <c r="AG1757" s="27"/>
      <c r="AH1757" s="27"/>
    </row>
    <row r="1758" ht="15.75" customHeight="1">
      <c r="A1758" s="27"/>
      <c r="B1758" s="27"/>
      <c r="C1758" s="275"/>
      <c r="D1758" s="27"/>
      <c r="E1758" s="275"/>
      <c r="F1758" s="185"/>
      <c r="G1758" s="185"/>
      <c r="H1758" s="185"/>
      <c r="I1758" s="298"/>
      <c r="J1758" s="298"/>
      <c r="K1758" s="28"/>
      <c r="L1758" s="299"/>
      <c r="M1758" s="27"/>
      <c r="N1758" s="187"/>
      <c r="O1758" s="58"/>
      <c r="P1758" s="300"/>
      <c r="Q1758" s="58"/>
      <c r="R1758" s="27"/>
      <c r="S1758" s="27"/>
      <c r="T1758" s="27"/>
      <c r="U1758" s="27"/>
      <c r="V1758" s="27"/>
      <c r="W1758" s="27"/>
      <c r="X1758" s="27"/>
      <c r="Y1758" s="27"/>
      <c r="Z1758" s="27"/>
      <c r="AA1758" s="27"/>
      <c r="AB1758" s="27"/>
      <c r="AC1758" s="27"/>
      <c r="AD1758" s="27"/>
      <c r="AE1758" s="27"/>
      <c r="AF1758" s="27"/>
      <c r="AG1758" s="27"/>
      <c r="AH1758" s="27"/>
    </row>
    <row r="1759" ht="15.75" customHeight="1">
      <c r="A1759" s="27"/>
      <c r="B1759" s="27"/>
      <c r="C1759" s="275"/>
      <c r="D1759" s="27"/>
      <c r="E1759" s="275"/>
      <c r="F1759" s="185"/>
      <c r="G1759" s="185"/>
      <c r="H1759" s="185"/>
      <c r="I1759" s="298"/>
      <c r="J1759" s="298"/>
      <c r="K1759" s="411"/>
      <c r="L1759" s="412"/>
      <c r="N1759" s="352"/>
      <c r="O1759" s="58"/>
      <c r="P1759" s="300"/>
      <c r="Q1759" s="414"/>
    </row>
    <row r="1760" ht="15.75" customHeight="1">
      <c r="A1760" s="27"/>
      <c r="B1760" s="27"/>
      <c r="C1760" s="275"/>
      <c r="D1760" s="27"/>
      <c r="E1760" s="275"/>
      <c r="F1760" s="185"/>
      <c r="G1760" s="185"/>
      <c r="H1760" s="185"/>
      <c r="I1760" s="298"/>
      <c r="J1760" s="298"/>
      <c r="K1760" s="302"/>
      <c r="L1760" s="303"/>
      <c r="N1760" s="352"/>
      <c r="O1760" s="58"/>
      <c r="P1760" s="300"/>
      <c r="Q1760" s="58"/>
    </row>
    <row r="1761" ht="15.75" customHeight="1">
      <c r="A1761" s="27"/>
      <c r="B1761" s="27"/>
      <c r="C1761" s="275"/>
      <c r="D1761" s="27"/>
      <c r="E1761" s="275"/>
      <c r="F1761" s="185"/>
      <c r="G1761" s="185"/>
      <c r="H1761" s="185"/>
      <c r="I1761" s="298"/>
      <c r="J1761" s="298"/>
      <c r="K1761" s="302"/>
      <c r="L1761" s="303"/>
      <c r="N1761" s="352"/>
      <c r="O1761" s="58"/>
      <c r="P1761" s="300"/>
      <c r="Q1761" s="58"/>
    </row>
    <row r="1762" ht="15.75" customHeight="1">
      <c r="A1762" s="27"/>
      <c r="B1762" s="27"/>
      <c r="C1762" s="275"/>
      <c r="D1762" s="27"/>
      <c r="E1762" s="275"/>
      <c r="F1762" s="185"/>
      <c r="G1762" s="185"/>
      <c r="H1762" s="185"/>
      <c r="I1762" s="298"/>
      <c r="J1762" s="298"/>
      <c r="K1762" s="302"/>
      <c r="L1762" s="303"/>
      <c r="N1762" s="352"/>
      <c r="O1762" s="58"/>
      <c r="P1762" s="300"/>
      <c r="Q1762" s="58"/>
    </row>
    <row r="1763" ht="15.75" customHeight="1">
      <c r="A1763" s="27"/>
      <c r="B1763" s="27"/>
      <c r="C1763" s="275"/>
      <c r="D1763" s="27"/>
      <c r="E1763" s="275"/>
      <c r="F1763" s="185"/>
      <c r="G1763" s="185"/>
      <c r="H1763" s="185"/>
      <c r="I1763" s="298"/>
      <c r="J1763" s="298"/>
      <c r="K1763" s="302"/>
      <c r="L1763" s="303"/>
      <c r="N1763" s="352"/>
      <c r="O1763" s="58"/>
      <c r="P1763" s="300"/>
      <c r="Q1763" s="58"/>
    </row>
    <row r="1764" ht="15.75" customHeight="1">
      <c r="A1764" s="27"/>
      <c r="B1764" s="27"/>
      <c r="C1764" s="275"/>
      <c r="D1764" s="27"/>
      <c r="E1764" s="275"/>
      <c r="F1764" s="185"/>
      <c r="G1764" s="185"/>
      <c r="H1764" s="185"/>
      <c r="I1764" s="298"/>
      <c r="J1764" s="298"/>
      <c r="K1764" s="302"/>
      <c r="L1764" s="303"/>
      <c r="N1764" s="352"/>
      <c r="O1764" s="58"/>
      <c r="P1764" s="300"/>
      <c r="Q1764" s="58"/>
    </row>
    <row r="1765" ht="15.75" customHeight="1">
      <c r="A1765" s="27"/>
      <c r="B1765" s="27"/>
      <c r="C1765" s="275"/>
      <c r="D1765" s="27"/>
      <c r="E1765" s="275"/>
      <c r="F1765" s="185"/>
      <c r="G1765" s="185"/>
      <c r="H1765" s="185"/>
      <c r="I1765" s="298"/>
      <c r="J1765" s="298"/>
      <c r="K1765" s="302"/>
      <c r="L1765" s="303"/>
      <c r="N1765" s="352"/>
      <c r="O1765" s="58"/>
      <c r="P1765" s="300"/>
      <c r="Q1765" s="58"/>
      <c r="V1765" s="356"/>
      <c r="W1765" s="356"/>
      <c r="X1765" s="356"/>
      <c r="Y1765" s="356"/>
      <c r="Z1765" s="356"/>
      <c r="AA1765" s="356"/>
      <c r="AB1765" s="356"/>
      <c r="AC1765" s="356"/>
      <c r="AD1765" s="356"/>
      <c r="AE1765" s="356"/>
      <c r="AF1765" s="356"/>
      <c r="AG1765" s="356"/>
      <c r="AH1765" s="356"/>
    </row>
    <row r="1766" ht="15.75" customHeight="1">
      <c r="A1766" s="27"/>
      <c r="B1766" s="27"/>
      <c r="C1766" s="275"/>
      <c r="D1766" s="27"/>
      <c r="E1766" s="275"/>
      <c r="F1766" s="185"/>
      <c r="G1766" s="185"/>
      <c r="H1766" s="185"/>
      <c r="I1766" s="298"/>
      <c r="J1766" s="298"/>
      <c r="K1766" s="302"/>
      <c r="L1766" s="303"/>
      <c r="N1766" s="352"/>
      <c r="O1766" s="58"/>
      <c r="P1766" s="300"/>
      <c r="Q1766" s="58"/>
    </row>
    <row r="1767" ht="15.75" customHeight="1">
      <c r="A1767" s="27"/>
      <c r="B1767" s="27"/>
      <c r="C1767" s="275"/>
      <c r="D1767" s="27"/>
      <c r="E1767" s="275"/>
      <c r="F1767" s="185"/>
      <c r="G1767" s="185"/>
      <c r="H1767" s="185"/>
      <c r="I1767" s="298"/>
      <c r="J1767" s="298"/>
      <c r="K1767" s="302"/>
      <c r="L1767" s="303"/>
      <c r="N1767" s="352"/>
      <c r="O1767" s="58"/>
      <c r="P1767" s="300"/>
      <c r="Q1767" s="58"/>
    </row>
    <row r="1768" ht="15.75" customHeight="1">
      <c r="A1768" s="27"/>
      <c r="B1768" s="27"/>
      <c r="C1768" s="275"/>
      <c r="D1768" s="27"/>
      <c r="E1768" s="275"/>
      <c r="F1768" s="185"/>
      <c r="G1768" s="185"/>
      <c r="H1768" s="185"/>
      <c r="I1768" s="298"/>
      <c r="J1768" s="298"/>
      <c r="K1768" s="302"/>
      <c r="L1768" s="303"/>
      <c r="N1768" s="352"/>
      <c r="O1768" s="58"/>
      <c r="P1768" s="300"/>
      <c r="Q1768" s="58"/>
    </row>
    <row r="1769" ht="15.75" customHeight="1">
      <c r="A1769" s="27"/>
      <c r="B1769" s="27"/>
      <c r="C1769" s="275"/>
      <c r="D1769" s="27"/>
      <c r="E1769" s="275"/>
      <c r="F1769" s="185"/>
      <c r="G1769" s="185"/>
      <c r="H1769" s="185"/>
      <c r="I1769" s="298"/>
      <c r="J1769" s="298"/>
      <c r="K1769" s="302"/>
      <c r="L1769" s="303"/>
      <c r="N1769" s="352"/>
      <c r="O1769" s="58"/>
      <c r="P1769" s="300"/>
      <c r="Q1769" s="58"/>
      <c r="V1769" s="356"/>
      <c r="W1769" s="356"/>
      <c r="X1769" s="356"/>
      <c r="Y1769" s="356"/>
      <c r="Z1769" s="356"/>
      <c r="AA1769" s="356"/>
      <c r="AB1769" s="356"/>
      <c r="AC1769" s="356"/>
      <c r="AD1769" s="356"/>
      <c r="AE1769" s="356"/>
      <c r="AF1769" s="356"/>
      <c r="AG1769" s="356"/>
      <c r="AH1769" s="356"/>
    </row>
    <row r="1770" ht="15.75" customHeight="1">
      <c r="A1770" s="356"/>
      <c r="B1770" s="356"/>
      <c r="C1770" s="363"/>
      <c r="D1770" s="356"/>
      <c r="E1770" s="363"/>
      <c r="F1770" s="185"/>
      <c r="G1770" s="185"/>
      <c r="H1770" s="405"/>
      <c r="I1770" s="298"/>
      <c r="J1770" s="298"/>
      <c r="K1770" s="302"/>
      <c r="L1770" s="303"/>
      <c r="M1770" s="356"/>
      <c r="N1770" s="352"/>
      <c r="O1770" s="154"/>
      <c r="P1770" s="353"/>
      <c r="Q1770" s="58"/>
      <c r="R1770" s="356"/>
      <c r="S1770" s="356"/>
      <c r="T1770" s="356"/>
      <c r="U1770" s="356"/>
    </row>
    <row r="1771" ht="15.75" customHeight="1">
      <c r="A1771" s="356"/>
      <c r="B1771" s="356"/>
      <c r="C1771" s="363"/>
      <c r="D1771" s="356"/>
      <c r="E1771" s="363"/>
      <c r="F1771" s="185"/>
      <c r="G1771" s="185"/>
      <c r="H1771" s="405"/>
      <c r="I1771" s="298"/>
      <c r="J1771" s="298"/>
      <c r="K1771" s="302"/>
      <c r="L1771" s="303"/>
      <c r="M1771" s="356"/>
      <c r="N1771" s="352"/>
      <c r="O1771" s="154"/>
      <c r="P1771" s="353"/>
      <c r="Q1771" s="154"/>
      <c r="R1771" s="356"/>
      <c r="S1771" s="356"/>
      <c r="T1771" s="356"/>
      <c r="U1771" s="356"/>
    </row>
    <row r="1772" ht="15.75" customHeight="1">
      <c r="A1772" s="27"/>
      <c r="B1772" s="27"/>
      <c r="C1772" s="275"/>
      <c r="D1772" s="27"/>
      <c r="E1772" s="275"/>
      <c r="F1772" s="185"/>
      <c r="G1772" s="185"/>
      <c r="H1772" s="185"/>
      <c r="I1772" s="298"/>
      <c r="J1772" s="298"/>
      <c r="K1772" s="302"/>
      <c r="L1772" s="303"/>
      <c r="N1772" s="352"/>
      <c r="O1772" s="58"/>
      <c r="P1772" s="300"/>
      <c r="Q1772" s="154"/>
    </row>
    <row r="1773" ht="15.75" customHeight="1">
      <c r="A1773" s="27"/>
      <c r="B1773" s="27"/>
      <c r="C1773" s="275"/>
      <c r="D1773" s="27"/>
      <c r="E1773" s="275"/>
      <c r="F1773" s="185"/>
      <c r="G1773" s="185"/>
      <c r="H1773" s="185"/>
      <c r="I1773" s="298"/>
      <c r="J1773" s="298"/>
      <c r="K1773" s="411"/>
      <c r="L1773" s="412"/>
      <c r="N1773" s="352"/>
      <c r="O1773" s="58"/>
      <c r="P1773" s="300"/>
      <c r="Q1773" s="58"/>
    </row>
    <row r="1774" ht="15.75" customHeight="1">
      <c r="A1774" s="27"/>
      <c r="B1774" s="27"/>
      <c r="C1774" s="275"/>
      <c r="D1774" s="27"/>
      <c r="E1774" s="275"/>
      <c r="F1774" s="185"/>
      <c r="G1774" s="185"/>
      <c r="H1774" s="185"/>
      <c r="I1774" s="298"/>
      <c r="J1774" s="298"/>
      <c r="K1774" s="302"/>
      <c r="L1774" s="303"/>
      <c r="N1774" s="352"/>
      <c r="O1774" s="58"/>
      <c r="P1774" s="300"/>
      <c r="Q1774" s="58"/>
    </row>
    <row r="1775" ht="15.75" customHeight="1">
      <c r="A1775" s="133"/>
      <c r="B1775" s="133"/>
      <c r="D1775" s="133"/>
      <c r="E1775" s="133"/>
      <c r="I1775" s="415"/>
      <c r="J1775" s="415"/>
      <c r="L1775" s="416"/>
    </row>
    <row r="1776" ht="15.75" customHeight="1">
      <c r="A1776" s="133"/>
      <c r="B1776" s="133"/>
      <c r="D1776" s="133"/>
      <c r="E1776" s="133"/>
      <c r="I1776" s="415"/>
      <c r="J1776" s="415"/>
      <c r="L1776" s="416"/>
    </row>
    <row r="1777" ht="15.75" customHeight="1">
      <c r="A1777" s="133"/>
      <c r="B1777" s="133"/>
      <c r="D1777" s="133"/>
      <c r="E1777" s="133"/>
      <c r="I1777" s="415"/>
      <c r="J1777" s="415"/>
      <c r="L1777" s="416"/>
    </row>
    <row r="1778" ht="15.75" customHeight="1">
      <c r="A1778" s="133"/>
      <c r="B1778" s="133"/>
      <c r="D1778" s="133"/>
      <c r="E1778" s="133"/>
      <c r="I1778" s="415"/>
      <c r="J1778" s="415"/>
      <c r="L1778" s="416"/>
    </row>
    <row r="1779" ht="15.75" customHeight="1">
      <c r="A1779" s="133"/>
      <c r="B1779" s="133"/>
      <c r="D1779" s="133"/>
      <c r="E1779" s="133"/>
      <c r="I1779" s="415"/>
      <c r="J1779" s="415"/>
      <c r="L1779" s="416"/>
    </row>
    <row r="1780" ht="15.75" customHeight="1">
      <c r="A1780" s="133"/>
      <c r="B1780" s="133"/>
      <c r="D1780" s="133"/>
      <c r="E1780" s="133"/>
      <c r="I1780" s="415"/>
      <c r="J1780" s="415"/>
      <c r="L1780" s="416"/>
    </row>
    <row r="1781" ht="15.75" customHeight="1">
      <c r="A1781" s="133"/>
      <c r="B1781" s="133"/>
      <c r="D1781" s="133"/>
      <c r="E1781" s="133"/>
      <c r="I1781" s="415"/>
      <c r="J1781" s="415"/>
      <c r="L1781" s="416"/>
    </row>
    <row r="1782" ht="15.75" customHeight="1">
      <c r="A1782" s="133"/>
      <c r="B1782" s="133"/>
      <c r="D1782" s="133"/>
      <c r="E1782" s="133"/>
      <c r="I1782" s="415"/>
      <c r="J1782" s="415"/>
      <c r="L1782" s="416"/>
    </row>
    <row r="1783" ht="15.75" customHeight="1">
      <c r="A1783" s="133"/>
      <c r="B1783" s="133"/>
      <c r="D1783" s="133"/>
      <c r="E1783" s="133"/>
      <c r="I1783" s="415"/>
      <c r="J1783" s="415"/>
      <c r="L1783" s="416"/>
    </row>
    <row r="1784" ht="15.75" customHeight="1">
      <c r="A1784" s="133"/>
      <c r="B1784" s="133"/>
      <c r="D1784" s="133"/>
      <c r="E1784" s="133"/>
      <c r="I1784" s="415"/>
      <c r="J1784" s="415"/>
      <c r="L1784" s="416"/>
    </row>
    <row r="1785" ht="15.75" customHeight="1">
      <c r="A1785" s="133"/>
      <c r="B1785" s="133"/>
      <c r="D1785" s="133"/>
      <c r="E1785" s="133"/>
      <c r="I1785" s="415"/>
      <c r="J1785" s="415"/>
      <c r="L1785" s="416"/>
    </row>
    <row r="1786" ht="15.75" customHeight="1">
      <c r="A1786" s="133"/>
      <c r="B1786" s="133"/>
      <c r="D1786" s="133"/>
      <c r="E1786" s="133"/>
      <c r="I1786" s="415"/>
      <c r="J1786" s="415"/>
      <c r="L1786" s="416"/>
    </row>
    <row r="1787" ht="15.75" customHeight="1">
      <c r="A1787" s="133"/>
      <c r="B1787" s="133"/>
      <c r="D1787" s="133"/>
      <c r="E1787" s="133"/>
      <c r="I1787" s="415"/>
      <c r="J1787" s="415"/>
      <c r="L1787" s="416"/>
    </row>
    <row r="1788" ht="15.75" customHeight="1">
      <c r="A1788" s="133"/>
      <c r="B1788" s="133"/>
      <c r="D1788" s="133"/>
      <c r="E1788" s="133"/>
      <c r="I1788" s="415"/>
      <c r="J1788" s="415"/>
      <c r="L1788" s="416"/>
    </row>
    <row r="1789" ht="15.75" customHeight="1">
      <c r="A1789" s="133"/>
      <c r="B1789" s="133"/>
      <c r="D1789" s="133"/>
      <c r="E1789" s="133"/>
      <c r="I1789" s="415"/>
      <c r="J1789" s="415"/>
      <c r="L1789" s="416"/>
    </row>
    <row r="1790" ht="15.75" customHeight="1">
      <c r="A1790" s="133"/>
      <c r="B1790" s="133"/>
      <c r="D1790" s="133"/>
      <c r="E1790" s="133"/>
      <c r="I1790" s="415"/>
      <c r="J1790" s="415"/>
      <c r="L1790" s="416"/>
    </row>
    <row r="1791" ht="15.75" customHeight="1">
      <c r="A1791" s="133"/>
      <c r="B1791" s="133"/>
      <c r="D1791" s="133"/>
      <c r="E1791" s="133"/>
      <c r="I1791" s="415"/>
      <c r="J1791" s="415"/>
      <c r="L1791" s="416"/>
    </row>
    <row r="1792" ht="15.75" customHeight="1">
      <c r="A1792" s="133"/>
      <c r="B1792" s="133"/>
      <c r="D1792" s="133"/>
      <c r="E1792" s="133"/>
      <c r="I1792" s="415"/>
      <c r="J1792" s="415"/>
      <c r="L1792" s="416"/>
    </row>
    <row r="1793" ht="15.75" customHeight="1">
      <c r="A1793" s="133"/>
      <c r="B1793" s="133"/>
      <c r="D1793" s="133"/>
      <c r="E1793" s="133"/>
      <c r="I1793" s="415"/>
      <c r="J1793" s="415"/>
      <c r="L1793" s="416"/>
    </row>
    <row r="1794" ht="15.75" customHeight="1">
      <c r="A1794" s="133"/>
      <c r="B1794" s="133"/>
      <c r="D1794" s="133"/>
      <c r="E1794" s="133"/>
      <c r="I1794" s="415"/>
      <c r="J1794" s="415"/>
      <c r="L1794" s="416"/>
    </row>
    <row r="1795" ht="15.75" customHeight="1">
      <c r="A1795" s="133"/>
      <c r="B1795" s="133"/>
      <c r="D1795" s="133"/>
      <c r="E1795" s="133"/>
      <c r="I1795" s="415"/>
      <c r="J1795" s="415"/>
      <c r="L1795" s="416"/>
    </row>
    <row r="1796" ht="15.75" customHeight="1">
      <c r="A1796" s="133"/>
      <c r="B1796" s="133"/>
      <c r="D1796" s="133"/>
      <c r="E1796" s="133"/>
      <c r="I1796" s="415"/>
      <c r="J1796" s="415"/>
      <c r="L1796" s="416"/>
    </row>
    <row r="1797" ht="15.75" customHeight="1">
      <c r="A1797" s="133"/>
      <c r="B1797" s="133"/>
      <c r="D1797" s="133"/>
      <c r="E1797" s="133"/>
      <c r="I1797" s="415"/>
      <c r="J1797" s="415"/>
      <c r="L1797" s="416"/>
    </row>
    <row r="1798" ht="15.75" customHeight="1">
      <c r="A1798" s="133"/>
      <c r="B1798" s="133"/>
      <c r="D1798" s="133"/>
      <c r="E1798" s="133"/>
      <c r="I1798" s="415"/>
      <c r="J1798" s="415"/>
      <c r="L1798" s="416"/>
    </row>
    <row r="1799" ht="15.75" customHeight="1">
      <c r="A1799" s="133"/>
      <c r="B1799" s="133"/>
      <c r="D1799" s="133"/>
      <c r="E1799" s="133"/>
      <c r="I1799" s="415"/>
      <c r="J1799" s="415"/>
      <c r="L1799" s="416"/>
    </row>
    <row r="1800" ht="15.75" customHeight="1">
      <c r="A1800" s="133"/>
      <c r="B1800" s="133"/>
      <c r="D1800" s="133"/>
      <c r="E1800" s="133"/>
      <c r="I1800" s="415"/>
      <c r="J1800" s="415"/>
      <c r="L1800" s="416"/>
    </row>
    <row r="1801" ht="15.75" customHeight="1">
      <c r="A1801" s="133"/>
      <c r="B1801" s="133"/>
      <c r="D1801" s="133"/>
      <c r="E1801" s="133"/>
      <c r="I1801" s="415"/>
      <c r="J1801" s="415"/>
      <c r="L1801" s="416"/>
    </row>
    <row r="1802" ht="15.75" customHeight="1">
      <c r="A1802" s="133"/>
      <c r="B1802" s="133"/>
      <c r="D1802" s="133"/>
      <c r="E1802" s="133"/>
      <c r="I1802" s="415"/>
      <c r="J1802" s="415"/>
      <c r="L1802" s="416"/>
    </row>
    <row r="1803" ht="15.75" customHeight="1">
      <c r="A1803" s="133"/>
      <c r="B1803" s="133"/>
      <c r="D1803" s="133"/>
      <c r="E1803" s="133"/>
      <c r="I1803" s="415"/>
      <c r="J1803" s="415"/>
      <c r="L1803" s="416"/>
    </row>
    <row r="1804" ht="15.75" customHeight="1">
      <c r="A1804" s="133"/>
      <c r="B1804" s="133"/>
      <c r="D1804" s="133"/>
      <c r="E1804" s="133"/>
      <c r="I1804" s="415"/>
      <c r="J1804" s="415"/>
      <c r="L1804" s="416"/>
    </row>
    <row r="1805" ht="15.75" customHeight="1">
      <c r="A1805" s="133"/>
      <c r="B1805" s="133"/>
      <c r="D1805" s="133"/>
      <c r="E1805" s="133"/>
      <c r="I1805" s="415"/>
      <c r="J1805" s="415"/>
      <c r="L1805" s="416"/>
    </row>
    <row r="1806" ht="15.75" customHeight="1">
      <c r="A1806" s="133"/>
      <c r="B1806" s="133"/>
      <c r="D1806" s="133"/>
      <c r="E1806" s="133"/>
      <c r="I1806" s="415"/>
      <c r="J1806" s="415"/>
      <c r="L1806" s="416"/>
    </row>
    <row r="1807" ht="15.75" customHeight="1">
      <c r="A1807" s="133"/>
      <c r="B1807" s="133"/>
      <c r="D1807" s="133"/>
      <c r="E1807" s="133"/>
      <c r="I1807" s="415"/>
      <c r="J1807" s="415"/>
      <c r="L1807" s="416"/>
    </row>
    <row r="1808" ht="15.75" customHeight="1">
      <c r="A1808" s="133"/>
      <c r="B1808" s="133"/>
      <c r="D1808" s="133"/>
      <c r="E1808" s="133"/>
      <c r="I1808" s="415"/>
      <c r="J1808" s="415"/>
      <c r="L1808" s="416"/>
    </row>
    <row r="1809" ht="15.75" customHeight="1">
      <c r="A1809" s="133"/>
      <c r="B1809" s="133"/>
      <c r="D1809" s="133"/>
      <c r="E1809" s="133"/>
      <c r="I1809" s="415"/>
      <c r="J1809" s="415"/>
      <c r="L1809" s="416"/>
    </row>
    <row r="1810" ht="15.75" customHeight="1">
      <c r="A1810" s="133"/>
      <c r="B1810" s="133"/>
      <c r="D1810" s="133"/>
      <c r="E1810" s="133"/>
      <c r="I1810" s="415"/>
      <c r="J1810" s="415"/>
      <c r="L1810" s="416"/>
    </row>
    <row r="1811" ht="15.75" customHeight="1">
      <c r="A1811" s="133"/>
      <c r="B1811" s="133"/>
      <c r="D1811" s="133"/>
      <c r="E1811" s="133"/>
      <c r="I1811" s="415"/>
      <c r="J1811" s="415"/>
      <c r="L1811" s="416"/>
    </row>
    <row r="1812" ht="15.75" customHeight="1">
      <c r="A1812" s="133"/>
      <c r="B1812" s="133"/>
      <c r="D1812" s="133"/>
      <c r="E1812" s="133"/>
      <c r="I1812" s="415"/>
      <c r="J1812" s="415"/>
      <c r="L1812" s="416"/>
    </row>
    <row r="1813" ht="15.75" customHeight="1">
      <c r="A1813" s="133"/>
      <c r="B1813" s="133"/>
      <c r="D1813" s="133"/>
      <c r="E1813" s="133"/>
      <c r="I1813" s="415"/>
      <c r="J1813" s="415"/>
      <c r="L1813" s="416"/>
    </row>
    <row r="1814" ht="15.75" customHeight="1">
      <c r="A1814" s="133"/>
      <c r="B1814" s="133"/>
      <c r="D1814" s="133"/>
      <c r="E1814" s="133"/>
      <c r="I1814" s="415"/>
      <c r="J1814" s="415"/>
      <c r="L1814" s="416"/>
    </row>
    <row r="1815" ht="15.75" customHeight="1">
      <c r="A1815" s="133"/>
      <c r="B1815" s="133"/>
      <c r="D1815" s="133"/>
      <c r="E1815" s="133"/>
      <c r="I1815" s="415"/>
      <c r="J1815" s="415"/>
      <c r="L1815" s="416"/>
    </row>
    <row r="1816" ht="15.75" customHeight="1">
      <c r="A1816" s="133"/>
      <c r="B1816" s="133"/>
      <c r="D1816" s="133"/>
      <c r="E1816" s="133"/>
      <c r="I1816" s="415"/>
      <c r="J1816" s="415"/>
      <c r="L1816" s="416"/>
    </row>
    <row r="1817" ht="15.75" customHeight="1">
      <c r="A1817" s="133"/>
      <c r="B1817" s="133"/>
      <c r="D1817" s="133"/>
      <c r="E1817" s="133"/>
      <c r="I1817" s="415"/>
      <c r="J1817" s="415"/>
      <c r="L1817" s="416"/>
    </row>
    <row r="1818" ht="15.75" customHeight="1">
      <c r="A1818" s="133"/>
      <c r="B1818" s="133"/>
      <c r="D1818" s="133"/>
      <c r="E1818" s="133"/>
      <c r="I1818" s="415"/>
      <c r="J1818" s="415"/>
      <c r="L1818" s="416"/>
    </row>
    <row r="1819" ht="15.75" customHeight="1">
      <c r="A1819" s="133"/>
      <c r="B1819" s="133"/>
      <c r="D1819" s="133"/>
      <c r="E1819" s="133"/>
      <c r="I1819" s="415"/>
      <c r="J1819" s="415"/>
      <c r="L1819" s="416"/>
    </row>
    <row r="1820" ht="15.75" customHeight="1">
      <c r="A1820" s="133"/>
      <c r="B1820" s="133"/>
      <c r="D1820" s="133"/>
      <c r="E1820" s="133"/>
      <c r="I1820" s="415"/>
      <c r="J1820" s="415"/>
      <c r="L1820" s="416"/>
    </row>
    <row r="1821" ht="15.75" customHeight="1">
      <c r="A1821" s="133"/>
      <c r="B1821" s="133"/>
      <c r="D1821" s="133"/>
      <c r="E1821" s="133"/>
      <c r="I1821" s="415"/>
      <c r="J1821" s="415"/>
      <c r="L1821" s="416"/>
    </row>
    <row r="1822" ht="15.75" customHeight="1">
      <c r="A1822" s="133"/>
      <c r="B1822" s="133"/>
      <c r="D1822" s="133"/>
      <c r="E1822" s="133"/>
      <c r="I1822" s="415"/>
      <c r="J1822" s="415"/>
      <c r="L1822" s="416"/>
    </row>
    <row r="1823" ht="15.75" customHeight="1">
      <c r="A1823" s="133"/>
      <c r="B1823" s="133"/>
      <c r="D1823" s="133"/>
      <c r="E1823" s="133"/>
      <c r="I1823" s="415"/>
      <c r="J1823" s="415"/>
      <c r="L1823" s="416"/>
    </row>
    <row r="1824" ht="15.75" customHeight="1">
      <c r="A1824" s="133"/>
      <c r="B1824" s="133"/>
      <c r="D1824" s="133"/>
      <c r="E1824" s="133"/>
      <c r="I1824" s="415"/>
      <c r="J1824" s="415"/>
      <c r="L1824" s="416"/>
    </row>
    <row r="1825" ht="15.75" customHeight="1">
      <c r="A1825" s="133"/>
      <c r="B1825" s="133"/>
      <c r="D1825" s="133"/>
      <c r="E1825" s="133"/>
      <c r="I1825" s="415"/>
      <c r="J1825" s="415"/>
      <c r="L1825" s="416"/>
    </row>
    <row r="1826" ht="15.75" customHeight="1">
      <c r="A1826" s="133"/>
      <c r="B1826" s="133"/>
      <c r="D1826" s="133"/>
      <c r="E1826" s="133"/>
      <c r="I1826" s="415"/>
      <c r="J1826" s="415"/>
      <c r="L1826" s="416"/>
    </row>
    <row r="1827" ht="15.75" customHeight="1">
      <c r="A1827" s="133"/>
      <c r="B1827" s="133"/>
      <c r="D1827" s="133"/>
      <c r="E1827" s="133"/>
      <c r="I1827" s="415"/>
      <c r="J1827" s="415"/>
      <c r="L1827" s="416"/>
    </row>
    <row r="1828" ht="15.75" customHeight="1">
      <c r="A1828" s="133"/>
      <c r="B1828" s="133"/>
      <c r="D1828" s="133"/>
      <c r="E1828" s="133"/>
      <c r="I1828" s="415"/>
      <c r="J1828" s="415"/>
      <c r="L1828" s="416"/>
    </row>
    <row r="1829" ht="15.75" customHeight="1">
      <c r="A1829" s="133"/>
      <c r="B1829" s="133"/>
      <c r="D1829" s="133"/>
      <c r="E1829" s="133"/>
      <c r="I1829" s="415"/>
      <c r="J1829" s="415"/>
      <c r="L1829" s="416"/>
    </row>
    <row r="1830" ht="15.75" customHeight="1">
      <c r="A1830" s="133"/>
      <c r="B1830" s="133"/>
      <c r="D1830" s="133"/>
      <c r="E1830" s="133"/>
      <c r="I1830" s="415"/>
      <c r="J1830" s="415"/>
      <c r="L1830" s="416"/>
    </row>
    <row r="1831" ht="15.75" customHeight="1">
      <c r="A1831" s="133"/>
      <c r="B1831" s="133"/>
      <c r="D1831" s="133"/>
      <c r="E1831" s="133"/>
      <c r="I1831" s="415"/>
      <c r="J1831" s="415"/>
      <c r="L1831" s="416"/>
    </row>
    <row r="1832" ht="15.75" customHeight="1">
      <c r="A1832" s="133"/>
      <c r="B1832" s="133"/>
      <c r="D1832" s="133"/>
      <c r="E1832" s="133"/>
      <c r="I1832" s="415"/>
      <c r="J1832" s="415"/>
      <c r="L1832" s="416"/>
    </row>
    <row r="1833" ht="15.75" customHeight="1">
      <c r="A1833" s="133"/>
      <c r="B1833" s="133"/>
      <c r="D1833" s="133"/>
      <c r="E1833" s="133"/>
      <c r="I1833" s="415"/>
      <c r="J1833" s="415"/>
      <c r="L1833" s="416"/>
    </row>
    <row r="1834" ht="15.75" customHeight="1">
      <c r="A1834" s="133"/>
      <c r="B1834" s="133"/>
      <c r="D1834" s="133"/>
      <c r="E1834" s="133"/>
      <c r="I1834" s="415"/>
      <c r="J1834" s="415"/>
      <c r="L1834" s="416"/>
    </row>
    <row r="1835" ht="15.75" customHeight="1">
      <c r="A1835" s="133"/>
      <c r="B1835" s="133"/>
      <c r="D1835" s="133"/>
      <c r="E1835" s="133"/>
      <c r="I1835" s="415"/>
      <c r="J1835" s="415"/>
      <c r="L1835" s="416"/>
    </row>
    <row r="1836" ht="15.75" customHeight="1">
      <c r="A1836" s="133"/>
      <c r="B1836" s="133"/>
      <c r="D1836" s="133"/>
      <c r="E1836" s="133"/>
      <c r="I1836" s="415"/>
      <c r="J1836" s="415"/>
      <c r="L1836" s="416"/>
    </row>
    <row r="1837" ht="15.75" customHeight="1">
      <c r="A1837" s="133"/>
      <c r="B1837" s="133"/>
      <c r="D1837" s="133"/>
      <c r="E1837" s="133"/>
      <c r="I1837" s="415"/>
      <c r="J1837" s="415"/>
      <c r="L1837" s="416"/>
    </row>
    <row r="1838" ht="15.75" customHeight="1">
      <c r="A1838" s="133"/>
      <c r="B1838" s="133"/>
      <c r="C1838" s="133"/>
      <c r="D1838" s="133"/>
      <c r="E1838" s="133"/>
      <c r="I1838" s="415"/>
      <c r="J1838" s="415"/>
      <c r="L1838" s="416"/>
    </row>
    <row r="1839" ht="15.75" customHeight="1">
      <c r="A1839" s="133"/>
      <c r="B1839" s="133"/>
      <c r="D1839" s="133"/>
      <c r="E1839" s="133"/>
      <c r="I1839" s="415"/>
      <c r="J1839" s="415"/>
      <c r="L1839" s="416"/>
    </row>
    <row r="1840" ht="15.75" customHeight="1">
      <c r="A1840" s="133"/>
      <c r="B1840" s="133"/>
      <c r="C1840" s="133"/>
      <c r="D1840" s="133"/>
      <c r="E1840" s="133"/>
      <c r="I1840" s="415"/>
      <c r="J1840" s="415"/>
      <c r="L1840" s="416"/>
    </row>
    <row r="1841" ht="15.75" customHeight="1">
      <c r="A1841" s="133"/>
      <c r="B1841" s="133"/>
      <c r="C1841" s="133"/>
      <c r="D1841" s="133"/>
      <c r="E1841" s="133"/>
      <c r="I1841" s="415"/>
      <c r="J1841" s="415"/>
      <c r="L1841" s="416"/>
    </row>
    <row r="1842" ht="15.75" customHeight="1">
      <c r="A1842" s="133"/>
      <c r="B1842" s="133"/>
      <c r="D1842" s="133"/>
      <c r="E1842" s="133"/>
      <c r="I1842" s="415"/>
      <c r="J1842" s="415"/>
      <c r="L1842" s="416"/>
    </row>
    <row r="1843" ht="15.75" customHeight="1">
      <c r="A1843" s="133"/>
      <c r="B1843" s="133"/>
      <c r="C1843" s="133"/>
      <c r="D1843" s="133"/>
      <c r="E1843" s="133"/>
      <c r="I1843" s="415"/>
      <c r="J1843" s="415"/>
      <c r="L1843" s="416"/>
    </row>
    <row r="1844" ht="15.75" customHeight="1">
      <c r="A1844" s="133"/>
      <c r="B1844" s="133"/>
      <c r="C1844" s="133"/>
      <c r="D1844" s="133"/>
      <c r="E1844" s="133"/>
      <c r="I1844" s="415"/>
      <c r="J1844" s="415"/>
      <c r="L1844" s="416"/>
    </row>
    <row r="1845" ht="15.75" customHeight="1">
      <c r="A1845" s="133"/>
      <c r="B1845" s="133"/>
      <c r="D1845" s="133"/>
      <c r="E1845" s="133"/>
      <c r="I1845" s="415"/>
      <c r="J1845" s="415"/>
      <c r="L1845" s="416"/>
    </row>
    <row r="1846" ht="15.75" customHeight="1">
      <c r="A1846" s="133"/>
      <c r="B1846" s="133"/>
      <c r="D1846" s="133"/>
      <c r="E1846" s="133"/>
      <c r="I1846" s="415"/>
      <c r="J1846" s="415"/>
      <c r="L1846" s="416"/>
    </row>
    <row r="1847" ht="15.75" customHeight="1">
      <c r="A1847" s="133"/>
      <c r="B1847" s="133"/>
      <c r="C1847" s="133"/>
      <c r="D1847" s="133"/>
      <c r="E1847" s="133"/>
      <c r="I1847" s="415"/>
      <c r="J1847" s="415"/>
      <c r="L1847" s="416"/>
    </row>
    <row r="1848" ht="15.75" customHeight="1">
      <c r="A1848" s="133"/>
      <c r="B1848" s="133"/>
      <c r="C1848" s="133"/>
      <c r="D1848" s="133"/>
      <c r="E1848" s="133"/>
      <c r="I1848" s="415"/>
      <c r="J1848" s="415"/>
      <c r="L1848" s="416"/>
    </row>
    <row r="1849" ht="15.75" customHeight="1">
      <c r="A1849" s="133"/>
      <c r="B1849" s="133"/>
      <c r="D1849" s="133"/>
      <c r="E1849" s="133"/>
      <c r="I1849" s="415"/>
      <c r="J1849" s="415"/>
      <c r="L1849" s="416"/>
    </row>
    <row r="1850" ht="15.75" customHeight="1">
      <c r="A1850" s="133"/>
      <c r="B1850" s="133"/>
      <c r="D1850" s="133"/>
      <c r="E1850" s="133"/>
      <c r="I1850" s="415"/>
      <c r="J1850" s="415"/>
      <c r="L1850" s="416"/>
    </row>
    <row r="1851" ht="15.75" customHeight="1">
      <c r="A1851" s="133"/>
      <c r="B1851" s="133"/>
      <c r="D1851" s="133"/>
      <c r="E1851" s="133"/>
      <c r="I1851" s="415"/>
      <c r="J1851" s="415"/>
      <c r="L1851" s="416"/>
    </row>
  </sheetData>
  <autoFilter ref="$A$1:$AH$1851">
    <sortState ref="A1:AH1851">
      <sortCondition ref="E1:E1851"/>
      <sortCondition ref="B1:B1851"/>
      <sortCondition descending="1" ref="N1:N1851"/>
      <sortCondition ref="L1:L1851"/>
    </sortState>
  </autoFilter>
  <customSheetViews>
    <customSheetView guid="{A3F5C711-E5E2-4717-8B1F-961A380C636C}" filter="1" showAutoFilter="1">
      <autoFilter ref="$A$1:$U$1774"/>
      <extLst>
        <ext uri="GoogleSheetsCustomDataVersion1">
          <go:sheetsCustomData xmlns:go="http://customooxmlschemas.google.com/" filterViewId="1943018857"/>
        </ext>
      </extLst>
    </customSheetView>
  </customSheetViews>
  <dataValidations>
    <dataValidation type="list" allowBlank="1" showInputMessage="1" showErrorMessage="1" prompt="Selecione apenas estados: Papelaria" sqref="B352 B365 B379:B380 B404 B492 B497 B542 B580 B583 B886 B900:B901 B933 B1346 B1429 B1532 B1539 B1542:B1543 B1556 B1645 B1670 B1749 B1781">
      <formula1>"Caneta,design,Diversos-Papelaria,Ink,lápis,Multicopias,Plastificaçao"</formula1>
    </dataValidation>
    <dataValidation type="list" allowBlank="1" showInputMessage="1" showErrorMessage="1" prompt="Selecione apenas estados: Annualidad-Fixa" sqref="B656">
      <formula1>"AquaLabWaterTest,INTERPREV-Fiscalisacao,INTERPREV-Segurancaesaude,SOPFOGO-Extinctores,SOPFOGO-ManutencaoCentralIncendio,SPA,Gas inspection"</formula1>
    </dataValidation>
    <dataValidation type="list" allowBlank="1" showInputMessage="1" showErrorMessage="1" prompt="Selecione apenas estados: Bar" sqref="B1703 B1706 B1713">
      <formula1>"AppleCider,Beer,FruitCider,fruits-bar,Furniture,Greenwine,Icecube-Bar,liqueur,Sangria,Spirit,Coca,water,red bull,Verso3,Cachaça,Verso5"</formula1>
    </dataValidation>
    <dataValidation type="list" allowBlank="1" showInputMessage="1" showErrorMessage="1" prompt="Selecione apenas estados: Others" sqref="B345 B364 B377 B389 B412 B441:B442 B445 B486 B558 B569 B610 B616 B1242 B1285 B1344 B1363 B1377 B1382:B1383 B1388 B1400 B1402 B1404 B1407 B1694 B1778 B1811 B1823 B1836">
      <formula1>"Dryer,Key,Other"</formula1>
    </dataValidation>
    <dataValidation type="list" allowBlank="1" showInputMessage="1" showErrorMessage="1" prompt="Selecione apenas estados: Cleaning" sqref="B1138 B1140 B1146:B1147 B1150:B1152 B1156 B1165:B1166 B1172 B1175 B1212 B1219">
      <formula1>"Bleach Toilet,Cifi,Dish wash Liquid,Diverso - Cleaning,Glass Cleaner,Mistolin,Mop,saco 10l,Softner,Sponges,trash bag 50l,Washing Powder"</formula1>
    </dataValidation>
    <dataValidation type="list" allowBlank="1" showInputMessage="1" showErrorMessage="1" prompt="Selecione apenas estados: Impostos" sqref="B114 B119 B279:B280 B296 B353 B369 B403 B507 B515 B595 B599 B749">
      <formula1>"Imi,Imi10,Imi8,INPI,IRS,IVA,Seg.Soc."</formula1>
    </dataValidation>
    <dataValidation type="list" allowBlank="1" showInputMessage="1" showErrorMessage="1" prompt="Selecione apenas estados: Mensalidade-Fixa" sqref="B11 B14 B32 B41 B50 B56 B60 B85 B126 B139 B174 B217 B230:B231 B235 B255 B289 B330 B333 B355 B387 B392:B393 B402 B414 B436:B437 B451 B494 B508 B524 B536:B538 B573 B576 B594 B618 B638:B639 B650 B751">
      <formula1>"ÁguaFAGAR,CityTax,Cloudbeds,Contabilidade,EnergiaEDP,Gaz,NOSInternet,Spotify"</formula1>
    </dataValidation>
    <dataValidation type="list" allowBlank="1" showInputMessage="1" showErrorMessage="1" prompt="Selecione apenas estados: Cleaning" sqref="B290:B291 B305 B310 B314 B324:B326 B328 B425 B471 B473:B474 B493 B496 B522:B523 B578 B624:B625 B723">
      <formula1>"Bleach Toilet,Cifi,Dishwash Liquid,Diverso-Cleaning,Glass Cleaner,Mistolin,Mop,saco10l,Softner,Sponges,Ttrash bag 50l,Washing Powder"</formula1>
    </dataValidation>
    <dataValidation type="list" allowBlank="1" showInputMessage="1" showErrorMessage="1" prompt="Selecione apenas estados: Despesas Pessoas / Private A" sqref="B1017 B1063 B1065 B1067 B1070 B1073:B1076 B1078:B1081 B1083:B1086 B1088 B1090:B1102 B1108:B1111 B1114:B1118 B1160 B1188:B1190 B1192 B1196:B1197 B1201:B1203 B1206:B1208 B1211 B1214 B1216 B1220 B1222 B1225:B1226 B1228 B1233 B1237:B1238 B1245:B1246 B1251:B1256 B1263:B1264 B1266:B1272 B1274:B1275 B1277:B1281 B1284 B1290:B1291 B1293 B1296 B1308 B1317 B1320 B1322 B1334">
      <formula1>"Adrien,Invest,Marketing,Rent Adri,Van"</formula1>
    </dataValidation>
    <dataValidation type="list" allowBlank="1" showInputMessage="1" showErrorMessage="1" prompt="Selecione apenas estados: Wages" sqref="B368 B371 B375 B382:B383 B385 B405:B407 B418 B421 B432:B433 B443:B444 B478:B479 B481 B499:B500 B510:B511 B534:B535 B547 B550 B560:B564 B589:B592 B613:B615 B632:B633 B635:B637 B651">
      <formula1>"2x2x2,barShift,Clarita-wages,Cleaning,Dinner,Excel,Food Staff,Manager,Marta-wages,Night shift,Pancakes,Reception Shift"</formula1>
    </dataValidation>
    <dataValidation type="list" allowBlank="1" showInputMessage="1" showErrorMessage="1" prompt="Selecione apenas estados: Obra-Cafe" sqref="B39:B40 B101:B102 B104 B106:B113 B121 B125 B221 B367 B386 B388 B394 B399 B409 B413 B419 B423 B426 B446:B447 B456 B469 B484 B490:B491 B503:B504 B517 B519:B520 B525 B527 B533 B548 B566:B567 B571 B574 B585:B586 B593 B600 B602:B604 B609 B645">
      <formula1>"Furnitures-Cafe,MaodeObra-Cafe,Material/Tools-Cafe,Cafe/food-Cafe,Project/Admin-Cafe,Uber/ Transporte-Cafe"</formula1>
    </dataValidation>
    <dataValidation type="list" allowBlank="1" showInputMessage="1" showErrorMessage="1" prompt="Selecione apenas estados: DinnerNight" sqref="B659 B734 B1673 B1838:B1841 B1843:B1845 B1847:B1848">
      <formula1>"food"</formula1>
    </dataValidation>
    <dataValidation type="list" allowBlank="1" showInputMessage="1" showErrorMessage="1" prompt="Selecione apenas estados: Wages" sqref="B778 B785 B794 B799 B801:B805 B809 B818 B820 B841 B846 B849:B850 B872 B881 B897 B903 B907 B909 B954:B955">
      <formula1>"2x2x2,Clarita-wages,Cleaning,Dinner,Excel,Marta-wages,Nightshift,pancakes,Manager,ReceptionShift,barShift,Food Staff"</formula1>
    </dataValidation>
    <dataValidation type="list" allowBlank="1" showInputMessage="1" showErrorMessage="1" prompt="Selecione apenas estados: PapelPack" sqref="B835 B838 B1657:B1658 B1660 B1662:B1663 B1849:B1851">
      <formula1>"DiversosPapelpack,Gloves,Handsoap,Iva-PapelPack,KitchenRoll,SunsetFloorCleaner,Toiletpaper,TrashbagToilet,Trashbag120l"</formula1>
    </dataValidation>
    <dataValidation type="list" allowBlank="1" showInputMessage="1" showErrorMessage="1" prompt="Selecione apenas estados: Café da manhã" sqref="B299:B302 B306 B308:B309 B313 B320:B321 B327 B348:B349 B378 B396:B398 B400:B401 B408 B449 B463:B464 B467:B468 B482 B498 B501 B505 B516 B521 B552 B554 B565 B577 B579 B581 B587 B623 B628:B630">
      <formula1>"Banana,Butter,Cacao,Canela,Coffee,Coffee filter,Flakes,Flour,Fruits,Gas-Café da manhã,Jam,Milk,Muesli,Oil,Peanut butter,pepper,Salt,Sugar,Tea,Vegan"</formula1>
    </dataValidation>
    <dataValidation type="list" allowBlank="1" showInputMessage="1" showErrorMessage="1" prompt="Selecione apenas estados: Cafédamanhã" sqref="B303:B304 B322:B323 B461 B465:B466 B470 B472 B487 B502 B553 B611 B619:B621 B626 B1312:B1315 B1318:B1319 B1323 B1333 B1343 B1360 B1406 B1433 B1436 B1438:B1440 B1445 B1447:B1448 B1450 B1455 B1535">
      <formula1>"Banana,Butter,Cacao,canela,Coffee,coffeefilter,Flakes,Flour,fruits,gas-Cafédamanhã,Jam,milk,Muesli,oil,peanutbutter,pepper,Salt,Sugar,Tea,Vegan"</formula1>
    </dataValidation>
    <dataValidation type="list" allowBlank="1" showInputMessage="1" showErrorMessage="1" prompt="Selecione apenas estados: Marketing" sqref="B1194">
      <formula1>"others - marketing"</formula1>
    </dataValidation>
    <dataValidation type="list" allowBlank="1" showInputMessage="1" showErrorMessage="1" prompt="Selecione apenas estados: Bpi" sqref="B29 B882 B899 B918 B949 B977 B996">
      <formula1>"Paylink,Fees,AliguerTPEREDUNICREMENSAL,Madalena8-BPI"</formula1>
    </dataValidation>
    <dataValidation type="list" allowBlank="1" showInputMessage="1" showErrorMessage="1" prompt="Selecione apenas estados: Bpi" sqref="B798">
      <formula1>"DepositDrop,Paylink,Fees,Airbnb cancelation,Airbnb comission,AliguerTPEREDUNICREMENSAL,Madalena8-BPI"</formula1>
    </dataValidation>
    <dataValidation type="list" allowBlank="1" showInputMessage="1" showErrorMessage="1" prompt="Selecione apenas cidades: Hostelfurnitures estado Bathroom" sqref="C1533">
      <formula1>"11"</formula1>
    </dataValidation>
    <dataValidation type="list" allowBlank="1" showInputMessage="1" showErrorMessage="1" prompt="Selecione apenas estados: Cafédamanhã" sqref="B1224 B1544 B1559 B1578 B1588 B1590:B1592 B1594 B1613 B1631 B1648 B1677 B1695:B1701 B1704 B1709:B1710 B1712 B1714 B1794:B1795 B1799 B1804">
      <formula1>"Lollipop,Banana,Butter,Cacao,canela,Coffee,coffeefilter,Flakes,Flour,fruits,gas-Cafédamanhã,Jam,milk,Muesli,oil,peanutbutter,pepper,Salt,Sugar,Tea,Vegan"</formula1>
    </dataValidation>
    <dataValidation type="list" allowBlank="1" showInputMessage="1" showErrorMessage="1" prompt="Selecione apenas estados: Wages" sqref="B430 B530">
      <formula1>"2x2x2,barShift,Clarita-wages,Cleaning,Dinner,Excel,Food Staff,Manager,Marta-wages,Nightshift,pancakes,ReceptionShift"</formula1>
    </dataValidation>
    <dataValidation type="list" allowBlank="1" showInputMessage="1" showErrorMessage="1" prompt="Selecione apenas estados: Bpi" sqref="B1287 B1384 B1504 B1558 B1609 B1756 B1822">
      <formula1>"DepositDrop,Fees,AliguerTPEREDUNICREMENSAL,Madalena8-BPI"</formula1>
    </dataValidation>
    <dataValidation type="list" allowBlank="1" showInputMessage="1" showErrorMessage="1" prompt="Selecione apenas estados: Bar" sqref="B1227">
      <formula1>"AppleCider,Beer,FruitCider,fruits-bar,Furniture,Greenwine,Icecube-Bar,liqueur,Sangria,Spirit,Verso3,Cachaça,Verso5"</formula1>
    </dataValidation>
    <dataValidation type="list" allowBlank="1" showInputMessage="1" showErrorMessage="1" prompt="Selecione apenas estados: PapelPack" sqref="B454 B458 B541 B545 B642:B644">
      <formula1>"DiversosPapelpack,Gloves,Handsoap,Iva-PapelPack,KitchenRoll,SunsetFloorCleaner,Toalha de mao,Toiletpaper,Trashbag120l,TrashbagToilet"</formula1>
    </dataValidation>
    <dataValidation type="list" allowBlank="1" showInputMessage="1" showErrorMessage="1" prompt="Selecione apenas estados: Lillipop" sqref="B1348">
      <formula1>"Lollipop"</formula1>
    </dataValidation>
    <dataValidation type="list" allowBlank="1" showInputMessage="1" showErrorMessage="1" prompt="Selecione apenas estados: Cleaning" sqref="B312 B315:B319 B475:B476 B582 B584 B622 B1321 B1444 B1451 B1454 B1690 B1705 B1707:B1708 B1711 B1737 B1800">
      <formula1>"BleachToilet,Cifi,DishwashLiquid,Diverso-Cleaning,GlassCleaner,Mistolin,Mop,saco10l,Softner,Sponges,trashbag50l,WashingPowder"</formula1>
    </dataValidation>
    <dataValidation type="list" allowBlank="1" showInputMessage="1" showErrorMessage="1" prompt="Selecione apenas estados: Commission" sqref="B810:B812 B888:B889">
      <formula1>"Booking Other taxs,Booking Paymentcommision,Airbnb cancelation,Airbnb comission,Paylink"</formula1>
    </dataValidation>
    <dataValidation type="list" allowBlank="1" showInputMessage="1" showErrorMessage="1" prompt="Selecione apenas estados: Obra-&quot;2025&quot;" sqref="B655 B662 B664:B665 B667:B668 B670 B672:B673 B675 B681 B683:B684 B689 B691 B695:B697 B699 B703:B704 B713 B719:B722 B724 B736 B739:B740 B756 B760:B761 B767 B769 B771 B773 B776 B784 B786:B787 B791:B793 B797 B800 B832 B834 B836:B837 B845 B847 B853 B857 B861:B862 B864 B866 B869 B883:B885 B1054">
      <formula1>"Furnitures2025"",Material""2025"",Agua""2025"",Eletricidade""2025"",Incêncio""2025"",Mao-de-obra""2025"",Tools""2025"""</formula1>
    </dataValidation>
    <dataValidation type="list" allowBlank="1" showInputMessage="1" showErrorMessage="1" prompt="Selecione apenas estados: Annualidad-Fixa" sqref="B1241">
      <formula1>"AquaLabWaterTest,INTERPREV-Fiscalisacao,INTERPREV-Segurancaesaude,SOPFOGO-Extinctores,SOPFOGO-ManutencaoCentralIncendio,SPA"</formula1>
    </dataValidation>
    <dataValidation type="list" allowBlank="1" showInputMessage="1" showErrorMessage="1" prompt="Cliquez ici et saisissez une valeur dans la liste des éléments" sqref="B1235">
      <formula1>"2 x 2 x 2,Clarita - wages,Cleaning,Dinner,Excel,Marta - wages,Night shift,pancakes,Reception Shift,bar Shift"</formula1>
    </dataValidation>
    <dataValidation type="list" allowBlank="1" showInputMessage="1" showErrorMessage="1" prompt="Selecione apenas estados: Impostos" sqref="B1411 B1550">
      <formula1>"Imi10,Imi8,IRS,IVA,Seg.Soc."</formula1>
    </dataValidation>
    <dataValidation type="list" allowBlank="1" showInputMessage="1" showErrorMessage="1" prompt="Selecione apenas cidades: Papelaria estado design" sqref="C1539 C1556 C1645 C1670">
      <formula1>"333"</formula1>
    </dataValidation>
    <dataValidation type="list" allowBlank="1" showInputMessage="1" showErrorMessage="1" prompt="Selecione apenas estados: Annualidad-Fixa" sqref="B450">
      <formula1>"AquaLabWaterTest,Gas inspection,INTERPREV-Fiscalisacao,INTERPREV-Segurancaesaude,License,SOPFOGO-Extinctores,SOPFOGO-ManutencaoCentralIncendio,SPA"</formula1>
    </dataValidation>
    <dataValidation type="list" allowBlank="1" showInputMessage="1" showErrorMessage="1" prompt="Selecione apenas estados: Papel Pack" sqref="B1301">
      <formula1>"Gloves,Handsoap,Iva - Papel Pack,Kitchen Roll,Sunset Floor Cleaner,Toilet paper,Trash bag  Toilet,Trash bag 120l,Diversos Papel pack"</formula1>
    </dataValidation>
    <dataValidation type="list" allowBlank="1" showInputMessage="1" showErrorMessage="1" prompt="Selecione apenas cidades: Hostelfurnitures estado Kitchen" sqref="C384 C1580 C1676">
      <formula1>"222"</formula1>
    </dataValidation>
    <dataValidation type="list" allowBlank="1" showInputMessage="1" showErrorMessage="1" prompt="Selecione apenas estados: Despesas Pessoas" sqref="B16 B76 B209 B701">
      <formula1>"Adrien,Invest,Marketing,Rent Adri,Van"</formula1>
    </dataValidation>
    <dataValidation type="list" allowBlank="1" showInputMessage="1" showErrorMessage="1" prompt="Selecione apenas estados: Annualidad-Fixa" sqref="B434">
      <formula1>"Aqua Lab Water Test,Gas inspection,INTERPREV-Fiscalisacao,INTERPREV-Segurancaesaude,License,SOPFOGO-Extinctores,SOPFOGO-Manutencao Central Incendio,SPA"</formula1>
    </dataValidation>
    <dataValidation type="list" allowBlank="1" showInputMessage="1" showErrorMessage="1" prompt="Selecione apenas estados: Marketing" sqref="B178 B245 B712 B729 B743 B754">
      <formula1>"others-marketing"</formula1>
    </dataValidation>
    <dataValidation type="list" allowBlank="1" showInputMessage="1" showErrorMessage="1" prompt="Selecione apenas estados: Bike" sqref="B1223">
      <formula1>"Fixing,Rubber"</formula1>
    </dataValidation>
    <dataValidation type="list" allowBlank="1" showInputMessage="1" showErrorMessage="1" prompt="Selecione apenas estados: Refund" sqref="B1148 B1159 B1210 B1289 B1311 B1435 B1566">
      <formula1>"Refund"</formula1>
    </dataValidation>
    <dataValidation type="list" allowBlank="1" showInputMessage="1" showErrorMessage="1" prompt="Selecione apenas estados: bedbugsprotocol" sqref="B1288 B1485 B1498:B1500 B1508 B1510 B1540 B1547 B1557 B1567 B1570 B1574 B1596 B1608 B1612 B1614 B1689 B1702 B1727 B1736 B1738 B1745 B1788 B1846">
      <formula1>"Desinfection,Diverso-bedbugsprotocol,laundry,Weapons"</formula1>
    </dataValidation>
    <dataValidation type="list" allowBlank="1" showInputMessage="1" showErrorMessage="1" prompt="Selecione apenas estados: Liquor Bar" sqref="B557">
      <formula1>"Amarguinha,Aperol,Beirao,Ginha,Maciera,Medronho,Pastel de Nata,Port Wine"</formula1>
    </dataValidation>
    <dataValidation type="list" allowBlank="1" showInputMessage="1" showErrorMessage="1" prompt="Selecione apenas estados: Bpi" sqref="B1077">
      <formula1>"DepositDrop,Fees,Aliguer TPE REDUNICRE MENSAL,Madalena8-BPI"</formula1>
    </dataValidation>
    <dataValidation type="list" allowBlank="1" showInputMessage="1" showErrorMessage="1" prompt="Selecione apenas estados: bed bugs protocol" sqref="B1161 B1174 B1182 B1191 B1283">
      <formula1>"Desinfection,Diverso - bed bugs protocol,laundry,Weapons"</formula1>
    </dataValidation>
    <dataValidation type="list" allowBlank="1" showInputMessage="1" showErrorMessage="1" prompt="Selecione apenas estados: Papelaria" sqref="B1169 B1221">
      <formula1>"Caneta,design,Diversos - Papelaria,Ink,lápis,Multicopias,Plastificaçao"</formula1>
    </dataValidation>
    <dataValidation type="list" allowBlank="1" showInputMessage="1" showErrorMessage="1" prompt="Selecione apenas estados: Booking.com" sqref="B1247 B1521 B1524 B1733:B1734">
      <formula1>"Othertaxs,Paymentcommision"</formula1>
    </dataValidation>
    <dataValidation type="list" allowBlank="1" showInputMessage="1" showErrorMessage="1" prompt="Selecione apenas estados: Transporte" sqref="B975 B1020 B1034 B1037 B1046 B1048 B1050:B1051">
      <formula1>"UberCopter,Bus"</formula1>
    </dataValidation>
    <dataValidation type="list" allowBlank="1" showInputMessage="1" showErrorMessage="1" prompt="Selecione apenas cidades: Hostel furnitures estado Bathroom" sqref="C1273">
      <formula1>"11"</formula1>
    </dataValidation>
    <dataValidation type="list" allowBlank="1" showInputMessage="1" showErrorMessage="1" prompt="Selecione apenas estados: shopping" sqref="B1752">
      <formula1>"bag"</formula1>
    </dataValidation>
    <dataValidation type="list" allowBlank="1" showInputMessage="1" showErrorMessage="1" prompt="Selecione apenas estados: Obra" sqref="B1087 B1370 B1372 B1385 B1395:B1396 B1398 B1409 B1412 B1473 B1475 B1505 B1515:B1516 B1518 B1565 B1568:B1569 B1571 B1575 B1603:B1605 B1610 B1615 B1619:B1620 B1626:B1627 B1629:B1630 B1636 B1744 B1746 B1757:B1759 B1761 B1767:B1768 B1770:B1771 B1791 B1801 B1816 B1832 B1837 B1842">
      <formula1>"""NomeoftheProject"",MaodeObra""NomeoftheProject"",Materiel""NomeoftheProject"",Tools""NomeoftheProject"""</formula1>
    </dataValidation>
    <dataValidation type="list" allowBlank="1" showInputMessage="1" showErrorMessage="1" prompt="Selecione apenas estados: PapelPack" sqref="B768 B770 B772 B822 B826 B842:B843 B935:B938 B943:B947">
      <formula1>"DiversosPapelpack,Toalha de mao,Gloves,Handsoap,Iva-PapelPack,KitchenRoll,SunsetFloorCleaner,Toiletpaper,TrashbagToilet,Trashbag120l"</formula1>
    </dataValidation>
    <dataValidation type="list" allowBlank="1" showInputMessage="1" showErrorMessage="1" prompt="Selecione apenas estados: Café da manhã" sqref="B1121 B1133:B1137 B1139 B1141 B1143 B1145 B1149 B1153:B1155 B1157 B1167:B1168 B1173 B1198:B1199 B1204:B1205 B1209 B1215 B1218 B1230">
      <formula1>"Banana,Butter,Cacao,canela,Coffee,Flakes,Flour,fruits,gas - Café da manhã,Jam,milk,Muesli,oil,peanut butter,pepper,Salt,Sugar,Tea,Vegan"</formula1>
    </dataValidation>
    <dataValidation type="list" allowBlank="1" showInputMessage="1" showErrorMessage="1" prompt="Selecione apenas estados: Obra-&quot;2026&quot;" sqref="B916 B934 B942 B986 B1049">
      <formula1>"Furnitures2026"",Material""2026"",Agua""2026"",Eletricidade""2026"",Incêncio""2026"",Mao-de-obra""2026"",Tools""2026"""</formula1>
    </dataValidation>
    <dataValidation type="list" allowBlank="1" showInputMessage="1" showErrorMessage="1" prompt="Selecione apenas estados: DespesasPessoas/PrivateA" sqref="B9:B10 B12:B13 B15 B17 B26 B28 B42 B52:B53 B75 B78 B80 B93 B130 B142:B144 B147 B160:B162 B164 B172:B173 B177 B179:B180 B185 B187:B192 B194:B198 B210 B212 B216 B228:B229 B236:B237 B277 B284 B294 B311 B350 B415 B420 B424 B427 B462 B483 B529 B575 B596 B646:B647 B654 B660 B663 B671 B679 B685:B686 B693:B694 B698 B702 B707:B708 B710:B711 B715:B718 B725 B728 B733 B741 B745 B750 B755 B758 B765 B775 B777 B788 B796 B814:B817 B819 B821 B823:B824 B828:B831 B852 B854:B856 B858:B859 B863 B870:B871 B873 B876 B878 B890:B892 B920 B922:B923 B926:B930 B939 B951:B953 B956 B959:B960 B964:B970 B972:B974 B978:B981 B984 B987:B988 B992:B993 B997:B1001 B1005:B1011 B1014:B1016 B1018:B1019 B1021:B1032 B1036 B1038:B1045 B1244 B1294 B1299 B1316 B1337:B1338 B1347 B1350:B1351 B1353:B1358 B1359:C1359 B1361:B1362 B1364:B1367 B1373:B1375 B1378:B1381 B1386:B1387 B1389:B1390 B1397 B1399 B1401 B1403 B1405 B1413:B1416 B1418:B1419 B1427 B1432 B1437 B1456 B1461:B1462 B1467:B1468 B1472 B1476:B1479 B1483:B1484 B1488 B1495:B1497 B1501 B1503 B1506:B1507 B1509 B1511:B1513 B1517 B1519:B1520 B1522 B1525 B1529:B1530 B1534 B1536 B1546 B1548:B1549 B1553:B1555 B1564 B1573 B1577 B1579 B1581 B1583 B1589 B1593 B1598 B1606:B1607 B1611 B1616 B1618 B1621 B1623:B1625 B1628 B1638 B1640:B1644 B1646:B1647 B1655:B1656 B1661 B1664:B1668 B1674:B1675 B1678:B1682 B1688 B1693 B1718:B1723 B1729:B1731 B1762:B1765 B1774:B1777 B1779:B1780 B1793 B1805:B1806 B1809 B1813:B1815 B1817:B1818 B1824 B1829:B1831 B1833 B1835">
      <formula1>"Adrien,Invest,Marketing,RentAdri,Van"</formula1>
    </dataValidation>
    <dataValidation type="list" allowBlank="1" showInputMessage="1" showErrorMessage="1" prompt="Selecione apenas cidades: Hostel furnitures estado Kitchen" sqref="C1119 C1144 C1170">
      <formula1>"222"</formula1>
    </dataValidation>
    <dataValidation type="list" allowBlank="1" showInputMessage="1" showErrorMessage="1" prompt="Selecione apenas estados: Insurance" sqref="B27 B51 B86 B156 B158 B163 B246 B295 B381 B439:B440 B480 B570 B649 B759 B780 B783 B904 B906 B931 B961 B982 B1004 B1332 B1490 B1595 B1773">
      <formula1>"Aggema,Auto,CFE,Madalena10,Madalena8,Res.Civ.Hostel"</formula1>
    </dataValidation>
    <dataValidation type="list" allowBlank="1" showInputMessage="1" showErrorMessage="1" prompt="Selecione apenas estados: Bar" sqref="B298 B332 B395 B489 B551 B627">
      <formula1>"AppleCider,Beer,Beer 1L,Cachaça,Coca,FruitCider,fruits-bar,Furniture,Greenwine,Ice tea,Icecube-Bar,liqueur,red bull,Sangria,Sprite,Verso3,Verso5,Vinho tinto,water"</formula1>
    </dataValidation>
    <dataValidation type="list" allowBlank="1" showInputMessage="1" showErrorMessage="1" prompt="Selecione apenas estados: Papel Pack" sqref="B354 B356:B359 B363 B366 B452:B453 B455 B457 B459 B539:B540 B543:B544 B546 B640">
      <formula1>"Diversos Papel Pack,Gloves,Handsoap,Iva-PapelPack,KitchenRoll,Sunset Floor Cleaner,Toalha de mao,Toiletpaper,Trashbag 120l,Trashbag Toilet"</formula1>
    </dataValidation>
    <dataValidation type="list" allowBlank="1" showInputMessage="1" showErrorMessage="1" prompt="Selecione apenas estados: Obra-Cafe" sqref="B5:B6 B8 B18:B25 B30:B31 B33:B38 B43:B49 B54:B55 B57:B59 B61:B72 B74 B77 B79 B81 B83:B84 B87:B92 B94:B100 B103 B105 B115:B117 B120 B122:B124 B127 B131:B138 B140:B141 B145:B146 B148 B150:B155 B157 B159 B165:B171 B175:B176 B184 B186 B201:B206 B208 B213:B214 B218:B220 B222:B227 B232:B234 B238:B242 B244 B247:B254 B256:B263 B265:B276 B278 B281:B283 B286:B288 B292:B293 B334:B344 B360:B362 B372:B373 B391 B411 B422 B428 B485 B518">
      <formula1>"Furnitures-Cafe,MaodeObra-Cafe,Material/Tools-Cafe,Cafe/food-Cafe"</formula1>
    </dataValidation>
    <dataValidation type="list" allowBlank="1" showInputMessage="1" showErrorMessage="1" prompt="Selecione apenas estados: Obra-&quot;2025&quot;" sqref="B669 B676">
      <formula1>"Furnitures2025"",Material""2025"",Agua""2025"",Eletricidade""2025"",Incêncio""2025"",Mao-de-obra""2025"""</formula1>
    </dataValidation>
    <dataValidation type="list" allowBlank="1" showInputMessage="1" showErrorMessage="1" prompt="Selecione apenas estados: Drop" sqref="B1124 B1234 B1307 B1309 B1345 B1349 B1408 B1424:B1425 B1470 B1489 B1514 B1526 B1576 B1671 B1724:B1725 B1739 B1760 B1783 B1819:B1820 B1834">
      <formula1>"Adriendrop,Clarita,Marta"</formula1>
    </dataValidation>
    <dataValidation type="list" allowBlank="1" showInputMessage="1" showErrorMessage="1" prompt="Selecione apenas estados: Drop" sqref="B7 B118 B129 B211 B329 B390 B410 B429 B448 B477 B488 B509 B526 B528 B549 B555:B556 B572 B588 B597:B598 B601 B605:B608 B612 B617 B634 B648 B652 B658 B661 B666 B674 B677:B678 B682 B687 B690 B700 B705 B714 B726:B727 B730 B735 B737 B748 B753 B757">
      <formula1>"Adrien drop,Deposit Drop,From MB to Adrien Money,From Drop to Adrien Money,Jar,From Adrian Money to Drop,From Bpi to Revolut,From Paypal to Revolut,From MB to Drop"</formula1>
    </dataValidation>
    <dataValidation type="list" allowBlank="1" showInputMessage="1" showErrorMessage="1" prompt="Kliknij i wpisz wartość z listy elementów" sqref="B1112">
      <formula1>"Amarguinha,Beirao,Ginha,Maciera,Medronho,Patel de Nata,Port wine,Aperol"</formula1>
    </dataValidation>
    <dataValidation type="list" allowBlank="1" showInputMessage="1" showErrorMessage="1" prompt="Selecione apenas estados: Hostelfurnitures" sqref="B346 B351 B512 B514 B688 B706 B709 B732 B738 B782 B1340 B1420 B1428 B1533 B1541 B1580 B1582 B1659 B1676 B1728 B1750 B1790 B1792 B1796:B1797 B1802">
      <formula1>"Bathroom,Bedroom,Bedroom""Blankets"",Bedroom""Sheets"",electromenager,General,Kitchen,Plants,Rooftop,Staff"</formula1>
    </dataValidation>
    <dataValidation type="list" allowBlank="1" showErrorMessage="1" sqref="R331:R332 R347 R417 R428 D2:D1851">
      <formula1>'Lista 2'!$B$2:$B$20</formula1>
    </dataValidation>
    <dataValidation type="list" allowBlank="1" showInputMessage="1" showErrorMessage="1" prompt="Selecione apenas estados: Bpi" sqref="B73 B149 B243 B374 B460 B532 B559">
      <formula1>"AliguerTPEREDUNICREMENSAL,Fees,Madalena8-BPI,Paylink"</formula1>
    </dataValidation>
    <dataValidation type="list" allowBlank="1" showErrorMessage="1" sqref="A948 A950:A953 A955">
      <formula1>Lista!$A$3:$A$1033</formula1>
    </dataValidation>
    <dataValidation type="list" allowBlank="1" showInputMessage="1" showErrorMessage="1" prompt="Selecione apenas estados: Bar" sqref="B1104 B1331 B1371 B1442 B1531 B1587 B1692 B1747:B1748 B1751 B1789 B1798">
      <formula1>"AppleCider,Beer,FruitCider,fruits-bar,Furniture,Greenwine,Icecube-Bar,liqueur,Sangria,Spirit,Verso3,Verso5"</formula1>
    </dataValidation>
    <dataValidation type="list" allowBlank="1" showInputMessage="1" showErrorMessage="1" prompt="Selecione apenas estados: Hostel furnitures" sqref="B1106 B1119 B1142 B1144 B1170 B1183 B1200 B1217 B1273">
      <formula1>"Bathroom,Bedroom,Bedroom ""Blankets"",Bedroom ""Sheets"",electromenager,General,Kitchen,Plants,Roof top,Staff"</formula1>
    </dataValidation>
    <dataValidation type="list" allowBlank="1" showInputMessage="1" showErrorMessage="1" prompt="Selecione apenas estados: Refund" sqref="B435 B438 B513">
      <formula1>"Airbnb,Refund"</formula1>
    </dataValidation>
    <dataValidation type="list" allowBlank="1" showInputMessage="1" showErrorMessage="1" prompt="Selecione apenas estados: Impostos" sqref="B744 B879:B880 B894:B895 B941 B948 B985 B990:B991 B995 B1012 B1033 B1047 B1052">
      <formula1>"Imi10,Imi8,Imi,IRS,IVA,INPI,Seg.Soc."</formula1>
    </dataValidation>
    <dataValidation type="list" allowBlank="1" showInputMessage="1" showErrorMessage="1" prompt="Selecione apenas estados: Wages" sqref="B1060 B1089 B1130 B1249:B1250 B1310 B1326:B1329 B1335 B1368:B1369 B1391:B1394 B1410 B1426 B1457:B1460 B1471 B1474 B1486:B1487 B1491:B1494 B1502 B1545 B1552 B1560:B1563 B1572 B1585:B1586 B1597 B1599:B1602 B1634:B1635 B1639 B1649:B1654 B1672 B1683:B1687 B1716:B1717 B1740:B1743 B1753:B1755 B1772 B1784:B1787 B1810 B1821 B1826:B1828">
      <formula1>"2x2x2,Clarita-wages,Cleaning,Dinner,Excel,Marta-wages,Nightshift,pancakes,ReceptionShift,barShift"</formula1>
    </dataValidation>
    <dataValidation type="list" allowBlank="1" showInputMessage="1" showErrorMessage="1" prompt="Selecione apenas estados: Drop" sqref="B1062 B1105 B1158 B1176:B1177 B1179 B1232 B1236 B1276 B1297:B1298">
      <formula1>"Clarita,Marta,Adrien drop"</formula1>
    </dataValidation>
    <dataValidation type="list" allowBlank="1" showInputMessage="1" showErrorMessage="1" prompt="Selecione apenas estados: Hostel furnitures" sqref="B297 B307 B331 B347 B384 B417">
      <formula1>"Bathroom,Bedroom,Bedroom""Blankets"",Bedroom""Sheets"",Electromenager,General,Kitchen,Plants,Rooftop,Staff"</formula1>
    </dataValidation>
    <dataValidation type="list" allowBlank="1" showErrorMessage="1" sqref="A11 A27 A60 A235 A330 A393 A402 A451 A536 A638:A639 A902 A905 A908">
      <formula1>Lista!$A$3:$A$1043</formula1>
    </dataValidation>
    <dataValidation type="list" allowBlank="1" showInputMessage="1" showErrorMessage="1" prompt="Selecione apenas estados: mensalidade-Fixa" sqref="B653 B657 B742 B781 B840 B844 B874:B875 B893 B896 B898 B910 B913 B917 B919 B921 B924 B932 B940 B950 B971 B976 B983 B989 B994 B1002:B1003 B1013 B1035 B1376 B1434 B1523 B1527:B1528 B1551 B1584 B1617 B1622 B1669 B1715 B1726 B1735 B1769 B1782 B1812">
      <formula1>"ÁguaFAGAR,CityTax,Cloudbeds,Contabilidade,EnergiaEDP,Gaz,NOSInternet,Spotify"</formula1>
    </dataValidation>
    <dataValidation type="list" allowBlank="1" showErrorMessage="1" sqref="A51 A73 A86 A114 A119 A149 A662 A701 A739 A1195 A1198:A1199 A1204:A1205 A1209 A1212 A1215 A1218:A1219 A1237:A1243 A1245:A1246 A1249:A1285 A1288:A1294 A1296:A1298 A1301 A1322 A1324 A1495 A1498 A1778">
      <formula1>Lista!$A$1:$A$204</formula1>
    </dataValidation>
    <dataValidation type="list" allowBlank="1" showInputMessage="1" showErrorMessage="1" prompt="Selecione apenas estados: Bar" sqref="B680">
      <formula1>"AppleCider,Beer,FruitCider,fruits-bar,Furniture,Greenwine,Icecube-Bar,liqueur,Sangria,Spirit,Beer 1L,water,red bull,Verso3,Cachaça,Vinho tinto,Verso5,Coca"</formula1>
    </dataValidation>
    <dataValidation type="list" allowBlank="1" showInputMessage="1" showErrorMessage="1" prompt="Selecione apenas estados: Bpi" sqref="B1257">
      <formula1>"Deposit Drop,Fees,Madalena 8 - BPI"</formula1>
    </dataValidation>
    <dataValidation type="list" allowBlank="1" showInputMessage="1" showErrorMessage="1" prompt="Selecione apenas estados: Bar" sqref="B1213 B1229 B1231">
      <formula1>"Apple Cider,Beer,Fruit Cider,Furniture,Green wine,Ice cube - Bar,Sangria,Verso3,Verso5"</formula1>
    </dataValidation>
    <dataValidation type="list" allowBlank="1" showInputMessage="1" showErrorMessage="1" prompt="Selecione apenas estados: Obra-&quot;Season7&quot;" sqref="B877">
      <formula1>"Furnitures""Season7"",MaodeObra""Season7"",material""Season7"""</formula1>
    </dataValidation>
    <dataValidation type="list" allowBlank="1" showInputMessage="1" showErrorMessage="1" prompt="Selecione apenas estados: Wages" sqref="B902 B905 B908">
      <formula1>"2x2x2,Clarita-wages,Cleaning,Dinner,Excel,Marta-wages,Nightshift,pancakes,ReceptionShift,barShift,Food Staff"</formula1>
    </dataValidation>
    <dataValidation type="list" allowBlank="1" showInputMessage="1" showErrorMessage="1" prompt="Selecione apenas estados: Transporte" sqref="B1059 B1103 B1126 B1171 B1282 B1286 B1295 B1300 B1302:B1306 B1336 B1339 B1341:B1342 B1352 B1417 B1421:B1423 B1430:B1431 B1443 B1446 B1449 B1452:B1453 B1463:B1466 B1480:B1482 B1766 B1803 B1807:B1808">
      <formula1>"UberCopter"</formula1>
    </dataValidation>
    <dataValidation type="list" allowBlank="1" showInputMessage="1" showErrorMessage="1" prompt="Selecione apenas estados: Impostos" sqref="B1064 B1239">
      <formula1>"Imi 10,Imi 8,IRS,IVA,Seg. Soc."</formula1>
    </dataValidation>
    <dataValidation type="list" allowBlank="1" showInputMessage="1" showErrorMessage="1" prompt="Selecione apenas estados: mensalidade - Fixa" sqref="B1066 B1082 B1125 B1180 B1193 B1240 B1243 B1265 B1292 B1324:B1325 B1469">
      <formula1>"Água FAGAR,City Tax,Cloudbeds,Contabilidade,Energia EDP,Gaz,NOS Internet,Spotify"</formula1>
    </dataValidation>
    <dataValidation type="list" allowBlank="1" showInputMessage="1" showErrorMessage="1" prompt="Selecione apenas estados: Insurance" sqref="B1061 B1330">
      <formula1>"Aggema,Auto,CFE,Madalena 10,Madalena 8,Res. Civ. Hostel"</formula1>
    </dataValidation>
    <dataValidation type="list" allowBlank="1" showInputMessage="1" showErrorMessage="1" prompt="Selecione apenas estados: Bar" sqref="B1056:B1058">
      <formula1>"Apple Cider,Beer,Fruit Cider,fruits - bar,Furniture,Green wine,Ice cube - Bar,Sangria,Verso3,Verso5"</formula1>
    </dataValidation>
    <dataValidation type="list" allowBlank="1" showInputMessage="1" showErrorMessage="1" prompt="Selecione apenas estados: Transporte" sqref="B181:B183 B193 B199:B200 B568">
      <formula1>"Bus,UberCopter"</formula1>
    </dataValidation>
    <dataValidation type="list" allowBlank="1" showInputMessage="1" showErrorMessage="1" prompt="Selecione apenas estados: LiquorBar" sqref="B1537:B1538">
      <formula1>"Amarguinha,Aperol,Beirao,Ginha,Maciera,Medronho,PateldeNata,Portwine"</formula1>
    </dataValidation>
    <dataValidation type="custom" allowBlank="1" showDropDown="1" showErrorMessage="1" sqref="C1 E1:E80 E82:E269 E273:E871 C1094 C1108 C1115 C1197 C1222 C1226 C1228 C1246 C1264 C1266:C1267 C1271:C1272 C1275 C1278 C1295 C1298 C1300 C1302:C1304 C1306 C1339 C1342 C1351 C1353 C1355 C1362 C1364:C1367 C1373 C1378:C1381 C1389 C1403 C1405 C1415 C1443 C1446 C1449 C1452 C1461 C1464 C1478 C1509 C1512:C1513 C1543 C1546 C1615 C1624 C1638 C1640:C1641 C1643:C1644 C1646:C1647 C1664:C1665 C1668 C1671 C1682 C1712 C1731 C1736 C1838 C1840:C1841 C1843:C1844 C1847:C1848 E873:E1851">
      <formula1>OR(NOT(ISERROR(DATEVALUE(C1))), AND(ISNUMBER(C1), LEFT(CELL("format", C1))="D"))</formula1>
    </dataValidation>
    <dataValidation type="list" allowBlank="1" showInputMessage="1" showErrorMessage="1" prompt="Selecione apenas estados: Obra-Cafe" sqref="B752">
      <formula1>"Furnitures-Cafe,Material/Tools-Cafe,MaodeObra-Cafe,Cafe/food-Cafe,Project/Admin-Cafe,Uber/ Transporte-Cafe"</formula1>
    </dataValidation>
    <dataValidation type="list" allowBlank="1" showInputMessage="1" showErrorMessage="1" prompt="Selecione apenas estados: Wages" sqref="B1068:B1069 B1071:B1072 B1122:B1123 B1127:B1129 B1131:B1132 B1178 B1181 B1184:B1187 B1195 B1258:B1262">
      <formula1>"2 x 2 x 2,Clarita - wages,Cleaning,Dinner,Excel,Marta - wages,Night shift,pancakes,Reception Shift"</formula1>
    </dataValidation>
    <dataValidation type="list" allowBlank="1" showInputMessage="1" showErrorMessage="1" prompt="Selecione apenas estados: Annualidad-Fixa" sqref="B779 B912">
      <formula1>"AquaLabWaterTest,INTERPREV-Fiscalisacao,INTERPREV-Segurancaesaude,SOPFOGO-Extinctores,SOPFOGO-ManutencaoCentralIncendio,SPA,License,Gas inspection"</formula1>
    </dataValidation>
    <dataValidation type="list" allowBlank="1" showInputMessage="1" showErrorMessage="1" prompt="Selecione apenas estados: Commission" sqref="B887 B914:B915 B957:B958 B962:B963">
      <formula1>"Booking Other taxs,Booking Paymentcommision,Airbnb cancelation,Airbnb comission"</formula1>
    </dataValidation>
    <dataValidation type="list" allowBlank="1" showErrorMessage="1" sqref="A2:A10 A12:A26 A28:A50 A52:A59 A61:A72 A74:A85 A87:A113 A115:A118 A120:A148 A150:A234 A236:A329 A331:A392 A394:A401 A403:A450 A452:A535 A537:A637 A640:A661 A663:A700 A702:A738 A740:A901 A903:A904 A906:A907 A909:A947 A949 A954 A956:A1194 A1196:A1197 A1200:A1203 A1206:A1208 A1210:A1211 A1213:A1214 A1216:A1217 A1220:A1236 A1244 A1247:A1248 A1286:A1287 A1295 A1299:A1300 A1302:A1321 A1323 A1325:A1494 A1496:A1497 A1499:A1777 A1779:A1851">
      <formula1>Lista!$A$3:$A$1042</formula1>
    </dataValidation>
    <dataValidation type="list" allowBlank="1" showInputMessage="1" showErrorMessage="1" prompt="Cliquez ici et saisissez une valeur dans la liste des éléments" sqref="B1055 B1107 B1113 B1120 B1162:B1163">
      <formula1>"Apple Cider,Beer,Fruit Cider,Furniture,Green wine,Ice cube - Bar,Sangria,Verso3,Verso5,liqueur"</formula1>
    </dataValidation>
    <dataValidation type="list" allowBlank="1" showInputMessage="1" showErrorMessage="1" prompt="Selecione apenas estados: ChillPills" sqref="B1441 B1732">
      <formula1>"Pills"</formula1>
    </dataValidation>
    <dataValidation type="list" allowBlank="1" showInputMessage="1" showErrorMessage="1" prompt="Selecione apenas estados: Bpi" sqref="B806">
      <formula1>"Paylink,DepositDrop,Fees,AliguerTPEREDUNICREMENSAL,Madalena8-BPI"</formula1>
    </dataValidation>
    <dataValidation type="list" allowBlank="1" showInputMessage="1" showErrorMessage="1" prompt="Selecione apenas estados: Obra-Cafe" sqref="B2:B4 B82 B128 B207 B264 B285 B495">
      <formula1>"Furnitures-Cafe,MaodeObra-Cafe,Material/Tools-Cafe,Cafe/food-Cafe,Project/Admin-Cafe"</formula1>
    </dataValidation>
    <dataValidation type="list" allowBlank="1" showInputMessage="1" showErrorMessage="1" prompt="Selecione apenas estados: Refund" sqref="B762 B911 B925">
      <formula1>"Refund,Airbnb"</formula1>
    </dataValidation>
    <dataValidation type="list" allowBlank="1" showInputMessage="1" showErrorMessage="1" prompt="Selecione apenas estados: Impostos" sqref="B731 B808 B1632:B1633 B1637 B1691 B1825">
      <formula1>"Imi10,Imi8,Imi,IRS,IVA,Seg.Soc."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38"/>
    <col customWidth="1" min="3" max="3" width="6.25"/>
    <col customWidth="1" min="4" max="4" width="10.75"/>
    <col customWidth="1" min="5" max="6" width="12.63"/>
    <col customWidth="1" min="7" max="7" width="6.88"/>
    <col customWidth="1" min="8" max="8" width="7.88"/>
    <col customWidth="1" min="9" max="9" width="20.5"/>
  </cols>
  <sheetData>
    <row r="1">
      <c r="A1" s="188" t="s">
        <v>472</v>
      </c>
      <c r="B1" s="188" t="s">
        <v>223</v>
      </c>
      <c r="C1" s="188" t="s">
        <v>219</v>
      </c>
      <c r="D1" s="188" t="s">
        <v>473</v>
      </c>
      <c r="E1" s="188" t="s">
        <v>474</v>
      </c>
      <c r="F1" s="188" t="s">
        <v>475</v>
      </c>
      <c r="G1" s="188" t="s">
        <v>476</v>
      </c>
      <c r="H1" s="189" t="s">
        <v>477</v>
      </c>
      <c r="I1" s="188" t="s">
        <v>478</v>
      </c>
      <c r="J1" s="188" t="s">
        <v>479</v>
      </c>
      <c r="K1" s="188" t="s">
        <v>480</v>
      </c>
      <c r="L1" s="188" t="s">
        <v>482</v>
      </c>
      <c r="M1" s="188" t="s">
        <v>483</v>
      </c>
      <c r="N1" s="190" t="s">
        <v>484</v>
      </c>
    </row>
    <row r="2" hidden="1">
      <c r="A2" s="191">
        <v>46143.0</v>
      </c>
      <c r="B2" s="192">
        <f t="shared" ref="B2:B106" si="1">day(A2)</f>
        <v>1</v>
      </c>
      <c r="C2" s="192">
        <f t="shared" ref="C2:C106" si="2">MONTH(A2)</f>
        <v>5</v>
      </c>
      <c r="D2" s="193">
        <v>1.0</v>
      </c>
      <c r="E2" s="194">
        <v>40.0</v>
      </c>
      <c r="F2" s="74" t="s">
        <v>87</v>
      </c>
      <c r="G2" s="74"/>
      <c r="H2" s="74"/>
      <c r="I2" s="192" t="s">
        <v>487</v>
      </c>
      <c r="J2" s="191">
        <v>46143.0</v>
      </c>
      <c r="K2" s="191">
        <v>46144.0</v>
      </c>
      <c r="L2" s="133">
        <f t="shared" ref="L2:L202" si="3">K2-J2</f>
        <v>1</v>
      </c>
      <c r="M2" s="133">
        <f t="shared" ref="M2:M202" si="4">L2*D2</f>
        <v>1</v>
      </c>
      <c r="N2" s="133">
        <f t="shared" ref="N2:N202" si="5">E2/M2</f>
        <v>40</v>
      </c>
    </row>
    <row r="3" hidden="1">
      <c r="A3" s="191">
        <v>46143.0</v>
      </c>
      <c r="B3" s="192">
        <f t="shared" si="1"/>
        <v>1</v>
      </c>
      <c r="C3" s="192">
        <f t="shared" si="2"/>
        <v>5</v>
      </c>
      <c r="D3" s="193">
        <v>1.0</v>
      </c>
      <c r="E3" s="195">
        <v>135.0</v>
      </c>
      <c r="F3" s="74" t="s">
        <v>262</v>
      </c>
      <c r="G3" s="74"/>
      <c r="H3" s="74"/>
      <c r="I3" s="192" t="s">
        <v>494</v>
      </c>
      <c r="J3" s="191">
        <v>46143.0</v>
      </c>
      <c r="K3" s="191">
        <v>46146.0</v>
      </c>
      <c r="L3" s="133">
        <f t="shared" si="3"/>
        <v>3</v>
      </c>
      <c r="M3" s="133">
        <f t="shared" si="4"/>
        <v>3</v>
      </c>
      <c r="N3" s="133">
        <f t="shared" si="5"/>
        <v>45</v>
      </c>
    </row>
    <row r="4" hidden="1">
      <c r="A4" s="191">
        <v>46144.0</v>
      </c>
      <c r="B4" s="192">
        <f t="shared" si="1"/>
        <v>2</v>
      </c>
      <c r="C4" s="192">
        <f t="shared" si="2"/>
        <v>5</v>
      </c>
      <c r="D4" s="193">
        <v>1.0</v>
      </c>
      <c r="E4" s="194">
        <v>45.0</v>
      </c>
      <c r="F4" s="74" t="s">
        <v>87</v>
      </c>
      <c r="G4" s="74"/>
      <c r="H4" s="74"/>
      <c r="I4" s="192" t="s">
        <v>496</v>
      </c>
      <c r="J4" s="191">
        <v>46144.0</v>
      </c>
      <c r="K4" s="191">
        <v>46145.0</v>
      </c>
      <c r="L4" s="133">
        <f t="shared" si="3"/>
        <v>1</v>
      </c>
      <c r="M4" s="133">
        <f t="shared" si="4"/>
        <v>1</v>
      </c>
      <c r="N4" s="133">
        <f t="shared" si="5"/>
        <v>45</v>
      </c>
    </row>
    <row r="5" hidden="1">
      <c r="A5" s="191">
        <v>46145.0</v>
      </c>
      <c r="B5" s="192">
        <f t="shared" si="1"/>
        <v>3</v>
      </c>
      <c r="C5" s="192">
        <f t="shared" si="2"/>
        <v>5</v>
      </c>
      <c r="D5" s="193">
        <v>1.0</v>
      </c>
      <c r="E5" s="194">
        <v>160.0</v>
      </c>
      <c r="F5" s="74" t="s">
        <v>12</v>
      </c>
      <c r="G5" s="74"/>
      <c r="H5" s="74"/>
      <c r="I5" s="192" t="s">
        <v>498</v>
      </c>
      <c r="J5" s="191">
        <v>46144.0</v>
      </c>
      <c r="K5" s="191">
        <f>J5+7</f>
        <v>46151</v>
      </c>
      <c r="L5" s="133">
        <f t="shared" si="3"/>
        <v>7</v>
      </c>
      <c r="M5" s="133">
        <f t="shared" si="4"/>
        <v>7</v>
      </c>
      <c r="N5" s="133">
        <f t="shared" si="5"/>
        <v>22.85714286</v>
      </c>
    </row>
    <row r="6" hidden="1">
      <c r="A6" s="191">
        <v>46147.0</v>
      </c>
      <c r="B6" s="192">
        <f t="shared" si="1"/>
        <v>5</v>
      </c>
      <c r="C6" s="192">
        <f t="shared" si="2"/>
        <v>5</v>
      </c>
      <c r="D6" s="193">
        <v>1.0</v>
      </c>
      <c r="E6" s="194">
        <v>90.0</v>
      </c>
      <c r="F6" s="74" t="s">
        <v>12</v>
      </c>
      <c r="G6" s="74"/>
      <c r="H6" s="74"/>
      <c r="I6" s="192" t="s">
        <v>503</v>
      </c>
      <c r="J6" s="191">
        <v>46147.0</v>
      </c>
      <c r="K6" s="191">
        <v>46148.0</v>
      </c>
      <c r="L6" s="133">
        <f t="shared" si="3"/>
        <v>1</v>
      </c>
      <c r="M6" s="133">
        <f t="shared" si="4"/>
        <v>1</v>
      </c>
      <c r="N6" s="133">
        <f t="shared" si="5"/>
        <v>90</v>
      </c>
    </row>
    <row r="7" hidden="1">
      <c r="A7" s="191">
        <v>46148.0</v>
      </c>
      <c r="B7" s="192">
        <f t="shared" si="1"/>
        <v>6</v>
      </c>
      <c r="C7" s="192">
        <f t="shared" si="2"/>
        <v>5</v>
      </c>
      <c r="D7" s="193">
        <v>1.0</v>
      </c>
      <c r="E7" s="194">
        <v>45.0</v>
      </c>
      <c r="F7" s="74" t="s">
        <v>87</v>
      </c>
      <c r="G7" s="74"/>
      <c r="H7" s="74"/>
      <c r="I7" s="192" t="s">
        <v>505</v>
      </c>
      <c r="J7" s="191">
        <v>46148.0</v>
      </c>
      <c r="K7" s="191">
        <v>46149.0</v>
      </c>
      <c r="L7" s="133">
        <f t="shared" si="3"/>
        <v>1</v>
      </c>
      <c r="M7" s="133">
        <f t="shared" si="4"/>
        <v>1</v>
      </c>
      <c r="N7" s="133">
        <f t="shared" si="5"/>
        <v>45</v>
      </c>
    </row>
    <row r="8" hidden="1">
      <c r="A8" s="191">
        <v>46153.0</v>
      </c>
      <c r="B8" s="192">
        <f t="shared" si="1"/>
        <v>11</v>
      </c>
      <c r="C8" s="192">
        <f t="shared" si="2"/>
        <v>5</v>
      </c>
      <c r="D8" s="193">
        <v>1.0</v>
      </c>
      <c r="E8" s="194">
        <v>45.0</v>
      </c>
      <c r="F8" s="74" t="s">
        <v>12</v>
      </c>
      <c r="G8" s="74"/>
      <c r="H8" s="74"/>
      <c r="I8" s="192" t="s">
        <v>506</v>
      </c>
      <c r="J8" s="191">
        <v>46153.0</v>
      </c>
      <c r="K8" s="191">
        <v>46154.0</v>
      </c>
      <c r="L8" s="133">
        <f t="shared" si="3"/>
        <v>1</v>
      </c>
      <c r="M8" s="133">
        <f t="shared" si="4"/>
        <v>1</v>
      </c>
      <c r="N8" s="133">
        <f t="shared" si="5"/>
        <v>45</v>
      </c>
    </row>
    <row r="9" hidden="1">
      <c r="A9" s="191">
        <v>46154.0</v>
      </c>
      <c r="B9" s="192">
        <f t="shared" si="1"/>
        <v>12</v>
      </c>
      <c r="C9" s="192">
        <f t="shared" si="2"/>
        <v>5</v>
      </c>
      <c r="D9" s="193">
        <v>1.0</v>
      </c>
      <c r="E9" s="194">
        <v>45.0</v>
      </c>
      <c r="F9" s="74" t="s">
        <v>12</v>
      </c>
      <c r="G9" s="74"/>
      <c r="H9" s="74"/>
      <c r="I9" s="192" t="s">
        <v>507</v>
      </c>
      <c r="J9" s="191">
        <v>46154.0</v>
      </c>
      <c r="K9" s="191">
        <v>46155.0</v>
      </c>
      <c r="L9" s="133">
        <f t="shared" si="3"/>
        <v>1</v>
      </c>
      <c r="M9" s="133">
        <f t="shared" si="4"/>
        <v>1</v>
      </c>
      <c r="N9" s="133">
        <f t="shared" si="5"/>
        <v>45</v>
      </c>
    </row>
    <row r="10" hidden="1">
      <c r="A10" s="191">
        <v>46157.0</v>
      </c>
      <c r="B10" s="192">
        <f t="shared" si="1"/>
        <v>15</v>
      </c>
      <c r="C10" s="192">
        <f t="shared" si="2"/>
        <v>5</v>
      </c>
      <c r="D10" s="193">
        <v>1.0</v>
      </c>
      <c r="E10" s="194">
        <v>40.0</v>
      </c>
      <c r="F10" s="27" t="s">
        <v>87</v>
      </c>
      <c r="G10" s="74"/>
      <c r="H10" s="74"/>
      <c r="I10" s="74" t="s">
        <v>509</v>
      </c>
      <c r="J10" s="191">
        <v>46157.0</v>
      </c>
      <c r="K10" s="191">
        <v>46158.0</v>
      </c>
      <c r="L10" s="133">
        <f t="shared" si="3"/>
        <v>1</v>
      </c>
      <c r="M10" s="133">
        <f t="shared" si="4"/>
        <v>1</v>
      </c>
      <c r="N10" s="133">
        <f t="shared" si="5"/>
        <v>40</v>
      </c>
    </row>
    <row r="11" hidden="1">
      <c r="A11" s="191">
        <v>46158.0</v>
      </c>
      <c r="B11" s="192">
        <f t="shared" si="1"/>
        <v>16</v>
      </c>
      <c r="C11" s="192">
        <f t="shared" si="2"/>
        <v>5</v>
      </c>
      <c r="D11" s="193">
        <v>1.0</v>
      </c>
      <c r="E11" s="194">
        <v>35.0</v>
      </c>
      <c r="F11" s="27" t="s">
        <v>87</v>
      </c>
      <c r="G11" s="74"/>
      <c r="H11" s="74"/>
      <c r="I11" s="74" t="s">
        <v>511</v>
      </c>
      <c r="J11" s="191">
        <v>46158.0</v>
      </c>
      <c r="K11" s="191">
        <v>46159.0</v>
      </c>
      <c r="L11" s="133">
        <f t="shared" si="3"/>
        <v>1</v>
      </c>
      <c r="M11" s="133">
        <f t="shared" si="4"/>
        <v>1</v>
      </c>
      <c r="N11" s="133">
        <f t="shared" si="5"/>
        <v>35</v>
      </c>
    </row>
    <row r="12" hidden="1">
      <c r="A12" s="191">
        <v>46159.0</v>
      </c>
      <c r="B12" s="192">
        <f t="shared" si="1"/>
        <v>17</v>
      </c>
      <c r="C12" s="192">
        <f t="shared" si="2"/>
        <v>5</v>
      </c>
      <c r="D12" s="193">
        <v>1.0</v>
      </c>
      <c r="E12" s="194">
        <v>35.0</v>
      </c>
      <c r="F12" s="74" t="s">
        <v>87</v>
      </c>
      <c r="G12" s="74"/>
      <c r="H12" s="74"/>
      <c r="I12" s="192" t="s">
        <v>512</v>
      </c>
      <c r="J12" s="191">
        <v>46158.0</v>
      </c>
      <c r="K12" s="191">
        <v>46159.0</v>
      </c>
      <c r="L12" s="133">
        <f t="shared" si="3"/>
        <v>1</v>
      </c>
      <c r="M12" s="133">
        <f t="shared" si="4"/>
        <v>1</v>
      </c>
      <c r="N12" s="133">
        <f t="shared" si="5"/>
        <v>35</v>
      </c>
    </row>
    <row r="13" hidden="1">
      <c r="A13" s="191">
        <v>46160.0</v>
      </c>
      <c r="B13" s="192">
        <f t="shared" si="1"/>
        <v>18</v>
      </c>
      <c r="C13" s="192">
        <f t="shared" si="2"/>
        <v>5</v>
      </c>
      <c r="D13" s="193">
        <v>1.0</v>
      </c>
      <c r="E13" s="194">
        <v>35.0</v>
      </c>
      <c r="F13" s="74" t="s">
        <v>262</v>
      </c>
      <c r="G13" s="74"/>
      <c r="H13" s="74"/>
      <c r="I13" s="192" t="s">
        <v>513</v>
      </c>
      <c r="J13" s="191">
        <v>46160.0</v>
      </c>
      <c r="K13" s="191">
        <v>46161.0</v>
      </c>
      <c r="L13" s="133">
        <f t="shared" si="3"/>
        <v>1</v>
      </c>
      <c r="M13" s="133">
        <f t="shared" si="4"/>
        <v>1</v>
      </c>
      <c r="N13" s="133">
        <f t="shared" si="5"/>
        <v>35</v>
      </c>
    </row>
    <row r="14" hidden="1">
      <c r="A14" s="191">
        <v>46160.0</v>
      </c>
      <c r="B14" s="192">
        <f t="shared" si="1"/>
        <v>18</v>
      </c>
      <c r="C14" s="192">
        <f t="shared" si="2"/>
        <v>5</v>
      </c>
      <c r="D14" s="193">
        <v>1.0</v>
      </c>
      <c r="E14" s="194">
        <v>35.0</v>
      </c>
      <c r="F14" s="74" t="s">
        <v>87</v>
      </c>
      <c r="G14" s="74"/>
      <c r="H14" s="74"/>
      <c r="I14" s="192" t="s">
        <v>512</v>
      </c>
      <c r="J14" s="191">
        <v>46160.0</v>
      </c>
      <c r="K14" s="191">
        <v>46161.0</v>
      </c>
      <c r="L14" s="133">
        <f t="shared" si="3"/>
        <v>1</v>
      </c>
      <c r="M14" s="133">
        <f t="shared" si="4"/>
        <v>1</v>
      </c>
      <c r="N14" s="133">
        <f t="shared" si="5"/>
        <v>35</v>
      </c>
    </row>
    <row r="15" hidden="1">
      <c r="A15" s="191">
        <v>46161.0</v>
      </c>
      <c r="B15" s="192">
        <f t="shared" si="1"/>
        <v>19</v>
      </c>
      <c r="C15" s="192">
        <f t="shared" si="2"/>
        <v>5</v>
      </c>
      <c r="D15" s="193">
        <v>1.0</v>
      </c>
      <c r="E15" s="194">
        <v>70.0</v>
      </c>
      <c r="F15" s="74" t="s">
        <v>87</v>
      </c>
      <c r="G15" s="74"/>
      <c r="H15" s="74"/>
      <c r="I15" s="192" t="s">
        <v>512</v>
      </c>
      <c r="J15" s="191">
        <v>46161.0</v>
      </c>
      <c r="K15" s="191">
        <v>46163.0</v>
      </c>
      <c r="L15" s="133">
        <f t="shared" si="3"/>
        <v>2</v>
      </c>
      <c r="M15" s="133">
        <f t="shared" si="4"/>
        <v>2</v>
      </c>
      <c r="N15" s="133">
        <f t="shared" si="5"/>
        <v>35</v>
      </c>
    </row>
    <row r="16" hidden="1">
      <c r="A16" s="191">
        <v>46161.0</v>
      </c>
      <c r="B16" s="192">
        <f t="shared" si="1"/>
        <v>19</v>
      </c>
      <c r="C16" s="192">
        <f t="shared" si="2"/>
        <v>5</v>
      </c>
      <c r="D16" s="193">
        <v>1.0</v>
      </c>
      <c r="E16" s="194">
        <v>35.0</v>
      </c>
      <c r="F16" s="74" t="s">
        <v>262</v>
      </c>
      <c r="G16" s="74"/>
      <c r="H16" s="74"/>
      <c r="I16" s="192" t="s">
        <v>513</v>
      </c>
      <c r="J16" s="191">
        <v>46161.0</v>
      </c>
      <c r="K16" s="191">
        <v>46162.0</v>
      </c>
      <c r="L16" s="133">
        <f t="shared" si="3"/>
        <v>1</v>
      </c>
      <c r="M16" s="133">
        <f t="shared" si="4"/>
        <v>1</v>
      </c>
      <c r="N16" s="133">
        <f t="shared" si="5"/>
        <v>35</v>
      </c>
    </row>
    <row r="17" hidden="1">
      <c r="A17" s="191">
        <v>46164.0</v>
      </c>
      <c r="B17" s="192">
        <f t="shared" si="1"/>
        <v>22</v>
      </c>
      <c r="C17" s="192">
        <f t="shared" si="2"/>
        <v>5</v>
      </c>
      <c r="D17" s="193">
        <v>1.0</v>
      </c>
      <c r="E17" s="194">
        <v>95.0</v>
      </c>
      <c r="F17" s="74" t="s">
        <v>87</v>
      </c>
      <c r="G17" s="74"/>
      <c r="H17" s="74"/>
      <c r="I17" s="192" t="s">
        <v>516</v>
      </c>
      <c r="J17" s="191">
        <v>46164.0</v>
      </c>
      <c r="K17" s="191">
        <f>J17+3</f>
        <v>46167</v>
      </c>
      <c r="L17" s="133">
        <f t="shared" si="3"/>
        <v>3</v>
      </c>
      <c r="M17" s="133">
        <f t="shared" si="4"/>
        <v>3</v>
      </c>
      <c r="N17" s="133">
        <f t="shared" si="5"/>
        <v>31.66666667</v>
      </c>
    </row>
    <row r="18" hidden="1">
      <c r="A18" s="191">
        <v>46165.0</v>
      </c>
      <c r="B18" s="192">
        <f t="shared" si="1"/>
        <v>23</v>
      </c>
      <c r="C18" s="192">
        <f t="shared" si="2"/>
        <v>5</v>
      </c>
      <c r="D18" s="193">
        <v>1.0</v>
      </c>
      <c r="E18" s="194">
        <v>35.0</v>
      </c>
      <c r="F18" s="74" t="s">
        <v>87</v>
      </c>
      <c r="G18" s="74"/>
      <c r="H18" s="74"/>
      <c r="I18" s="192" t="s">
        <v>517</v>
      </c>
      <c r="J18" s="191">
        <v>46164.0</v>
      </c>
      <c r="K18" s="191">
        <v>46165.0</v>
      </c>
      <c r="L18" s="133">
        <f t="shared" si="3"/>
        <v>1</v>
      </c>
      <c r="M18" s="133">
        <f t="shared" si="4"/>
        <v>1</v>
      </c>
      <c r="N18" s="133">
        <f t="shared" si="5"/>
        <v>35</v>
      </c>
    </row>
    <row r="19" hidden="1">
      <c r="A19" s="191">
        <v>46165.0</v>
      </c>
      <c r="B19" s="192">
        <f t="shared" si="1"/>
        <v>23</v>
      </c>
      <c r="C19" s="192">
        <f t="shared" si="2"/>
        <v>5</v>
      </c>
      <c r="D19" s="193">
        <v>1.0</v>
      </c>
      <c r="E19" s="194">
        <v>35.0</v>
      </c>
      <c r="F19" s="74" t="s">
        <v>12</v>
      </c>
      <c r="G19" s="74"/>
      <c r="H19" s="74"/>
      <c r="I19" s="192" t="s">
        <v>518</v>
      </c>
      <c r="J19" s="191">
        <v>46164.0</v>
      </c>
      <c r="K19" s="191">
        <v>46165.0</v>
      </c>
      <c r="L19" s="133">
        <f t="shared" si="3"/>
        <v>1</v>
      </c>
      <c r="M19" s="133">
        <f t="shared" si="4"/>
        <v>1</v>
      </c>
      <c r="N19" s="133">
        <f t="shared" si="5"/>
        <v>35</v>
      </c>
    </row>
    <row r="20" hidden="1">
      <c r="A20" s="191">
        <v>46168.0</v>
      </c>
      <c r="B20" s="192">
        <f t="shared" si="1"/>
        <v>26</v>
      </c>
      <c r="C20" s="192">
        <f t="shared" si="2"/>
        <v>5</v>
      </c>
      <c r="D20" s="193">
        <v>1.0</v>
      </c>
      <c r="E20" s="194">
        <v>45.0</v>
      </c>
      <c r="F20" s="74" t="s">
        <v>87</v>
      </c>
      <c r="G20" s="74"/>
      <c r="H20" s="74"/>
      <c r="I20" s="192" t="s">
        <v>519</v>
      </c>
      <c r="J20" s="191">
        <v>46168.0</v>
      </c>
      <c r="K20" s="191">
        <v>46169.0</v>
      </c>
      <c r="L20" s="133">
        <f t="shared" si="3"/>
        <v>1</v>
      </c>
      <c r="M20" s="133">
        <f t="shared" si="4"/>
        <v>1</v>
      </c>
      <c r="N20" s="133">
        <f t="shared" si="5"/>
        <v>45</v>
      </c>
    </row>
    <row r="21" ht="15.75" hidden="1" customHeight="1">
      <c r="A21" s="191">
        <v>46168.0</v>
      </c>
      <c r="B21" s="192">
        <f t="shared" si="1"/>
        <v>26</v>
      </c>
      <c r="C21" s="192">
        <f t="shared" si="2"/>
        <v>5</v>
      </c>
      <c r="D21" s="193">
        <v>1.0</v>
      </c>
      <c r="E21" s="194">
        <v>81.0</v>
      </c>
      <c r="F21" s="74" t="s">
        <v>87</v>
      </c>
      <c r="G21" s="74"/>
      <c r="H21" s="74"/>
      <c r="I21" s="192" t="s">
        <v>520</v>
      </c>
      <c r="J21" s="191">
        <v>46168.0</v>
      </c>
      <c r="K21" s="191">
        <v>46169.0</v>
      </c>
      <c r="L21" s="133">
        <f t="shared" si="3"/>
        <v>1</v>
      </c>
      <c r="M21" s="133">
        <f t="shared" si="4"/>
        <v>1</v>
      </c>
      <c r="N21" s="133">
        <f t="shared" si="5"/>
        <v>81</v>
      </c>
    </row>
    <row r="22" ht="15.75" hidden="1" customHeight="1">
      <c r="A22" s="191">
        <v>46168.0</v>
      </c>
      <c r="B22" s="192">
        <f t="shared" si="1"/>
        <v>26</v>
      </c>
      <c r="C22" s="192">
        <f t="shared" si="2"/>
        <v>5</v>
      </c>
      <c r="D22" s="193">
        <v>1.0</v>
      </c>
      <c r="E22" s="194">
        <v>45.0</v>
      </c>
      <c r="F22" s="74" t="s">
        <v>262</v>
      </c>
      <c r="G22" s="74"/>
      <c r="H22" s="74"/>
      <c r="I22" s="192" t="s">
        <v>521</v>
      </c>
      <c r="J22" s="191">
        <v>46168.0</v>
      </c>
      <c r="K22" s="191">
        <v>46169.0</v>
      </c>
      <c r="L22" s="133">
        <f t="shared" si="3"/>
        <v>1</v>
      </c>
      <c r="M22" s="133">
        <f t="shared" si="4"/>
        <v>1</v>
      </c>
      <c r="N22" s="133">
        <f t="shared" si="5"/>
        <v>45</v>
      </c>
    </row>
    <row r="23" ht="15.75" hidden="1" customHeight="1">
      <c r="A23" s="191">
        <v>46172.0</v>
      </c>
      <c r="B23" s="192">
        <f t="shared" si="1"/>
        <v>30</v>
      </c>
      <c r="C23" s="192">
        <f t="shared" si="2"/>
        <v>5</v>
      </c>
      <c r="D23" s="193">
        <v>1.0</v>
      </c>
      <c r="E23" s="194">
        <v>35.0</v>
      </c>
      <c r="F23" s="74" t="s">
        <v>12</v>
      </c>
      <c r="G23" s="74"/>
      <c r="H23" s="74"/>
      <c r="I23" s="192" t="s">
        <v>522</v>
      </c>
      <c r="J23" s="191">
        <v>46172.0</v>
      </c>
      <c r="K23" s="191">
        <v>46173.0</v>
      </c>
      <c r="L23" s="133">
        <f t="shared" si="3"/>
        <v>1</v>
      </c>
      <c r="M23" s="133">
        <f t="shared" si="4"/>
        <v>1</v>
      </c>
      <c r="N23" s="133">
        <f t="shared" si="5"/>
        <v>35</v>
      </c>
    </row>
    <row r="24" ht="15.75" hidden="1" customHeight="1">
      <c r="A24" s="191">
        <v>46173.0</v>
      </c>
      <c r="B24" s="192">
        <f t="shared" si="1"/>
        <v>31</v>
      </c>
      <c r="C24" s="192">
        <f t="shared" si="2"/>
        <v>5</v>
      </c>
      <c r="D24" s="193">
        <v>1.0</v>
      </c>
      <c r="E24" s="194">
        <v>70.0</v>
      </c>
      <c r="F24" s="74" t="s">
        <v>87</v>
      </c>
      <c r="G24" s="74"/>
      <c r="H24" s="74"/>
      <c r="I24" s="192" t="s">
        <v>523</v>
      </c>
      <c r="J24" s="191">
        <v>46173.0</v>
      </c>
      <c r="K24" s="191">
        <v>46174.0</v>
      </c>
      <c r="L24" s="133">
        <f t="shared" si="3"/>
        <v>1</v>
      </c>
      <c r="M24" s="133">
        <f t="shared" si="4"/>
        <v>1</v>
      </c>
      <c r="N24" s="133">
        <f t="shared" si="5"/>
        <v>70</v>
      </c>
    </row>
    <row r="25" ht="15.75" hidden="1" customHeight="1">
      <c r="A25" s="191">
        <v>46174.0</v>
      </c>
      <c r="B25" s="192">
        <f t="shared" si="1"/>
        <v>1</v>
      </c>
      <c r="C25" s="192">
        <f t="shared" si="2"/>
        <v>6</v>
      </c>
      <c r="D25" s="193">
        <v>1.0</v>
      </c>
      <c r="E25" s="194">
        <v>70.0</v>
      </c>
      <c r="F25" s="74" t="s">
        <v>87</v>
      </c>
      <c r="G25" s="74"/>
      <c r="H25" s="74"/>
      <c r="I25" s="192" t="s">
        <v>524</v>
      </c>
      <c r="J25" s="191">
        <v>46174.0</v>
      </c>
      <c r="K25" s="191">
        <v>46176.0</v>
      </c>
      <c r="L25" s="133">
        <f t="shared" si="3"/>
        <v>2</v>
      </c>
      <c r="M25" s="133">
        <f t="shared" si="4"/>
        <v>2</v>
      </c>
      <c r="N25" s="133">
        <f t="shared" si="5"/>
        <v>35</v>
      </c>
    </row>
    <row r="26" ht="15.75" hidden="1" customHeight="1">
      <c r="A26" s="191">
        <v>46174.0</v>
      </c>
      <c r="B26" s="192">
        <f t="shared" si="1"/>
        <v>1</v>
      </c>
      <c r="C26" s="192">
        <f t="shared" si="2"/>
        <v>6</v>
      </c>
      <c r="D26" s="193">
        <v>1.0</v>
      </c>
      <c r="E26" s="194">
        <v>70.0</v>
      </c>
      <c r="F26" s="74" t="s">
        <v>12</v>
      </c>
      <c r="G26" s="74"/>
      <c r="H26" s="74"/>
      <c r="I26" s="192" t="s">
        <v>525</v>
      </c>
      <c r="J26" s="191">
        <v>46174.0</v>
      </c>
      <c r="K26" s="191">
        <v>46176.0</v>
      </c>
      <c r="L26" s="133">
        <f t="shared" si="3"/>
        <v>2</v>
      </c>
      <c r="M26" s="133">
        <f t="shared" si="4"/>
        <v>2</v>
      </c>
      <c r="N26" s="133">
        <f t="shared" si="5"/>
        <v>35</v>
      </c>
    </row>
    <row r="27" ht="15.75" hidden="1" customHeight="1">
      <c r="A27" s="191">
        <v>46176.0</v>
      </c>
      <c r="B27" s="192">
        <f t="shared" si="1"/>
        <v>3</v>
      </c>
      <c r="C27" s="192">
        <f t="shared" si="2"/>
        <v>6</v>
      </c>
      <c r="D27" s="193">
        <v>1.0</v>
      </c>
      <c r="E27" s="194">
        <v>97.5</v>
      </c>
      <c r="F27" s="74" t="s">
        <v>87</v>
      </c>
      <c r="G27" s="74"/>
      <c r="H27" s="74"/>
      <c r="I27" s="192" t="s">
        <v>526</v>
      </c>
      <c r="J27" s="191">
        <v>46176.0</v>
      </c>
      <c r="K27" s="191">
        <v>46179.0</v>
      </c>
      <c r="L27" s="133">
        <f t="shared" si="3"/>
        <v>3</v>
      </c>
      <c r="M27" s="133">
        <f t="shared" si="4"/>
        <v>3</v>
      </c>
      <c r="N27" s="133">
        <f t="shared" si="5"/>
        <v>32.5</v>
      </c>
    </row>
    <row r="28" ht="15.75" hidden="1" customHeight="1">
      <c r="A28" s="191">
        <v>46177.0</v>
      </c>
      <c r="B28" s="192">
        <f t="shared" si="1"/>
        <v>4</v>
      </c>
      <c r="C28" s="192">
        <f t="shared" si="2"/>
        <v>6</v>
      </c>
      <c r="D28" s="193">
        <v>1.0</v>
      </c>
      <c r="E28" s="194">
        <v>96.0</v>
      </c>
      <c r="F28" s="74" t="s">
        <v>87</v>
      </c>
      <c r="G28" s="74"/>
      <c r="H28" s="74"/>
      <c r="I28" s="192" t="s">
        <v>527</v>
      </c>
      <c r="J28" s="191">
        <v>46177.0</v>
      </c>
      <c r="K28" s="191">
        <v>46180.0</v>
      </c>
      <c r="L28" s="133">
        <f t="shared" si="3"/>
        <v>3</v>
      </c>
      <c r="M28" s="133">
        <f t="shared" si="4"/>
        <v>3</v>
      </c>
      <c r="N28" s="133">
        <f t="shared" si="5"/>
        <v>32</v>
      </c>
    </row>
    <row r="29" ht="15.75" hidden="1" customHeight="1">
      <c r="A29" s="191">
        <v>46178.0</v>
      </c>
      <c r="B29" s="192">
        <f t="shared" si="1"/>
        <v>5</v>
      </c>
      <c r="C29" s="192">
        <f t="shared" si="2"/>
        <v>6</v>
      </c>
      <c r="D29" s="193">
        <v>1.0</v>
      </c>
      <c r="E29" s="194">
        <v>34.0</v>
      </c>
      <c r="F29" s="74" t="s">
        <v>87</v>
      </c>
      <c r="G29" s="74"/>
      <c r="H29" s="74"/>
      <c r="I29" s="192" t="s">
        <v>529</v>
      </c>
      <c r="J29" s="191">
        <v>46178.0</v>
      </c>
      <c r="K29" s="191">
        <v>46179.0</v>
      </c>
      <c r="L29" s="133">
        <f t="shared" si="3"/>
        <v>1</v>
      </c>
      <c r="M29" s="133">
        <f t="shared" si="4"/>
        <v>1</v>
      </c>
      <c r="N29" s="133">
        <f t="shared" si="5"/>
        <v>34</v>
      </c>
    </row>
    <row r="30" ht="15.75" hidden="1" customHeight="1">
      <c r="A30" s="191">
        <v>46179.0</v>
      </c>
      <c r="B30" s="192">
        <f t="shared" si="1"/>
        <v>6</v>
      </c>
      <c r="C30" s="192">
        <f t="shared" si="2"/>
        <v>6</v>
      </c>
      <c r="D30" s="193">
        <v>1.0</v>
      </c>
      <c r="E30" s="194">
        <v>140.0</v>
      </c>
      <c r="F30" s="74" t="s">
        <v>262</v>
      </c>
      <c r="G30" s="74"/>
      <c r="H30" s="74"/>
      <c r="I30" s="192" t="s">
        <v>530</v>
      </c>
      <c r="J30" s="191">
        <v>46179.0</v>
      </c>
      <c r="K30" s="191">
        <v>46184.0</v>
      </c>
      <c r="L30" s="133">
        <f t="shared" si="3"/>
        <v>5</v>
      </c>
      <c r="M30" s="133">
        <f t="shared" si="4"/>
        <v>5</v>
      </c>
      <c r="N30" s="133">
        <f t="shared" si="5"/>
        <v>28</v>
      </c>
    </row>
    <row r="31" ht="15.75" hidden="1" customHeight="1">
      <c r="A31" s="191">
        <v>46184.0</v>
      </c>
      <c r="B31" s="192">
        <f t="shared" si="1"/>
        <v>11</v>
      </c>
      <c r="C31" s="192">
        <f t="shared" si="2"/>
        <v>6</v>
      </c>
      <c r="D31" s="193">
        <v>1.0</v>
      </c>
      <c r="E31" s="194">
        <v>129.0</v>
      </c>
      <c r="F31" s="74" t="s">
        <v>87</v>
      </c>
      <c r="G31" s="74"/>
      <c r="H31" s="74"/>
      <c r="I31" s="192" t="s">
        <v>531</v>
      </c>
      <c r="J31" s="191">
        <f t="shared" ref="J31:J49" si="6">A31</f>
        <v>46184</v>
      </c>
      <c r="K31" s="191">
        <v>46188.0</v>
      </c>
      <c r="L31" s="133">
        <f t="shared" si="3"/>
        <v>4</v>
      </c>
      <c r="M31" s="133">
        <f t="shared" si="4"/>
        <v>4</v>
      </c>
      <c r="N31" s="133">
        <f t="shared" si="5"/>
        <v>32.25</v>
      </c>
    </row>
    <row r="32" ht="15.75" hidden="1" customHeight="1">
      <c r="A32" s="196">
        <v>46186.0</v>
      </c>
      <c r="B32" s="192">
        <f t="shared" si="1"/>
        <v>13</v>
      </c>
      <c r="C32" s="192">
        <f t="shared" si="2"/>
        <v>6</v>
      </c>
      <c r="D32" s="193">
        <v>1.0</v>
      </c>
      <c r="E32" s="27">
        <v>47.0</v>
      </c>
      <c r="F32" s="27" t="s">
        <v>262</v>
      </c>
      <c r="I32" s="27" t="s">
        <v>533</v>
      </c>
      <c r="J32" s="191">
        <f t="shared" si="6"/>
        <v>46186</v>
      </c>
      <c r="K32" s="196">
        <v>46187.0</v>
      </c>
      <c r="L32" s="133">
        <f t="shared" si="3"/>
        <v>1</v>
      </c>
      <c r="M32" s="133">
        <f t="shared" si="4"/>
        <v>1</v>
      </c>
      <c r="N32" s="133">
        <f t="shared" si="5"/>
        <v>47</v>
      </c>
    </row>
    <row r="33" ht="15.75" hidden="1" customHeight="1">
      <c r="A33" s="196">
        <v>46187.0</v>
      </c>
      <c r="B33" s="192">
        <f t="shared" si="1"/>
        <v>14</v>
      </c>
      <c r="C33" s="192">
        <f t="shared" si="2"/>
        <v>6</v>
      </c>
      <c r="D33" s="193">
        <v>1.0</v>
      </c>
      <c r="E33" s="27">
        <v>35.0</v>
      </c>
      <c r="F33" s="27" t="s">
        <v>87</v>
      </c>
      <c r="I33" s="27" t="s">
        <v>534</v>
      </c>
      <c r="J33" s="191">
        <f t="shared" si="6"/>
        <v>46187</v>
      </c>
      <c r="K33" s="196">
        <v>46188.0</v>
      </c>
      <c r="L33" s="133">
        <f t="shared" si="3"/>
        <v>1</v>
      </c>
      <c r="M33" s="133">
        <f t="shared" si="4"/>
        <v>1</v>
      </c>
      <c r="N33" s="133">
        <f t="shared" si="5"/>
        <v>35</v>
      </c>
    </row>
    <row r="34" ht="15.75" hidden="1" customHeight="1">
      <c r="A34" s="196">
        <v>46189.0</v>
      </c>
      <c r="B34" s="192">
        <f t="shared" si="1"/>
        <v>16</v>
      </c>
      <c r="C34" s="192">
        <f t="shared" si="2"/>
        <v>6</v>
      </c>
      <c r="D34" s="193">
        <v>1.0</v>
      </c>
      <c r="E34" s="27">
        <v>200.0</v>
      </c>
      <c r="F34" s="27" t="s">
        <v>12</v>
      </c>
      <c r="I34" s="27" t="s">
        <v>536</v>
      </c>
      <c r="J34" s="191">
        <f t="shared" si="6"/>
        <v>46189</v>
      </c>
      <c r="K34" s="197">
        <f>J34+5</f>
        <v>46194</v>
      </c>
      <c r="L34" s="133">
        <f t="shared" si="3"/>
        <v>5</v>
      </c>
      <c r="M34" s="133">
        <f t="shared" si="4"/>
        <v>5</v>
      </c>
      <c r="N34" s="133">
        <f t="shared" si="5"/>
        <v>40</v>
      </c>
    </row>
    <row r="35" ht="15.75" hidden="1" customHeight="1">
      <c r="A35" s="196">
        <v>46190.0</v>
      </c>
      <c r="B35" s="192">
        <f t="shared" si="1"/>
        <v>17</v>
      </c>
      <c r="C35" s="192">
        <f t="shared" si="2"/>
        <v>6</v>
      </c>
      <c r="D35" s="193">
        <v>1.0</v>
      </c>
      <c r="E35" s="27">
        <v>35.0</v>
      </c>
      <c r="F35" s="27" t="s">
        <v>87</v>
      </c>
      <c r="I35" s="27" t="s">
        <v>539</v>
      </c>
      <c r="J35" s="191">
        <f t="shared" si="6"/>
        <v>46190</v>
      </c>
      <c r="K35" s="197">
        <f t="shared" ref="K35:K37" si="7">J35+1</f>
        <v>46191</v>
      </c>
      <c r="L35" s="133">
        <f t="shared" si="3"/>
        <v>1</v>
      </c>
      <c r="M35" s="133">
        <f t="shared" si="4"/>
        <v>1</v>
      </c>
      <c r="N35" s="133">
        <f t="shared" si="5"/>
        <v>35</v>
      </c>
    </row>
    <row r="36" ht="15.75" hidden="1" customHeight="1">
      <c r="A36" s="196">
        <v>46191.0</v>
      </c>
      <c r="B36" s="192">
        <f t="shared" si="1"/>
        <v>18</v>
      </c>
      <c r="C36" s="192">
        <f t="shared" si="2"/>
        <v>6</v>
      </c>
      <c r="D36" s="193">
        <v>1.0</v>
      </c>
      <c r="E36" s="27">
        <v>45.0</v>
      </c>
      <c r="F36" s="27" t="s">
        <v>87</v>
      </c>
      <c r="I36" s="27" t="s">
        <v>542</v>
      </c>
      <c r="J36" s="191">
        <f t="shared" si="6"/>
        <v>46191</v>
      </c>
      <c r="K36" s="197">
        <f t="shared" si="7"/>
        <v>46192</v>
      </c>
      <c r="L36" s="133">
        <f t="shared" si="3"/>
        <v>1</v>
      </c>
      <c r="M36" s="133">
        <f t="shared" si="4"/>
        <v>1</v>
      </c>
      <c r="N36" s="133">
        <f t="shared" si="5"/>
        <v>45</v>
      </c>
    </row>
    <row r="37" ht="15.75" hidden="1" customHeight="1">
      <c r="A37" s="196">
        <v>46191.0</v>
      </c>
      <c r="B37" s="192">
        <f t="shared" si="1"/>
        <v>18</v>
      </c>
      <c r="C37" s="192">
        <f t="shared" si="2"/>
        <v>6</v>
      </c>
      <c r="D37" s="193">
        <v>1.0</v>
      </c>
      <c r="E37" s="27">
        <v>40.5</v>
      </c>
      <c r="F37" s="27" t="s">
        <v>262</v>
      </c>
      <c r="I37" s="27" t="s">
        <v>544</v>
      </c>
      <c r="J37" s="191">
        <f t="shared" si="6"/>
        <v>46191</v>
      </c>
      <c r="K37" s="197">
        <f t="shared" si="7"/>
        <v>46192</v>
      </c>
      <c r="L37" s="133">
        <f t="shared" si="3"/>
        <v>1</v>
      </c>
      <c r="M37" s="133">
        <f t="shared" si="4"/>
        <v>1</v>
      </c>
      <c r="N37" s="133">
        <f t="shared" si="5"/>
        <v>40.5</v>
      </c>
    </row>
    <row r="38" ht="15.75" hidden="1" customHeight="1">
      <c r="A38" s="196">
        <v>46191.0</v>
      </c>
      <c r="B38" s="192">
        <f t="shared" si="1"/>
        <v>18</v>
      </c>
      <c r="C38" s="192">
        <f t="shared" si="2"/>
        <v>6</v>
      </c>
      <c r="D38" s="193">
        <v>1.0</v>
      </c>
      <c r="E38" s="27">
        <v>103.5</v>
      </c>
      <c r="F38" s="27" t="s">
        <v>87</v>
      </c>
      <c r="I38" s="27" t="s">
        <v>545</v>
      </c>
      <c r="J38" s="191">
        <f t="shared" si="6"/>
        <v>46191</v>
      </c>
      <c r="K38" s="197">
        <f>J38+3</f>
        <v>46194</v>
      </c>
      <c r="L38" s="133">
        <f t="shared" si="3"/>
        <v>3</v>
      </c>
      <c r="M38" s="133">
        <f t="shared" si="4"/>
        <v>3</v>
      </c>
      <c r="N38" s="133">
        <f t="shared" si="5"/>
        <v>34.5</v>
      </c>
    </row>
    <row r="39" ht="15.75" hidden="1" customHeight="1">
      <c r="A39" s="196">
        <v>46192.0</v>
      </c>
      <c r="B39" s="192">
        <f t="shared" si="1"/>
        <v>19</v>
      </c>
      <c r="C39" s="192">
        <f t="shared" si="2"/>
        <v>6</v>
      </c>
      <c r="D39" s="193">
        <v>1.0</v>
      </c>
      <c r="E39" s="27">
        <v>100.0</v>
      </c>
      <c r="F39" s="27" t="s">
        <v>87</v>
      </c>
      <c r="I39" s="27" t="s">
        <v>547</v>
      </c>
      <c r="J39" s="191">
        <f t="shared" si="6"/>
        <v>46192</v>
      </c>
      <c r="K39" s="197">
        <f>J39+2</f>
        <v>46194</v>
      </c>
      <c r="L39" s="133">
        <f t="shared" si="3"/>
        <v>2</v>
      </c>
      <c r="M39" s="133">
        <f t="shared" si="4"/>
        <v>2</v>
      </c>
      <c r="N39" s="133">
        <f t="shared" si="5"/>
        <v>50</v>
      </c>
    </row>
    <row r="40" ht="15.75" hidden="1" customHeight="1">
      <c r="A40" s="196">
        <v>46193.0</v>
      </c>
      <c r="B40" s="192">
        <f t="shared" si="1"/>
        <v>20</v>
      </c>
      <c r="C40" s="192">
        <f t="shared" si="2"/>
        <v>6</v>
      </c>
      <c r="D40" s="193">
        <v>1.0</v>
      </c>
      <c r="E40" s="27">
        <v>45.0</v>
      </c>
      <c r="F40" s="27" t="s">
        <v>87</v>
      </c>
      <c r="I40" s="27" t="s">
        <v>549</v>
      </c>
      <c r="J40" s="191">
        <f t="shared" si="6"/>
        <v>46193</v>
      </c>
      <c r="K40" s="197">
        <f t="shared" ref="K40:K42" si="8">J40+1</f>
        <v>46194</v>
      </c>
      <c r="L40" s="133">
        <f t="shared" si="3"/>
        <v>1</v>
      </c>
      <c r="M40" s="133">
        <f t="shared" si="4"/>
        <v>1</v>
      </c>
      <c r="N40" s="133">
        <f t="shared" si="5"/>
        <v>45</v>
      </c>
    </row>
    <row r="41" ht="15.75" hidden="1" customHeight="1">
      <c r="A41" s="196">
        <v>46194.0</v>
      </c>
      <c r="B41" s="192">
        <f t="shared" si="1"/>
        <v>21</v>
      </c>
      <c r="C41" s="192">
        <f t="shared" si="2"/>
        <v>6</v>
      </c>
      <c r="D41" s="193">
        <v>1.0</v>
      </c>
      <c r="E41" s="27">
        <v>35.0</v>
      </c>
      <c r="F41" s="27" t="s">
        <v>87</v>
      </c>
      <c r="I41" s="27" t="s">
        <v>550</v>
      </c>
      <c r="J41" s="191">
        <f t="shared" si="6"/>
        <v>46194</v>
      </c>
      <c r="K41" s="197">
        <f t="shared" si="8"/>
        <v>46195</v>
      </c>
      <c r="L41" s="133">
        <f t="shared" si="3"/>
        <v>1</v>
      </c>
      <c r="M41" s="133">
        <f t="shared" si="4"/>
        <v>1</v>
      </c>
      <c r="N41" s="133">
        <f t="shared" si="5"/>
        <v>35</v>
      </c>
    </row>
    <row r="42" ht="15.75" hidden="1" customHeight="1">
      <c r="A42" s="196">
        <v>46195.0</v>
      </c>
      <c r="B42" s="192">
        <f t="shared" si="1"/>
        <v>22</v>
      </c>
      <c r="C42" s="192">
        <f t="shared" si="2"/>
        <v>6</v>
      </c>
      <c r="D42" s="193">
        <v>1.0</v>
      </c>
      <c r="E42" s="27">
        <v>35.0</v>
      </c>
      <c r="F42" s="27" t="s">
        <v>262</v>
      </c>
      <c r="I42" s="27" t="s">
        <v>553</v>
      </c>
      <c r="J42" s="191">
        <f t="shared" si="6"/>
        <v>46195</v>
      </c>
      <c r="K42" s="197">
        <f t="shared" si="8"/>
        <v>46196</v>
      </c>
      <c r="L42" s="133">
        <f t="shared" si="3"/>
        <v>1</v>
      </c>
      <c r="M42" s="133">
        <f t="shared" si="4"/>
        <v>1</v>
      </c>
      <c r="N42" s="133">
        <f t="shared" si="5"/>
        <v>35</v>
      </c>
    </row>
    <row r="43" ht="15.75" hidden="1" customHeight="1">
      <c r="A43" s="196">
        <v>46195.0</v>
      </c>
      <c r="B43" s="192">
        <f t="shared" si="1"/>
        <v>22</v>
      </c>
      <c r="C43" s="192">
        <f t="shared" si="2"/>
        <v>6</v>
      </c>
      <c r="D43" s="193">
        <v>1.0</v>
      </c>
      <c r="E43" s="27">
        <v>94.5</v>
      </c>
      <c r="F43" s="27" t="s">
        <v>12</v>
      </c>
      <c r="I43" s="27" t="s">
        <v>555</v>
      </c>
      <c r="J43" s="191">
        <f t="shared" si="6"/>
        <v>46195</v>
      </c>
      <c r="K43" s="197">
        <f>J43+3</f>
        <v>46198</v>
      </c>
      <c r="L43" s="133">
        <f t="shared" si="3"/>
        <v>3</v>
      </c>
      <c r="M43" s="133">
        <f t="shared" si="4"/>
        <v>3</v>
      </c>
      <c r="N43" s="133">
        <f t="shared" si="5"/>
        <v>31.5</v>
      </c>
    </row>
    <row r="44" ht="15.75" hidden="1" customHeight="1">
      <c r="A44" s="196">
        <v>46195.0</v>
      </c>
      <c r="B44" s="192">
        <f t="shared" si="1"/>
        <v>22</v>
      </c>
      <c r="C44" s="192">
        <f t="shared" si="2"/>
        <v>6</v>
      </c>
      <c r="D44" s="193">
        <v>1.0</v>
      </c>
      <c r="E44" s="27">
        <v>55.0</v>
      </c>
      <c r="F44" s="27" t="s">
        <v>262</v>
      </c>
      <c r="I44" s="27" t="s">
        <v>558</v>
      </c>
      <c r="J44" s="191">
        <f t="shared" si="6"/>
        <v>46195</v>
      </c>
      <c r="K44" s="197">
        <f>J44+1</f>
        <v>46196</v>
      </c>
      <c r="L44" s="133">
        <f t="shared" si="3"/>
        <v>1</v>
      </c>
      <c r="M44" s="133">
        <f t="shared" si="4"/>
        <v>1</v>
      </c>
      <c r="N44" s="133">
        <f t="shared" si="5"/>
        <v>55</v>
      </c>
    </row>
    <row r="45" ht="15.75" hidden="1" customHeight="1">
      <c r="A45" s="196">
        <v>46196.0</v>
      </c>
      <c r="B45" s="192">
        <f t="shared" si="1"/>
        <v>23</v>
      </c>
      <c r="C45" s="192">
        <f t="shared" si="2"/>
        <v>6</v>
      </c>
      <c r="D45" s="193">
        <v>1.0</v>
      </c>
      <c r="E45" s="27">
        <v>70.0</v>
      </c>
      <c r="F45" s="27" t="s">
        <v>87</v>
      </c>
      <c r="I45" s="27" t="s">
        <v>559</v>
      </c>
      <c r="J45" s="191">
        <f t="shared" si="6"/>
        <v>46196</v>
      </c>
      <c r="K45" s="197">
        <f>J45+2</f>
        <v>46198</v>
      </c>
      <c r="L45" s="133">
        <f t="shared" si="3"/>
        <v>2</v>
      </c>
      <c r="M45" s="133">
        <f t="shared" si="4"/>
        <v>2</v>
      </c>
      <c r="N45" s="133">
        <f t="shared" si="5"/>
        <v>35</v>
      </c>
    </row>
    <row r="46" ht="15.75" hidden="1" customHeight="1">
      <c r="A46" s="196">
        <v>46196.0</v>
      </c>
      <c r="B46" s="192">
        <f t="shared" si="1"/>
        <v>23</v>
      </c>
      <c r="C46" s="192">
        <f t="shared" si="2"/>
        <v>6</v>
      </c>
      <c r="D46" s="193">
        <v>1.0</v>
      </c>
      <c r="E46" s="27">
        <v>70.0</v>
      </c>
      <c r="F46" s="27" t="s">
        <v>262</v>
      </c>
      <c r="I46" s="27" t="s">
        <v>561</v>
      </c>
      <c r="J46" s="191">
        <f t="shared" si="6"/>
        <v>46196</v>
      </c>
      <c r="K46" s="197">
        <f t="shared" ref="K46:K56" si="9">J46+1</f>
        <v>46197</v>
      </c>
      <c r="L46" s="133">
        <f t="shared" si="3"/>
        <v>1</v>
      </c>
      <c r="M46" s="133">
        <f t="shared" si="4"/>
        <v>1</v>
      </c>
      <c r="N46" s="133">
        <f t="shared" si="5"/>
        <v>70</v>
      </c>
    </row>
    <row r="47" ht="15.75" hidden="1" customHeight="1">
      <c r="A47" s="196">
        <v>46197.0</v>
      </c>
      <c r="B47" s="192">
        <f t="shared" si="1"/>
        <v>24</v>
      </c>
      <c r="C47" s="192">
        <f t="shared" si="2"/>
        <v>6</v>
      </c>
      <c r="D47" s="193">
        <v>1.0</v>
      </c>
      <c r="E47" s="27">
        <v>70.0</v>
      </c>
      <c r="F47" s="27" t="s">
        <v>262</v>
      </c>
      <c r="I47" s="27" t="s">
        <v>563</v>
      </c>
      <c r="J47" s="191">
        <f t="shared" si="6"/>
        <v>46197</v>
      </c>
      <c r="K47" s="197">
        <f t="shared" si="9"/>
        <v>46198</v>
      </c>
      <c r="L47" s="133">
        <f t="shared" si="3"/>
        <v>1</v>
      </c>
      <c r="M47" s="133">
        <f t="shared" si="4"/>
        <v>1</v>
      </c>
      <c r="N47" s="133">
        <f t="shared" si="5"/>
        <v>70</v>
      </c>
    </row>
    <row r="48" ht="15.75" hidden="1" customHeight="1">
      <c r="A48" s="196">
        <v>46197.0</v>
      </c>
      <c r="B48" s="192">
        <f t="shared" si="1"/>
        <v>24</v>
      </c>
      <c r="C48" s="192">
        <f t="shared" si="2"/>
        <v>6</v>
      </c>
      <c r="D48" s="193">
        <v>1.0</v>
      </c>
      <c r="E48" s="27">
        <v>50.0</v>
      </c>
      <c r="F48" s="27" t="s">
        <v>262</v>
      </c>
      <c r="I48" s="27" t="s">
        <v>565</v>
      </c>
      <c r="J48" s="191">
        <f t="shared" si="6"/>
        <v>46197</v>
      </c>
      <c r="K48" s="197">
        <f t="shared" si="9"/>
        <v>46198</v>
      </c>
      <c r="L48" s="133">
        <f t="shared" si="3"/>
        <v>1</v>
      </c>
      <c r="M48" s="133">
        <f t="shared" si="4"/>
        <v>1</v>
      </c>
      <c r="N48" s="133">
        <f t="shared" si="5"/>
        <v>50</v>
      </c>
    </row>
    <row r="49" ht="15.75" hidden="1" customHeight="1">
      <c r="A49" s="196">
        <v>46198.0</v>
      </c>
      <c r="B49" s="192">
        <f t="shared" si="1"/>
        <v>25</v>
      </c>
      <c r="C49" s="192">
        <f t="shared" si="2"/>
        <v>6</v>
      </c>
      <c r="D49" s="193">
        <v>1.0</v>
      </c>
      <c r="E49" s="27">
        <v>35.0</v>
      </c>
      <c r="F49" s="27" t="s">
        <v>87</v>
      </c>
      <c r="I49" s="27" t="s">
        <v>566</v>
      </c>
      <c r="J49" s="191">
        <f t="shared" si="6"/>
        <v>46198</v>
      </c>
      <c r="K49" s="197">
        <f t="shared" si="9"/>
        <v>46199</v>
      </c>
      <c r="L49" s="133">
        <f t="shared" si="3"/>
        <v>1</v>
      </c>
      <c r="M49" s="133">
        <f t="shared" si="4"/>
        <v>1</v>
      </c>
      <c r="N49" s="133">
        <f t="shared" si="5"/>
        <v>35</v>
      </c>
    </row>
    <row r="50" ht="15.75" hidden="1" customHeight="1">
      <c r="A50" s="196">
        <v>46199.0</v>
      </c>
      <c r="B50" s="192">
        <f t="shared" si="1"/>
        <v>26</v>
      </c>
      <c r="C50" s="192">
        <f t="shared" si="2"/>
        <v>6</v>
      </c>
      <c r="D50" s="193">
        <v>1.0</v>
      </c>
      <c r="E50" s="27">
        <v>40.0</v>
      </c>
      <c r="F50" s="27" t="s">
        <v>87</v>
      </c>
      <c r="I50" s="27" t="s">
        <v>569</v>
      </c>
      <c r="J50" s="191">
        <v>46198.0</v>
      </c>
      <c r="K50" s="197">
        <f t="shared" si="9"/>
        <v>46199</v>
      </c>
      <c r="L50" s="133">
        <f t="shared" si="3"/>
        <v>1</v>
      </c>
      <c r="M50" s="133">
        <f t="shared" si="4"/>
        <v>1</v>
      </c>
      <c r="N50" s="133">
        <f t="shared" si="5"/>
        <v>40</v>
      </c>
    </row>
    <row r="51" ht="15.75" hidden="1" customHeight="1">
      <c r="A51" s="196">
        <v>46200.0</v>
      </c>
      <c r="B51" s="192">
        <f t="shared" si="1"/>
        <v>27</v>
      </c>
      <c r="C51" s="192">
        <f t="shared" si="2"/>
        <v>6</v>
      </c>
      <c r="D51" s="193">
        <v>1.0</v>
      </c>
      <c r="E51" s="27">
        <v>35.0</v>
      </c>
      <c r="F51" s="27" t="s">
        <v>87</v>
      </c>
      <c r="I51" s="27" t="s">
        <v>571</v>
      </c>
      <c r="J51" s="191">
        <f t="shared" ref="J51:J106" si="10">A51</f>
        <v>46200</v>
      </c>
      <c r="K51" s="197">
        <f t="shared" si="9"/>
        <v>46201</v>
      </c>
      <c r="L51" s="133">
        <f t="shared" si="3"/>
        <v>1</v>
      </c>
      <c r="M51" s="133">
        <f t="shared" si="4"/>
        <v>1</v>
      </c>
      <c r="N51" s="133">
        <f t="shared" si="5"/>
        <v>35</v>
      </c>
    </row>
    <row r="52" ht="15.75" hidden="1" customHeight="1">
      <c r="A52" s="196">
        <v>46201.0</v>
      </c>
      <c r="B52" s="192">
        <f t="shared" si="1"/>
        <v>28</v>
      </c>
      <c r="C52" s="192">
        <f t="shared" si="2"/>
        <v>6</v>
      </c>
      <c r="D52" s="193">
        <v>1.0</v>
      </c>
      <c r="E52" s="27">
        <v>20.0</v>
      </c>
      <c r="F52" s="27" t="s">
        <v>87</v>
      </c>
      <c r="I52" s="27" t="s">
        <v>571</v>
      </c>
      <c r="J52" s="191">
        <f t="shared" si="10"/>
        <v>46201</v>
      </c>
      <c r="K52" s="197">
        <f t="shared" si="9"/>
        <v>46202</v>
      </c>
      <c r="L52" s="133">
        <f t="shared" si="3"/>
        <v>1</v>
      </c>
      <c r="M52" s="133">
        <f t="shared" si="4"/>
        <v>1</v>
      </c>
      <c r="N52" s="133">
        <f t="shared" si="5"/>
        <v>20</v>
      </c>
    </row>
    <row r="53" ht="15.75" hidden="1" customHeight="1">
      <c r="A53" s="196">
        <v>46201.0</v>
      </c>
      <c r="B53" s="192">
        <f t="shared" si="1"/>
        <v>28</v>
      </c>
      <c r="C53" s="192">
        <f t="shared" si="2"/>
        <v>6</v>
      </c>
      <c r="D53" s="193">
        <v>1.0</v>
      </c>
      <c r="E53" s="27">
        <v>35.0</v>
      </c>
      <c r="F53" s="27" t="s">
        <v>12</v>
      </c>
      <c r="I53" s="27" t="s">
        <v>575</v>
      </c>
      <c r="J53" s="191">
        <f t="shared" si="10"/>
        <v>46201</v>
      </c>
      <c r="K53" s="197">
        <f t="shared" si="9"/>
        <v>46202</v>
      </c>
      <c r="L53" s="133">
        <f t="shared" si="3"/>
        <v>1</v>
      </c>
      <c r="M53" s="133">
        <f t="shared" si="4"/>
        <v>1</v>
      </c>
      <c r="N53" s="133">
        <f t="shared" si="5"/>
        <v>35</v>
      </c>
    </row>
    <row r="54" ht="15.75" hidden="1" customHeight="1">
      <c r="A54" s="196">
        <v>46201.0</v>
      </c>
      <c r="B54" s="192">
        <f t="shared" si="1"/>
        <v>28</v>
      </c>
      <c r="C54" s="192">
        <f t="shared" si="2"/>
        <v>6</v>
      </c>
      <c r="D54" s="193">
        <v>1.0</v>
      </c>
      <c r="E54" s="27">
        <v>35.0</v>
      </c>
      <c r="F54" s="27" t="s">
        <v>87</v>
      </c>
      <c r="I54" s="27" t="s">
        <v>576</v>
      </c>
      <c r="J54" s="191">
        <f t="shared" si="10"/>
        <v>46201</v>
      </c>
      <c r="K54" s="197">
        <f t="shared" si="9"/>
        <v>46202</v>
      </c>
      <c r="L54" s="133">
        <f t="shared" si="3"/>
        <v>1</v>
      </c>
      <c r="M54" s="133">
        <f t="shared" si="4"/>
        <v>1</v>
      </c>
      <c r="N54" s="133">
        <f t="shared" si="5"/>
        <v>35</v>
      </c>
    </row>
    <row r="55" ht="15.75" hidden="1" customHeight="1">
      <c r="A55" s="196">
        <v>46202.0</v>
      </c>
      <c r="B55" s="192">
        <f t="shared" si="1"/>
        <v>29</v>
      </c>
      <c r="C55" s="192">
        <f t="shared" si="2"/>
        <v>6</v>
      </c>
      <c r="D55" s="193">
        <v>1.0</v>
      </c>
      <c r="E55" s="27">
        <v>25.0</v>
      </c>
      <c r="F55" s="27" t="s">
        <v>87</v>
      </c>
      <c r="I55" s="27" t="s">
        <v>577</v>
      </c>
      <c r="J55" s="191">
        <f t="shared" si="10"/>
        <v>46202</v>
      </c>
      <c r="K55" s="197">
        <f t="shared" si="9"/>
        <v>46203</v>
      </c>
      <c r="L55" s="133">
        <f t="shared" si="3"/>
        <v>1</v>
      </c>
      <c r="M55" s="133">
        <f t="shared" si="4"/>
        <v>1</v>
      </c>
      <c r="N55" s="133">
        <f t="shared" si="5"/>
        <v>25</v>
      </c>
    </row>
    <row r="56" ht="15.75" hidden="1" customHeight="1">
      <c r="A56" s="196">
        <v>46203.0</v>
      </c>
      <c r="B56" s="192">
        <f t="shared" si="1"/>
        <v>30</v>
      </c>
      <c r="C56" s="192">
        <f t="shared" si="2"/>
        <v>6</v>
      </c>
      <c r="D56" s="193">
        <v>1.0</v>
      </c>
      <c r="E56" s="27">
        <v>35.0</v>
      </c>
      <c r="F56" s="27" t="s">
        <v>87</v>
      </c>
      <c r="I56" s="27" t="s">
        <v>578</v>
      </c>
      <c r="J56" s="191">
        <f t="shared" si="10"/>
        <v>46203</v>
      </c>
      <c r="K56" s="197">
        <f t="shared" si="9"/>
        <v>46204</v>
      </c>
      <c r="L56" s="133">
        <f t="shared" si="3"/>
        <v>1</v>
      </c>
      <c r="M56" s="133">
        <f t="shared" si="4"/>
        <v>1</v>
      </c>
      <c r="N56" s="133">
        <f t="shared" si="5"/>
        <v>35</v>
      </c>
    </row>
    <row r="57" ht="15.75" hidden="1" customHeight="1">
      <c r="A57" s="196">
        <v>46203.0</v>
      </c>
      <c r="B57" s="192">
        <f t="shared" si="1"/>
        <v>30</v>
      </c>
      <c r="C57" s="192">
        <f t="shared" si="2"/>
        <v>6</v>
      </c>
      <c r="D57" s="193">
        <v>1.0</v>
      </c>
      <c r="E57" s="27">
        <v>0.0</v>
      </c>
      <c r="F57" s="27" t="s">
        <v>262</v>
      </c>
      <c r="I57" s="27" t="s">
        <v>579</v>
      </c>
      <c r="J57" s="191">
        <f t="shared" si="10"/>
        <v>46203</v>
      </c>
      <c r="K57" s="196">
        <v>46204.0</v>
      </c>
      <c r="L57" s="133">
        <f t="shared" si="3"/>
        <v>1</v>
      </c>
      <c r="M57" s="133">
        <f t="shared" si="4"/>
        <v>1</v>
      </c>
      <c r="N57" s="133">
        <f t="shared" si="5"/>
        <v>0</v>
      </c>
    </row>
    <row r="58" ht="15.75" hidden="1" customHeight="1">
      <c r="A58" s="196">
        <v>46203.0</v>
      </c>
      <c r="B58" s="192">
        <f t="shared" si="1"/>
        <v>30</v>
      </c>
      <c r="C58" s="192">
        <f t="shared" si="2"/>
        <v>6</v>
      </c>
      <c r="D58" s="193">
        <v>1.0</v>
      </c>
      <c r="E58" s="27">
        <v>0.0</v>
      </c>
      <c r="F58" s="27" t="s">
        <v>12</v>
      </c>
      <c r="I58" s="27" t="s">
        <v>579</v>
      </c>
      <c r="J58" s="191">
        <f t="shared" si="10"/>
        <v>46203</v>
      </c>
      <c r="K58" s="196">
        <v>46204.0</v>
      </c>
      <c r="L58" s="133">
        <f t="shared" si="3"/>
        <v>1</v>
      </c>
      <c r="M58" s="133">
        <f t="shared" si="4"/>
        <v>1</v>
      </c>
      <c r="N58" s="133">
        <f t="shared" si="5"/>
        <v>0</v>
      </c>
    </row>
    <row r="59" ht="15.75" hidden="1" customHeight="1">
      <c r="A59" s="196">
        <v>46204.0</v>
      </c>
      <c r="B59" s="192">
        <f t="shared" si="1"/>
        <v>1</v>
      </c>
      <c r="C59" s="192">
        <f t="shared" si="2"/>
        <v>7</v>
      </c>
      <c r="D59" s="193">
        <v>1.0</v>
      </c>
      <c r="E59" s="27">
        <v>15.0</v>
      </c>
      <c r="F59" s="27" t="s">
        <v>87</v>
      </c>
      <c r="I59" s="27" t="s">
        <v>581</v>
      </c>
      <c r="J59" s="191">
        <f t="shared" si="10"/>
        <v>46204</v>
      </c>
      <c r="K59" s="197">
        <f t="shared" ref="K59:K61" si="11">J59+1</f>
        <v>46205</v>
      </c>
      <c r="L59" s="133">
        <f t="shared" si="3"/>
        <v>1</v>
      </c>
      <c r="M59" s="133">
        <f t="shared" si="4"/>
        <v>1</v>
      </c>
      <c r="N59" s="133">
        <f t="shared" si="5"/>
        <v>15</v>
      </c>
    </row>
    <row r="60" ht="15.75" hidden="1" customHeight="1">
      <c r="A60" s="196">
        <v>46205.0</v>
      </c>
      <c r="B60" s="192">
        <f t="shared" si="1"/>
        <v>2</v>
      </c>
      <c r="C60" s="192">
        <f t="shared" si="2"/>
        <v>7</v>
      </c>
      <c r="D60" s="193">
        <v>1.0</v>
      </c>
      <c r="E60" s="27">
        <v>25.0</v>
      </c>
      <c r="F60" s="27" t="s">
        <v>87</v>
      </c>
      <c r="I60" s="27" t="s">
        <v>578</v>
      </c>
      <c r="J60" s="191">
        <f t="shared" si="10"/>
        <v>46205</v>
      </c>
      <c r="K60" s="197">
        <f t="shared" si="11"/>
        <v>46206</v>
      </c>
      <c r="L60" s="133">
        <f t="shared" si="3"/>
        <v>1</v>
      </c>
      <c r="M60" s="133">
        <f t="shared" si="4"/>
        <v>1</v>
      </c>
      <c r="N60" s="133">
        <f t="shared" si="5"/>
        <v>25</v>
      </c>
    </row>
    <row r="61" ht="15.75" hidden="1" customHeight="1">
      <c r="A61" s="196">
        <v>46205.0</v>
      </c>
      <c r="B61" s="192">
        <f t="shared" si="1"/>
        <v>2</v>
      </c>
      <c r="C61" s="192">
        <f t="shared" si="2"/>
        <v>7</v>
      </c>
      <c r="D61" s="27">
        <v>2.0</v>
      </c>
      <c r="E61" s="27">
        <v>70.0</v>
      </c>
      <c r="F61" s="27" t="s">
        <v>87</v>
      </c>
      <c r="I61" s="27" t="s">
        <v>586</v>
      </c>
      <c r="J61" s="191">
        <f t="shared" si="10"/>
        <v>46205</v>
      </c>
      <c r="K61" s="197">
        <f t="shared" si="11"/>
        <v>46206</v>
      </c>
      <c r="L61" s="133">
        <f t="shared" si="3"/>
        <v>1</v>
      </c>
      <c r="M61" s="133">
        <f t="shared" si="4"/>
        <v>2</v>
      </c>
      <c r="N61" s="133">
        <f t="shared" si="5"/>
        <v>35</v>
      </c>
    </row>
    <row r="62" ht="15.75" hidden="1" customHeight="1">
      <c r="A62" s="196">
        <v>46206.0</v>
      </c>
      <c r="B62" s="192">
        <f t="shared" si="1"/>
        <v>3</v>
      </c>
      <c r="C62" s="192">
        <f t="shared" si="2"/>
        <v>7</v>
      </c>
      <c r="D62" s="198">
        <v>1.0</v>
      </c>
      <c r="E62" s="27">
        <v>65.0</v>
      </c>
      <c r="F62" s="27" t="s">
        <v>87</v>
      </c>
      <c r="I62" s="27" t="s">
        <v>587</v>
      </c>
      <c r="J62" s="191">
        <f t="shared" si="10"/>
        <v>46206</v>
      </c>
      <c r="K62" s="197">
        <f>J62+2</f>
        <v>46208</v>
      </c>
      <c r="L62" s="133">
        <f t="shared" si="3"/>
        <v>2</v>
      </c>
      <c r="M62" s="133">
        <f t="shared" si="4"/>
        <v>2</v>
      </c>
      <c r="N62" s="133">
        <f t="shared" si="5"/>
        <v>32.5</v>
      </c>
    </row>
    <row r="63" ht="15.75" hidden="1" customHeight="1">
      <c r="A63" s="196">
        <v>46206.0</v>
      </c>
      <c r="B63" s="192">
        <f t="shared" si="1"/>
        <v>3</v>
      </c>
      <c r="C63" s="192">
        <f t="shared" si="2"/>
        <v>7</v>
      </c>
      <c r="D63" s="198">
        <v>1.0</v>
      </c>
      <c r="E63" s="27">
        <v>35.0</v>
      </c>
      <c r="F63" s="27" t="s">
        <v>87</v>
      </c>
      <c r="I63" s="27" t="s">
        <v>589</v>
      </c>
      <c r="J63" s="191">
        <f t="shared" si="10"/>
        <v>46206</v>
      </c>
      <c r="K63" s="197">
        <f t="shared" ref="K63:K75" si="12">J63+1</f>
        <v>46207</v>
      </c>
      <c r="L63" s="133">
        <f t="shared" si="3"/>
        <v>1</v>
      </c>
      <c r="M63" s="133">
        <f t="shared" si="4"/>
        <v>1</v>
      </c>
      <c r="N63" s="133">
        <f t="shared" si="5"/>
        <v>35</v>
      </c>
    </row>
    <row r="64" ht="15.75" hidden="1" customHeight="1">
      <c r="A64" s="196">
        <v>46206.0</v>
      </c>
      <c r="B64" s="192">
        <f t="shared" si="1"/>
        <v>3</v>
      </c>
      <c r="C64" s="192">
        <f t="shared" si="2"/>
        <v>7</v>
      </c>
      <c r="D64" s="198">
        <v>1.0</v>
      </c>
      <c r="E64" s="27">
        <v>33.0</v>
      </c>
      <c r="F64" s="27" t="s">
        <v>262</v>
      </c>
      <c r="I64" s="27" t="s">
        <v>592</v>
      </c>
      <c r="J64" s="191">
        <f t="shared" si="10"/>
        <v>46206</v>
      </c>
      <c r="K64" s="197">
        <f t="shared" si="12"/>
        <v>46207</v>
      </c>
      <c r="L64" s="133">
        <f t="shared" si="3"/>
        <v>1</v>
      </c>
      <c r="M64" s="133">
        <f t="shared" si="4"/>
        <v>1</v>
      </c>
      <c r="N64" s="133">
        <f t="shared" si="5"/>
        <v>33</v>
      </c>
    </row>
    <row r="65" ht="15.75" hidden="1" customHeight="1">
      <c r="A65" s="196">
        <v>46207.0</v>
      </c>
      <c r="B65" s="192">
        <f t="shared" si="1"/>
        <v>4</v>
      </c>
      <c r="C65" s="192">
        <f t="shared" si="2"/>
        <v>7</v>
      </c>
      <c r="D65" s="198">
        <v>1.0</v>
      </c>
      <c r="E65" s="27">
        <v>25.0</v>
      </c>
      <c r="F65" s="27" t="s">
        <v>87</v>
      </c>
      <c r="I65" s="27" t="s">
        <v>593</v>
      </c>
      <c r="J65" s="191">
        <f t="shared" si="10"/>
        <v>46207</v>
      </c>
      <c r="K65" s="197">
        <f t="shared" si="12"/>
        <v>46208</v>
      </c>
      <c r="L65" s="133">
        <f t="shared" si="3"/>
        <v>1</v>
      </c>
      <c r="M65" s="133">
        <f t="shared" si="4"/>
        <v>1</v>
      </c>
      <c r="N65" s="133">
        <f t="shared" si="5"/>
        <v>25</v>
      </c>
    </row>
    <row r="66" ht="15.75" hidden="1" customHeight="1">
      <c r="A66" s="196">
        <v>46209.0</v>
      </c>
      <c r="B66" s="192">
        <f t="shared" si="1"/>
        <v>6</v>
      </c>
      <c r="C66" s="192">
        <f t="shared" si="2"/>
        <v>7</v>
      </c>
      <c r="D66" s="198">
        <v>1.0</v>
      </c>
      <c r="E66" s="27">
        <v>32.0</v>
      </c>
      <c r="F66" s="27" t="s">
        <v>87</v>
      </c>
      <c r="I66" s="27" t="s">
        <v>595</v>
      </c>
      <c r="J66" s="191">
        <f t="shared" si="10"/>
        <v>46209</v>
      </c>
      <c r="K66" s="197">
        <f t="shared" si="12"/>
        <v>46210</v>
      </c>
      <c r="L66" s="133">
        <f t="shared" si="3"/>
        <v>1</v>
      </c>
      <c r="M66" s="133">
        <f t="shared" si="4"/>
        <v>1</v>
      </c>
      <c r="N66" s="133">
        <f t="shared" si="5"/>
        <v>32</v>
      </c>
    </row>
    <row r="67" ht="15.75" hidden="1" customHeight="1">
      <c r="A67" s="196">
        <v>46209.0</v>
      </c>
      <c r="B67" s="192">
        <f t="shared" si="1"/>
        <v>6</v>
      </c>
      <c r="C67" s="192">
        <f t="shared" si="2"/>
        <v>7</v>
      </c>
      <c r="D67" s="198">
        <v>1.0</v>
      </c>
      <c r="E67" s="27">
        <v>35.0</v>
      </c>
      <c r="F67" s="27" t="s">
        <v>87</v>
      </c>
      <c r="I67" s="27" t="s">
        <v>598</v>
      </c>
      <c r="J67" s="191">
        <f t="shared" si="10"/>
        <v>46209</v>
      </c>
      <c r="K67" s="197">
        <f t="shared" si="12"/>
        <v>46210</v>
      </c>
      <c r="L67" s="133">
        <f t="shared" si="3"/>
        <v>1</v>
      </c>
      <c r="M67" s="133">
        <f t="shared" si="4"/>
        <v>1</v>
      </c>
      <c r="N67" s="133">
        <f t="shared" si="5"/>
        <v>35</v>
      </c>
    </row>
    <row r="68" ht="15.75" hidden="1" customHeight="1">
      <c r="A68" s="196">
        <v>46210.0</v>
      </c>
      <c r="B68" s="192">
        <f t="shared" si="1"/>
        <v>7</v>
      </c>
      <c r="C68" s="192">
        <f t="shared" si="2"/>
        <v>7</v>
      </c>
      <c r="D68" s="198">
        <v>1.0</v>
      </c>
      <c r="E68" s="27">
        <v>32.0</v>
      </c>
      <c r="F68" s="27" t="s">
        <v>87</v>
      </c>
      <c r="I68" s="27" t="s">
        <v>600</v>
      </c>
      <c r="J68" s="191">
        <f t="shared" si="10"/>
        <v>46210</v>
      </c>
      <c r="K68" s="197">
        <f t="shared" si="12"/>
        <v>46211</v>
      </c>
      <c r="L68" s="133">
        <f t="shared" si="3"/>
        <v>1</v>
      </c>
      <c r="M68" s="133">
        <f t="shared" si="4"/>
        <v>1</v>
      </c>
      <c r="N68" s="133">
        <f t="shared" si="5"/>
        <v>32</v>
      </c>
    </row>
    <row r="69" ht="15.75" hidden="1" customHeight="1">
      <c r="A69" s="196">
        <v>46210.0</v>
      </c>
      <c r="B69" s="192">
        <f t="shared" si="1"/>
        <v>7</v>
      </c>
      <c r="C69" s="192">
        <f t="shared" si="2"/>
        <v>7</v>
      </c>
      <c r="D69" s="198">
        <v>1.0</v>
      </c>
      <c r="E69" s="27">
        <v>50.0</v>
      </c>
      <c r="F69" s="27" t="s">
        <v>87</v>
      </c>
      <c r="I69" s="27" t="s">
        <v>603</v>
      </c>
      <c r="J69" s="191">
        <f t="shared" si="10"/>
        <v>46210</v>
      </c>
      <c r="K69" s="197">
        <f t="shared" si="12"/>
        <v>46211</v>
      </c>
      <c r="L69" s="133">
        <f t="shared" si="3"/>
        <v>1</v>
      </c>
      <c r="M69" s="133">
        <f t="shared" si="4"/>
        <v>1</v>
      </c>
      <c r="N69" s="133">
        <f t="shared" si="5"/>
        <v>50</v>
      </c>
    </row>
    <row r="70" ht="15.75" hidden="1" customHeight="1">
      <c r="A70" s="196">
        <v>46210.0</v>
      </c>
      <c r="B70" s="192">
        <f t="shared" si="1"/>
        <v>7</v>
      </c>
      <c r="C70" s="192">
        <f t="shared" si="2"/>
        <v>7</v>
      </c>
      <c r="D70" s="198">
        <v>1.0</v>
      </c>
      <c r="E70" s="27">
        <v>32.0</v>
      </c>
      <c r="F70" s="27" t="s">
        <v>87</v>
      </c>
      <c r="I70" s="27" t="s">
        <v>605</v>
      </c>
      <c r="J70" s="191">
        <f t="shared" si="10"/>
        <v>46210</v>
      </c>
      <c r="K70" s="197">
        <f t="shared" si="12"/>
        <v>46211</v>
      </c>
      <c r="L70" s="133">
        <f t="shared" si="3"/>
        <v>1</v>
      </c>
      <c r="M70" s="133">
        <f t="shared" si="4"/>
        <v>1</v>
      </c>
      <c r="N70" s="133">
        <f t="shared" si="5"/>
        <v>32</v>
      </c>
    </row>
    <row r="71" ht="15.75" hidden="1" customHeight="1">
      <c r="A71" s="196">
        <v>46211.0</v>
      </c>
      <c r="B71" s="192">
        <f t="shared" si="1"/>
        <v>8</v>
      </c>
      <c r="C71" s="192">
        <f t="shared" si="2"/>
        <v>7</v>
      </c>
      <c r="D71" s="198">
        <v>1.0</v>
      </c>
      <c r="E71" s="27">
        <v>35.0</v>
      </c>
      <c r="F71" s="27" t="s">
        <v>87</v>
      </c>
      <c r="I71" s="27" t="s">
        <v>606</v>
      </c>
      <c r="J71" s="191">
        <f t="shared" si="10"/>
        <v>46211</v>
      </c>
      <c r="K71" s="197">
        <f t="shared" si="12"/>
        <v>46212</v>
      </c>
      <c r="L71" s="133">
        <f t="shared" si="3"/>
        <v>1</v>
      </c>
      <c r="M71" s="133">
        <f t="shared" si="4"/>
        <v>1</v>
      </c>
      <c r="N71" s="133">
        <f t="shared" si="5"/>
        <v>35</v>
      </c>
    </row>
    <row r="72" ht="15.75" hidden="1" customHeight="1">
      <c r="A72" s="196">
        <v>46214.0</v>
      </c>
      <c r="B72" s="192">
        <f t="shared" si="1"/>
        <v>11</v>
      </c>
      <c r="C72" s="192">
        <f t="shared" si="2"/>
        <v>7</v>
      </c>
      <c r="D72" s="198">
        <v>1.0</v>
      </c>
      <c r="E72" s="27">
        <v>30.0</v>
      </c>
      <c r="F72" s="27" t="s">
        <v>87</v>
      </c>
      <c r="I72" s="27" t="s">
        <v>593</v>
      </c>
      <c r="J72" s="191">
        <f t="shared" si="10"/>
        <v>46214</v>
      </c>
      <c r="K72" s="197">
        <f t="shared" si="12"/>
        <v>46215</v>
      </c>
      <c r="L72" s="133">
        <f t="shared" si="3"/>
        <v>1</v>
      </c>
      <c r="M72" s="133">
        <f t="shared" si="4"/>
        <v>1</v>
      </c>
      <c r="N72" s="133">
        <f t="shared" si="5"/>
        <v>30</v>
      </c>
    </row>
    <row r="73" ht="15.75" hidden="1" customHeight="1">
      <c r="A73" s="196">
        <v>46215.0</v>
      </c>
      <c r="B73" s="192">
        <f t="shared" si="1"/>
        <v>12</v>
      </c>
      <c r="C73" s="192">
        <f t="shared" si="2"/>
        <v>7</v>
      </c>
      <c r="D73" s="198">
        <v>1.0</v>
      </c>
      <c r="E73" s="27">
        <v>35.0</v>
      </c>
      <c r="F73" s="27" t="s">
        <v>87</v>
      </c>
      <c r="I73" s="27" t="s">
        <v>609</v>
      </c>
      <c r="J73" s="191">
        <f t="shared" si="10"/>
        <v>46215</v>
      </c>
      <c r="K73" s="197">
        <f t="shared" si="12"/>
        <v>46216</v>
      </c>
      <c r="L73" s="133">
        <f t="shared" si="3"/>
        <v>1</v>
      </c>
      <c r="M73" s="133">
        <f t="shared" si="4"/>
        <v>1</v>
      </c>
      <c r="N73" s="133">
        <f t="shared" si="5"/>
        <v>35</v>
      </c>
    </row>
    <row r="74" ht="15.75" hidden="1" customHeight="1">
      <c r="A74" s="196">
        <v>46215.0</v>
      </c>
      <c r="B74" s="192">
        <f t="shared" si="1"/>
        <v>12</v>
      </c>
      <c r="C74" s="192">
        <f t="shared" si="2"/>
        <v>7</v>
      </c>
      <c r="D74" s="198">
        <v>1.0</v>
      </c>
      <c r="E74" s="27">
        <v>35.0</v>
      </c>
      <c r="F74" s="27" t="s">
        <v>12</v>
      </c>
      <c r="I74" s="27" t="s">
        <v>611</v>
      </c>
      <c r="J74" s="191">
        <f t="shared" si="10"/>
        <v>46215</v>
      </c>
      <c r="K74" s="197">
        <f t="shared" si="12"/>
        <v>46216</v>
      </c>
      <c r="L74" s="133">
        <f t="shared" si="3"/>
        <v>1</v>
      </c>
      <c r="M74" s="133">
        <f t="shared" si="4"/>
        <v>1</v>
      </c>
      <c r="N74" s="133">
        <f t="shared" si="5"/>
        <v>35</v>
      </c>
    </row>
    <row r="75" ht="15.75" hidden="1" customHeight="1">
      <c r="A75" s="196">
        <v>46216.0</v>
      </c>
      <c r="B75" s="192">
        <f t="shared" si="1"/>
        <v>13</v>
      </c>
      <c r="C75" s="192">
        <f t="shared" si="2"/>
        <v>7</v>
      </c>
      <c r="D75" s="198">
        <v>1.0</v>
      </c>
      <c r="E75" s="27">
        <v>35.0</v>
      </c>
      <c r="F75" s="27" t="s">
        <v>87</v>
      </c>
      <c r="I75" s="27" t="s">
        <v>613</v>
      </c>
      <c r="J75" s="191">
        <f t="shared" si="10"/>
        <v>46216</v>
      </c>
      <c r="K75" s="197">
        <f t="shared" si="12"/>
        <v>46217</v>
      </c>
      <c r="L75" s="133">
        <f t="shared" si="3"/>
        <v>1</v>
      </c>
      <c r="M75" s="133">
        <f t="shared" si="4"/>
        <v>1</v>
      </c>
      <c r="N75" s="133">
        <f t="shared" si="5"/>
        <v>35</v>
      </c>
    </row>
    <row r="76" ht="15.75" hidden="1" customHeight="1">
      <c r="A76" s="196">
        <v>46217.0</v>
      </c>
      <c r="B76" s="192">
        <f t="shared" si="1"/>
        <v>14</v>
      </c>
      <c r="C76" s="192">
        <f t="shared" si="2"/>
        <v>7</v>
      </c>
      <c r="D76" s="198">
        <v>1.0</v>
      </c>
      <c r="E76" s="27">
        <v>110.0</v>
      </c>
      <c r="F76" s="27" t="s">
        <v>87</v>
      </c>
      <c r="I76" s="27" t="s">
        <v>614</v>
      </c>
      <c r="J76" s="191">
        <f t="shared" si="10"/>
        <v>46217</v>
      </c>
      <c r="K76" s="197">
        <f>J76+2</f>
        <v>46219</v>
      </c>
      <c r="L76" s="133">
        <f t="shared" si="3"/>
        <v>2</v>
      </c>
      <c r="M76" s="133">
        <f t="shared" si="4"/>
        <v>2</v>
      </c>
      <c r="N76" s="133">
        <f t="shared" si="5"/>
        <v>55</v>
      </c>
    </row>
    <row r="77" ht="15.75" hidden="1" customHeight="1">
      <c r="A77" s="196">
        <v>46217.0</v>
      </c>
      <c r="B77" s="192">
        <f t="shared" si="1"/>
        <v>14</v>
      </c>
      <c r="C77" s="192">
        <f t="shared" si="2"/>
        <v>7</v>
      </c>
      <c r="D77" s="198">
        <v>1.0</v>
      </c>
      <c r="E77" s="27">
        <v>35.0</v>
      </c>
      <c r="F77" s="27" t="s">
        <v>12</v>
      </c>
      <c r="I77" s="27" t="s">
        <v>615</v>
      </c>
      <c r="J77" s="191">
        <f t="shared" si="10"/>
        <v>46217</v>
      </c>
      <c r="K77" s="197">
        <f t="shared" ref="K77:K79" si="13">J77+1</f>
        <v>46218</v>
      </c>
      <c r="L77" s="133">
        <f t="shared" si="3"/>
        <v>1</v>
      </c>
      <c r="M77" s="133">
        <f t="shared" si="4"/>
        <v>1</v>
      </c>
      <c r="N77" s="133">
        <f t="shared" si="5"/>
        <v>35</v>
      </c>
    </row>
    <row r="78" ht="15.75" hidden="1" customHeight="1">
      <c r="A78" s="196">
        <v>46217.0</v>
      </c>
      <c r="B78" s="192">
        <f t="shared" si="1"/>
        <v>14</v>
      </c>
      <c r="C78" s="192">
        <f t="shared" si="2"/>
        <v>7</v>
      </c>
      <c r="D78" s="27">
        <v>2.0</v>
      </c>
      <c r="E78" s="27">
        <v>82.0</v>
      </c>
      <c r="F78" s="27" t="s">
        <v>87</v>
      </c>
      <c r="I78" s="27" t="s">
        <v>618</v>
      </c>
      <c r="J78" s="191">
        <f t="shared" si="10"/>
        <v>46217</v>
      </c>
      <c r="K78" s="197">
        <f t="shared" si="13"/>
        <v>46218</v>
      </c>
      <c r="L78" s="133">
        <f t="shared" si="3"/>
        <v>1</v>
      </c>
      <c r="M78" s="133">
        <f t="shared" si="4"/>
        <v>2</v>
      </c>
      <c r="N78" s="133">
        <f t="shared" si="5"/>
        <v>41</v>
      </c>
    </row>
    <row r="79" ht="15.75" hidden="1" customHeight="1">
      <c r="A79" s="196">
        <v>46218.0</v>
      </c>
      <c r="B79" s="192">
        <f t="shared" si="1"/>
        <v>15</v>
      </c>
      <c r="C79" s="192">
        <f t="shared" si="2"/>
        <v>7</v>
      </c>
      <c r="D79" s="198">
        <v>1.0</v>
      </c>
      <c r="E79" s="27">
        <v>35.0</v>
      </c>
      <c r="F79" s="27" t="s">
        <v>87</v>
      </c>
      <c r="I79" s="27" t="s">
        <v>615</v>
      </c>
      <c r="J79" s="191">
        <f t="shared" si="10"/>
        <v>46218</v>
      </c>
      <c r="K79" s="197">
        <f t="shared" si="13"/>
        <v>46219</v>
      </c>
      <c r="L79" s="133">
        <f t="shared" si="3"/>
        <v>1</v>
      </c>
      <c r="M79" s="133">
        <f t="shared" si="4"/>
        <v>1</v>
      </c>
      <c r="N79" s="133">
        <f t="shared" si="5"/>
        <v>35</v>
      </c>
    </row>
    <row r="80" ht="15.75" hidden="1" customHeight="1">
      <c r="A80" s="196">
        <v>46215.0</v>
      </c>
      <c r="B80" s="192">
        <f t="shared" si="1"/>
        <v>12</v>
      </c>
      <c r="C80" s="192">
        <f t="shared" si="2"/>
        <v>7</v>
      </c>
      <c r="D80" s="198">
        <v>1.0</v>
      </c>
      <c r="E80" s="27">
        <v>346.5</v>
      </c>
      <c r="F80" s="27" t="s">
        <v>262</v>
      </c>
      <c r="I80" s="27" t="s">
        <v>621</v>
      </c>
      <c r="J80" s="191">
        <f t="shared" si="10"/>
        <v>46215</v>
      </c>
      <c r="K80" s="197">
        <f>J80+7</f>
        <v>46222</v>
      </c>
      <c r="L80" s="133">
        <f t="shared" si="3"/>
        <v>7</v>
      </c>
      <c r="M80" s="133">
        <f t="shared" si="4"/>
        <v>7</v>
      </c>
      <c r="N80" s="133">
        <f t="shared" si="5"/>
        <v>49.5</v>
      </c>
    </row>
    <row r="81" ht="15.75" hidden="1" customHeight="1">
      <c r="A81" s="196">
        <v>46220.0</v>
      </c>
      <c r="B81" s="192">
        <f t="shared" si="1"/>
        <v>17</v>
      </c>
      <c r="C81" s="192">
        <f t="shared" si="2"/>
        <v>7</v>
      </c>
      <c r="D81" s="198">
        <v>1.0</v>
      </c>
      <c r="E81" s="27">
        <v>42.0</v>
      </c>
      <c r="F81" s="27" t="s">
        <v>87</v>
      </c>
      <c r="I81" s="27" t="s">
        <v>623</v>
      </c>
      <c r="J81" s="191">
        <f t="shared" si="10"/>
        <v>46220</v>
      </c>
      <c r="K81" s="197">
        <f t="shared" ref="K81:K84" si="14">J81+1</f>
        <v>46221</v>
      </c>
      <c r="L81" s="133">
        <f t="shared" si="3"/>
        <v>1</v>
      </c>
      <c r="M81" s="133">
        <f t="shared" si="4"/>
        <v>1</v>
      </c>
      <c r="N81" s="133">
        <f t="shared" si="5"/>
        <v>42</v>
      </c>
    </row>
    <row r="82" ht="15.75" hidden="1" customHeight="1">
      <c r="A82" s="196">
        <v>46220.0</v>
      </c>
      <c r="B82" s="192">
        <f t="shared" si="1"/>
        <v>17</v>
      </c>
      <c r="C82" s="192">
        <f t="shared" si="2"/>
        <v>7</v>
      </c>
      <c r="D82" s="198">
        <v>1.0</v>
      </c>
      <c r="E82" s="27">
        <v>30.0</v>
      </c>
      <c r="F82" s="27" t="s">
        <v>87</v>
      </c>
      <c r="I82" s="27" t="s">
        <v>593</v>
      </c>
      <c r="J82" s="191">
        <f t="shared" si="10"/>
        <v>46220</v>
      </c>
      <c r="K82" s="197">
        <f t="shared" si="14"/>
        <v>46221</v>
      </c>
      <c r="L82" s="133">
        <f t="shared" si="3"/>
        <v>1</v>
      </c>
      <c r="M82" s="133">
        <f t="shared" si="4"/>
        <v>1</v>
      </c>
      <c r="N82" s="133">
        <f t="shared" si="5"/>
        <v>30</v>
      </c>
    </row>
    <row r="83" ht="15.75" hidden="1" customHeight="1">
      <c r="A83" s="196">
        <v>46219.0</v>
      </c>
      <c r="B83" s="192">
        <f t="shared" si="1"/>
        <v>16</v>
      </c>
      <c r="C83" s="192">
        <f t="shared" si="2"/>
        <v>7</v>
      </c>
      <c r="D83" s="198">
        <v>1.0</v>
      </c>
      <c r="E83" s="27">
        <v>50.0</v>
      </c>
      <c r="F83" s="27" t="s">
        <v>262</v>
      </c>
      <c r="I83" s="27" t="s">
        <v>533</v>
      </c>
      <c r="J83" s="191">
        <f t="shared" si="10"/>
        <v>46219</v>
      </c>
      <c r="K83" s="197">
        <f t="shared" si="14"/>
        <v>46220</v>
      </c>
      <c r="L83" s="133">
        <f t="shared" si="3"/>
        <v>1</v>
      </c>
      <c r="M83" s="133">
        <f t="shared" si="4"/>
        <v>1</v>
      </c>
      <c r="N83" s="133">
        <f t="shared" si="5"/>
        <v>50</v>
      </c>
    </row>
    <row r="84" ht="15.75" hidden="1" customHeight="1">
      <c r="A84" s="196">
        <v>46221.0</v>
      </c>
      <c r="B84" s="192">
        <f t="shared" si="1"/>
        <v>18</v>
      </c>
      <c r="C84" s="192">
        <f t="shared" si="2"/>
        <v>7</v>
      </c>
      <c r="D84" s="198">
        <v>1.0</v>
      </c>
      <c r="E84" s="27">
        <v>39.5</v>
      </c>
      <c r="F84" s="27" t="s">
        <v>87</v>
      </c>
      <c r="I84" s="27" t="s">
        <v>626</v>
      </c>
      <c r="J84" s="191">
        <f t="shared" si="10"/>
        <v>46221</v>
      </c>
      <c r="K84" s="197">
        <f t="shared" si="14"/>
        <v>46222</v>
      </c>
      <c r="L84" s="133">
        <f t="shared" si="3"/>
        <v>1</v>
      </c>
      <c r="M84" s="133">
        <f t="shared" si="4"/>
        <v>1</v>
      </c>
      <c r="N84" s="133">
        <f t="shared" si="5"/>
        <v>39.5</v>
      </c>
    </row>
    <row r="85" ht="15.75" hidden="1" customHeight="1">
      <c r="A85" s="196">
        <v>46222.0</v>
      </c>
      <c r="B85" s="192">
        <f t="shared" si="1"/>
        <v>19</v>
      </c>
      <c r="C85" s="192">
        <f t="shared" si="2"/>
        <v>7</v>
      </c>
      <c r="D85" s="198">
        <v>1.0</v>
      </c>
      <c r="E85" s="27">
        <v>68.0</v>
      </c>
      <c r="F85" s="27" t="s">
        <v>87</v>
      </c>
      <c r="J85" s="191">
        <f t="shared" si="10"/>
        <v>46222</v>
      </c>
      <c r="K85" s="197">
        <f>J85+2</f>
        <v>46224</v>
      </c>
      <c r="L85" s="133">
        <f t="shared" si="3"/>
        <v>2</v>
      </c>
      <c r="M85" s="133">
        <f t="shared" si="4"/>
        <v>2</v>
      </c>
      <c r="N85" s="133">
        <f t="shared" si="5"/>
        <v>34</v>
      </c>
    </row>
    <row r="86" ht="15.75" hidden="1" customHeight="1">
      <c r="A86" s="196">
        <v>46223.0</v>
      </c>
      <c r="B86" s="192">
        <f t="shared" si="1"/>
        <v>20</v>
      </c>
      <c r="C86" s="192">
        <f t="shared" si="2"/>
        <v>7</v>
      </c>
      <c r="D86" s="27">
        <v>2.0</v>
      </c>
      <c r="E86" s="27">
        <v>490.0</v>
      </c>
      <c r="F86" s="27" t="s">
        <v>87</v>
      </c>
      <c r="I86" s="27" t="s">
        <v>628</v>
      </c>
      <c r="J86" s="191">
        <f t="shared" si="10"/>
        <v>46223</v>
      </c>
      <c r="K86" s="197">
        <f>J86+7</f>
        <v>46230</v>
      </c>
      <c r="L86" s="133">
        <f t="shared" si="3"/>
        <v>7</v>
      </c>
      <c r="M86" s="133">
        <f t="shared" si="4"/>
        <v>14</v>
      </c>
      <c r="N86" s="133">
        <f t="shared" si="5"/>
        <v>35</v>
      </c>
    </row>
    <row r="87" ht="15.75" hidden="1" customHeight="1">
      <c r="A87" s="196">
        <v>46222.0</v>
      </c>
      <c r="B87" s="192">
        <f t="shared" si="1"/>
        <v>19</v>
      </c>
      <c r="C87" s="192">
        <f t="shared" si="2"/>
        <v>7</v>
      </c>
      <c r="D87" s="198">
        <v>1.0</v>
      </c>
      <c r="E87" s="27">
        <v>35.0</v>
      </c>
      <c r="F87" s="27" t="s">
        <v>262</v>
      </c>
      <c r="J87" s="191">
        <f t="shared" si="10"/>
        <v>46222</v>
      </c>
      <c r="K87" s="197">
        <f>J87+1</f>
        <v>46223</v>
      </c>
      <c r="L87" s="133">
        <f t="shared" si="3"/>
        <v>1</v>
      </c>
      <c r="M87" s="133">
        <f t="shared" si="4"/>
        <v>1</v>
      </c>
      <c r="N87" s="133">
        <f t="shared" si="5"/>
        <v>35</v>
      </c>
    </row>
    <row r="88" ht="15.75" hidden="1" customHeight="1">
      <c r="A88" s="196">
        <v>46225.0</v>
      </c>
      <c r="B88" s="192">
        <f t="shared" si="1"/>
        <v>22</v>
      </c>
      <c r="C88" s="192">
        <f t="shared" si="2"/>
        <v>7</v>
      </c>
      <c r="D88" s="198">
        <v>1.0</v>
      </c>
      <c r="E88" s="27">
        <v>60.0</v>
      </c>
      <c r="F88" s="27" t="s">
        <v>87</v>
      </c>
      <c r="J88" s="191">
        <f t="shared" si="10"/>
        <v>46225</v>
      </c>
      <c r="K88" s="197">
        <f>J88+2</f>
        <v>46227</v>
      </c>
      <c r="L88" s="133">
        <f t="shared" si="3"/>
        <v>2</v>
      </c>
      <c r="M88" s="133">
        <f t="shared" si="4"/>
        <v>2</v>
      </c>
      <c r="N88" s="133">
        <f t="shared" si="5"/>
        <v>30</v>
      </c>
    </row>
    <row r="89" ht="15.75" hidden="1" customHeight="1">
      <c r="A89" s="196">
        <v>46225.0</v>
      </c>
      <c r="B89" s="192">
        <f t="shared" si="1"/>
        <v>22</v>
      </c>
      <c r="C89" s="192">
        <f t="shared" si="2"/>
        <v>7</v>
      </c>
      <c r="D89" s="198">
        <v>1.0</v>
      </c>
      <c r="E89" s="27">
        <v>35.0</v>
      </c>
      <c r="F89" s="27" t="s">
        <v>87</v>
      </c>
      <c r="J89" s="191">
        <f t="shared" si="10"/>
        <v>46225</v>
      </c>
      <c r="K89" s="197">
        <f t="shared" ref="K89:K92" si="15">J89+1</f>
        <v>46226</v>
      </c>
      <c r="L89" s="133">
        <f t="shared" si="3"/>
        <v>1</v>
      </c>
      <c r="M89" s="133">
        <f t="shared" si="4"/>
        <v>1</v>
      </c>
      <c r="N89" s="133">
        <f t="shared" si="5"/>
        <v>35</v>
      </c>
    </row>
    <row r="90" ht="15.75" hidden="1" customHeight="1">
      <c r="A90" s="196">
        <v>46223.0</v>
      </c>
      <c r="B90" s="192">
        <f t="shared" si="1"/>
        <v>20</v>
      </c>
      <c r="C90" s="192">
        <f t="shared" si="2"/>
        <v>7</v>
      </c>
      <c r="D90" s="198">
        <v>1.0</v>
      </c>
      <c r="E90" s="27">
        <v>45.0</v>
      </c>
      <c r="F90" s="27" t="s">
        <v>12</v>
      </c>
      <c r="I90" s="27" t="s">
        <v>635</v>
      </c>
      <c r="J90" s="191">
        <f t="shared" si="10"/>
        <v>46223</v>
      </c>
      <c r="K90" s="197">
        <f t="shared" si="15"/>
        <v>46224</v>
      </c>
      <c r="L90" s="133">
        <f t="shared" si="3"/>
        <v>1</v>
      </c>
      <c r="M90" s="133">
        <f t="shared" si="4"/>
        <v>1</v>
      </c>
      <c r="N90" s="133">
        <f t="shared" si="5"/>
        <v>45</v>
      </c>
    </row>
    <row r="91" ht="15.75" hidden="1" customHeight="1">
      <c r="A91" s="196">
        <v>46225.0</v>
      </c>
      <c r="B91" s="192">
        <f t="shared" si="1"/>
        <v>22</v>
      </c>
      <c r="C91" s="192">
        <f t="shared" si="2"/>
        <v>7</v>
      </c>
      <c r="D91" s="198">
        <v>1.0</v>
      </c>
      <c r="E91" s="27">
        <v>35.0</v>
      </c>
      <c r="F91" s="27" t="s">
        <v>87</v>
      </c>
      <c r="J91" s="191">
        <f t="shared" si="10"/>
        <v>46225</v>
      </c>
      <c r="K91" s="197">
        <f t="shared" si="15"/>
        <v>46226</v>
      </c>
      <c r="L91" s="133">
        <f t="shared" si="3"/>
        <v>1</v>
      </c>
      <c r="M91" s="133">
        <f t="shared" si="4"/>
        <v>1</v>
      </c>
      <c r="N91" s="133">
        <f t="shared" si="5"/>
        <v>35</v>
      </c>
    </row>
    <row r="92" ht="15.75" hidden="1" customHeight="1">
      <c r="A92" s="196">
        <v>46226.0</v>
      </c>
      <c r="B92" s="192">
        <f t="shared" si="1"/>
        <v>23</v>
      </c>
      <c r="C92" s="192">
        <f t="shared" si="2"/>
        <v>7</v>
      </c>
      <c r="D92" s="198">
        <v>1.0</v>
      </c>
      <c r="E92" s="27">
        <v>10.0</v>
      </c>
      <c r="F92" s="27" t="s">
        <v>87</v>
      </c>
      <c r="I92" s="27" t="s">
        <v>636</v>
      </c>
      <c r="J92" s="191">
        <f t="shared" si="10"/>
        <v>46226</v>
      </c>
      <c r="K92" s="197">
        <f t="shared" si="15"/>
        <v>46227</v>
      </c>
      <c r="L92" s="133">
        <f t="shared" si="3"/>
        <v>1</v>
      </c>
      <c r="M92" s="133">
        <f t="shared" si="4"/>
        <v>1</v>
      </c>
      <c r="N92" s="133">
        <f t="shared" si="5"/>
        <v>10</v>
      </c>
    </row>
    <row r="93" ht="15.75" hidden="1" customHeight="1">
      <c r="A93" s="196">
        <v>46227.0</v>
      </c>
      <c r="B93" s="192">
        <f t="shared" si="1"/>
        <v>24</v>
      </c>
      <c r="C93" s="192">
        <f t="shared" si="2"/>
        <v>7</v>
      </c>
      <c r="D93" s="198">
        <v>1.0</v>
      </c>
      <c r="E93" s="27">
        <v>110.0</v>
      </c>
      <c r="F93" s="27" t="s">
        <v>87</v>
      </c>
      <c r="I93" s="27" t="s">
        <v>593</v>
      </c>
      <c r="J93" s="191">
        <f t="shared" si="10"/>
        <v>46227</v>
      </c>
      <c r="K93" s="197">
        <f>J93+2</f>
        <v>46229</v>
      </c>
      <c r="L93" s="133">
        <f t="shared" si="3"/>
        <v>2</v>
      </c>
      <c r="M93" s="133">
        <f t="shared" si="4"/>
        <v>2</v>
      </c>
      <c r="N93" s="133">
        <f t="shared" si="5"/>
        <v>55</v>
      </c>
    </row>
    <row r="94" ht="15.75" hidden="1" customHeight="1">
      <c r="A94" s="196">
        <v>46228.0</v>
      </c>
      <c r="B94" s="192">
        <f t="shared" si="1"/>
        <v>25</v>
      </c>
      <c r="C94" s="192">
        <f t="shared" si="2"/>
        <v>7</v>
      </c>
      <c r="D94" s="198">
        <v>1.0</v>
      </c>
      <c r="E94" s="27">
        <v>40.0</v>
      </c>
      <c r="F94" s="27" t="s">
        <v>87</v>
      </c>
      <c r="I94" s="27" t="s">
        <v>636</v>
      </c>
      <c r="J94" s="191">
        <f t="shared" si="10"/>
        <v>46228</v>
      </c>
      <c r="K94" s="197">
        <f t="shared" ref="K94:K95" si="16">J94+1</f>
        <v>46229</v>
      </c>
      <c r="L94" s="133">
        <f t="shared" si="3"/>
        <v>1</v>
      </c>
      <c r="M94" s="133">
        <f t="shared" si="4"/>
        <v>1</v>
      </c>
      <c r="N94" s="133">
        <f t="shared" si="5"/>
        <v>40</v>
      </c>
    </row>
    <row r="95" ht="15.75" hidden="1" customHeight="1">
      <c r="A95" s="196">
        <v>46228.0</v>
      </c>
      <c r="B95" s="192">
        <f t="shared" si="1"/>
        <v>25</v>
      </c>
      <c r="C95" s="192">
        <f t="shared" si="2"/>
        <v>7</v>
      </c>
      <c r="D95" s="198">
        <v>1.0</v>
      </c>
      <c r="E95" s="27">
        <v>30.0</v>
      </c>
      <c r="F95" s="27" t="s">
        <v>87</v>
      </c>
      <c r="I95" s="27" t="s">
        <v>636</v>
      </c>
      <c r="J95" s="191">
        <f t="shared" si="10"/>
        <v>46228</v>
      </c>
      <c r="K95" s="197">
        <f t="shared" si="16"/>
        <v>46229</v>
      </c>
      <c r="L95" s="133">
        <f t="shared" si="3"/>
        <v>1</v>
      </c>
      <c r="M95" s="133">
        <f t="shared" si="4"/>
        <v>1</v>
      </c>
      <c r="N95" s="133">
        <f t="shared" si="5"/>
        <v>30</v>
      </c>
    </row>
    <row r="96" ht="15.75" hidden="1" customHeight="1">
      <c r="A96" s="196">
        <v>46229.0</v>
      </c>
      <c r="B96" s="192">
        <f t="shared" si="1"/>
        <v>26</v>
      </c>
      <c r="C96" s="192">
        <f t="shared" si="2"/>
        <v>7</v>
      </c>
      <c r="D96" s="198">
        <v>1.0</v>
      </c>
      <c r="E96" s="27">
        <v>99.0</v>
      </c>
      <c r="F96" s="27" t="s">
        <v>87</v>
      </c>
      <c r="I96" s="27" t="s">
        <v>639</v>
      </c>
      <c r="J96" s="191">
        <f t="shared" si="10"/>
        <v>46229</v>
      </c>
      <c r="K96" s="197">
        <f>J96+2</f>
        <v>46231</v>
      </c>
      <c r="L96" s="133">
        <f t="shared" si="3"/>
        <v>2</v>
      </c>
      <c r="M96" s="133">
        <f t="shared" si="4"/>
        <v>2</v>
      </c>
      <c r="N96" s="133">
        <f t="shared" si="5"/>
        <v>49.5</v>
      </c>
    </row>
    <row r="97" ht="15.75" hidden="1" customHeight="1">
      <c r="A97" s="196">
        <v>46229.0</v>
      </c>
      <c r="B97" s="192">
        <f t="shared" si="1"/>
        <v>26</v>
      </c>
      <c r="C97" s="192">
        <f t="shared" si="2"/>
        <v>7</v>
      </c>
      <c r="D97" s="198">
        <v>1.0</v>
      </c>
      <c r="E97" s="27">
        <v>30.0</v>
      </c>
      <c r="F97" s="27" t="s">
        <v>87</v>
      </c>
      <c r="I97" s="27" t="s">
        <v>593</v>
      </c>
      <c r="J97" s="191">
        <f t="shared" si="10"/>
        <v>46229</v>
      </c>
      <c r="K97" s="197">
        <f t="shared" ref="K97:K106" si="17">J97+1</f>
        <v>46230</v>
      </c>
      <c r="L97" s="133">
        <f t="shared" si="3"/>
        <v>1</v>
      </c>
      <c r="M97" s="133">
        <f t="shared" si="4"/>
        <v>1</v>
      </c>
      <c r="N97" s="133">
        <f t="shared" si="5"/>
        <v>30</v>
      </c>
    </row>
    <row r="98" ht="15.75" hidden="1" customHeight="1">
      <c r="A98" s="196">
        <v>46229.0</v>
      </c>
      <c r="B98" s="192">
        <f t="shared" si="1"/>
        <v>26</v>
      </c>
      <c r="C98" s="192">
        <f t="shared" si="2"/>
        <v>7</v>
      </c>
      <c r="D98" s="198">
        <v>1.0</v>
      </c>
      <c r="E98" s="27">
        <v>30.0</v>
      </c>
      <c r="F98" s="27" t="s">
        <v>87</v>
      </c>
      <c r="I98" s="27" t="s">
        <v>593</v>
      </c>
      <c r="J98" s="191">
        <f t="shared" si="10"/>
        <v>46229</v>
      </c>
      <c r="K98" s="197">
        <f t="shared" si="17"/>
        <v>46230</v>
      </c>
      <c r="L98" s="133">
        <f t="shared" si="3"/>
        <v>1</v>
      </c>
      <c r="M98" s="133">
        <f t="shared" si="4"/>
        <v>1</v>
      </c>
      <c r="N98" s="133">
        <f t="shared" si="5"/>
        <v>30</v>
      </c>
    </row>
    <row r="99" ht="15.75" hidden="1" customHeight="1">
      <c r="A99" s="196">
        <v>46230.0</v>
      </c>
      <c r="B99" s="192">
        <f t="shared" si="1"/>
        <v>27</v>
      </c>
      <c r="C99" s="192">
        <f t="shared" si="2"/>
        <v>7</v>
      </c>
      <c r="D99" s="198">
        <v>1.0</v>
      </c>
      <c r="E99" s="27">
        <v>44.0</v>
      </c>
      <c r="F99" s="27" t="s">
        <v>87</v>
      </c>
      <c r="I99" s="27" t="s">
        <v>639</v>
      </c>
      <c r="J99" s="191">
        <f t="shared" si="10"/>
        <v>46230</v>
      </c>
      <c r="K99" s="197">
        <f t="shared" si="17"/>
        <v>46231</v>
      </c>
      <c r="L99" s="133">
        <f t="shared" si="3"/>
        <v>1</v>
      </c>
      <c r="M99" s="133">
        <f t="shared" si="4"/>
        <v>1</v>
      </c>
      <c r="N99" s="133">
        <f t="shared" si="5"/>
        <v>44</v>
      </c>
    </row>
    <row r="100" ht="15.75" hidden="1" customHeight="1">
      <c r="A100" s="199">
        <v>46230.0</v>
      </c>
      <c r="B100" s="192">
        <f t="shared" si="1"/>
        <v>27</v>
      </c>
      <c r="C100" s="192">
        <f t="shared" si="2"/>
        <v>7</v>
      </c>
      <c r="D100" s="198">
        <v>1.0</v>
      </c>
      <c r="E100" s="27">
        <v>30.0</v>
      </c>
      <c r="F100" s="27" t="s">
        <v>87</v>
      </c>
      <c r="I100" s="27" t="s">
        <v>593</v>
      </c>
      <c r="J100" s="191">
        <f t="shared" si="10"/>
        <v>46230</v>
      </c>
      <c r="K100" s="197">
        <f t="shared" si="17"/>
        <v>46231</v>
      </c>
      <c r="L100" s="133">
        <f t="shared" si="3"/>
        <v>1</v>
      </c>
      <c r="M100" s="133">
        <f t="shared" si="4"/>
        <v>1</v>
      </c>
      <c r="N100" s="133">
        <f t="shared" si="5"/>
        <v>30</v>
      </c>
    </row>
    <row r="101" ht="15.75" hidden="1" customHeight="1">
      <c r="A101" s="196">
        <v>46231.0</v>
      </c>
      <c r="B101" s="192">
        <f t="shared" si="1"/>
        <v>28</v>
      </c>
      <c r="C101" s="192">
        <f t="shared" si="2"/>
        <v>7</v>
      </c>
      <c r="D101" s="27">
        <v>2.0</v>
      </c>
      <c r="E101" s="27">
        <v>60.0</v>
      </c>
      <c r="F101" s="27" t="s">
        <v>87</v>
      </c>
      <c r="I101" s="27" t="s">
        <v>593</v>
      </c>
      <c r="J101" s="191">
        <f t="shared" si="10"/>
        <v>46231</v>
      </c>
      <c r="K101" s="197">
        <f t="shared" si="17"/>
        <v>46232</v>
      </c>
      <c r="L101" s="133">
        <f t="shared" si="3"/>
        <v>1</v>
      </c>
      <c r="M101" s="133">
        <f t="shared" si="4"/>
        <v>2</v>
      </c>
      <c r="N101" s="133">
        <f t="shared" si="5"/>
        <v>30</v>
      </c>
    </row>
    <row r="102" ht="15.75" hidden="1" customHeight="1">
      <c r="A102" s="196">
        <v>46233.0</v>
      </c>
      <c r="B102" s="192">
        <f t="shared" si="1"/>
        <v>30</v>
      </c>
      <c r="C102" s="192">
        <f t="shared" si="2"/>
        <v>7</v>
      </c>
      <c r="D102" s="198">
        <v>1.0</v>
      </c>
      <c r="E102" s="27">
        <v>30.0</v>
      </c>
      <c r="F102" s="27" t="s">
        <v>87</v>
      </c>
      <c r="I102" s="27" t="s">
        <v>643</v>
      </c>
      <c r="J102" s="191">
        <f t="shared" si="10"/>
        <v>46233</v>
      </c>
      <c r="K102" s="197">
        <f t="shared" si="17"/>
        <v>46234</v>
      </c>
      <c r="L102" s="133">
        <f t="shared" si="3"/>
        <v>1</v>
      </c>
      <c r="M102" s="133">
        <f t="shared" si="4"/>
        <v>1</v>
      </c>
      <c r="N102" s="133">
        <f t="shared" si="5"/>
        <v>30</v>
      </c>
    </row>
    <row r="103" ht="15.75" hidden="1" customHeight="1">
      <c r="A103" s="196">
        <v>46232.0</v>
      </c>
      <c r="B103" s="192">
        <f t="shared" si="1"/>
        <v>29</v>
      </c>
      <c r="C103" s="192">
        <f t="shared" si="2"/>
        <v>7</v>
      </c>
      <c r="D103" s="198">
        <v>1.0</v>
      </c>
      <c r="E103" s="27">
        <v>35.0</v>
      </c>
      <c r="F103" s="27" t="s">
        <v>262</v>
      </c>
      <c r="I103" s="27" t="s">
        <v>644</v>
      </c>
      <c r="J103" s="191">
        <f t="shared" si="10"/>
        <v>46232</v>
      </c>
      <c r="K103" s="197">
        <f t="shared" si="17"/>
        <v>46233</v>
      </c>
      <c r="L103" s="133">
        <f t="shared" si="3"/>
        <v>1</v>
      </c>
      <c r="M103" s="133">
        <f t="shared" si="4"/>
        <v>1</v>
      </c>
      <c r="N103" s="133">
        <f t="shared" si="5"/>
        <v>35</v>
      </c>
    </row>
    <row r="104" ht="15.75" hidden="1" customHeight="1">
      <c r="A104" s="196">
        <v>46233.0</v>
      </c>
      <c r="B104" s="192">
        <f t="shared" si="1"/>
        <v>30</v>
      </c>
      <c r="C104" s="192">
        <f t="shared" si="2"/>
        <v>7</v>
      </c>
      <c r="D104" s="198">
        <v>1.0</v>
      </c>
      <c r="E104" s="27">
        <v>45.0</v>
      </c>
      <c r="F104" s="27" t="s">
        <v>87</v>
      </c>
      <c r="I104" s="27" t="s">
        <v>646</v>
      </c>
      <c r="J104" s="191">
        <f t="shared" si="10"/>
        <v>46233</v>
      </c>
      <c r="K104" s="197">
        <f t="shared" si="17"/>
        <v>46234</v>
      </c>
      <c r="L104" s="133">
        <f t="shared" si="3"/>
        <v>1</v>
      </c>
      <c r="M104" s="133">
        <f t="shared" si="4"/>
        <v>1</v>
      </c>
      <c r="N104" s="133">
        <f t="shared" si="5"/>
        <v>45</v>
      </c>
    </row>
    <row r="105" ht="15.75" hidden="1" customHeight="1">
      <c r="A105" s="191">
        <v>46234.0</v>
      </c>
      <c r="B105" s="192">
        <f t="shared" si="1"/>
        <v>31</v>
      </c>
      <c r="C105" s="192">
        <f t="shared" si="2"/>
        <v>7</v>
      </c>
      <c r="D105" s="198">
        <v>1.0</v>
      </c>
      <c r="E105" s="194">
        <v>30.0</v>
      </c>
      <c r="F105" s="74" t="s">
        <v>87</v>
      </c>
      <c r="G105" s="74"/>
      <c r="H105" s="74"/>
      <c r="I105" s="27" t="s">
        <v>593</v>
      </c>
      <c r="J105" s="191">
        <f t="shared" si="10"/>
        <v>46234</v>
      </c>
      <c r="K105" s="197">
        <f t="shared" si="17"/>
        <v>46235</v>
      </c>
      <c r="L105" s="133">
        <f t="shared" si="3"/>
        <v>1</v>
      </c>
      <c r="M105" s="133">
        <f t="shared" si="4"/>
        <v>1</v>
      </c>
      <c r="N105" s="133">
        <f t="shared" si="5"/>
        <v>30</v>
      </c>
    </row>
    <row r="106" ht="15.75" hidden="1" customHeight="1">
      <c r="A106" s="191">
        <v>46234.0</v>
      </c>
      <c r="B106" s="192">
        <f t="shared" si="1"/>
        <v>31</v>
      </c>
      <c r="C106" s="192">
        <f t="shared" si="2"/>
        <v>7</v>
      </c>
      <c r="D106" s="198">
        <v>1.0</v>
      </c>
      <c r="E106" s="27">
        <v>45.0</v>
      </c>
      <c r="F106" s="74" t="s">
        <v>87</v>
      </c>
      <c r="I106" s="27" t="s">
        <v>649</v>
      </c>
      <c r="J106" s="191">
        <f t="shared" si="10"/>
        <v>46234</v>
      </c>
      <c r="K106" s="197">
        <f t="shared" si="17"/>
        <v>46235</v>
      </c>
      <c r="L106" s="133">
        <f t="shared" si="3"/>
        <v>1</v>
      </c>
      <c r="M106" s="133">
        <f t="shared" si="4"/>
        <v>1</v>
      </c>
      <c r="N106" s="133">
        <f t="shared" si="5"/>
        <v>45</v>
      </c>
    </row>
    <row r="107" ht="15.75" hidden="1" customHeight="1">
      <c r="A107" s="200">
        <v>46235.0</v>
      </c>
      <c r="B107" s="201">
        <v>1.0</v>
      </c>
      <c r="C107" s="201">
        <v>8.0</v>
      </c>
      <c r="D107" s="201">
        <v>1.0</v>
      </c>
      <c r="E107" s="201">
        <v>30.0</v>
      </c>
      <c r="F107" s="189" t="s">
        <v>87</v>
      </c>
      <c r="G107" s="202"/>
      <c r="H107" s="201">
        <v>1.0</v>
      </c>
      <c r="I107" s="189" t="s">
        <v>651</v>
      </c>
      <c r="J107" s="200">
        <v>46235.0</v>
      </c>
      <c r="K107" s="200">
        <v>46236.0</v>
      </c>
      <c r="L107" s="133">
        <f t="shared" si="3"/>
        <v>1</v>
      </c>
      <c r="M107" s="133">
        <f t="shared" si="4"/>
        <v>1</v>
      </c>
      <c r="N107" s="133">
        <f t="shared" si="5"/>
        <v>30</v>
      </c>
    </row>
    <row r="108" ht="15.75" hidden="1" customHeight="1">
      <c r="A108" s="200">
        <v>46236.0</v>
      </c>
      <c r="B108" s="201">
        <v>2.0</v>
      </c>
      <c r="C108" s="201">
        <v>8.0</v>
      </c>
      <c r="D108" s="201">
        <v>1.0</v>
      </c>
      <c r="E108" s="201">
        <v>65.0</v>
      </c>
      <c r="F108" s="189" t="s">
        <v>87</v>
      </c>
      <c r="G108" s="202"/>
      <c r="H108" s="201">
        <v>1.0</v>
      </c>
      <c r="I108" s="189" t="s">
        <v>653</v>
      </c>
      <c r="J108" s="203">
        <v>46236.0</v>
      </c>
      <c r="K108" s="200">
        <v>46237.0</v>
      </c>
      <c r="L108" s="133">
        <f t="shared" si="3"/>
        <v>1</v>
      </c>
      <c r="M108" s="133">
        <f t="shared" si="4"/>
        <v>1</v>
      </c>
      <c r="N108" s="133">
        <f t="shared" si="5"/>
        <v>65</v>
      </c>
    </row>
    <row r="109" ht="15.75" hidden="1" customHeight="1">
      <c r="A109" s="200">
        <v>46236.0</v>
      </c>
      <c r="B109" s="201">
        <v>2.0</v>
      </c>
      <c r="C109" s="201">
        <v>8.0</v>
      </c>
      <c r="D109" s="201">
        <v>1.0</v>
      </c>
      <c r="E109" s="201">
        <v>55.0</v>
      </c>
      <c r="F109" s="189" t="s">
        <v>87</v>
      </c>
      <c r="G109" s="202"/>
      <c r="H109" s="201">
        <v>5.0</v>
      </c>
      <c r="I109" s="189" t="s">
        <v>654</v>
      </c>
      <c r="J109" s="203">
        <v>46236.0</v>
      </c>
      <c r="K109" s="200">
        <v>46237.0</v>
      </c>
      <c r="L109" s="133">
        <f t="shared" si="3"/>
        <v>1</v>
      </c>
      <c r="M109" s="133">
        <f t="shared" si="4"/>
        <v>1</v>
      </c>
      <c r="N109" s="133">
        <f t="shared" si="5"/>
        <v>55</v>
      </c>
    </row>
    <row r="110" ht="15.75" hidden="1" customHeight="1">
      <c r="A110" s="200">
        <v>46236.0</v>
      </c>
      <c r="B110" s="201">
        <v>2.0</v>
      </c>
      <c r="C110" s="201">
        <v>8.0</v>
      </c>
      <c r="D110" s="201">
        <v>1.0</v>
      </c>
      <c r="E110" s="201">
        <v>30.0</v>
      </c>
      <c r="F110" s="189" t="s">
        <v>87</v>
      </c>
      <c r="G110" s="202"/>
      <c r="H110" s="201">
        <v>1.0</v>
      </c>
      <c r="I110" s="189" t="s">
        <v>651</v>
      </c>
      <c r="J110" s="200">
        <v>46236.0</v>
      </c>
      <c r="K110" s="200">
        <v>46237.0</v>
      </c>
      <c r="L110" s="133">
        <f t="shared" si="3"/>
        <v>1</v>
      </c>
      <c r="M110" s="133">
        <f t="shared" si="4"/>
        <v>1</v>
      </c>
      <c r="N110" s="133">
        <f t="shared" si="5"/>
        <v>30</v>
      </c>
    </row>
    <row r="111" ht="15.75" hidden="1" customHeight="1">
      <c r="A111" s="200">
        <v>46237.0</v>
      </c>
      <c r="B111" s="201">
        <v>3.0</v>
      </c>
      <c r="C111" s="201">
        <v>8.0</v>
      </c>
      <c r="D111" s="201">
        <v>1.0</v>
      </c>
      <c r="E111" s="201">
        <v>30.0</v>
      </c>
      <c r="F111" s="189" t="s">
        <v>87</v>
      </c>
      <c r="G111" s="202"/>
      <c r="H111" s="201">
        <v>1.0</v>
      </c>
      <c r="I111" s="189" t="s">
        <v>651</v>
      </c>
      <c r="J111" s="200">
        <v>46237.0</v>
      </c>
      <c r="K111" s="200">
        <v>46238.0</v>
      </c>
      <c r="L111" s="133">
        <f t="shared" si="3"/>
        <v>1</v>
      </c>
      <c r="M111" s="133">
        <f t="shared" si="4"/>
        <v>1</v>
      </c>
      <c r="N111" s="133">
        <f t="shared" si="5"/>
        <v>30</v>
      </c>
    </row>
    <row r="112" ht="15.75" hidden="1" customHeight="1">
      <c r="A112" s="200">
        <v>46238.0</v>
      </c>
      <c r="B112" s="201">
        <v>4.0</v>
      </c>
      <c r="C112" s="201">
        <v>8.0</v>
      </c>
      <c r="D112" s="201">
        <v>1.0</v>
      </c>
      <c r="E112" s="201">
        <v>30.0</v>
      </c>
      <c r="F112" s="189" t="s">
        <v>87</v>
      </c>
      <c r="G112" s="202"/>
      <c r="H112" s="201">
        <v>1.0</v>
      </c>
      <c r="I112" s="189" t="s">
        <v>651</v>
      </c>
      <c r="J112" s="200">
        <v>46238.0</v>
      </c>
      <c r="K112" s="200">
        <v>46239.0</v>
      </c>
      <c r="L112" s="133">
        <f t="shared" si="3"/>
        <v>1</v>
      </c>
      <c r="M112" s="133">
        <f t="shared" si="4"/>
        <v>1</v>
      </c>
      <c r="N112" s="133">
        <f t="shared" si="5"/>
        <v>30</v>
      </c>
    </row>
    <row r="113" ht="15.75" hidden="1" customHeight="1">
      <c r="A113" s="200">
        <v>46238.0</v>
      </c>
      <c r="B113" s="201">
        <v>4.0</v>
      </c>
      <c r="C113" s="201">
        <v>8.0</v>
      </c>
      <c r="D113" s="201">
        <v>1.0</v>
      </c>
      <c r="E113" s="201">
        <v>171.0</v>
      </c>
      <c r="F113" s="189" t="s">
        <v>87</v>
      </c>
      <c r="G113" s="202"/>
      <c r="H113" s="201">
        <v>23.0</v>
      </c>
      <c r="I113" s="189" t="s">
        <v>656</v>
      </c>
      <c r="J113" s="200">
        <v>46236.0</v>
      </c>
      <c r="K113" s="200">
        <v>46239.0</v>
      </c>
      <c r="L113" s="133">
        <f t="shared" si="3"/>
        <v>3</v>
      </c>
      <c r="M113" s="133">
        <f t="shared" si="4"/>
        <v>3</v>
      </c>
      <c r="N113" s="133">
        <f t="shared" si="5"/>
        <v>57</v>
      </c>
    </row>
    <row r="114" ht="15.75" hidden="1" customHeight="1">
      <c r="A114" s="200">
        <v>46238.0</v>
      </c>
      <c r="B114" s="201">
        <v>4.0</v>
      </c>
      <c r="C114" s="201">
        <v>8.0</v>
      </c>
      <c r="D114" s="201">
        <v>2.0</v>
      </c>
      <c r="E114" s="201">
        <v>70.0</v>
      </c>
      <c r="F114" s="189" t="s">
        <v>87</v>
      </c>
      <c r="G114" s="202"/>
      <c r="H114" s="201">
        <v>11.0</v>
      </c>
      <c r="I114" s="189" t="s">
        <v>659</v>
      </c>
      <c r="J114" s="200">
        <v>46238.0</v>
      </c>
      <c r="K114" s="200">
        <v>46239.0</v>
      </c>
      <c r="L114" s="133">
        <f t="shared" si="3"/>
        <v>1</v>
      </c>
      <c r="M114" s="133">
        <f t="shared" si="4"/>
        <v>2</v>
      </c>
      <c r="N114" s="133">
        <f t="shared" si="5"/>
        <v>35</v>
      </c>
    </row>
    <row r="115" ht="15.75" hidden="1" customHeight="1">
      <c r="A115" s="200">
        <v>46239.0</v>
      </c>
      <c r="B115" s="201">
        <v>5.0</v>
      </c>
      <c r="C115" s="201">
        <v>8.0</v>
      </c>
      <c r="D115" s="201">
        <v>1.0</v>
      </c>
      <c r="E115" s="201">
        <v>30.0</v>
      </c>
      <c r="F115" s="189" t="s">
        <v>262</v>
      </c>
      <c r="G115" s="202"/>
      <c r="H115" s="201">
        <v>1.0</v>
      </c>
      <c r="I115" s="189" t="s">
        <v>661</v>
      </c>
      <c r="J115" s="200">
        <v>46239.0</v>
      </c>
      <c r="K115" s="200">
        <v>46240.0</v>
      </c>
      <c r="L115" s="133">
        <f t="shared" si="3"/>
        <v>1</v>
      </c>
      <c r="M115" s="133">
        <f t="shared" si="4"/>
        <v>1</v>
      </c>
      <c r="N115" s="133">
        <f t="shared" si="5"/>
        <v>30</v>
      </c>
    </row>
    <row r="116" ht="15.75" hidden="1" customHeight="1">
      <c r="A116" s="200">
        <v>46239.0</v>
      </c>
      <c r="B116" s="201">
        <v>5.0</v>
      </c>
      <c r="C116" s="201">
        <v>8.0</v>
      </c>
      <c r="D116" s="201">
        <v>1.0</v>
      </c>
      <c r="E116" s="201">
        <v>130.0</v>
      </c>
      <c r="F116" s="189" t="s">
        <v>262</v>
      </c>
      <c r="G116" s="202"/>
      <c r="H116" s="201">
        <v>23.0</v>
      </c>
      <c r="I116" s="189" t="s">
        <v>663</v>
      </c>
      <c r="J116" s="200">
        <v>46239.0</v>
      </c>
      <c r="K116" s="200">
        <v>46241.0</v>
      </c>
      <c r="L116" s="133">
        <f t="shared" si="3"/>
        <v>2</v>
      </c>
      <c r="M116" s="133">
        <f t="shared" si="4"/>
        <v>2</v>
      </c>
      <c r="N116" s="133">
        <f t="shared" si="5"/>
        <v>65</v>
      </c>
    </row>
    <row r="117" ht="15.75" hidden="1" customHeight="1">
      <c r="A117" s="200">
        <v>46239.0</v>
      </c>
      <c r="B117" s="201">
        <v>5.0</v>
      </c>
      <c r="C117" s="201">
        <v>8.0</v>
      </c>
      <c r="D117" s="201">
        <v>1.0</v>
      </c>
      <c r="E117" s="201">
        <v>216.0</v>
      </c>
      <c r="F117" s="189" t="s">
        <v>87</v>
      </c>
      <c r="G117" s="202"/>
      <c r="H117" s="201">
        <v>20.0</v>
      </c>
      <c r="I117" s="189" t="s">
        <v>666</v>
      </c>
      <c r="J117" s="200">
        <v>46239.0</v>
      </c>
      <c r="K117" s="200">
        <v>46243.0</v>
      </c>
      <c r="L117" s="133">
        <f t="shared" si="3"/>
        <v>4</v>
      </c>
      <c r="M117" s="133">
        <f t="shared" si="4"/>
        <v>4</v>
      </c>
      <c r="N117" s="133">
        <f t="shared" si="5"/>
        <v>54</v>
      </c>
    </row>
    <row r="118" ht="15.75" hidden="1" customHeight="1">
      <c r="A118" s="200">
        <v>46239.0</v>
      </c>
      <c r="B118" s="201">
        <v>5.0</v>
      </c>
      <c r="C118" s="201">
        <v>8.0</v>
      </c>
      <c r="D118" s="201">
        <v>1.0</v>
      </c>
      <c r="E118" s="201">
        <v>30.0</v>
      </c>
      <c r="F118" s="189" t="s">
        <v>87</v>
      </c>
      <c r="G118" s="202"/>
      <c r="H118" s="201">
        <v>1.0</v>
      </c>
      <c r="I118" s="189" t="s">
        <v>667</v>
      </c>
      <c r="J118" s="200">
        <v>46240.0</v>
      </c>
      <c r="K118" s="200">
        <v>46241.0</v>
      </c>
      <c r="L118" s="133">
        <f t="shared" si="3"/>
        <v>1</v>
      </c>
      <c r="M118" s="133">
        <f t="shared" si="4"/>
        <v>1</v>
      </c>
      <c r="N118" s="133">
        <f t="shared" si="5"/>
        <v>30</v>
      </c>
    </row>
    <row r="119" ht="15.75" hidden="1" customHeight="1">
      <c r="A119" s="200">
        <v>46239.0</v>
      </c>
      <c r="B119" s="201">
        <v>5.0</v>
      </c>
      <c r="C119" s="201">
        <v>8.0</v>
      </c>
      <c r="D119" s="201">
        <v>1.0</v>
      </c>
      <c r="E119" s="201">
        <v>30.0</v>
      </c>
      <c r="F119" s="189" t="s">
        <v>87</v>
      </c>
      <c r="G119" s="202"/>
      <c r="H119" s="201">
        <v>1.0</v>
      </c>
      <c r="I119" s="189" t="s">
        <v>669</v>
      </c>
      <c r="J119" s="200">
        <v>46240.0</v>
      </c>
      <c r="K119" s="200">
        <v>46241.0</v>
      </c>
      <c r="L119" s="133">
        <f t="shared" si="3"/>
        <v>1</v>
      </c>
      <c r="M119" s="133">
        <f t="shared" si="4"/>
        <v>1</v>
      </c>
      <c r="N119" s="133">
        <f t="shared" si="5"/>
        <v>30</v>
      </c>
    </row>
    <row r="120" ht="15.75" hidden="1" customHeight="1">
      <c r="A120" s="200">
        <v>46239.0</v>
      </c>
      <c r="B120" s="201">
        <v>5.0</v>
      </c>
      <c r="C120" s="201">
        <v>8.0</v>
      </c>
      <c r="D120" s="201">
        <v>2.0</v>
      </c>
      <c r="E120" s="201">
        <v>60.0</v>
      </c>
      <c r="F120" s="189" t="s">
        <v>87</v>
      </c>
      <c r="G120" s="202"/>
      <c r="H120" s="201">
        <v>1.0</v>
      </c>
      <c r="I120" s="189" t="s">
        <v>667</v>
      </c>
      <c r="J120" s="200">
        <v>46241.0</v>
      </c>
      <c r="K120" s="200">
        <v>46243.0</v>
      </c>
      <c r="L120" s="133">
        <f t="shared" si="3"/>
        <v>2</v>
      </c>
      <c r="M120" s="133">
        <f t="shared" si="4"/>
        <v>4</v>
      </c>
      <c r="N120" s="133">
        <f t="shared" si="5"/>
        <v>15</v>
      </c>
    </row>
    <row r="121" ht="15.75" hidden="1" customHeight="1">
      <c r="A121" s="200">
        <v>46239.0</v>
      </c>
      <c r="B121" s="201">
        <v>5.0</v>
      </c>
      <c r="C121" s="201">
        <v>8.0</v>
      </c>
      <c r="D121" s="201">
        <v>1.0</v>
      </c>
      <c r="E121" s="204">
        <v>165.0</v>
      </c>
      <c r="F121" s="189" t="s">
        <v>87</v>
      </c>
      <c r="G121" s="202"/>
      <c r="H121" s="201">
        <v>1.0</v>
      </c>
      <c r="I121" s="189" t="s">
        <v>669</v>
      </c>
      <c r="J121" s="200">
        <v>46241.0</v>
      </c>
      <c r="K121" s="200">
        <v>46242.0</v>
      </c>
      <c r="L121" s="133">
        <f t="shared" si="3"/>
        <v>1</v>
      </c>
      <c r="M121" s="133">
        <f t="shared" si="4"/>
        <v>1</v>
      </c>
      <c r="N121" s="133">
        <f t="shared" si="5"/>
        <v>165</v>
      </c>
    </row>
    <row r="122" ht="15.75" hidden="1" customHeight="1">
      <c r="A122" s="200">
        <v>46239.0</v>
      </c>
      <c r="B122" s="201">
        <v>5.0</v>
      </c>
      <c r="C122" s="201">
        <v>8.0</v>
      </c>
      <c r="D122" s="201">
        <v>1.0</v>
      </c>
      <c r="E122" s="201">
        <v>75.0</v>
      </c>
      <c r="F122" s="189" t="s">
        <v>262</v>
      </c>
      <c r="G122" s="202"/>
      <c r="H122" s="201">
        <v>17.0</v>
      </c>
      <c r="I122" s="189" t="s">
        <v>663</v>
      </c>
      <c r="J122" s="200">
        <v>46242.0</v>
      </c>
      <c r="K122" s="200">
        <v>46244.0</v>
      </c>
      <c r="L122" s="133">
        <f t="shared" si="3"/>
        <v>2</v>
      </c>
      <c r="M122" s="133">
        <f t="shared" si="4"/>
        <v>2</v>
      </c>
      <c r="N122" s="133">
        <f t="shared" si="5"/>
        <v>37.5</v>
      </c>
    </row>
    <row r="123" ht="15.75" hidden="1" customHeight="1">
      <c r="A123" s="200">
        <v>46239.0</v>
      </c>
      <c r="B123" s="201">
        <v>5.0</v>
      </c>
      <c r="C123" s="201">
        <v>8.0</v>
      </c>
      <c r="D123" s="201">
        <v>1.0</v>
      </c>
      <c r="E123" s="204">
        <v>32.0</v>
      </c>
      <c r="F123" s="189" t="s">
        <v>262</v>
      </c>
      <c r="G123" s="202"/>
      <c r="H123" s="201">
        <v>17.0</v>
      </c>
      <c r="I123" s="205" t="s">
        <v>672</v>
      </c>
      <c r="J123" s="206">
        <v>46245.0</v>
      </c>
      <c r="K123" s="206">
        <v>46246.0</v>
      </c>
      <c r="L123" s="133">
        <f t="shared" si="3"/>
        <v>1</v>
      </c>
      <c r="M123" s="133">
        <f t="shared" si="4"/>
        <v>1</v>
      </c>
      <c r="N123" s="133">
        <f t="shared" si="5"/>
        <v>32</v>
      </c>
    </row>
    <row r="124" ht="15.75" hidden="1" customHeight="1">
      <c r="A124" s="200">
        <v>46240.0</v>
      </c>
      <c r="B124" s="201">
        <v>6.0</v>
      </c>
      <c r="C124" s="201">
        <v>8.0</v>
      </c>
      <c r="D124" s="201">
        <v>1.0</v>
      </c>
      <c r="E124" s="201">
        <v>30.0</v>
      </c>
      <c r="F124" s="189" t="s">
        <v>87</v>
      </c>
      <c r="G124" s="202"/>
      <c r="H124" s="201">
        <v>1.0</v>
      </c>
      <c r="I124" s="189" t="s">
        <v>674</v>
      </c>
      <c r="J124" s="200">
        <v>46239.0</v>
      </c>
      <c r="K124" s="200">
        <v>46240.0</v>
      </c>
      <c r="L124" s="133">
        <f t="shared" si="3"/>
        <v>1</v>
      </c>
      <c r="M124" s="133">
        <f t="shared" si="4"/>
        <v>1</v>
      </c>
      <c r="N124" s="133">
        <f t="shared" si="5"/>
        <v>30</v>
      </c>
    </row>
    <row r="125" ht="15.75" hidden="1" customHeight="1">
      <c r="A125" s="200">
        <v>46240.0</v>
      </c>
      <c r="B125" s="201">
        <v>6.0</v>
      </c>
      <c r="C125" s="201">
        <v>8.0</v>
      </c>
      <c r="D125" s="201">
        <v>3.0</v>
      </c>
      <c r="E125" s="201">
        <v>75.0</v>
      </c>
      <c r="F125" s="189" t="s">
        <v>87</v>
      </c>
      <c r="G125" s="202"/>
      <c r="H125" s="201">
        <v>1.0</v>
      </c>
      <c r="I125" s="189" t="s">
        <v>675</v>
      </c>
      <c r="J125" s="200">
        <v>46240.0</v>
      </c>
      <c r="K125" s="200">
        <v>46241.0</v>
      </c>
      <c r="L125" s="133">
        <f t="shared" si="3"/>
        <v>1</v>
      </c>
      <c r="M125" s="133">
        <f t="shared" si="4"/>
        <v>3</v>
      </c>
      <c r="N125" s="133">
        <f t="shared" si="5"/>
        <v>25</v>
      </c>
    </row>
    <row r="126" ht="15.75" hidden="1" customHeight="1">
      <c r="A126" s="200">
        <v>46241.0</v>
      </c>
      <c r="B126" s="201">
        <v>7.0</v>
      </c>
      <c r="C126" s="201">
        <v>8.0</v>
      </c>
      <c r="D126" s="201">
        <v>1.0</v>
      </c>
      <c r="E126" s="201">
        <v>245.0</v>
      </c>
      <c r="F126" s="189" t="s">
        <v>87</v>
      </c>
      <c r="G126" s="202"/>
      <c r="H126" s="201">
        <v>4.0</v>
      </c>
      <c r="I126" s="189" t="s">
        <v>677</v>
      </c>
      <c r="J126" s="200">
        <v>46242.0</v>
      </c>
      <c r="K126" s="200">
        <v>46247.0</v>
      </c>
      <c r="L126" s="133">
        <f t="shared" si="3"/>
        <v>5</v>
      </c>
      <c r="M126" s="133">
        <f t="shared" si="4"/>
        <v>5</v>
      </c>
      <c r="N126" s="133">
        <f t="shared" si="5"/>
        <v>49</v>
      </c>
    </row>
    <row r="127" ht="15.75" hidden="1" customHeight="1">
      <c r="A127" s="200">
        <v>46242.0</v>
      </c>
      <c r="B127" s="201">
        <v>8.0</v>
      </c>
      <c r="C127" s="201">
        <v>8.0</v>
      </c>
      <c r="D127" s="201">
        <v>1.0</v>
      </c>
      <c r="E127" s="201">
        <v>30.0</v>
      </c>
      <c r="F127" s="189" t="s">
        <v>87</v>
      </c>
      <c r="G127" s="202"/>
      <c r="H127" s="201">
        <v>1.0</v>
      </c>
      <c r="I127" s="189" t="s">
        <v>651</v>
      </c>
      <c r="J127" s="200">
        <v>46239.0</v>
      </c>
      <c r="K127" s="200">
        <v>46240.0</v>
      </c>
      <c r="L127" s="133">
        <f t="shared" si="3"/>
        <v>1</v>
      </c>
      <c r="M127" s="133">
        <f t="shared" si="4"/>
        <v>1</v>
      </c>
      <c r="N127" s="133">
        <f t="shared" si="5"/>
        <v>30</v>
      </c>
    </row>
    <row r="128" ht="15.75" hidden="1" customHeight="1">
      <c r="A128" s="200">
        <v>46242.0</v>
      </c>
      <c r="B128" s="201">
        <v>8.0</v>
      </c>
      <c r="C128" s="201">
        <v>8.0</v>
      </c>
      <c r="D128" s="201">
        <v>1.0</v>
      </c>
      <c r="E128" s="201">
        <v>30.0</v>
      </c>
      <c r="F128" s="189" t="s">
        <v>87</v>
      </c>
      <c r="G128" s="202"/>
      <c r="H128" s="201">
        <v>1.0</v>
      </c>
      <c r="I128" s="189" t="s">
        <v>651</v>
      </c>
      <c r="J128" s="200">
        <v>46240.0</v>
      </c>
      <c r="K128" s="200">
        <v>46241.0</v>
      </c>
      <c r="L128" s="133">
        <f t="shared" si="3"/>
        <v>1</v>
      </c>
      <c r="M128" s="133">
        <f t="shared" si="4"/>
        <v>1</v>
      </c>
      <c r="N128" s="133">
        <f t="shared" si="5"/>
        <v>30</v>
      </c>
    </row>
    <row r="129" ht="15.75" hidden="1" customHeight="1">
      <c r="A129" s="200">
        <v>46242.0</v>
      </c>
      <c r="B129" s="201">
        <v>8.0</v>
      </c>
      <c r="C129" s="201">
        <v>8.0</v>
      </c>
      <c r="D129" s="201">
        <v>1.0</v>
      </c>
      <c r="E129" s="201">
        <v>30.0</v>
      </c>
      <c r="F129" s="189" t="s">
        <v>87</v>
      </c>
      <c r="G129" s="202"/>
      <c r="H129" s="201">
        <v>1.0</v>
      </c>
      <c r="I129" s="189" t="s">
        <v>651</v>
      </c>
      <c r="J129" s="200">
        <v>46241.0</v>
      </c>
      <c r="K129" s="200">
        <v>46242.0</v>
      </c>
      <c r="L129" s="133">
        <f t="shared" si="3"/>
        <v>1</v>
      </c>
      <c r="M129" s="133">
        <f t="shared" si="4"/>
        <v>1</v>
      </c>
      <c r="N129" s="133">
        <f t="shared" si="5"/>
        <v>30</v>
      </c>
    </row>
    <row r="130" ht="15.75" hidden="1" customHeight="1">
      <c r="A130" s="200">
        <v>46242.0</v>
      </c>
      <c r="B130" s="201">
        <v>8.0</v>
      </c>
      <c r="C130" s="201">
        <v>8.0</v>
      </c>
      <c r="D130" s="201">
        <v>1.0</v>
      </c>
      <c r="E130" s="201">
        <v>30.0</v>
      </c>
      <c r="F130" s="189" t="s">
        <v>87</v>
      </c>
      <c r="G130" s="202"/>
      <c r="H130" s="201">
        <v>1.0</v>
      </c>
      <c r="I130" s="189" t="s">
        <v>678</v>
      </c>
      <c r="J130" s="200">
        <v>46241.0</v>
      </c>
      <c r="K130" s="200">
        <v>46242.0</v>
      </c>
      <c r="L130" s="133">
        <f t="shared" si="3"/>
        <v>1</v>
      </c>
      <c r="M130" s="133">
        <f t="shared" si="4"/>
        <v>1</v>
      </c>
      <c r="N130" s="133">
        <f t="shared" si="5"/>
        <v>30</v>
      </c>
    </row>
    <row r="131" ht="15.75" hidden="1" customHeight="1">
      <c r="A131" s="200">
        <v>46242.0</v>
      </c>
      <c r="B131" s="201">
        <v>8.0</v>
      </c>
      <c r="C131" s="201">
        <v>8.0</v>
      </c>
      <c r="D131" s="201">
        <v>1.0</v>
      </c>
      <c r="E131" s="201">
        <v>30.0</v>
      </c>
      <c r="F131" s="189" t="s">
        <v>87</v>
      </c>
      <c r="G131" s="202"/>
      <c r="H131" s="201">
        <v>1.0</v>
      </c>
      <c r="I131" s="189" t="s">
        <v>651</v>
      </c>
      <c r="J131" s="200">
        <v>46242.0</v>
      </c>
      <c r="K131" s="200">
        <v>46243.0</v>
      </c>
      <c r="L131" s="133">
        <f t="shared" si="3"/>
        <v>1</v>
      </c>
      <c r="M131" s="133">
        <f t="shared" si="4"/>
        <v>1</v>
      </c>
      <c r="N131" s="133">
        <f t="shared" si="5"/>
        <v>30</v>
      </c>
    </row>
    <row r="132" ht="15.75" hidden="1" customHeight="1">
      <c r="A132" s="200">
        <v>46242.0</v>
      </c>
      <c r="B132" s="201">
        <v>8.0</v>
      </c>
      <c r="C132" s="201">
        <v>8.0</v>
      </c>
      <c r="D132" s="201">
        <v>1.0</v>
      </c>
      <c r="E132" s="201">
        <v>30.0</v>
      </c>
      <c r="F132" s="189" t="s">
        <v>87</v>
      </c>
      <c r="G132" s="202"/>
      <c r="H132" s="201">
        <v>1.0</v>
      </c>
      <c r="I132" s="189" t="s">
        <v>679</v>
      </c>
      <c r="J132" s="200">
        <v>46242.0</v>
      </c>
      <c r="K132" s="200">
        <v>46243.0</v>
      </c>
      <c r="L132" s="133">
        <f t="shared" si="3"/>
        <v>1</v>
      </c>
      <c r="M132" s="133">
        <f t="shared" si="4"/>
        <v>1</v>
      </c>
      <c r="N132" s="133">
        <f t="shared" si="5"/>
        <v>30</v>
      </c>
    </row>
    <row r="133" ht="15.75" hidden="1" customHeight="1">
      <c r="A133" s="200">
        <v>46242.0</v>
      </c>
      <c r="B133" s="201">
        <v>8.0</v>
      </c>
      <c r="C133" s="201">
        <v>8.0</v>
      </c>
      <c r="D133" s="201">
        <v>1.0</v>
      </c>
      <c r="E133" s="201">
        <v>30.0</v>
      </c>
      <c r="F133" s="189" t="s">
        <v>87</v>
      </c>
      <c r="G133" s="202"/>
      <c r="H133" s="201">
        <v>1.0</v>
      </c>
      <c r="I133" s="189" t="s">
        <v>681</v>
      </c>
      <c r="J133" s="200">
        <v>46242.0</v>
      </c>
      <c r="K133" s="200">
        <v>46243.0</v>
      </c>
      <c r="L133" s="133">
        <f t="shared" si="3"/>
        <v>1</v>
      </c>
      <c r="M133" s="133">
        <f t="shared" si="4"/>
        <v>1</v>
      </c>
      <c r="N133" s="133">
        <f t="shared" si="5"/>
        <v>30</v>
      </c>
    </row>
    <row r="134" ht="15.75" hidden="1" customHeight="1">
      <c r="A134" s="200">
        <v>46242.0</v>
      </c>
      <c r="B134" s="201">
        <v>8.0</v>
      </c>
      <c r="C134" s="201">
        <v>8.0</v>
      </c>
      <c r="D134" s="201">
        <v>1.0</v>
      </c>
      <c r="E134" s="201">
        <v>70.0</v>
      </c>
      <c r="F134" s="189" t="s">
        <v>87</v>
      </c>
      <c r="G134" s="202"/>
      <c r="H134" s="201">
        <v>6.0</v>
      </c>
      <c r="I134" s="189" t="s">
        <v>683</v>
      </c>
      <c r="J134" s="200">
        <v>46242.0</v>
      </c>
      <c r="K134" s="200">
        <v>46243.0</v>
      </c>
      <c r="L134" s="133">
        <f t="shared" si="3"/>
        <v>1</v>
      </c>
      <c r="M134" s="133">
        <f t="shared" si="4"/>
        <v>1</v>
      </c>
      <c r="N134" s="133">
        <f t="shared" si="5"/>
        <v>70</v>
      </c>
    </row>
    <row r="135" ht="15.75" hidden="1" customHeight="1">
      <c r="A135" s="200">
        <v>46243.0</v>
      </c>
      <c r="B135" s="201">
        <v>9.0</v>
      </c>
      <c r="C135" s="201">
        <v>8.0</v>
      </c>
      <c r="D135" s="201">
        <v>1.0</v>
      </c>
      <c r="E135" s="201">
        <v>30.0</v>
      </c>
      <c r="F135" s="189" t="s">
        <v>87</v>
      </c>
      <c r="G135" s="202"/>
      <c r="H135" s="201">
        <v>1.0</v>
      </c>
      <c r="I135" s="189" t="s">
        <v>684</v>
      </c>
      <c r="J135" s="200">
        <v>46241.0</v>
      </c>
      <c r="K135" s="200">
        <v>46242.0</v>
      </c>
      <c r="L135" s="133">
        <f t="shared" si="3"/>
        <v>1</v>
      </c>
      <c r="M135" s="133">
        <f t="shared" si="4"/>
        <v>1</v>
      </c>
      <c r="N135" s="133">
        <f t="shared" si="5"/>
        <v>30</v>
      </c>
    </row>
    <row r="136" ht="15.75" hidden="1" customHeight="1">
      <c r="A136" s="200">
        <v>46243.0</v>
      </c>
      <c r="B136" s="201">
        <v>9.0</v>
      </c>
      <c r="C136" s="201">
        <v>8.0</v>
      </c>
      <c r="D136" s="201">
        <v>1.0</v>
      </c>
      <c r="E136" s="201">
        <v>45.0</v>
      </c>
      <c r="F136" s="189" t="s">
        <v>87</v>
      </c>
      <c r="G136" s="202"/>
      <c r="H136" s="201">
        <v>12.0</v>
      </c>
      <c r="I136" s="189" t="s">
        <v>686</v>
      </c>
      <c r="J136" s="200">
        <v>46243.0</v>
      </c>
      <c r="K136" s="200">
        <v>46244.0</v>
      </c>
      <c r="L136" s="133">
        <f t="shared" si="3"/>
        <v>1</v>
      </c>
      <c r="M136" s="133">
        <f t="shared" si="4"/>
        <v>1</v>
      </c>
      <c r="N136" s="133">
        <f t="shared" si="5"/>
        <v>45</v>
      </c>
    </row>
    <row r="137" ht="15.75" hidden="1" customHeight="1">
      <c r="A137" s="200">
        <v>46243.0</v>
      </c>
      <c r="B137" s="201">
        <v>9.0</v>
      </c>
      <c r="C137" s="201">
        <v>8.0</v>
      </c>
      <c r="D137" s="201">
        <v>1.0</v>
      </c>
      <c r="E137" s="201">
        <v>30.0</v>
      </c>
      <c r="F137" s="189" t="s">
        <v>87</v>
      </c>
      <c r="G137" s="202"/>
      <c r="H137" s="201">
        <v>1.0</v>
      </c>
      <c r="I137" s="189" t="s">
        <v>651</v>
      </c>
      <c r="J137" s="200">
        <v>46243.0</v>
      </c>
      <c r="K137" s="200">
        <v>46244.0</v>
      </c>
      <c r="L137" s="133">
        <f t="shared" si="3"/>
        <v>1</v>
      </c>
      <c r="M137" s="133">
        <f t="shared" si="4"/>
        <v>1</v>
      </c>
      <c r="N137" s="133">
        <f t="shared" si="5"/>
        <v>30</v>
      </c>
    </row>
    <row r="138" ht="15.75" hidden="1" customHeight="1">
      <c r="A138" s="200">
        <v>46248.0</v>
      </c>
      <c r="B138" s="201">
        <v>14.0</v>
      </c>
      <c r="C138" s="201">
        <v>8.0</v>
      </c>
      <c r="D138" s="201">
        <v>1.0</v>
      </c>
      <c r="E138" s="201">
        <v>35.0</v>
      </c>
      <c r="F138" s="189" t="s">
        <v>87</v>
      </c>
      <c r="G138" s="202"/>
      <c r="H138" s="201">
        <v>1.0</v>
      </c>
      <c r="I138" s="189" t="s">
        <v>688</v>
      </c>
      <c r="J138" s="200">
        <v>46248.0</v>
      </c>
      <c r="K138" s="200">
        <v>46249.0</v>
      </c>
      <c r="L138" s="133">
        <f t="shared" si="3"/>
        <v>1</v>
      </c>
      <c r="M138" s="133">
        <f t="shared" si="4"/>
        <v>1</v>
      </c>
      <c r="N138" s="133">
        <f t="shared" si="5"/>
        <v>35</v>
      </c>
    </row>
    <row r="139" ht="15.75" hidden="1" customHeight="1">
      <c r="A139" s="200">
        <v>46249.0</v>
      </c>
      <c r="B139" s="201">
        <v>15.0</v>
      </c>
      <c r="C139" s="201">
        <v>8.0</v>
      </c>
      <c r="D139" s="201">
        <v>1.0</v>
      </c>
      <c r="E139" s="201">
        <v>55.0</v>
      </c>
      <c r="F139" s="189" t="s">
        <v>87</v>
      </c>
      <c r="G139" s="202"/>
      <c r="H139" s="201">
        <v>13.0</v>
      </c>
      <c r="I139" s="189" t="s">
        <v>689</v>
      </c>
      <c r="J139" s="200">
        <v>46249.0</v>
      </c>
      <c r="K139" s="200">
        <v>46250.0</v>
      </c>
      <c r="L139" s="133">
        <f t="shared" si="3"/>
        <v>1</v>
      </c>
      <c r="M139" s="133">
        <f t="shared" si="4"/>
        <v>1</v>
      </c>
      <c r="N139" s="133">
        <f t="shared" si="5"/>
        <v>55</v>
      </c>
    </row>
    <row r="140" ht="15.75" hidden="1" customHeight="1">
      <c r="A140" s="200">
        <v>46249.0</v>
      </c>
      <c r="B140" s="201">
        <v>15.0</v>
      </c>
      <c r="C140" s="201">
        <v>8.0</v>
      </c>
      <c r="D140" s="201">
        <v>1.0</v>
      </c>
      <c r="E140" s="201">
        <v>55.0</v>
      </c>
      <c r="F140" s="189" t="s">
        <v>87</v>
      </c>
      <c r="G140" s="202"/>
      <c r="H140" s="201">
        <v>11.0</v>
      </c>
      <c r="I140" s="189" t="s">
        <v>691</v>
      </c>
      <c r="J140" s="200">
        <v>46250.0</v>
      </c>
      <c r="K140" s="200">
        <v>46251.0</v>
      </c>
      <c r="L140" s="133">
        <f t="shared" si="3"/>
        <v>1</v>
      </c>
      <c r="M140" s="133">
        <f t="shared" si="4"/>
        <v>1</v>
      </c>
      <c r="N140" s="133">
        <f t="shared" si="5"/>
        <v>55</v>
      </c>
    </row>
    <row r="141" ht="15.75" hidden="1" customHeight="1">
      <c r="A141" s="200">
        <v>46250.0</v>
      </c>
      <c r="B141" s="201">
        <v>16.0</v>
      </c>
      <c r="C141" s="201">
        <v>8.0</v>
      </c>
      <c r="D141" s="201">
        <v>1.0</v>
      </c>
      <c r="E141" s="201">
        <v>306.0</v>
      </c>
      <c r="F141" s="189" t="s">
        <v>87</v>
      </c>
      <c r="G141" s="202"/>
      <c r="H141" s="201">
        <v>8.0</v>
      </c>
      <c r="I141" s="189" t="s">
        <v>692</v>
      </c>
      <c r="J141" s="200">
        <v>46236.0</v>
      </c>
      <c r="K141" s="200">
        <v>46242.0</v>
      </c>
      <c r="L141" s="133">
        <f t="shared" si="3"/>
        <v>6</v>
      </c>
      <c r="M141" s="133">
        <f t="shared" si="4"/>
        <v>6</v>
      </c>
      <c r="N141" s="133">
        <f t="shared" si="5"/>
        <v>51</v>
      </c>
    </row>
    <row r="142" ht="15.75" hidden="1" customHeight="1">
      <c r="A142" s="200">
        <v>46250.0</v>
      </c>
      <c r="B142" s="201">
        <v>16.0</v>
      </c>
      <c r="C142" s="201">
        <v>8.0</v>
      </c>
      <c r="D142" s="201">
        <v>1.0</v>
      </c>
      <c r="E142" s="201">
        <v>100.0</v>
      </c>
      <c r="F142" s="189" t="s">
        <v>87</v>
      </c>
      <c r="G142" s="202"/>
      <c r="H142" s="201">
        <v>4.0</v>
      </c>
      <c r="I142" s="189" t="s">
        <v>692</v>
      </c>
      <c r="J142" s="200">
        <v>46248.0</v>
      </c>
      <c r="K142" s="200">
        <v>46250.0</v>
      </c>
      <c r="L142" s="133">
        <f t="shared" si="3"/>
        <v>2</v>
      </c>
      <c r="M142" s="133">
        <f t="shared" si="4"/>
        <v>2</v>
      </c>
      <c r="N142" s="133">
        <f t="shared" si="5"/>
        <v>50</v>
      </c>
    </row>
    <row r="143" ht="15.75" hidden="1" customHeight="1">
      <c r="A143" s="200">
        <v>46250.0</v>
      </c>
      <c r="B143" s="201">
        <v>16.0</v>
      </c>
      <c r="C143" s="201">
        <v>8.0</v>
      </c>
      <c r="D143" s="201">
        <v>1.0</v>
      </c>
      <c r="E143" s="201">
        <v>35.0</v>
      </c>
      <c r="F143" s="189" t="s">
        <v>87</v>
      </c>
      <c r="G143" s="202"/>
      <c r="H143" s="201">
        <v>1.0</v>
      </c>
      <c r="I143" s="189" t="s">
        <v>693</v>
      </c>
      <c r="J143" s="200">
        <v>46250.0</v>
      </c>
      <c r="K143" s="200">
        <v>46251.0</v>
      </c>
      <c r="L143" s="133">
        <f t="shared" si="3"/>
        <v>1</v>
      </c>
      <c r="M143" s="133">
        <f t="shared" si="4"/>
        <v>1</v>
      </c>
      <c r="N143" s="133">
        <f t="shared" si="5"/>
        <v>35</v>
      </c>
    </row>
    <row r="144" ht="15.75" hidden="1" customHeight="1">
      <c r="A144" s="200">
        <v>46251.0</v>
      </c>
      <c r="B144" s="201">
        <v>17.0</v>
      </c>
      <c r="C144" s="201">
        <v>8.0</v>
      </c>
      <c r="D144" s="201">
        <v>1.0</v>
      </c>
      <c r="E144" s="201">
        <v>70.0</v>
      </c>
      <c r="F144" s="189" t="s">
        <v>262</v>
      </c>
      <c r="G144" s="202"/>
      <c r="H144" s="201">
        <v>1.0</v>
      </c>
      <c r="I144" s="189" t="s">
        <v>695</v>
      </c>
      <c r="J144" s="200">
        <v>46249.0</v>
      </c>
      <c r="K144" s="200">
        <v>46251.0</v>
      </c>
      <c r="L144" s="133">
        <f t="shared" si="3"/>
        <v>2</v>
      </c>
      <c r="M144" s="133">
        <f t="shared" si="4"/>
        <v>2</v>
      </c>
      <c r="N144" s="133">
        <f t="shared" si="5"/>
        <v>35</v>
      </c>
    </row>
    <row r="145" ht="15.75" hidden="1" customHeight="1">
      <c r="A145" s="200">
        <v>46251.0</v>
      </c>
      <c r="B145" s="201">
        <v>17.0</v>
      </c>
      <c r="C145" s="201">
        <v>8.0</v>
      </c>
      <c r="D145" s="201">
        <v>1.0</v>
      </c>
      <c r="E145" s="201">
        <v>185.01</v>
      </c>
      <c r="F145" s="189" t="s">
        <v>87</v>
      </c>
      <c r="G145" s="202"/>
      <c r="H145" s="201">
        <v>2.0</v>
      </c>
      <c r="I145" s="189" t="s">
        <v>696</v>
      </c>
      <c r="J145" s="200">
        <v>46251.0</v>
      </c>
      <c r="K145" s="200">
        <v>46254.0</v>
      </c>
      <c r="L145" s="133">
        <f t="shared" si="3"/>
        <v>3</v>
      </c>
      <c r="M145" s="133">
        <f t="shared" si="4"/>
        <v>3</v>
      </c>
      <c r="N145" s="133">
        <f t="shared" si="5"/>
        <v>61.67</v>
      </c>
    </row>
    <row r="146" ht="15.75" hidden="1" customHeight="1">
      <c r="A146" s="200">
        <v>46251.0</v>
      </c>
      <c r="B146" s="201">
        <v>17.0</v>
      </c>
      <c r="C146" s="201">
        <v>8.0</v>
      </c>
      <c r="D146" s="201">
        <v>1.0</v>
      </c>
      <c r="E146" s="201">
        <v>564.06</v>
      </c>
      <c r="F146" s="189" t="s">
        <v>87</v>
      </c>
      <c r="G146" s="202"/>
      <c r="H146" s="201">
        <v>16.0</v>
      </c>
      <c r="I146" s="189" t="s">
        <v>698</v>
      </c>
      <c r="J146" s="200">
        <v>46251.0</v>
      </c>
      <c r="K146" s="200">
        <v>46265.0</v>
      </c>
      <c r="L146" s="133">
        <f t="shared" si="3"/>
        <v>14</v>
      </c>
      <c r="M146" s="133">
        <f t="shared" si="4"/>
        <v>14</v>
      </c>
      <c r="N146" s="133">
        <f t="shared" si="5"/>
        <v>40.29</v>
      </c>
    </row>
    <row r="147" ht="15.75" hidden="1" customHeight="1">
      <c r="A147" s="200">
        <v>46252.0</v>
      </c>
      <c r="B147" s="201">
        <v>18.0</v>
      </c>
      <c r="C147" s="201">
        <v>8.0</v>
      </c>
      <c r="D147" s="201">
        <v>3.0</v>
      </c>
      <c r="E147" s="201">
        <v>150.0</v>
      </c>
      <c r="F147" s="189" t="s">
        <v>262</v>
      </c>
      <c r="G147" s="202"/>
      <c r="H147" s="201">
        <v>3.0</v>
      </c>
      <c r="I147" s="189" t="s">
        <v>701</v>
      </c>
      <c r="J147" s="200">
        <v>46251.0</v>
      </c>
      <c r="K147" s="200">
        <v>46252.0</v>
      </c>
      <c r="L147" s="133">
        <f t="shared" si="3"/>
        <v>1</v>
      </c>
      <c r="M147" s="133">
        <f t="shared" si="4"/>
        <v>3</v>
      </c>
      <c r="N147" s="133">
        <f t="shared" si="5"/>
        <v>50</v>
      </c>
    </row>
    <row r="148" ht="15.75" hidden="1" customHeight="1">
      <c r="A148" s="200">
        <v>46252.0</v>
      </c>
      <c r="B148" s="201">
        <v>18.0</v>
      </c>
      <c r="C148" s="201">
        <v>8.0</v>
      </c>
      <c r="D148" s="201">
        <v>1.0</v>
      </c>
      <c r="E148" s="201">
        <v>360.0</v>
      </c>
      <c r="F148" s="189" t="s">
        <v>87</v>
      </c>
      <c r="G148" s="202"/>
      <c r="H148" s="201">
        <v>17.0</v>
      </c>
      <c r="I148" s="189" t="s">
        <v>702</v>
      </c>
      <c r="J148" s="200">
        <v>46252.0</v>
      </c>
      <c r="K148" s="200">
        <v>46260.0</v>
      </c>
      <c r="L148" s="133">
        <f t="shared" si="3"/>
        <v>8</v>
      </c>
      <c r="M148" s="133">
        <f t="shared" si="4"/>
        <v>8</v>
      </c>
      <c r="N148" s="133">
        <f t="shared" si="5"/>
        <v>45</v>
      </c>
    </row>
    <row r="149" ht="15.75" hidden="1" customHeight="1">
      <c r="A149" s="200">
        <v>46254.0</v>
      </c>
      <c r="B149" s="201">
        <v>20.0</v>
      </c>
      <c r="C149" s="201">
        <v>8.0</v>
      </c>
      <c r="D149" s="201">
        <v>1.0</v>
      </c>
      <c r="E149" s="201">
        <v>30.0</v>
      </c>
      <c r="F149" s="189" t="s">
        <v>87</v>
      </c>
      <c r="G149" s="202"/>
      <c r="H149" s="201">
        <v>1.0</v>
      </c>
      <c r="I149" s="189" t="s">
        <v>703</v>
      </c>
      <c r="J149" s="200">
        <v>46255.0</v>
      </c>
      <c r="K149" s="200">
        <v>46256.0</v>
      </c>
      <c r="L149" s="133">
        <f t="shared" si="3"/>
        <v>1</v>
      </c>
      <c r="M149" s="133">
        <f t="shared" si="4"/>
        <v>1</v>
      </c>
      <c r="N149" s="133">
        <f t="shared" si="5"/>
        <v>30</v>
      </c>
    </row>
    <row r="150" ht="15.75" hidden="1" customHeight="1">
      <c r="A150" s="200">
        <v>46255.0</v>
      </c>
      <c r="B150" s="201">
        <v>21.0</v>
      </c>
      <c r="C150" s="201">
        <v>8.0</v>
      </c>
      <c r="D150" s="201">
        <v>1.0</v>
      </c>
      <c r="E150" s="201">
        <v>30.0</v>
      </c>
      <c r="F150" s="189" t="s">
        <v>87</v>
      </c>
      <c r="G150" s="202"/>
      <c r="H150" s="201">
        <v>1.0</v>
      </c>
      <c r="I150" s="189" t="s">
        <v>705</v>
      </c>
      <c r="J150" s="200">
        <v>46255.0</v>
      </c>
      <c r="K150" s="200">
        <v>46256.0</v>
      </c>
      <c r="L150" s="133">
        <f t="shared" si="3"/>
        <v>1</v>
      </c>
      <c r="M150" s="133">
        <f t="shared" si="4"/>
        <v>1</v>
      </c>
      <c r="N150" s="133">
        <f t="shared" si="5"/>
        <v>30</v>
      </c>
    </row>
    <row r="151" ht="15.75" hidden="1" customHeight="1">
      <c r="A151" s="200">
        <v>46256.0</v>
      </c>
      <c r="B151" s="201">
        <v>22.0</v>
      </c>
      <c r="C151" s="201">
        <v>8.0</v>
      </c>
      <c r="D151" s="201">
        <v>1.0</v>
      </c>
      <c r="E151" s="201">
        <v>30.0</v>
      </c>
      <c r="F151" s="189" t="s">
        <v>87</v>
      </c>
      <c r="G151" s="202"/>
      <c r="H151" s="201">
        <v>1.0</v>
      </c>
      <c r="I151" s="189" t="s">
        <v>705</v>
      </c>
      <c r="J151" s="200">
        <v>46256.0</v>
      </c>
      <c r="K151" s="200">
        <v>46257.0</v>
      </c>
      <c r="L151" s="133">
        <f t="shared" si="3"/>
        <v>1</v>
      </c>
      <c r="M151" s="133">
        <f t="shared" si="4"/>
        <v>1</v>
      </c>
      <c r="N151" s="133">
        <f t="shared" si="5"/>
        <v>30</v>
      </c>
    </row>
    <row r="152" ht="15.75" hidden="1" customHeight="1">
      <c r="A152" s="200">
        <v>46260.0</v>
      </c>
      <c r="B152" s="201">
        <v>26.0</v>
      </c>
      <c r="C152" s="201">
        <v>8.0</v>
      </c>
      <c r="D152" s="201">
        <v>1.0</v>
      </c>
      <c r="E152" s="201">
        <v>90.0</v>
      </c>
      <c r="F152" s="189" t="s">
        <v>87</v>
      </c>
      <c r="G152" s="202"/>
      <c r="H152" s="201">
        <v>2.0</v>
      </c>
      <c r="I152" s="189" t="s">
        <v>707</v>
      </c>
      <c r="J152" s="200">
        <v>46260.0</v>
      </c>
      <c r="K152" s="200">
        <v>46262.0</v>
      </c>
      <c r="L152" s="133">
        <f t="shared" si="3"/>
        <v>2</v>
      </c>
      <c r="M152" s="133">
        <f t="shared" si="4"/>
        <v>2</v>
      </c>
      <c r="N152" s="133">
        <f t="shared" si="5"/>
        <v>45</v>
      </c>
    </row>
    <row r="153" ht="15.75" hidden="1" customHeight="1">
      <c r="A153" s="200">
        <v>46261.0</v>
      </c>
      <c r="B153" s="201">
        <v>27.0</v>
      </c>
      <c r="C153" s="201">
        <v>8.0</v>
      </c>
      <c r="D153" s="201">
        <v>1.0</v>
      </c>
      <c r="E153" s="201">
        <v>139.5</v>
      </c>
      <c r="F153" s="189" t="s">
        <v>87</v>
      </c>
      <c r="G153" s="202"/>
      <c r="H153" s="201">
        <v>2.0</v>
      </c>
      <c r="I153" s="189" t="s">
        <v>708</v>
      </c>
      <c r="J153" s="200">
        <v>46264.0</v>
      </c>
      <c r="K153" s="200">
        <v>46267.0</v>
      </c>
      <c r="L153" s="133">
        <f t="shared" si="3"/>
        <v>3</v>
      </c>
      <c r="M153" s="133">
        <f t="shared" si="4"/>
        <v>3</v>
      </c>
      <c r="N153" s="133">
        <f t="shared" si="5"/>
        <v>46.5</v>
      </c>
    </row>
    <row r="154" ht="15.75" hidden="1" customHeight="1">
      <c r="A154" s="200">
        <v>46262.0</v>
      </c>
      <c r="B154" s="201">
        <v>28.0</v>
      </c>
      <c r="C154" s="201">
        <v>8.0</v>
      </c>
      <c r="D154" s="201">
        <v>1.0</v>
      </c>
      <c r="E154" s="201">
        <v>35.0</v>
      </c>
      <c r="F154" s="189" t="s">
        <v>87</v>
      </c>
      <c r="G154" s="202"/>
      <c r="H154" s="201">
        <v>23.0</v>
      </c>
      <c r="I154" s="189" t="s">
        <v>709</v>
      </c>
      <c r="J154" s="200">
        <v>46262.0</v>
      </c>
      <c r="K154" s="200">
        <v>46263.0</v>
      </c>
      <c r="L154" s="133">
        <f t="shared" si="3"/>
        <v>1</v>
      </c>
      <c r="M154" s="133">
        <f t="shared" si="4"/>
        <v>1</v>
      </c>
      <c r="N154" s="133">
        <f t="shared" si="5"/>
        <v>35</v>
      </c>
    </row>
    <row r="155" ht="15.75" hidden="1" customHeight="1">
      <c r="A155" s="200">
        <v>46262.0</v>
      </c>
      <c r="B155" s="201">
        <v>28.0</v>
      </c>
      <c r="C155" s="201">
        <v>8.0</v>
      </c>
      <c r="D155" s="201">
        <v>1.0</v>
      </c>
      <c r="E155" s="201">
        <v>35.0</v>
      </c>
      <c r="F155" s="189" t="s">
        <v>87</v>
      </c>
      <c r="G155" s="202"/>
      <c r="H155" s="201">
        <v>11.0</v>
      </c>
      <c r="I155" s="189" t="s">
        <v>710</v>
      </c>
      <c r="J155" s="200">
        <v>46262.0</v>
      </c>
      <c r="K155" s="200">
        <v>46263.0</v>
      </c>
      <c r="L155" s="133">
        <f t="shared" si="3"/>
        <v>1</v>
      </c>
      <c r="M155" s="133">
        <f t="shared" si="4"/>
        <v>1</v>
      </c>
      <c r="N155" s="133">
        <f t="shared" si="5"/>
        <v>35</v>
      </c>
    </row>
    <row r="156" ht="15.75" hidden="1" customHeight="1">
      <c r="A156" s="200">
        <v>46262.0</v>
      </c>
      <c r="B156" s="201">
        <v>28.0</v>
      </c>
      <c r="C156" s="201">
        <v>8.0</v>
      </c>
      <c r="D156" s="201">
        <v>1.0</v>
      </c>
      <c r="E156" s="201">
        <v>45.0</v>
      </c>
      <c r="F156" s="189" t="s">
        <v>87</v>
      </c>
      <c r="G156" s="202"/>
      <c r="H156" s="201">
        <v>23.0</v>
      </c>
      <c r="I156" s="189" t="s">
        <v>709</v>
      </c>
      <c r="J156" s="200">
        <v>46263.0</v>
      </c>
      <c r="K156" s="200">
        <v>46264.0</v>
      </c>
      <c r="L156" s="133">
        <f t="shared" si="3"/>
        <v>1</v>
      </c>
      <c r="M156" s="133">
        <f t="shared" si="4"/>
        <v>1</v>
      </c>
      <c r="N156" s="133">
        <f t="shared" si="5"/>
        <v>45</v>
      </c>
    </row>
    <row r="157" ht="15.75" hidden="1" customHeight="1">
      <c r="A157" s="200">
        <v>46262.0</v>
      </c>
      <c r="B157" s="201">
        <v>28.0</v>
      </c>
      <c r="C157" s="201">
        <v>8.0</v>
      </c>
      <c r="D157" s="201">
        <v>1.0</v>
      </c>
      <c r="E157" s="201">
        <v>45.0</v>
      </c>
      <c r="F157" s="189" t="s">
        <v>87</v>
      </c>
      <c r="G157" s="202"/>
      <c r="H157" s="201">
        <v>11.0</v>
      </c>
      <c r="I157" s="189" t="s">
        <v>710</v>
      </c>
      <c r="J157" s="200">
        <v>46264.0</v>
      </c>
      <c r="K157" s="200">
        <v>46265.0</v>
      </c>
      <c r="L157" s="133">
        <f t="shared" si="3"/>
        <v>1</v>
      </c>
      <c r="M157" s="133">
        <f t="shared" si="4"/>
        <v>1</v>
      </c>
      <c r="N157" s="133">
        <f t="shared" si="5"/>
        <v>45</v>
      </c>
    </row>
    <row r="158" ht="15.75" hidden="1" customHeight="1">
      <c r="A158" s="200">
        <v>46263.0</v>
      </c>
      <c r="B158" s="201">
        <v>29.0</v>
      </c>
      <c r="C158" s="201">
        <v>8.0</v>
      </c>
      <c r="D158" s="201">
        <v>1.0</v>
      </c>
      <c r="E158" s="201">
        <v>30.0</v>
      </c>
      <c r="F158" s="189" t="s">
        <v>87</v>
      </c>
      <c r="G158" s="202"/>
      <c r="H158" s="201">
        <v>1.0</v>
      </c>
      <c r="I158" s="189" t="s">
        <v>712</v>
      </c>
      <c r="J158" s="200">
        <v>46263.0</v>
      </c>
      <c r="K158" s="200">
        <v>46264.0</v>
      </c>
      <c r="L158" s="133">
        <f t="shared" si="3"/>
        <v>1</v>
      </c>
      <c r="M158" s="133">
        <f t="shared" si="4"/>
        <v>1</v>
      </c>
      <c r="N158" s="133">
        <f t="shared" si="5"/>
        <v>30</v>
      </c>
    </row>
    <row r="159" ht="15.75" hidden="1" customHeight="1">
      <c r="A159" s="200">
        <v>46265.0</v>
      </c>
      <c r="B159" s="201">
        <v>31.0</v>
      </c>
      <c r="C159" s="201">
        <v>8.0</v>
      </c>
      <c r="D159" s="201">
        <v>1.0</v>
      </c>
      <c r="E159" s="201">
        <v>1100.09</v>
      </c>
      <c r="F159" s="189" t="s">
        <v>87</v>
      </c>
      <c r="G159" s="202"/>
      <c r="H159" s="201">
        <v>24.0</v>
      </c>
      <c r="I159" s="189" t="s">
        <v>715</v>
      </c>
      <c r="J159" s="200">
        <v>46243.0</v>
      </c>
      <c r="K159" s="200">
        <v>46266.0</v>
      </c>
      <c r="L159" s="133">
        <f t="shared" si="3"/>
        <v>23</v>
      </c>
      <c r="M159" s="133">
        <f t="shared" si="4"/>
        <v>23</v>
      </c>
      <c r="N159" s="133">
        <f t="shared" si="5"/>
        <v>47.83</v>
      </c>
    </row>
    <row r="160" ht="15.75" hidden="1" customHeight="1">
      <c r="A160" s="200">
        <v>46265.0</v>
      </c>
      <c r="B160" s="201">
        <v>31.0</v>
      </c>
      <c r="C160" s="201">
        <v>8.0</v>
      </c>
      <c r="D160" s="201">
        <v>1.0</v>
      </c>
      <c r="E160" s="201">
        <v>230.0</v>
      </c>
      <c r="F160" s="189" t="s">
        <v>87</v>
      </c>
      <c r="G160" s="202"/>
      <c r="H160" s="201">
        <v>8.0</v>
      </c>
      <c r="I160" s="189" t="s">
        <v>716</v>
      </c>
      <c r="J160" s="200">
        <v>46265.0</v>
      </c>
      <c r="K160" s="200">
        <v>46270.0</v>
      </c>
      <c r="L160" s="133">
        <f t="shared" si="3"/>
        <v>5</v>
      </c>
      <c r="M160" s="133">
        <f t="shared" si="4"/>
        <v>5</v>
      </c>
      <c r="N160" s="133">
        <f t="shared" si="5"/>
        <v>46</v>
      </c>
    </row>
    <row r="161" ht="15.75" hidden="1" customHeight="1">
      <c r="A161" s="200">
        <v>46265.0</v>
      </c>
      <c r="B161" s="201">
        <v>31.0</v>
      </c>
      <c r="C161" s="201">
        <v>8.0</v>
      </c>
      <c r="D161" s="201">
        <v>1.0</v>
      </c>
      <c r="E161" s="201">
        <v>45.0</v>
      </c>
      <c r="F161" s="189" t="s">
        <v>87</v>
      </c>
      <c r="G161" s="202"/>
      <c r="H161" s="201">
        <v>9.0</v>
      </c>
      <c r="I161" s="189" t="s">
        <v>717</v>
      </c>
      <c r="J161" s="200">
        <v>46265.0</v>
      </c>
      <c r="K161" s="200">
        <v>46266.0</v>
      </c>
      <c r="L161" s="133">
        <f t="shared" si="3"/>
        <v>1</v>
      </c>
      <c r="M161" s="133">
        <f t="shared" si="4"/>
        <v>1</v>
      </c>
      <c r="N161" s="133">
        <f t="shared" si="5"/>
        <v>45</v>
      </c>
    </row>
    <row r="162" ht="15.75" hidden="1" customHeight="1">
      <c r="A162" s="200">
        <v>46265.0</v>
      </c>
      <c r="B162" s="201">
        <v>31.0</v>
      </c>
      <c r="C162" s="201">
        <v>8.0</v>
      </c>
      <c r="D162" s="201">
        <v>1.0</v>
      </c>
      <c r="E162" s="201">
        <v>35.0</v>
      </c>
      <c r="F162" s="189" t="s">
        <v>87</v>
      </c>
      <c r="G162" s="202"/>
      <c r="H162" s="201">
        <v>9.0</v>
      </c>
      <c r="I162" s="189" t="s">
        <v>719</v>
      </c>
      <c r="J162" s="200">
        <v>46271.0</v>
      </c>
      <c r="K162" s="200">
        <v>46272.0</v>
      </c>
      <c r="L162" s="133">
        <f t="shared" si="3"/>
        <v>1</v>
      </c>
      <c r="M162" s="133">
        <f t="shared" si="4"/>
        <v>1</v>
      </c>
      <c r="N162" s="133">
        <f t="shared" si="5"/>
        <v>35</v>
      </c>
    </row>
    <row r="163" ht="15.75" hidden="1" customHeight="1">
      <c r="A163" s="200">
        <v>46265.0</v>
      </c>
      <c r="B163" s="201">
        <v>31.0</v>
      </c>
      <c r="C163" s="201">
        <v>8.0</v>
      </c>
      <c r="D163" s="201">
        <v>1.0</v>
      </c>
      <c r="E163" s="201">
        <v>171.0</v>
      </c>
      <c r="F163" s="189" t="s">
        <v>87</v>
      </c>
      <c r="G163" s="202"/>
      <c r="H163" s="201">
        <v>16.0</v>
      </c>
      <c r="I163" s="189" t="s">
        <v>698</v>
      </c>
      <c r="J163" s="200">
        <v>46265.0</v>
      </c>
      <c r="K163" s="200">
        <v>46270.0</v>
      </c>
      <c r="L163" s="133">
        <f t="shared" si="3"/>
        <v>5</v>
      </c>
      <c r="M163" s="133">
        <f t="shared" si="4"/>
        <v>5</v>
      </c>
      <c r="N163" s="133">
        <f t="shared" si="5"/>
        <v>34.2</v>
      </c>
    </row>
    <row r="164" ht="15.75" customHeight="1">
      <c r="A164" s="207">
        <v>46292.0</v>
      </c>
      <c r="B164" s="208">
        <v>27.0</v>
      </c>
      <c r="C164" s="208">
        <v>9.0</v>
      </c>
      <c r="D164" s="208">
        <v>1.0</v>
      </c>
      <c r="E164" s="209">
        <v>28.0</v>
      </c>
      <c r="F164" s="209" t="s">
        <v>87</v>
      </c>
      <c r="G164" s="210"/>
      <c r="H164" s="209">
        <v>13.0</v>
      </c>
      <c r="I164" s="209"/>
      <c r="J164" s="207">
        <v>46292.0</v>
      </c>
      <c r="K164" s="207">
        <v>46293.0</v>
      </c>
      <c r="L164" s="133">
        <f t="shared" si="3"/>
        <v>1</v>
      </c>
      <c r="M164" s="133">
        <f t="shared" si="4"/>
        <v>1</v>
      </c>
      <c r="N164" s="133">
        <f t="shared" si="5"/>
        <v>28</v>
      </c>
    </row>
    <row r="165" ht="15.75" customHeight="1">
      <c r="A165" s="207">
        <v>46268.0</v>
      </c>
      <c r="B165" s="208">
        <v>3.0</v>
      </c>
      <c r="C165" s="208">
        <v>9.0</v>
      </c>
      <c r="D165" s="208">
        <v>1.0</v>
      </c>
      <c r="E165" s="209">
        <v>30.0</v>
      </c>
      <c r="F165" s="209" t="s">
        <v>87</v>
      </c>
      <c r="G165" s="210"/>
      <c r="H165" s="209" t="s">
        <v>199</v>
      </c>
      <c r="I165" s="209" t="s">
        <v>720</v>
      </c>
      <c r="J165" s="207">
        <v>46268.0</v>
      </c>
      <c r="K165" s="207">
        <v>46269.0</v>
      </c>
      <c r="L165" s="133">
        <f t="shared" si="3"/>
        <v>1</v>
      </c>
      <c r="M165" s="133">
        <f t="shared" si="4"/>
        <v>1</v>
      </c>
      <c r="N165" s="133">
        <f t="shared" si="5"/>
        <v>30</v>
      </c>
    </row>
    <row r="166" ht="15.75" customHeight="1">
      <c r="A166" s="207">
        <v>46274.0</v>
      </c>
      <c r="B166" s="208">
        <v>9.0</v>
      </c>
      <c r="C166" s="208">
        <v>9.0</v>
      </c>
      <c r="D166" s="208">
        <v>1.0</v>
      </c>
      <c r="E166" s="209">
        <v>30.0</v>
      </c>
      <c r="F166" s="209" t="s">
        <v>87</v>
      </c>
      <c r="G166" s="210"/>
      <c r="H166" s="209" t="s">
        <v>199</v>
      </c>
      <c r="I166" s="209" t="s">
        <v>722</v>
      </c>
      <c r="J166" s="207">
        <v>46273.0</v>
      </c>
      <c r="K166" s="207">
        <v>46274.0</v>
      </c>
      <c r="L166" s="133">
        <f t="shared" si="3"/>
        <v>1</v>
      </c>
      <c r="M166" s="133">
        <f t="shared" si="4"/>
        <v>1</v>
      </c>
      <c r="N166" s="133">
        <f t="shared" si="5"/>
        <v>30</v>
      </c>
    </row>
    <row r="167" ht="15.75" customHeight="1">
      <c r="A167" s="207">
        <v>46274.0</v>
      </c>
      <c r="B167" s="208">
        <v>9.0</v>
      </c>
      <c r="C167" s="208">
        <v>9.0</v>
      </c>
      <c r="D167" s="208">
        <v>1.0</v>
      </c>
      <c r="E167" s="209">
        <v>30.0</v>
      </c>
      <c r="F167" s="209" t="s">
        <v>87</v>
      </c>
      <c r="G167" s="210"/>
      <c r="H167" s="209" t="s">
        <v>199</v>
      </c>
      <c r="I167" s="209" t="s">
        <v>722</v>
      </c>
      <c r="J167" s="207">
        <v>46274.0</v>
      </c>
      <c r="K167" s="207">
        <v>46275.0</v>
      </c>
      <c r="L167" s="133">
        <f t="shared" si="3"/>
        <v>1</v>
      </c>
      <c r="M167" s="133">
        <f t="shared" si="4"/>
        <v>1</v>
      </c>
      <c r="N167" s="133">
        <f t="shared" si="5"/>
        <v>30</v>
      </c>
    </row>
    <row r="168" ht="15.75" customHeight="1">
      <c r="A168" s="207">
        <v>46283.0</v>
      </c>
      <c r="B168" s="208">
        <v>18.0</v>
      </c>
      <c r="C168" s="208">
        <v>9.0</v>
      </c>
      <c r="D168" s="208">
        <v>1.0</v>
      </c>
      <c r="E168" s="209">
        <v>30.0</v>
      </c>
      <c r="F168" s="209" t="s">
        <v>87</v>
      </c>
      <c r="G168" s="210"/>
      <c r="H168" s="209" t="s">
        <v>199</v>
      </c>
      <c r="I168" s="209" t="s">
        <v>724</v>
      </c>
      <c r="J168" s="207">
        <v>46251.0</v>
      </c>
      <c r="K168" s="207">
        <v>46283.0</v>
      </c>
      <c r="L168" s="133">
        <f t="shared" si="3"/>
        <v>32</v>
      </c>
      <c r="M168" s="133">
        <f t="shared" si="4"/>
        <v>32</v>
      </c>
      <c r="N168" s="133">
        <f t="shared" si="5"/>
        <v>0.9375</v>
      </c>
    </row>
    <row r="169" ht="15.75" customHeight="1">
      <c r="A169" s="207">
        <v>46283.0</v>
      </c>
      <c r="B169" s="208">
        <v>18.0</v>
      </c>
      <c r="C169" s="208">
        <v>9.0</v>
      </c>
      <c r="D169" s="208">
        <v>1.0</v>
      </c>
      <c r="E169" s="209">
        <v>30.0</v>
      </c>
      <c r="F169" s="209" t="s">
        <v>87</v>
      </c>
      <c r="G169" s="210"/>
      <c r="H169" s="209" t="s">
        <v>199</v>
      </c>
      <c r="I169" s="209" t="s">
        <v>724</v>
      </c>
      <c r="J169" s="207">
        <v>46283.0</v>
      </c>
      <c r="K169" s="207">
        <v>46253.0</v>
      </c>
      <c r="L169" s="133">
        <f t="shared" si="3"/>
        <v>-30</v>
      </c>
      <c r="M169" s="133">
        <f t="shared" si="4"/>
        <v>-30</v>
      </c>
      <c r="N169" s="133">
        <f t="shared" si="5"/>
        <v>-1</v>
      </c>
    </row>
    <row r="170" ht="15.75" customHeight="1">
      <c r="A170" s="207">
        <v>46287.0</v>
      </c>
      <c r="B170" s="208">
        <v>22.0</v>
      </c>
      <c r="C170" s="208">
        <v>9.0</v>
      </c>
      <c r="D170" s="208">
        <v>1.0</v>
      </c>
      <c r="E170" s="209">
        <v>30.0</v>
      </c>
      <c r="F170" s="209" t="s">
        <v>87</v>
      </c>
      <c r="G170" s="210"/>
      <c r="H170" s="209">
        <v>19.0</v>
      </c>
      <c r="I170" s="209" t="s">
        <v>727</v>
      </c>
      <c r="J170" s="207">
        <v>46287.0</v>
      </c>
      <c r="K170" s="207">
        <v>46288.0</v>
      </c>
      <c r="L170" s="133">
        <f t="shared" si="3"/>
        <v>1</v>
      </c>
      <c r="M170" s="133">
        <f t="shared" si="4"/>
        <v>1</v>
      </c>
      <c r="N170" s="133">
        <f t="shared" si="5"/>
        <v>30</v>
      </c>
    </row>
    <row r="171" ht="15.75" customHeight="1">
      <c r="A171" s="207">
        <v>46290.0</v>
      </c>
      <c r="B171" s="208">
        <v>25.0</v>
      </c>
      <c r="C171" s="208">
        <v>9.0</v>
      </c>
      <c r="D171" s="208">
        <v>1.0</v>
      </c>
      <c r="E171" s="209">
        <v>30.0</v>
      </c>
      <c r="F171" s="209" t="s">
        <v>87</v>
      </c>
      <c r="G171" s="210"/>
      <c r="H171" s="209" t="s">
        <v>199</v>
      </c>
      <c r="I171" s="209" t="s">
        <v>728</v>
      </c>
      <c r="J171" s="207">
        <v>46290.0</v>
      </c>
      <c r="K171" s="207">
        <v>46291.0</v>
      </c>
      <c r="L171" s="133">
        <f t="shared" si="3"/>
        <v>1</v>
      </c>
      <c r="M171" s="133">
        <f t="shared" si="4"/>
        <v>1</v>
      </c>
      <c r="N171" s="133">
        <f t="shared" si="5"/>
        <v>30</v>
      </c>
    </row>
    <row r="172" ht="15.75" customHeight="1">
      <c r="A172" s="207">
        <v>46285.0</v>
      </c>
      <c r="B172" s="208">
        <v>20.0</v>
      </c>
      <c r="C172" s="208">
        <v>9.0</v>
      </c>
      <c r="D172" s="208">
        <v>1.0</v>
      </c>
      <c r="E172" s="209">
        <v>32.0</v>
      </c>
      <c r="F172" s="209" t="s">
        <v>87</v>
      </c>
      <c r="G172" s="210"/>
      <c r="H172" s="209">
        <v>23.0</v>
      </c>
      <c r="I172" s="209" t="s">
        <v>729</v>
      </c>
      <c r="J172" s="207">
        <v>46286.0</v>
      </c>
      <c r="K172" s="207">
        <v>46287.0</v>
      </c>
      <c r="L172" s="133">
        <f t="shared" si="3"/>
        <v>1</v>
      </c>
      <c r="M172" s="133">
        <f t="shared" si="4"/>
        <v>1</v>
      </c>
      <c r="N172" s="133">
        <f t="shared" si="5"/>
        <v>32</v>
      </c>
    </row>
    <row r="173" ht="15.75" customHeight="1">
      <c r="A173" s="207">
        <v>46285.0</v>
      </c>
      <c r="B173" s="208">
        <v>20.0</v>
      </c>
      <c r="C173" s="208">
        <v>9.0</v>
      </c>
      <c r="D173" s="208">
        <v>1.0</v>
      </c>
      <c r="E173" s="209">
        <v>32.0</v>
      </c>
      <c r="F173" s="209" t="s">
        <v>87</v>
      </c>
      <c r="G173" s="210"/>
      <c r="H173" s="209">
        <v>21.0</v>
      </c>
      <c r="I173" s="209" t="s">
        <v>730</v>
      </c>
      <c r="J173" s="207">
        <v>46285.0</v>
      </c>
      <c r="K173" s="207">
        <v>46286.0</v>
      </c>
      <c r="L173" s="133">
        <f t="shared" si="3"/>
        <v>1</v>
      </c>
      <c r="M173" s="133">
        <f t="shared" si="4"/>
        <v>1</v>
      </c>
      <c r="N173" s="133">
        <f t="shared" si="5"/>
        <v>32</v>
      </c>
    </row>
    <row r="174" ht="15.75" customHeight="1">
      <c r="A174" s="207">
        <v>46287.0</v>
      </c>
      <c r="B174" s="208">
        <v>22.0</v>
      </c>
      <c r="C174" s="208">
        <v>9.0</v>
      </c>
      <c r="D174" s="208">
        <v>1.0</v>
      </c>
      <c r="E174" s="209">
        <v>32.0</v>
      </c>
      <c r="F174" s="209" t="s">
        <v>87</v>
      </c>
      <c r="G174" s="210"/>
      <c r="H174" s="209">
        <v>24.0</v>
      </c>
      <c r="I174" s="209" t="s">
        <v>732</v>
      </c>
      <c r="J174" s="207">
        <v>46287.0</v>
      </c>
      <c r="K174" s="207">
        <v>46288.0</v>
      </c>
      <c r="L174" s="133">
        <f t="shared" si="3"/>
        <v>1</v>
      </c>
      <c r="M174" s="133">
        <f t="shared" si="4"/>
        <v>1</v>
      </c>
      <c r="N174" s="133">
        <f t="shared" si="5"/>
        <v>32</v>
      </c>
    </row>
    <row r="175" ht="15.75" customHeight="1">
      <c r="A175" s="207">
        <v>46269.0</v>
      </c>
      <c r="B175" s="208">
        <v>4.0</v>
      </c>
      <c r="C175" s="208">
        <v>9.0</v>
      </c>
      <c r="D175" s="208">
        <v>1.0</v>
      </c>
      <c r="E175" s="209">
        <v>35.0</v>
      </c>
      <c r="F175" s="209" t="s">
        <v>87</v>
      </c>
      <c r="G175" s="210"/>
      <c r="H175" s="209">
        <v>14.0</v>
      </c>
      <c r="I175" s="209" t="s">
        <v>733</v>
      </c>
      <c r="J175" s="207">
        <v>46268.0</v>
      </c>
      <c r="K175" s="207">
        <v>46269.0</v>
      </c>
      <c r="L175" s="133">
        <f t="shared" si="3"/>
        <v>1</v>
      </c>
      <c r="M175" s="133">
        <f t="shared" si="4"/>
        <v>1</v>
      </c>
      <c r="N175" s="133">
        <f t="shared" si="5"/>
        <v>35</v>
      </c>
    </row>
    <row r="176" ht="15.75" customHeight="1">
      <c r="A176" s="207">
        <v>46270.0</v>
      </c>
      <c r="B176" s="208">
        <v>5.0</v>
      </c>
      <c r="C176" s="208">
        <v>9.0</v>
      </c>
      <c r="D176" s="208">
        <v>1.0</v>
      </c>
      <c r="E176" s="209">
        <v>35.0</v>
      </c>
      <c r="F176" s="209" t="s">
        <v>87</v>
      </c>
      <c r="G176" s="210"/>
      <c r="H176" s="209" t="s">
        <v>199</v>
      </c>
      <c r="I176" s="209" t="s">
        <v>734</v>
      </c>
      <c r="J176" s="207">
        <v>46270.0</v>
      </c>
      <c r="K176" s="207">
        <v>46271.0</v>
      </c>
      <c r="L176" s="133">
        <f t="shared" si="3"/>
        <v>1</v>
      </c>
      <c r="M176" s="133">
        <f t="shared" si="4"/>
        <v>1</v>
      </c>
      <c r="N176" s="133">
        <f t="shared" si="5"/>
        <v>35</v>
      </c>
    </row>
    <row r="177" ht="15.75" customHeight="1">
      <c r="A177" s="207">
        <v>46273.0</v>
      </c>
      <c r="B177" s="208">
        <v>8.0</v>
      </c>
      <c r="C177" s="208">
        <v>9.0</v>
      </c>
      <c r="D177" s="208">
        <v>1.0</v>
      </c>
      <c r="E177" s="209">
        <v>35.0</v>
      </c>
      <c r="F177" s="209" t="s">
        <v>87</v>
      </c>
      <c r="G177" s="210"/>
      <c r="H177" s="209">
        <v>3.0</v>
      </c>
      <c r="I177" s="209" t="s">
        <v>735</v>
      </c>
      <c r="J177" s="207">
        <v>46273.0</v>
      </c>
      <c r="K177" s="207">
        <v>46274.0</v>
      </c>
      <c r="L177" s="133">
        <f t="shared" si="3"/>
        <v>1</v>
      </c>
      <c r="M177" s="133">
        <f t="shared" si="4"/>
        <v>1</v>
      </c>
      <c r="N177" s="133">
        <f t="shared" si="5"/>
        <v>35</v>
      </c>
    </row>
    <row r="178" ht="15.75" customHeight="1">
      <c r="A178" s="207">
        <v>46280.0</v>
      </c>
      <c r="B178" s="208">
        <v>15.0</v>
      </c>
      <c r="C178" s="208">
        <v>9.0</v>
      </c>
      <c r="D178" s="208">
        <v>1.0</v>
      </c>
      <c r="E178" s="209">
        <v>35.0</v>
      </c>
      <c r="F178" s="209" t="s">
        <v>87</v>
      </c>
      <c r="G178" s="210"/>
      <c r="H178" s="209">
        <v>8.0</v>
      </c>
      <c r="I178" s="209" t="s">
        <v>736</v>
      </c>
      <c r="J178" s="207">
        <v>46279.0</v>
      </c>
      <c r="K178" s="207">
        <v>46280.0</v>
      </c>
      <c r="L178" s="133">
        <f t="shared" si="3"/>
        <v>1</v>
      </c>
      <c r="M178" s="133">
        <f t="shared" si="4"/>
        <v>1</v>
      </c>
      <c r="N178" s="133">
        <f t="shared" si="5"/>
        <v>35</v>
      </c>
    </row>
    <row r="179" ht="15.75" customHeight="1">
      <c r="A179" s="207">
        <v>46282.0</v>
      </c>
      <c r="B179" s="208">
        <v>17.0</v>
      </c>
      <c r="C179" s="208">
        <v>9.0</v>
      </c>
      <c r="D179" s="208">
        <v>1.0</v>
      </c>
      <c r="E179" s="209">
        <v>35.0</v>
      </c>
      <c r="F179" s="209" t="s">
        <v>87</v>
      </c>
      <c r="G179" s="210"/>
      <c r="H179" s="209">
        <v>10.0</v>
      </c>
      <c r="I179" s="209" t="s">
        <v>737</v>
      </c>
      <c r="J179" s="207">
        <v>46282.0</v>
      </c>
      <c r="K179" s="207">
        <v>46253.0</v>
      </c>
      <c r="L179" s="133">
        <f t="shared" si="3"/>
        <v>-29</v>
      </c>
      <c r="M179" s="133">
        <f t="shared" si="4"/>
        <v>-29</v>
      </c>
      <c r="N179" s="133">
        <f t="shared" si="5"/>
        <v>-1.206896552</v>
      </c>
    </row>
    <row r="180" ht="15.75" customHeight="1">
      <c r="A180" s="207">
        <v>46282.0</v>
      </c>
      <c r="B180" s="208">
        <v>17.0</v>
      </c>
      <c r="C180" s="208">
        <v>9.0</v>
      </c>
      <c r="D180" s="208">
        <v>1.0</v>
      </c>
      <c r="E180" s="209">
        <v>35.0</v>
      </c>
      <c r="F180" s="209" t="s">
        <v>87</v>
      </c>
      <c r="G180" s="210"/>
      <c r="H180" s="209">
        <v>7.0</v>
      </c>
      <c r="I180" s="209" t="s">
        <v>738</v>
      </c>
      <c r="J180" s="207">
        <v>46283.0</v>
      </c>
      <c r="K180" s="207">
        <v>46284.0</v>
      </c>
      <c r="L180" s="133">
        <f t="shared" si="3"/>
        <v>1</v>
      </c>
      <c r="M180" s="133">
        <f t="shared" si="4"/>
        <v>1</v>
      </c>
      <c r="N180" s="133">
        <f t="shared" si="5"/>
        <v>35</v>
      </c>
    </row>
    <row r="181" ht="15.75" customHeight="1">
      <c r="A181" s="207">
        <v>46283.0</v>
      </c>
      <c r="B181" s="208">
        <v>18.0</v>
      </c>
      <c r="C181" s="208">
        <v>9.0</v>
      </c>
      <c r="D181" s="208">
        <v>1.0</v>
      </c>
      <c r="E181" s="209">
        <v>35.0</v>
      </c>
      <c r="F181" s="209" t="s">
        <v>87</v>
      </c>
      <c r="G181" s="210"/>
      <c r="H181" s="209">
        <v>18.0</v>
      </c>
      <c r="I181" s="209" t="s">
        <v>739</v>
      </c>
      <c r="J181" s="207">
        <v>46282.0</v>
      </c>
      <c r="K181" s="207">
        <v>46283.0</v>
      </c>
      <c r="L181" s="133">
        <f t="shared" si="3"/>
        <v>1</v>
      </c>
      <c r="M181" s="133">
        <f t="shared" si="4"/>
        <v>1</v>
      </c>
      <c r="N181" s="133">
        <f t="shared" si="5"/>
        <v>35</v>
      </c>
    </row>
    <row r="182" ht="15.75" customHeight="1">
      <c r="A182" s="207">
        <v>46288.0</v>
      </c>
      <c r="B182" s="208">
        <v>23.0</v>
      </c>
      <c r="C182" s="208">
        <v>9.0</v>
      </c>
      <c r="D182" s="208">
        <v>1.0</v>
      </c>
      <c r="E182" s="209">
        <v>35.0</v>
      </c>
      <c r="F182" s="209" t="s">
        <v>87</v>
      </c>
      <c r="G182" s="210"/>
      <c r="H182" s="209">
        <v>7.0</v>
      </c>
      <c r="I182" s="209" t="s">
        <v>740</v>
      </c>
      <c r="J182" s="207">
        <v>46288.0</v>
      </c>
      <c r="K182" s="207">
        <v>46289.0</v>
      </c>
      <c r="L182" s="133">
        <f t="shared" si="3"/>
        <v>1</v>
      </c>
      <c r="M182" s="133">
        <f t="shared" si="4"/>
        <v>1</v>
      </c>
      <c r="N182" s="133">
        <f t="shared" si="5"/>
        <v>35</v>
      </c>
    </row>
    <row r="183" ht="15.75" customHeight="1">
      <c r="A183" s="207">
        <v>46291.0</v>
      </c>
      <c r="B183" s="208">
        <v>26.0</v>
      </c>
      <c r="C183" s="208">
        <v>9.0</v>
      </c>
      <c r="D183" s="208">
        <v>1.0</v>
      </c>
      <c r="E183" s="209">
        <v>35.0</v>
      </c>
      <c r="F183" s="209" t="s">
        <v>87</v>
      </c>
      <c r="G183" s="210"/>
      <c r="H183" s="209">
        <v>10.0</v>
      </c>
      <c r="I183" s="209" t="s">
        <v>741</v>
      </c>
      <c r="J183" s="207">
        <v>46291.0</v>
      </c>
      <c r="K183" s="207">
        <v>46292.0</v>
      </c>
      <c r="L183" s="133">
        <f t="shared" si="3"/>
        <v>1</v>
      </c>
      <c r="M183" s="133">
        <f t="shared" si="4"/>
        <v>1</v>
      </c>
      <c r="N183" s="133">
        <f t="shared" si="5"/>
        <v>35</v>
      </c>
    </row>
    <row r="184" ht="15.75" customHeight="1">
      <c r="A184" s="211">
        <v>46295.0</v>
      </c>
      <c r="B184" s="212">
        <v>30.0</v>
      </c>
      <c r="C184" s="212">
        <v>9.0</v>
      </c>
      <c r="D184" s="212">
        <v>1.0</v>
      </c>
      <c r="E184" s="213">
        <v>35.0</v>
      </c>
      <c r="F184" s="213" t="s">
        <v>87</v>
      </c>
      <c r="G184" s="214"/>
      <c r="H184" s="213"/>
      <c r="I184" s="213" t="s">
        <v>743</v>
      </c>
      <c r="J184" s="211">
        <v>46295.0</v>
      </c>
      <c r="K184" s="211">
        <v>46296.0</v>
      </c>
      <c r="L184" s="215">
        <f t="shared" si="3"/>
        <v>1</v>
      </c>
      <c r="M184" s="215">
        <f t="shared" si="4"/>
        <v>1</v>
      </c>
      <c r="N184" s="215">
        <f t="shared" si="5"/>
        <v>35</v>
      </c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 ht="15.75" customHeight="1">
      <c r="A185" s="207">
        <v>46269.0</v>
      </c>
      <c r="B185" s="208">
        <v>4.0</v>
      </c>
      <c r="C185" s="208">
        <v>9.0</v>
      </c>
      <c r="D185" s="208">
        <v>1.0</v>
      </c>
      <c r="E185" s="209">
        <v>45.0</v>
      </c>
      <c r="F185" s="209" t="s">
        <v>87</v>
      </c>
      <c r="G185" s="210"/>
      <c r="H185" s="209">
        <v>18.0</v>
      </c>
      <c r="I185" s="209" t="s">
        <v>744</v>
      </c>
      <c r="J185" s="207">
        <v>46269.0</v>
      </c>
      <c r="K185" s="207">
        <v>46270.0</v>
      </c>
      <c r="L185" s="133">
        <f t="shared" si="3"/>
        <v>1</v>
      </c>
      <c r="M185" s="133">
        <f t="shared" si="4"/>
        <v>1</v>
      </c>
      <c r="N185" s="133">
        <f t="shared" si="5"/>
        <v>45</v>
      </c>
    </row>
    <row r="186" ht="15.75" customHeight="1">
      <c r="A186" s="207">
        <v>46271.0</v>
      </c>
      <c r="B186" s="208">
        <v>6.0</v>
      </c>
      <c r="C186" s="208">
        <v>9.0</v>
      </c>
      <c r="D186" s="208">
        <v>1.0</v>
      </c>
      <c r="E186" s="209">
        <v>45.0</v>
      </c>
      <c r="F186" s="209" t="s">
        <v>87</v>
      </c>
      <c r="G186" s="210"/>
      <c r="H186" s="209">
        <v>5.0</v>
      </c>
      <c r="I186" s="209" t="s">
        <v>745</v>
      </c>
      <c r="J186" s="207">
        <v>46270.0</v>
      </c>
      <c r="K186" s="207">
        <v>46271.0</v>
      </c>
      <c r="L186" s="133">
        <f t="shared" si="3"/>
        <v>1</v>
      </c>
      <c r="M186" s="133">
        <f t="shared" si="4"/>
        <v>1</v>
      </c>
      <c r="N186" s="133">
        <f t="shared" si="5"/>
        <v>45</v>
      </c>
    </row>
    <row r="187" ht="15.75" customHeight="1">
      <c r="A187" s="207">
        <v>46272.0</v>
      </c>
      <c r="B187" s="208">
        <v>7.0</v>
      </c>
      <c r="C187" s="208">
        <v>9.0</v>
      </c>
      <c r="D187" s="208">
        <v>1.0</v>
      </c>
      <c r="E187" s="209">
        <v>45.0</v>
      </c>
      <c r="F187" s="209" t="s">
        <v>87</v>
      </c>
      <c r="G187" s="210"/>
      <c r="H187" s="209">
        <v>24.0</v>
      </c>
      <c r="I187" s="209" t="s">
        <v>746</v>
      </c>
      <c r="J187" s="207">
        <v>46272.0</v>
      </c>
      <c r="K187" s="207">
        <v>46273.0</v>
      </c>
      <c r="L187" s="133">
        <f t="shared" si="3"/>
        <v>1</v>
      </c>
      <c r="M187" s="133">
        <f t="shared" si="4"/>
        <v>1</v>
      </c>
      <c r="N187" s="133">
        <f t="shared" si="5"/>
        <v>45</v>
      </c>
    </row>
    <row r="188" ht="15.75" customHeight="1">
      <c r="A188" s="207">
        <v>46274.0</v>
      </c>
      <c r="B188" s="208">
        <v>9.0</v>
      </c>
      <c r="C188" s="208">
        <v>9.0</v>
      </c>
      <c r="D188" s="208">
        <v>1.0</v>
      </c>
      <c r="E188" s="209">
        <v>45.0</v>
      </c>
      <c r="F188" s="209" t="s">
        <v>87</v>
      </c>
      <c r="G188" s="210"/>
      <c r="H188" s="209">
        <v>7.0</v>
      </c>
      <c r="I188" s="209" t="s">
        <v>747</v>
      </c>
      <c r="J188" s="207">
        <v>46274.0</v>
      </c>
      <c r="K188" s="207">
        <v>46275.0</v>
      </c>
      <c r="L188" s="133">
        <f t="shared" si="3"/>
        <v>1</v>
      </c>
      <c r="M188" s="133">
        <f t="shared" si="4"/>
        <v>1</v>
      </c>
      <c r="N188" s="133">
        <f t="shared" si="5"/>
        <v>45</v>
      </c>
    </row>
    <row r="189" ht="15.75" customHeight="1">
      <c r="A189" s="207">
        <v>46287.0</v>
      </c>
      <c r="B189" s="208">
        <v>22.0</v>
      </c>
      <c r="C189" s="208">
        <v>9.0</v>
      </c>
      <c r="D189" s="208">
        <v>1.0</v>
      </c>
      <c r="E189" s="209">
        <v>45.0</v>
      </c>
      <c r="F189" s="209" t="s">
        <v>87</v>
      </c>
      <c r="G189" s="210"/>
      <c r="H189" s="209">
        <v>19.0</v>
      </c>
      <c r="I189" s="209" t="s">
        <v>727</v>
      </c>
      <c r="J189" s="207">
        <v>46288.0</v>
      </c>
      <c r="K189" s="207">
        <v>46289.0</v>
      </c>
      <c r="L189" s="133">
        <f t="shared" si="3"/>
        <v>1</v>
      </c>
      <c r="M189" s="133">
        <f t="shared" si="4"/>
        <v>1</v>
      </c>
      <c r="N189" s="133">
        <f t="shared" si="5"/>
        <v>45</v>
      </c>
    </row>
    <row r="190" ht="15.75" customHeight="1">
      <c r="A190" s="207">
        <v>46289.0</v>
      </c>
      <c r="B190" s="208">
        <v>24.0</v>
      </c>
      <c r="C190" s="208">
        <v>9.0</v>
      </c>
      <c r="D190" s="208">
        <v>1.0</v>
      </c>
      <c r="E190" s="209">
        <v>45.0</v>
      </c>
      <c r="F190" s="209" t="s">
        <v>87</v>
      </c>
      <c r="G190" s="210"/>
      <c r="H190" s="209">
        <v>21.0</v>
      </c>
      <c r="I190" s="209" t="s">
        <v>748</v>
      </c>
      <c r="J190" s="207">
        <v>46288.0</v>
      </c>
      <c r="K190" s="207">
        <v>46289.0</v>
      </c>
      <c r="L190" s="133">
        <f t="shared" si="3"/>
        <v>1</v>
      </c>
      <c r="M190" s="133">
        <f t="shared" si="4"/>
        <v>1</v>
      </c>
      <c r="N190" s="133">
        <f t="shared" si="5"/>
        <v>45</v>
      </c>
    </row>
    <row r="191" ht="15.75" customHeight="1">
      <c r="A191" s="207">
        <v>46291.0</v>
      </c>
      <c r="B191" s="208">
        <v>26.0</v>
      </c>
      <c r="C191" s="208">
        <v>9.0</v>
      </c>
      <c r="D191" s="208">
        <v>1.0</v>
      </c>
      <c r="E191" s="209">
        <v>45.0</v>
      </c>
      <c r="F191" s="209" t="s">
        <v>87</v>
      </c>
      <c r="G191" s="210"/>
      <c r="H191" s="209">
        <v>24.0</v>
      </c>
      <c r="I191" s="209" t="s">
        <v>749</v>
      </c>
      <c r="J191" s="207">
        <v>46290.0</v>
      </c>
      <c r="K191" s="207">
        <v>46291.0</v>
      </c>
      <c r="L191" s="133">
        <f t="shared" si="3"/>
        <v>1</v>
      </c>
      <c r="M191" s="133">
        <f t="shared" si="4"/>
        <v>1</v>
      </c>
      <c r="N191" s="133">
        <f t="shared" si="5"/>
        <v>45</v>
      </c>
    </row>
    <row r="192" ht="15.75" customHeight="1">
      <c r="A192" s="207">
        <v>46284.0</v>
      </c>
      <c r="B192" s="208">
        <v>19.0</v>
      </c>
      <c r="C192" s="208">
        <v>9.0</v>
      </c>
      <c r="D192" s="208">
        <v>1.0</v>
      </c>
      <c r="E192" s="209">
        <v>54.0</v>
      </c>
      <c r="F192" s="209" t="s">
        <v>87</v>
      </c>
      <c r="G192" s="210"/>
      <c r="H192" s="209">
        <v>2.0</v>
      </c>
      <c r="I192" s="209" t="s">
        <v>750</v>
      </c>
      <c r="J192" s="207">
        <v>46294.0</v>
      </c>
      <c r="K192" s="207">
        <v>46296.0</v>
      </c>
      <c r="L192" s="133">
        <f t="shared" si="3"/>
        <v>2</v>
      </c>
      <c r="M192" s="133">
        <f t="shared" si="4"/>
        <v>2</v>
      </c>
      <c r="N192" s="133">
        <f t="shared" si="5"/>
        <v>27</v>
      </c>
    </row>
    <row r="193" ht="15.75" customHeight="1">
      <c r="A193" s="207">
        <v>46273.0</v>
      </c>
      <c r="B193" s="208">
        <v>8.0</v>
      </c>
      <c r="C193" s="208">
        <v>9.0</v>
      </c>
      <c r="D193" s="208">
        <v>1.0</v>
      </c>
      <c r="E193" s="209">
        <v>55.0</v>
      </c>
      <c r="F193" s="209" t="s">
        <v>12</v>
      </c>
      <c r="G193" s="210"/>
      <c r="H193" s="209">
        <v>8.0</v>
      </c>
      <c r="I193" s="209" t="s">
        <v>752</v>
      </c>
      <c r="J193" s="207">
        <v>46273.0</v>
      </c>
      <c r="K193" s="207">
        <v>46274.0</v>
      </c>
      <c r="L193" s="133">
        <f t="shared" si="3"/>
        <v>1</v>
      </c>
      <c r="M193" s="133">
        <f t="shared" si="4"/>
        <v>1</v>
      </c>
      <c r="N193" s="133">
        <f t="shared" si="5"/>
        <v>55</v>
      </c>
    </row>
    <row r="194" ht="15.75" customHeight="1">
      <c r="A194" s="207">
        <v>46270.0</v>
      </c>
      <c r="B194" s="208">
        <v>5.0</v>
      </c>
      <c r="C194" s="208">
        <v>9.0</v>
      </c>
      <c r="D194" s="208">
        <v>2.0</v>
      </c>
      <c r="E194" s="209">
        <v>60.0</v>
      </c>
      <c r="F194" s="209" t="s">
        <v>87</v>
      </c>
      <c r="G194" s="210"/>
      <c r="H194" s="209" t="s">
        <v>199</v>
      </c>
      <c r="I194" s="209" t="s">
        <v>753</v>
      </c>
      <c r="J194" s="207">
        <v>46269.0</v>
      </c>
      <c r="K194" s="207">
        <v>46270.0</v>
      </c>
      <c r="L194" s="133">
        <f t="shared" si="3"/>
        <v>1</v>
      </c>
      <c r="M194" s="133">
        <f t="shared" si="4"/>
        <v>2</v>
      </c>
      <c r="N194" s="133">
        <f t="shared" si="5"/>
        <v>30</v>
      </c>
    </row>
    <row r="195" ht="15.75" customHeight="1">
      <c r="A195" s="207">
        <v>46270.0</v>
      </c>
      <c r="B195" s="208">
        <v>5.0</v>
      </c>
      <c r="C195" s="208">
        <v>9.0</v>
      </c>
      <c r="D195" s="208">
        <v>1.0</v>
      </c>
      <c r="E195" s="209">
        <v>60.0</v>
      </c>
      <c r="F195" s="209" t="s">
        <v>87</v>
      </c>
      <c r="G195" s="210"/>
      <c r="H195" s="209" t="s">
        <v>199</v>
      </c>
      <c r="I195" s="209" t="s">
        <v>744</v>
      </c>
      <c r="J195" s="207">
        <v>46270.0</v>
      </c>
      <c r="K195" s="207">
        <v>46272.0</v>
      </c>
      <c r="L195" s="133">
        <f t="shared" si="3"/>
        <v>2</v>
      </c>
      <c r="M195" s="133">
        <f t="shared" si="4"/>
        <v>2</v>
      </c>
      <c r="N195" s="133">
        <f t="shared" si="5"/>
        <v>30</v>
      </c>
    </row>
    <row r="196" ht="15.75" customHeight="1">
      <c r="A196" s="200">
        <v>46266.0</v>
      </c>
      <c r="B196" s="201">
        <v>1.0</v>
      </c>
      <c r="C196" s="201">
        <v>9.0</v>
      </c>
      <c r="D196" s="201">
        <v>1.0</v>
      </c>
      <c r="E196" s="201">
        <v>70.0</v>
      </c>
      <c r="F196" s="189" t="s">
        <v>87</v>
      </c>
      <c r="G196" s="202"/>
      <c r="H196" s="201">
        <v>12.0</v>
      </c>
      <c r="I196" s="189" t="s">
        <v>754</v>
      </c>
      <c r="J196" s="200">
        <v>46266.0</v>
      </c>
      <c r="K196" s="200">
        <v>46268.0</v>
      </c>
      <c r="L196" s="133">
        <f t="shared" si="3"/>
        <v>2</v>
      </c>
      <c r="M196" s="133">
        <f t="shared" si="4"/>
        <v>2</v>
      </c>
      <c r="N196" s="133">
        <f t="shared" si="5"/>
        <v>35</v>
      </c>
    </row>
    <row r="197" ht="15.75" customHeight="1">
      <c r="A197" s="207">
        <v>46271.0</v>
      </c>
      <c r="B197" s="208">
        <v>6.0</v>
      </c>
      <c r="C197" s="208">
        <v>9.0</v>
      </c>
      <c r="D197" s="208">
        <v>1.0</v>
      </c>
      <c r="E197" s="209">
        <v>90.0</v>
      </c>
      <c r="F197" s="209" t="s">
        <v>87</v>
      </c>
      <c r="G197" s="210"/>
      <c r="H197" s="209">
        <v>18.0</v>
      </c>
      <c r="I197" s="209" t="s">
        <v>755</v>
      </c>
      <c r="J197" s="207">
        <v>46271.0</v>
      </c>
      <c r="K197" s="207">
        <v>46273.0</v>
      </c>
      <c r="L197" s="133">
        <f t="shared" si="3"/>
        <v>2</v>
      </c>
      <c r="M197" s="133">
        <f t="shared" si="4"/>
        <v>2</v>
      </c>
      <c r="N197" s="133">
        <f t="shared" si="5"/>
        <v>45</v>
      </c>
    </row>
    <row r="198" ht="15.75" customHeight="1">
      <c r="A198" s="207">
        <v>46293.0</v>
      </c>
      <c r="B198" s="208">
        <v>28.0</v>
      </c>
      <c r="C198" s="208">
        <v>9.0</v>
      </c>
      <c r="D198" s="208">
        <v>1.0</v>
      </c>
      <c r="E198" s="209">
        <v>99.99</v>
      </c>
      <c r="F198" s="209" t="s">
        <v>87</v>
      </c>
      <c r="G198" s="210"/>
      <c r="H198" s="209">
        <v>22.0</v>
      </c>
      <c r="I198" s="209" t="s">
        <v>757</v>
      </c>
      <c r="J198" s="207">
        <v>46292.0</v>
      </c>
      <c r="K198" s="207">
        <v>46295.0</v>
      </c>
      <c r="L198" s="133">
        <f t="shared" si="3"/>
        <v>3</v>
      </c>
      <c r="M198" s="133">
        <f t="shared" si="4"/>
        <v>3</v>
      </c>
      <c r="N198" s="133">
        <f t="shared" si="5"/>
        <v>33.33</v>
      </c>
    </row>
    <row r="199" ht="15.75" customHeight="1">
      <c r="A199" s="207">
        <v>46278.0</v>
      </c>
      <c r="B199" s="208">
        <v>13.0</v>
      </c>
      <c r="C199" s="208">
        <v>9.0</v>
      </c>
      <c r="D199" s="208">
        <v>1.0</v>
      </c>
      <c r="E199" s="209">
        <v>100.0</v>
      </c>
      <c r="F199" s="209" t="s">
        <v>87</v>
      </c>
      <c r="G199" s="210"/>
      <c r="H199" s="209">
        <v>15.0</v>
      </c>
      <c r="I199" s="209" t="s">
        <v>758</v>
      </c>
      <c r="J199" s="207">
        <v>46278.0</v>
      </c>
      <c r="K199" s="207">
        <v>46280.0</v>
      </c>
      <c r="L199" s="133">
        <f t="shared" si="3"/>
        <v>2</v>
      </c>
      <c r="M199" s="133">
        <f t="shared" si="4"/>
        <v>2</v>
      </c>
      <c r="N199" s="133">
        <f t="shared" si="5"/>
        <v>50</v>
      </c>
    </row>
    <row r="200" ht="15.75" customHeight="1">
      <c r="A200" s="207">
        <v>46290.0</v>
      </c>
      <c r="B200" s="208">
        <v>25.0</v>
      </c>
      <c r="C200" s="208">
        <v>9.0</v>
      </c>
      <c r="D200" s="208">
        <v>1.0</v>
      </c>
      <c r="E200" s="209">
        <v>135.0</v>
      </c>
      <c r="F200" s="209" t="s">
        <v>87</v>
      </c>
      <c r="G200" s="210"/>
      <c r="H200" s="209">
        <v>20.0</v>
      </c>
      <c r="I200" s="209" t="s">
        <v>760</v>
      </c>
      <c r="J200" s="207">
        <v>46290.0</v>
      </c>
      <c r="K200" s="207">
        <v>46293.0</v>
      </c>
      <c r="L200" s="133">
        <f t="shared" si="3"/>
        <v>3</v>
      </c>
      <c r="M200" s="133">
        <f t="shared" si="4"/>
        <v>3</v>
      </c>
      <c r="N200" s="133">
        <f t="shared" si="5"/>
        <v>45</v>
      </c>
    </row>
    <row r="201" ht="15.75" customHeight="1">
      <c r="A201" s="207">
        <v>46287.0</v>
      </c>
      <c r="B201" s="208">
        <v>22.0</v>
      </c>
      <c r="C201" s="208">
        <v>9.0</v>
      </c>
      <c r="D201" s="208">
        <v>1.0</v>
      </c>
      <c r="E201" s="209">
        <v>175.0</v>
      </c>
      <c r="F201" s="209" t="s">
        <v>87</v>
      </c>
      <c r="G201" s="210"/>
      <c r="H201" s="209">
        <v>9.0</v>
      </c>
      <c r="I201" s="209" t="s">
        <v>761</v>
      </c>
      <c r="J201" s="207">
        <v>46285.0</v>
      </c>
      <c r="K201" s="207">
        <v>46290.0</v>
      </c>
      <c r="L201" s="133">
        <f t="shared" si="3"/>
        <v>5</v>
      </c>
      <c r="M201" s="133">
        <f t="shared" si="4"/>
        <v>5</v>
      </c>
      <c r="N201" s="133">
        <f t="shared" si="5"/>
        <v>35</v>
      </c>
    </row>
    <row r="202" ht="15.75" customHeight="1">
      <c r="A202" s="207">
        <v>46270.0</v>
      </c>
      <c r="B202" s="208">
        <v>5.0</v>
      </c>
      <c r="C202" s="208">
        <v>9.0</v>
      </c>
      <c r="D202" s="208">
        <v>1.0</v>
      </c>
      <c r="E202" s="209">
        <v>220.0</v>
      </c>
      <c r="F202" s="209" t="s">
        <v>87</v>
      </c>
      <c r="G202" s="210"/>
      <c r="H202" s="209">
        <v>16.0</v>
      </c>
      <c r="I202" s="209" t="s">
        <v>744</v>
      </c>
      <c r="J202" s="207">
        <v>46272.0</v>
      </c>
      <c r="K202" s="207">
        <v>46277.0</v>
      </c>
      <c r="L202" s="133">
        <f t="shared" si="3"/>
        <v>5</v>
      </c>
      <c r="M202" s="133">
        <f t="shared" si="4"/>
        <v>5</v>
      </c>
      <c r="N202" s="133">
        <f t="shared" si="5"/>
        <v>44</v>
      </c>
    </row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Z$994">
    <filterColumn colId="2">
      <filters>
        <filter val="9"/>
      </filters>
    </filterColumn>
    <sortState ref="A1:Z994">
      <sortCondition ref="E1:E994"/>
      <sortCondition ref="B1:B994"/>
      <sortCondition ref="I1:I994"/>
    </sortState>
  </autoFil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5.75"/>
    <col customWidth="1" min="3" max="3" width="6.0"/>
    <col customWidth="1" min="4" max="4" width="5.88"/>
    <col customWidth="1" min="5" max="5" width="17.75"/>
    <col customWidth="1" min="6" max="7" width="9.38"/>
    <col customWidth="1" min="8" max="8" width="12.0"/>
    <col customWidth="1" min="9" max="9" width="12.88"/>
    <col customWidth="1" min="10" max="10" width="29.0"/>
    <col customWidth="1" min="11" max="13" width="6.0"/>
  </cols>
  <sheetData>
    <row r="1">
      <c r="A1" s="216" t="s">
        <v>23</v>
      </c>
      <c r="B1" s="216" t="s">
        <v>788</v>
      </c>
      <c r="C1" s="217" t="s">
        <v>789</v>
      </c>
      <c r="D1" s="217" t="s">
        <v>790</v>
      </c>
      <c r="E1" s="218" t="s">
        <v>791</v>
      </c>
      <c r="F1" s="219" t="s">
        <v>792</v>
      </c>
      <c r="G1" s="219" t="s">
        <v>793</v>
      </c>
      <c r="H1" s="220" t="s">
        <v>6</v>
      </c>
      <c r="I1" s="219" t="s">
        <v>795</v>
      </c>
      <c r="J1" s="219" t="s">
        <v>796</v>
      </c>
      <c r="K1" s="217" t="s">
        <v>789</v>
      </c>
      <c r="L1" s="217" t="s">
        <v>789</v>
      </c>
      <c r="M1" s="217" t="s">
        <v>797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hidden="1" customHeight="1">
      <c r="A2" s="221">
        <v>46143.0</v>
      </c>
      <c r="B2" s="222">
        <f t="shared" ref="B2:B74" si="1">day(A2)</f>
        <v>1</v>
      </c>
      <c r="C2" s="222">
        <v>5.0</v>
      </c>
      <c r="D2" s="222">
        <f t="shared" ref="D2:D74" si="2">year(A2)</f>
        <v>2026</v>
      </c>
      <c r="E2" s="223" t="s">
        <v>145</v>
      </c>
      <c r="F2" s="222">
        <v>2.0</v>
      </c>
      <c r="G2" s="224">
        <v>2.0</v>
      </c>
      <c r="H2" s="225">
        <f t="shared" ref="H2:H39" si="3">F2*G2</f>
        <v>4</v>
      </c>
      <c r="I2" s="223" t="s">
        <v>245</v>
      </c>
      <c r="J2" s="223"/>
      <c r="K2" s="222">
        <v>5.0</v>
      </c>
      <c r="L2" s="222">
        <v>5.0</v>
      </c>
      <c r="M2" s="222">
        <v>2026.0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hidden="1" customHeight="1">
      <c r="A3" s="221">
        <v>46144.0</v>
      </c>
      <c r="B3" s="222">
        <f t="shared" si="1"/>
        <v>2</v>
      </c>
      <c r="C3" s="222">
        <v>5.0</v>
      </c>
      <c r="D3" s="222">
        <f t="shared" si="2"/>
        <v>2026</v>
      </c>
      <c r="E3" s="223" t="s">
        <v>148</v>
      </c>
      <c r="F3" s="222">
        <v>1.0</v>
      </c>
      <c r="G3" s="224">
        <v>15.0</v>
      </c>
      <c r="H3" s="225">
        <f t="shared" si="3"/>
        <v>15</v>
      </c>
      <c r="I3" s="223" t="s">
        <v>245</v>
      </c>
      <c r="J3" s="223"/>
      <c r="K3" s="222">
        <v>5.0</v>
      </c>
      <c r="L3" s="222">
        <v>5.0</v>
      </c>
      <c r="M3" s="222">
        <v>2026.0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hidden="1" customHeight="1">
      <c r="A4" s="221">
        <v>46144.0</v>
      </c>
      <c r="B4" s="222">
        <f t="shared" si="1"/>
        <v>2</v>
      </c>
      <c r="C4" s="222">
        <v>5.0</v>
      </c>
      <c r="D4" s="222">
        <f t="shared" si="2"/>
        <v>2026</v>
      </c>
      <c r="E4" s="223" t="s">
        <v>150</v>
      </c>
      <c r="F4" s="222">
        <v>1.0</v>
      </c>
      <c r="G4" s="224">
        <v>10.0</v>
      </c>
      <c r="H4" s="225">
        <f t="shared" si="3"/>
        <v>10</v>
      </c>
      <c r="I4" s="223" t="s">
        <v>245</v>
      </c>
      <c r="J4" s="223"/>
      <c r="K4" s="222">
        <v>5.0</v>
      </c>
      <c r="L4" s="222">
        <v>5.0</v>
      </c>
      <c r="M4" s="222">
        <v>2026.0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hidden="1" customHeight="1">
      <c r="A5" s="221">
        <v>46144.0</v>
      </c>
      <c r="B5" s="222">
        <f t="shared" si="1"/>
        <v>2</v>
      </c>
      <c r="C5" s="222">
        <v>5.0</v>
      </c>
      <c r="D5" s="222">
        <f t="shared" si="2"/>
        <v>2026</v>
      </c>
      <c r="E5" s="223" t="s">
        <v>145</v>
      </c>
      <c r="F5" s="222">
        <v>2.0</v>
      </c>
      <c r="G5" s="224">
        <v>2.0</v>
      </c>
      <c r="H5" s="225">
        <f t="shared" si="3"/>
        <v>4</v>
      </c>
      <c r="I5" s="223" t="s">
        <v>245</v>
      </c>
      <c r="J5" s="223"/>
      <c r="K5" s="222">
        <v>5.0</v>
      </c>
      <c r="L5" s="222">
        <v>5.0</v>
      </c>
      <c r="M5" s="222">
        <v>2026.0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hidden="1" customHeight="1">
      <c r="A6" s="226">
        <v>46144.0</v>
      </c>
      <c r="B6" s="222">
        <f t="shared" si="1"/>
        <v>2</v>
      </c>
      <c r="C6" s="222">
        <v>5.0</v>
      </c>
      <c r="D6" s="222">
        <f t="shared" si="2"/>
        <v>2026</v>
      </c>
      <c r="E6" s="223" t="s">
        <v>148</v>
      </c>
      <c r="F6" s="223">
        <v>1.0</v>
      </c>
      <c r="G6" s="227">
        <v>15.0</v>
      </c>
      <c r="H6" s="224">
        <f t="shared" si="3"/>
        <v>15</v>
      </c>
      <c r="I6" s="223" t="s">
        <v>12</v>
      </c>
      <c r="J6" s="223"/>
      <c r="K6" s="222">
        <v>5.0</v>
      </c>
      <c r="L6" s="222">
        <v>5.0</v>
      </c>
      <c r="M6" s="222">
        <v>2026.0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hidden="1" customHeight="1">
      <c r="A7" s="221">
        <v>46145.0</v>
      </c>
      <c r="B7" s="222">
        <f t="shared" si="1"/>
        <v>3</v>
      </c>
      <c r="C7" s="222">
        <v>5.0</v>
      </c>
      <c r="D7" s="222">
        <f t="shared" si="2"/>
        <v>2026</v>
      </c>
      <c r="E7" s="223" t="s">
        <v>145</v>
      </c>
      <c r="F7" s="222">
        <v>6.0</v>
      </c>
      <c r="G7" s="224">
        <v>2.0</v>
      </c>
      <c r="H7" s="225">
        <f t="shared" si="3"/>
        <v>12</v>
      </c>
      <c r="I7" s="223" t="s">
        <v>245</v>
      </c>
      <c r="J7" s="223"/>
      <c r="K7" s="222">
        <v>5.0</v>
      </c>
      <c r="L7" s="222">
        <v>5.0</v>
      </c>
      <c r="M7" s="222">
        <v>2026.0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hidden="1" customHeight="1">
      <c r="A8" s="221">
        <v>46145.0</v>
      </c>
      <c r="B8" s="222">
        <f t="shared" si="1"/>
        <v>3</v>
      </c>
      <c r="C8" s="222">
        <v>5.0</v>
      </c>
      <c r="D8" s="222">
        <f t="shared" si="2"/>
        <v>2026</v>
      </c>
      <c r="E8" s="223" t="s">
        <v>150</v>
      </c>
      <c r="F8" s="222">
        <v>1.0</v>
      </c>
      <c r="G8" s="224">
        <v>10.0</v>
      </c>
      <c r="H8" s="225">
        <f t="shared" si="3"/>
        <v>10</v>
      </c>
      <c r="I8" s="223" t="s">
        <v>245</v>
      </c>
      <c r="J8" s="223"/>
      <c r="K8" s="222">
        <v>5.0</v>
      </c>
      <c r="L8" s="222">
        <v>5.0</v>
      </c>
      <c r="M8" s="222">
        <v>2026.0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hidden="1" customHeight="1">
      <c r="A9" s="221">
        <v>46145.0</v>
      </c>
      <c r="B9" s="222">
        <f t="shared" si="1"/>
        <v>3</v>
      </c>
      <c r="C9" s="222">
        <v>5.0</v>
      </c>
      <c r="D9" s="222">
        <f t="shared" si="2"/>
        <v>2026</v>
      </c>
      <c r="E9" s="223" t="s">
        <v>150</v>
      </c>
      <c r="F9" s="222">
        <v>1.0</v>
      </c>
      <c r="G9" s="224">
        <v>10.0</v>
      </c>
      <c r="H9" s="225">
        <f t="shared" si="3"/>
        <v>10</v>
      </c>
      <c r="I9" s="223" t="s">
        <v>245</v>
      </c>
      <c r="J9" s="223"/>
      <c r="K9" s="222">
        <v>5.0</v>
      </c>
      <c r="L9" s="222">
        <v>5.0</v>
      </c>
      <c r="M9" s="222">
        <v>2026.0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hidden="1" customHeight="1">
      <c r="A10" s="226">
        <v>46146.0</v>
      </c>
      <c r="B10" s="222">
        <f t="shared" si="1"/>
        <v>4</v>
      </c>
      <c r="C10" s="222">
        <v>5.0</v>
      </c>
      <c r="D10" s="222">
        <f t="shared" si="2"/>
        <v>2026</v>
      </c>
      <c r="E10" s="223" t="s">
        <v>148</v>
      </c>
      <c r="F10" s="223">
        <v>2.0</v>
      </c>
      <c r="G10" s="227">
        <v>15.0</v>
      </c>
      <c r="H10" s="225">
        <f t="shared" si="3"/>
        <v>30</v>
      </c>
      <c r="I10" s="223" t="s">
        <v>245</v>
      </c>
      <c r="J10" s="223"/>
      <c r="K10" s="222">
        <v>5.0</v>
      </c>
      <c r="L10" s="222">
        <v>5.0</v>
      </c>
      <c r="M10" s="222">
        <v>2026.0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hidden="1" customHeight="1">
      <c r="A11" s="226">
        <v>46146.0</v>
      </c>
      <c r="B11" s="222">
        <f t="shared" si="1"/>
        <v>4</v>
      </c>
      <c r="C11" s="222">
        <v>5.0</v>
      </c>
      <c r="D11" s="222">
        <f t="shared" si="2"/>
        <v>2026</v>
      </c>
      <c r="E11" s="223" t="s">
        <v>150</v>
      </c>
      <c r="F11" s="223">
        <v>1.0</v>
      </c>
      <c r="G11" s="227">
        <v>5.0</v>
      </c>
      <c r="H11" s="225">
        <f t="shared" si="3"/>
        <v>5</v>
      </c>
      <c r="I11" s="223" t="s">
        <v>245</v>
      </c>
      <c r="J11" s="223"/>
      <c r="K11" s="222">
        <v>5.0</v>
      </c>
      <c r="L11" s="222">
        <v>5.0</v>
      </c>
      <c r="M11" s="222">
        <v>2026.0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hidden="1" customHeight="1">
      <c r="A12" s="226">
        <v>46146.0</v>
      </c>
      <c r="B12" s="222">
        <f t="shared" si="1"/>
        <v>4</v>
      </c>
      <c r="C12" s="222">
        <v>5.0</v>
      </c>
      <c r="D12" s="222">
        <f t="shared" si="2"/>
        <v>2026</v>
      </c>
      <c r="E12" s="223" t="s">
        <v>145</v>
      </c>
      <c r="F12" s="223">
        <v>2.0</v>
      </c>
      <c r="G12" s="227">
        <v>2.0</v>
      </c>
      <c r="H12" s="225">
        <f t="shared" si="3"/>
        <v>4</v>
      </c>
      <c r="I12" s="223" t="s">
        <v>245</v>
      </c>
      <c r="J12" s="223"/>
      <c r="K12" s="222">
        <v>5.0</v>
      </c>
      <c r="L12" s="222">
        <v>5.0</v>
      </c>
      <c r="M12" s="222">
        <v>2026.0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hidden="1" customHeight="1">
      <c r="A13" s="226">
        <v>46147.0</v>
      </c>
      <c r="B13" s="222">
        <f t="shared" si="1"/>
        <v>5</v>
      </c>
      <c r="C13" s="222">
        <v>5.0</v>
      </c>
      <c r="D13" s="222">
        <f t="shared" si="2"/>
        <v>2026</v>
      </c>
      <c r="E13" s="223" t="s">
        <v>145</v>
      </c>
      <c r="F13" s="223">
        <v>7.0</v>
      </c>
      <c r="G13" s="227">
        <v>2.0</v>
      </c>
      <c r="H13" s="225">
        <f t="shared" si="3"/>
        <v>14</v>
      </c>
      <c r="I13" s="223" t="s">
        <v>245</v>
      </c>
      <c r="J13" s="223"/>
      <c r="K13" s="222">
        <v>5.0</v>
      </c>
      <c r="L13" s="222">
        <v>5.0</v>
      </c>
      <c r="M13" s="222">
        <v>2026.0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hidden="1" customHeight="1">
      <c r="A14" s="221">
        <v>46148.0</v>
      </c>
      <c r="B14" s="222">
        <f t="shared" si="1"/>
        <v>6</v>
      </c>
      <c r="C14" s="222">
        <v>5.0</v>
      </c>
      <c r="D14" s="222">
        <f t="shared" si="2"/>
        <v>2026</v>
      </c>
      <c r="E14" s="223" t="s">
        <v>145</v>
      </c>
      <c r="F14" s="222">
        <v>5.0</v>
      </c>
      <c r="G14" s="224">
        <v>2.0</v>
      </c>
      <c r="H14" s="225">
        <f t="shared" si="3"/>
        <v>10</v>
      </c>
      <c r="I14" s="223" t="s">
        <v>245</v>
      </c>
      <c r="J14" s="223"/>
      <c r="K14" s="222">
        <v>5.0</v>
      </c>
      <c r="L14" s="222">
        <v>5.0</v>
      </c>
      <c r="M14" s="222">
        <v>2026.0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hidden="1" customHeight="1">
      <c r="A15" s="221">
        <v>46148.0</v>
      </c>
      <c r="B15" s="222">
        <f t="shared" si="1"/>
        <v>6</v>
      </c>
      <c r="C15" s="222">
        <v>5.0</v>
      </c>
      <c r="D15" s="222">
        <f t="shared" si="2"/>
        <v>2026</v>
      </c>
      <c r="E15" s="223" t="s">
        <v>145</v>
      </c>
      <c r="F15" s="223">
        <v>2.0</v>
      </c>
      <c r="G15" s="227">
        <v>2.0</v>
      </c>
      <c r="H15" s="225">
        <f t="shared" si="3"/>
        <v>4</v>
      </c>
      <c r="I15" s="223" t="s">
        <v>245</v>
      </c>
      <c r="J15" s="223"/>
      <c r="K15" s="222">
        <v>5.0</v>
      </c>
      <c r="L15" s="222">
        <v>5.0</v>
      </c>
      <c r="M15" s="222">
        <v>2026.0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hidden="1" customHeight="1">
      <c r="A16" s="226">
        <v>46149.0</v>
      </c>
      <c r="B16" s="222">
        <f t="shared" si="1"/>
        <v>7</v>
      </c>
      <c r="C16" s="222">
        <v>5.0</v>
      </c>
      <c r="D16" s="222">
        <f t="shared" si="2"/>
        <v>2026</v>
      </c>
      <c r="E16" s="223" t="s">
        <v>145</v>
      </c>
      <c r="F16" s="223">
        <v>6.0</v>
      </c>
      <c r="G16" s="227">
        <v>2.0</v>
      </c>
      <c r="H16" s="225">
        <f t="shared" si="3"/>
        <v>12</v>
      </c>
      <c r="I16" s="223" t="s">
        <v>245</v>
      </c>
      <c r="J16" s="223"/>
      <c r="K16" s="222">
        <v>5.0</v>
      </c>
      <c r="L16" s="222">
        <v>5.0</v>
      </c>
      <c r="M16" s="222">
        <v>2026.0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hidden="1" customHeight="1">
      <c r="A17" s="228">
        <v>46150.0</v>
      </c>
      <c r="B17" s="222">
        <f t="shared" si="1"/>
        <v>8</v>
      </c>
      <c r="C17" s="222">
        <v>5.0</v>
      </c>
      <c r="D17" s="222">
        <f t="shared" si="2"/>
        <v>2026</v>
      </c>
      <c r="E17" s="223" t="s">
        <v>145</v>
      </c>
      <c r="F17" s="223">
        <v>2.0</v>
      </c>
      <c r="G17" s="227">
        <v>2.0</v>
      </c>
      <c r="H17" s="225">
        <f t="shared" si="3"/>
        <v>4</v>
      </c>
      <c r="I17" s="223" t="s">
        <v>245</v>
      </c>
      <c r="J17" s="223"/>
      <c r="K17" s="222">
        <v>5.0</v>
      </c>
      <c r="L17" s="222">
        <v>5.0</v>
      </c>
      <c r="M17" s="222">
        <v>2026.0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hidden="1" customHeight="1">
      <c r="A18" s="228">
        <v>46150.0</v>
      </c>
      <c r="B18" s="222">
        <f t="shared" si="1"/>
        <v>8</v>
      </c>
      <c r="C18" s="222">
        <v>5.0</v>
      </c>
      <c r="D18" s="222">
        <f t="shared" si="2"/>
        <v>2026</v>
      </c>
      <c r="E18" s="223" t="s">
        <v>153</v>
      </c>
      <c r="F18" s="32">
        <v>1.0</v>
      </c>
      <c r="G18" s="227">
        <v>1.5</v>
      </c>
      <c r="H18" s="225">
        <f t="shared" si="3"/>
        <v>1.5</v>
      </c>
      <c r="I18" s="223" t="s">
        <v>245</v>
      </c>
      <c r="J18" s="223"/>
      <c r="K18" s="222">
        <v>5.0</v>
      </c>
      <c r="L18" s="222">
        <v>5.0</v>
      </c>
      <c r="M18" s="222">
        <v>2026.0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hidden="1" customHeight="1">
      <c r="A19" s="226">
        <v>46151.0</v>
      </c>
      <c r="B19" s="222">
        <f t="shared" si="1"/>
        <v>9</v>
      </c>
      <c r="C19" s="222">
        <v>5.0</v>
      </c>
      <c r="D19" s="222">
        <f t="shared" si="2"/>
        <v>2026</v>
      </c>
      <c r="E19" s="223" t="s">
        <v>145</v>
      </c>
      <c r="F19" s="223">
        <v>9.0</v>
      </c>
      <c r="G19" s="227">
        <v>2.0</v>
      </c>
      <c r="H19" s="225">
        <f t="shared" si="3"/>
        <v>18</v>
      </c>
      <c r="I19" s="223" t="s">
        <v>245</v>
      </c>
      <c r="J19" s="223"/>
      <c r="K19" s="222">
        <v>5.0</v>
      </c>
      <c r="L19" s="222">
        <v>5.0</v>
      </c>
      <c r="M19" s="222">
        <v>2026.0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hidden="1" customHeight="1">
      <c r="A20" s="228">
        <v>46152.0</v>
      </c>
      <c r="B20" s="222">
        <f t="shared" si="1"/>
        <v>10</v>
      </c>
      <c r="C20" s="222">
        <v>5.0</v>
      </c>
      <c r="D20" s="222">
        <f t="shared" si="2"/>
        <v>2026</v>
      </c>
      <c r="E20" s="223" t="s">
        <v>150</v>
      </c>
      <c r="F20" s="32">
        <v>8.0</v>
      </c>
      <c r="G20" s="227">
        <v>5.0</v>
      </c>
      <c r="H20" s="225">
        <f t="shared" si="3"/>
        <v>40</v>
      </c>
      <c r="I20" s="223" t="s">
        <v>245</v>
      </c>
      <c r="J20" s="223"/>
      <c r="K20" s="222">
        <v>5.0</v>
      </c>
      <c r="L20" s="222">
        <v>5.0</v>
      </c>
      <c r="M20" s="222">
        <v>2026.0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hidden="1" customHeight="1">
      <c r="A21" s="228">
        <v>46152.0</v>
      </c>
      <c r="B21" s="222">
        <f t="shared" si="1"/>
        <v>10</v>
      </c>
      <c r="C21" s="222">
        <v>5.0</v>
      </c>
      <c r="D21" s="222">
        <f t="shared" si="2"/>
        <v>2026</v>
      </c>
      <c r="E21" s="223" t="s">
        <v>155</v>
      </c>
      <c r="F21" s="223">
        <v>1.0</v>
      </c>
      <c r="G21" s="227">
        <v>15.0</v>
      </c>
      <c r="H21" s="225">
        <f t="shared" si="3"/>
        <v>15</v>
      </c>
      <c r="I21" s="223" t="s">
        <v>245</v>
      </c>
      <c r="J21" s="223"/>
      <c r="K21" s="222">
        <v>5.0</v>
      </c>
      <c r="L21" s="222">
        <v>5.0</v>
      </c>
      <c r="M21" s="222">
        <v>2026.0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hidden="1" customHeight="1">
      <c r="A22" s="228">
        <v>46152.0</v>
      </c>
      <c r="B22" s="222">
        <f t="shared" si="1"/>
        <v>10</v>
      </c>
      <c r="C22" s="222">
        <v>5.0</v>
      </c>
      <c r="D22" s="222">
        <f t="shared" si="2"/>
        <v>2026</v>
      </c>
      <c r="E22" s="223" t="s">
        <v>145</v>
      </c>
      <c r="F22" s="223">
        <v>1.0</v>
      </c>
      <c r="G22" s="227">
        <v>5.0</v>
      </c>
      <c r="H22" s="225">
        <f t="shared" si="3"/>
        <v>5</v>
      </c>
      <c r="I22" s="223" t="s">
        <v>245</v>
      </c>
      <c r="J22" s="223"/>
      <c r="K22" s="222">
        <v>5.0</v>
      </c>
      <c r="L22" s="222">
        <v>5.0</v>
      </c>
      <c r="M22" s="222">
        <v>2026.0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hidden="1" customHeight="1">
      <c r="A23" s="228">
        <f>A22</f>
        <v>46152</v>
      </c>
      <c r="B23" s="222">
        <f t="shared" si="1"/>
        <v>10</v>
      </c>
      <c r="C23" s="222">
        <v>6.0</v>
      </c>
      <c r="D23" s="222">
        <f t="shared" si="2"/>
        <v>2026</v>
      </c>
      <c r="E23" s="223" t="s">
        <v>155</v>
      </c>
      <c r="F23" s="32">
        <v>1.0</v>
      </c>
      <c r="G23" s="227">
        <v>5.0</v>
      </c>
      <c r="H23" s="225">
        <f t="shared" si="3"/>
        <v>5</v>
      </c>
      <c r="I23" s="223" t="s">
        <v>245</v>
      </c>
      <c r="J23" s="223"/>
      <c r="K23" s="222">
        <v>6.0</v>
      </c>
      <c r="L23" s="222">
        <v>6.0</v>
      </c>
      <c r="M23" s="222">
        <v>2026.0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hidden="1" customHeight="1">
      <c r="A24" s="226">
        <v>46153.0</v>
      </c>
      <c r="B24" s="222">
        <f t="shared" si="1"/>
        <v>11</v>
      </c>
      <c r="C24" s="222">
        <v>5.0</v>
      </c>
      <c r="D24" s="222">
        <f t="shared" si="2"/>
        <v>2026</v>
      </c>
      <c r="E24" s="223" t="s">
        <v>145</v>
      </c>
      <c r="F24" s="32">
        <v>7.0</v>
      </c>
      <c r="G24" s="227">
        <v>2.0</v>
      </c>
      <c r="H24" s="225">
        <f t="shared" si="3"/>
        <v>14</v>
      </c>
      <c r="I24" s="223" t="s">
        <v>245</v>
      </c>
      <c r="J24" s="223"/>
      <c r="K24" s="222">
        <v>5.0</v>
      </c>
      <c r="L24" s="222">
        <v>5.0</v>
      </c>
      <c r="M24" s="222">
        <v>2026.0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hidden="1" customHeight="1">
      <c r="A25" s="226">
        <v>46154.0</v>
      </c>
      <c r="B25" s="222">
        <f t="shared" si="1"/>
        <v>12</v>
      </c>
      <c r="C25" s="222">
        <v>5.0</v>
      </c>
      <c r="D25" s="222">
        <f t="shared" si="2"/>
        <v>2026</v>
      </c>
      <c r="E25" s="223" t="s">
        <v>148</v>
      </c>
      <c r="F25" s="32">
        <v>1.0</v>
      </c>
      <c r="G25" s="227">
        <v>15.0</v>
      </c>
      <c r="H25" s="225">
        <f t="shared" si="3"/>
        <v>15</v>
      </c>
      <c r="I25" s="223" t="s">
        <v>245</v>
      </c>
      <c r="J25" s="223"/>
      <c r="K25" s="222">
        <v>5.0</v>
      </c>
      <c r="L25" s="222">
        <v>5.0</v>
      </c>
      <c r="M25" s="222">
        <v>2026.0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hidden="1" customHeight="1">
      <c r="A26" s="228">
        <f>A25</f>
        <v>46154</v>
      </c>
      <c r="B26" s="222">
        <f t="shared" si="1"/>
        <v>12</v>
      </c>
      <c r="C26" s="222">
        <v>6.0</v>
      </c>
      <c r="D26" s="222">
        <f t="shared" si="2"/>
        <v>2026</v>
      </c>
      <c r="E26" s="223" t="s">
        <v>145</v>
      </c>
      <c r="F26" s="223">
        <v>1.0</v>
      </c>
      <c r="G26" s="227">
        <v>2.0</v>
      </c>
      <c r="H26" s="224">
        <f t="shared" si="3"/>
        <v>2</v>
      </c>
      <c r="I26" s="223" t="s">
        <v>262</v>
      </c>
      <c r="J26" s="223"/>
      <c r="K26" s="222">
        <v>6.0</v>
      </c>
      <c r="L26" s="222">
        <v>6.0</v>
      </c>
      <c r="M26" s="222">
        <v>2026.0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hidden="1" customHeight="1">
      <c r="A27" s="226">
        <v>46154.0</v>
      </c>
      <c r="B27" s="222">
        <f t="shared" si="1"/>
        <v>12</v>
      </c>
      <c r="C27" s="222">
        <v>5.0</v>
      </c>
      <c r="D27" s="222">
        <f t="shared" si="2"/>
        <v>2026</v>
      </c>
      <c r="E27" s="223" t="s">
        <v>145</v>
      </c>
      <c r="F27" s="32">
        <v>1.0</v>
      </c>
      <c r="G27" s="227">
        <v>2.0</v>
      </c>
      <c r="H27" s="225">
        <f t="shared" si="3"/>
        <v>2</v>
      </c>
      <c r="I27" s="223" t="s">
        <v>245</v>
      </c>
      <c r="J27" s="223"/>
      <c r="K27" s="222">
        <v>5.0</v>
      </c>
      <c r="L27" s="222">
        <v>5.0</v>
      </c>
      <c r="M27" s="222">
        <v>2026.0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hidden="1" customHeight="1">
      <c r="A28" s="226">
        <v>46156.0</v>
      </c>
      <c r="B28" s="222">
        <f t="shared" si="1"/>
        <v>14</v>
      </c>
      <c r="C28" s="222">
        <v>5.0</v>
      </c>
      <c r="D28" s="222">
        <f t="shared" si="2"/>
        <v>2026</v>
      </c>
      <c r="E28" s="223" t="s">
        <v>145</v>
      </c>
      <c r="F28" s="32">
        <v>6.0</v>
      </c>
      <c r="G28" s="227">
        <v>2.0</v>
      </c>
      <c r="H28" s="225">
        <f t="shared" si="3"/>
        <v>12</v>
      </c>
      <c r="I28" s="223" t="s">
        <v>245</v>
      </c>
      <c r="J28" s="223"/>
      <c r="K28" s="222">
        <v>5.0</v>
      </c>
      <c r="L28" s="222">
        <v>5.0</v>
      </c>
      <c r="M28" s="222">
        <v>2026.0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hidden="1" customHeight="1">
      <c r="A29" s="228">
        <v>46157.0</v>
      </c>
      <c r="B29" s="222">
        <f t="shared" si="1"/>
        <v>15</v>
      </c>
      <c r="C29" s="222">
        <v>5.0</v>
      </c>
      <c r="D29" s="222">
        <f t="shared" si="2"/>
        <v>2026</v>
      </c>
      <c r="E29" s="223" t="s">
        <v>158</v>
      </c>
      <c r="F29" s="32">
        <v>1.0</v>
      </c>
      <c r="G29" s="227">
        <v>12.0</v>
      </c>
      <c r="H29" s="225">
        <f t="shared" si="3"/>
        <v>12</v>
      </c>
      <c r="I29" s="223" t="s">
        <v>245</v>
      </c>
      <c r="J29" s="223"/>
      <c r="K29" s="222">
        <v>5.0</v>
      </c>
      <c r="L29" s="222">
        <v>5.0</v>
      </c>
      <c r="M29" s="222">
        <v>2026.0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hidden="1" customHeight="1">
      <c r="A30" s="226">
        <v>46157.0</v>
      </c>
      <c r="B30" s="222">
        <f t="shared" si="1"/>
        <v>15</v>
      </c>
      <c r="C30" s="222">
        <v>5.0</v>
      </c>
      <c r="D30" s="222">
        <f t="shared" si="2"/>
        <v>2026</v>
      </c>
      <c r="E30" s="223" t="s">
        <v>145</v>
      </c>
      <c r="F30" s="223">
        <v>6.0</v>
      </c>
      <c r="G30" s="227">
        <v>2.0</v>
      </c>
      <c r="H30" s="225">
        <f t="shared" si="3"/>
        <v>12</v>
      </c>
      <c r="I30" s="223" t="s">
        <v>245</v>
      </c>
      <c r="J30" s="223"/>
      <c r="K30" s="222">
        <v>5.0</v>
      </c>
      <c r="L30" s="222">
        <v>5.0</v>
      </c>
      <c r="M30" s="222">
        <v>2026.0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hidden="1" customHeight="1">
      <c r="A31" s="228">
        <v>46158.0</v>
      </c>
      <c r="B31" s="222">
        <f t="shared" si="1"/>
        <v>16</v>
      </c>
      <c r="C31" s="222">
        <v>5.0</v>
      </c>
      <c r="D31" s="222">
        <f t="shared" si="2"/>
        <v>2026</v>
      </c>
      <c r="E31" s="223" t="s">
        <v>148</v>
      </c>
      <c r="F31" s="223">
        <v>1.0</v>
      </c>
      <c r="G31" s="227">
        <v>15.0</v>
      </c>
      <c r="H31" s="225">
        <f t="shared" si="3"/>
        <v>15</v>
      </c>
      <c r="I31" s="223" t="s">
        <v>245</v>
      </c>
      <c r="J31" s="223"/>
      <c r="K31" s="222">
        <v>5.0</v>
      </c>
      <c r="L31" s="222">
        <v>5.0</v>
      </c>
      <c r="M31" s="222">
        <v>2026.0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hidden="1" customHeight="1">
      <c r="A32" s="228">
        <v>46158.0</v>
      </c>
      <c r="B32" s="222">
        <f t="shared" si="1"/>
        <v>16</v>
      </c>
      <c r="C32" s="222">
        <v>5.0</v>
      </c>
      <c r="D32" s="222">
        <f t="shared" si="2"/>
        <v>2026</v>
      </c>
      <c r="E32" s="223" t="s">
        <v>145</v>
      </c>
      <c r="F32" s="223">
        <v>4.0</v>
      </c>
      <c r="G32" s="227">
        <v>2.0</v>
      </c>
      <c r="H32" s="225">
        <f t="shared" si="3"/>
        <v>8</v>
      </c>
      <c r="I32" s="223" t="s">
        <v>245</v>
      </c>
      <c r="J32" s="223"/>
      <c r="K32" s="222">
        <v>5.0</v>
      </c>
      <c r="L32" s="222">
        <v>5.0</v>
      </c>
      <c r="M32" s="222">
        <v>2026.0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hidden="1" customHeight="1">
      <c r="A33" s="228">
        <v>46159.0</v>
      </c>
      <c r="B33" s="222">
        <f t="shared" si="1"/>
        <v>17</v>
      </c>
      <c r="C33" s="222">
        <v>5.0</v>
      </c>
      <c r="D33" s="222">
        <f t="shared" si="2"/>
        <v>2026</v>
      </c>
      <c r="E33" s="223" t="s">
        <v>148</v>
      </c>
      <c r="F33" s="32">
        <v>1.0</v>
      </c>
      <c r="G33" s="227">
        <v>15.0</v>
      </c>
      <c r="H33" s="225">
        <f t="shared" si="3"/>
        <v>15</v>
      </c>
      <c r="I33" s="223" t="s">
        <v>245</v>
      </c>
      <c r="J33" s="223"/>
      <c r="K33" s="222">
        <v>5.0</v>
      </c>
      <c r="L33" s="222">
        <v>5.0</v>
      </c>
      <c r="M33" s="222">
        <v>2026.0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hidden="1" customHeight="1">
      <c r="A34" s="228">
        <v>46159.0</v>
      </c>
      <c r="B34" s="222">
        <f t="shared" si="1"/>
        <v>17</v>
      </c>
      <c r="C34" s="222">
        <v>5.0</v>
      </c>
      <c r="D34" s="222">
        <f t="shared" si="2"/>
        <v>2026</v>
      </c>
      <c r="E34" s="223" t="s">
        <v>148</v>
      </c>
      <c r="F34" s="32">
        <v>1.0</v>
      </c>
      <c r="G34" s="227">
        <v>15.0</v>
      </c>
      <c r="H34" s="225">
        <f t="shared" si="3"/>
        <v>15</v>
      </c>
      <c r="I34" s="223" t="s">
        <v>245</v>
      </c>
      <c r="J34" s="223"/>
      <c r="K34" s="222">
        <v>5.0</v>
      </c>
      <c r="L34" s="222">
        <v>5.0</v>
      </c>
      <c r="M34" s="222">
        <v>2026.0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hidden="1" customHeight="1">
      <c r="A35" s="228">
        <v>46159.0</v>
      </c>
      <c r="B35" s="222">
        <f t="shared" si="1"/>
        <v>17</v>
      </c>
      <c r="C35" s="222">
        <v>5.0</v>
      </c>
      <c r="D35" s="222">
        <f t="shared" si="2"/>
        <v>2026</v>
      </c>
      <c r="E35" s="223" t="s">
        <v>148</v>
      </c>
      <c r="F35" s="32">
        <v>1.0</v>
      </c>
      <c r="G35" s="227">
        <v>15.0</v>
      </c>
      <c r="H35" s="225">
        <f t="shared" si="3"/>
        <v>15</v>
      </c>
      <c r="I35" s="223" t="s">
        <v>245</v>
      </c>
      <c r="J35" s="223"/>
      <c r="K35" s="222">
        <v>5.0</v>
      </c>
      <c r="L35" s="222">
        <v>5.0</v>
      </c>
      <c r="M35" s="222">
        <v>2026.0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hidden="1" customHeight="1">
      <c r="A36" s="228">
        <v>46159.0</v>
      </c>
      <c r="B36" s="222">
        <f t="shared" si="1"/>
        <v>17</v>
      </c>
      <c r="C36" s="222">
        <v>5.0</v>
      </c>
      <c r="D36" s="222">
        <f t="shared" si="2"/>
        <v>2026</v>
      </c>
      <c r="E36" s="223" t="s">
        <v>150</v>
      </c>
      <c r="F36" s="223">
        <v>1.0</v>
      </c>
      <c r="G36" s="227">
        <v>10.0</v>
      </c>
      <c r="H36" s="225">
        <f t="shared" si="3"/>
        <v>10</v>
      </c>
      <c r="I36" s="223" t="s">
        <v>245</v>
      </c>
      <c r="J36" s="223"/>
      <c r="K36" s="222">
        <v>5.0</v>
      </c>
      <c r="L36" s="222">
        <v>5.0</v>
      </c>
      <c r="M36" s="222">
        <v>2026.0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hidden="1" customHeight="1">
      <c r="A37" s="228">
        <v>46159.0</v>
      </c>
      <c r="B37" s="222">
        <f t="shared" si="1"/>
        <v>17</v>
      </c>
      <c r="C37" s="222">
        <v>5.0</v>
      </c>
      <c r="D37" s="222">
        <f t="shared" si="2"/>
        <v>2026</v>
      </c>
      <c r="E37" s="223" t="s">
        <v>145</v>
      </c>
      <c r="F37" s="222">
        <v>1.0</v>
      </c>
      <c r="G37" s="224">
        <v>2.0</v>
      </c>
      <c r="H37" s="225">
        <f t="shared" si="3"/>
        <v>2</v>
      </c>
      <c r="I37" s="223" t="s">
        <v>245</v>
      </c>
      <c r="J37" s="223"/>
      <c r="K37" s="222">
        <v>5.0</v>
      </c>
      <c r="L37" s="222">
        <v>5.0</v>
      </c>
      <c r="M37" s="222">
        <v>2026.0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hidden="1" customHeight="1">
      <c r="A38" s="229">
        <v>46160.0</v>
      </c>
      <c r="B38" s="222">
        <f t="shared" si="1"/>
        <v>18</v>
      </c>
      <c r="C38" s="222">
        <v>5.0</v>
      </c>
      <c r="D38" s="222">
        <f t="shared" si="2"/>
        <v>2026</v>
      </c>
      <c r="E38" s="223" t="s">
        <v>145</v>
      </c>
      <c r="F38" s="223">
        <v>16.0</v>
      </c>
      <c r="G38" s="227">
        <v>2.0</v>
      </c>
      <c r="H38" s="225">
        <f t="shared" si="3"/>
        <v>32</v>
      </c>
      <c r="I38" s="223" t="s">
        <v>245</v>
      </c>
      <c r="J38" s="223"/>
      <c r="K38" s="222">
        <v>5.0</v>
      </c>
      <c r="L38" s="222">
        <v>5.0</v>
      </c>
      <c r="M38" s="222">
        <v>2026.0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hidden="1" customHeight="1">
      <c r="A39" s="229">
        <v>46160.0</v>
      </c>
      <c r="B39" s="222">
        <f t="shared" si="1"/>
        <v>18</v>
      </c>
      <c r="C39" s="222">
        <v>5.0</v>
      </c>
      <c r="D39" s="222">
        <f t="shared" si="2"/>
        <v>2026</v>
      </c>
      <c r="E39" s="223" t="s">
        <v>155</v>
      </c>
      <c r="F39" s="222">
        <v>1.0</v>
      </c>
      <c r="G39" s="224">
        <v>15.0</v>
      </c>
      <c r="H39" s="225">
        <f t="shared" si="3"/>
        <v>15</v>
      </c>
      <c r="I39" s="223" t="s">
        <v>245</v>
      </c>
      <c r="J39" s="223"/>
      <c r="K39" s="222">
        <v>5.0</v>
      </c>
      <c r="L39" s="222">
        <v>5.0</v>
      </c>
      <c r="M39" s="222">
        <v>2026.0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hidden="1" customHeight="1">
      <c r="A40" s="226">
        <v>46160.0</v>
      </c>
      <c r="B40" s="222">
        <f t="shared" si="1"/>
        <v>18</v>
      </c>
      <c r="C40" s="222">
        <v>5.0</v>
      </c>
      <c r="D40" s="222">
        <f t="shared" si="2"/>
        <v>2026</v>
      </c>
      <c r="E40" s="223" t="s">
        <v>148</v>
      </c>
      <c r="F40" s="223">
        <v>1.0</v>
      </c>
      <c r="G40" s="227">
        <v>-15.0</v>
      </c>
      <c r="H40" s="230">
        <v>-15.0</v>
      </c>
      <c r="I40" s="223" t="s">
        <v>245</v>
      </c>
      <c r="J40" s="223"/>
      <c r="K40" s="222">
        <v>5.0</v>
      </c>
      <c r="L40" s="222">
        <v>5.0</v>
      </c>
      <c r="M40" s="222">
        <v>2026.0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hidden="1" customHeight="1">
      <c r="A41" s="229">
        <v>46161.0</v>
      </c>
      <c r="B41" s="222">
        <f t="shared" si="1"/>
        <v>19</v>
      </c>
      <c r="C41" s="222">
        <v>5.0</v>
      </c>
      <c r="D41" s="222">
        <f t="shared" si="2"/>
        <v>2026</v>
      </c>
      <c r="E41" s="223" t="s">
        <v>145</v>
      </c>
      <c r="F41" s="222">
        <v>1.0</v>
      </c>
      <c r="G41" s="224">
        <v>2.0</v>
      </c>
      <c r="H41" s="224">
        <f t="shared" ref="H41:H74" si="4">F41*G41</f>
        <v>2</v>
      </c>
      <c r="I41" s="223" t="s">
        <v>12</v>
      </c>
      <c r="J41" s="223"/>
      <c r="K41" s="222">
        <v>5.0</v>
      </c>
      <c r="L41" s="222">
        <v>5.0</v>
      </c>
      <c r="M41" s="222">
        <v>2026.0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hidden="1" customHeight="1">
      <c r="A42" s="229">
        <v>46161.0</v>
      </c>
      <c r="B42" s="222">
        <f t="shared" si="1"/>
        <v>19</v>
      </c>
      <c r="C42" s="222">
        <v>5.0</v>
      </c>
      <c r="D42" s="222">
        <f t="shared" si="2"/>
        <v>2026</v>
      </c>
      <c r="E42" s="223" t="s">
        <v>150</v>
      </c>
      <c r="F42" s="222">
        <v>1.0</v>
      </c>
      <c r="G42" s="224">
        <v>10.0</v>
      </c>
      <c r="H42" s="225">
        <f t="shared" si="4"/>
        <v>10</v>
      </c>
      <c r="I42" s="223" t="s">
        <v>245</v>
      </c>
      <c r="J42" s="223"/>
      <c r="K42" s="222">
        <v>5.0</v>
      </c>
      <c r="L42" s="222">
        <v>5.0</v>
      </c>
      <c r="M42" s="222">
        <v>2026.0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hidden="1" customHeight="1">
      <c r="A43" s="229">
        <v>46161.0</v>
      </c>
      <c r="B43" s="222">
        <f t="shared" si="1"/>
        <v>19</v>
      </c>
      <c r="C43" s="222">
        <v>5.0</v>
      </c>
      <c r="D43" s="222">
        <f t="shared" si="2"/>
        <v>2026</v>
      </c>
      <c r="E43" s="223" t="s">
        <v>145</v>
      </c>
      <c r="F43" s="222">
        <v>2.0</v>
      </c>
      <c r="G43" s="224">
        <v>2.0</v>
      </c>
      <c r="H43" s="225">
        <f t="shared" si="4"/>
        <v>4</v>
      </c>
      <c r="I43" s="223" t="s">
        <v>245</v>
      </c>
      <c r="J43" s="223"/>
      <c r="K43" s="222">
        <v>5.0</v>
      </c>
      <c r="L43" s="222">
        <v>5.0</v>
      </c>
      <c r="M43" s="222">
        <v>2026.0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hidden="1" customHeight="1">
      <c r="A44" s="229">
        <v>46161.0</v>
      </c>
      <c r="B44" s="222">
        <f t="shared" si="1"/>
        <v>19</v>
      </c>
      <c r="C44" s="222">
        <v>5.0</v>
      </c>
      <c r="D44" s="222">
        <f t="shared" si="2"/>
        <v>2026</v>
      </c>
      <c r="E44" s="223" t="s">
        <v>148</v>
      </c>
      <c r="F44" s="222">
        <v>2.0</v>
      </c>
      <c r="G44" s="224">
        <v>15.0</v>
      </c>
      <c r="H44" s="224">
        <f t="shared" si="4"/>
        <v>30</v>
      </c>
      <c r="I44" s="223" t="s">
        <v>12</v>
      </c>
      <c r="J44" s="223"/>
      <c r="K44" s="222">
        <v>5.0</v>
      </c>
      <c r="L44" s="222">
        <v>5.0</v>
      </c>
      <c r="M44" s="222">
        <v>2026.0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hidden="1" customHeight="1">
      <c r="A45" s="229">
        <v>46162.0</v>
      </c>
      <c r="B45" s="222">
        <f t="shared" si="1"/>
        <v>20</v>
      </c>
      <c r="C45" s="222">
        <v>5.0</v>
      </c>
      <c r="D45" s="222">
        <f t="shared" si="2"/>
        <v>2026</v>
      </c>
      <c r="E45" s="223" t="s">
        <v>145</v>
      </c>
      <c r="F45" s="222">
        <v>5.0</v>
      </c>
      <c r="G45" s="224">
        <v>2.0</v>
      </c>
      <c r="H45" s="225">
        <f t="shared" si="4"/>
        <v>10</v>
      </c>
      <c r="I45" s="223" t="s">
        <v>245</v>
      </c>
      <c r="J45" s="223"/>
      <c r="K45" s="222">
        <v>5.0</v>
      </c>
      <c r="L45" s="222">
        <v>5.0</v>
      </c>
      <c r="M45" s="222">
        <v>2026.0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hidden="1" customHeight="1">
      <c r="A46" s="229">
        <v>46162.0</v>
      </c>
      <c r="B46" s="222">
        <f t="shared" si="1"/>
        <v>20</v>
      </c>
      <c r="C46" s="222">
        <v>5.0</v>
      </c>
      <c r="D46" s="222">
        <f t="shared" si="2"/>
        <v>2026</v>
      </c>
      <c r="E46" s="223" t="s">
        <v>163</v>
      </c>
      <c r="F46" s="222">
        <v>1.0</v>
      </c>
      <c r="G46" s="224">
        <v>1.0</v>
      </c>
      <c r="H46" s="225">
        <f t="shared" si="4"/>
        <v>1</v>
      </c>
      <c r="I46" s="223" t="s">
        <v>245</v>
      </c>
      <c r="J46" s="223"/>
      <c r="K46" s="222">
        <v>5.0</v>
      </c>
      <c r="L46" s="222">
        <v>5.0</v>
      </c>
      <c r="M46" s="222">
        <v>2026.0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hidden="1" customHeight="1">
      <c r="A47" s="229">
        <v>46163.0</v>
      </c>
      <c r="B47" s="222">
        <f t="shared" si="1"/>
        <v>21</v>
      </c>
      <c r="C47" s="222">
        <v>5.0</v>
      </c>
      <c r="D47" s="222">
        <f t="shared" si="2"/>
        <v>2026</v>
      </c>
      <c r="E47" s="223" t="s">
        <v>145</v>
      </c>
      <c r="F47" s="222">
        <v>1.0</v>
      </c>
      <c r="G47" s="224">
        <v>2.0</v>
      </c>
      <c r="H47" s="225">
        <f t="shared" si="4"/>
        <v>2</v>
      </c>
      <c r="I47" s="223" t="s">
        <v>245</v>
      </c>
      <c r="J47" s="223"/>
      <c r="K47" s="222">
        <v>5.0</v>
      </c>
      <c r="L47" s="222">
        <v>5.0</v>
      </c>
      <c r="M47" s="222">
        <v>2026.0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hidden="1" customHeight="1">
      <c r="A48" s="228">
        <f>A47</f>
        <v>46163</v>
      </c>
      <c r="B48" s="222">
        <f t="shared" si="1"/>
        <v>21</v>
      </c>
      <c r="C48" s="222">
        <v>6.0</v>
      </c>
      <c r="D48" s="222">
        <f t="shared" si="2"/>
        <v>2026</v>
      </c>
      <c r="E48" s="223" t="s">
        <v>145</v>
      </c>
      <c r="F48" s="222">
        <v>6.0</v>
      </c>
      <c r="G48" s="224">
        <v>2.0</v>
      </c>
      <c r="H48" s="224">
        <f t="shared" si="4"/>
        <v>12</v>
      </c>
      <c r="I48" s="223" t="s">
        <v>12</v>
      </c>
      <c r="J48" s="223"/>
      <c r="K48" s="222">
        <v>6.0</v>
      </c>
      <c r="L48" s="222">
        <v>6.0</v>
      </c>
      <c r="M48" s="222">
        <v>2026.0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hidden="1" customHeight="1">
      <c r="A49" s="229">
        <v>46166.0</v>
      </c>
      <c r="B49" s="222">
        <f t="shared" si="1"/>
        <v>24</v>
      </c>
      <c r="C49" s="222">
        <v>5.0</v>
      </c>
      <c r="D49" s="222">
        <f t="shared" si="2"/>
        <v>2026</v>
      </c>
      <c r="E49" s="233" t="s">
        <v>145</v>
      </c>
      <c r="F49" s="234">
        <v>3.0</v>
      </c>
      <c r="G49" s="235">
        <v>2.0</v>
      </c>
      <c r="H49" s="225">
        <f t="shared" si="4"/>
        <v>6</v>
      </c>
      <c r="I49" s="223" t="s">
        <v>245</v>
      </c>
      <c r="J49" s="223"/>
      <c r="K49" s="222">
        <v>5.0</v>
      </c>
      <c r="L49" s="222">
        <v>5.0</v>
      </c>
      <c r="M49" s="222">
        <v>2026.0</v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hidden="1" customHeight="1">
      <c r="A50" s="228">
        <f t="shared" ref="A50:A56" si="5">A49</f>
        <v>46166</v>
      </c>
      <c r="B50" s="222">
        <f t="shared" si="1"/>
        <v>24</v>
      </c>
      <c r="C50" s="222">
        <v>6.0</v>
      </c>
      <c r="D50" s="222">
        <f t="shared" si="2"/>
        <v>2026</v>
      </c>
      <c r="E50" s="223" t="s">
        <v>145</v>
      </c>
      <c r="F50" s="223">
        <v>3.0</v>
      </c>
      <c r="G50" s="227">
        <v>2.0</v>
      </c>
      <c r="H50" s="225">
        <f t="shared" si="4"/>
        <v>6</v>
      </c>
      <c r="I50" s="223" t="s">
        <v>245</v>
      </c>
      <c r="J50" s="223"/>
      <c r="K50" s="222">
        <v>6.0</v>
      </c>
      <c r="L50" s="222">
        <v>6.0</v>
      </c>
      <c r="M50" s="222">
        <v>2026.0</v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hidden="1" customHeight="1">
      <c r="A51" s="228">
        <f t="shared" si="5"/>
        <v>46166</v>
      </c>
      <c r="B51" s="222">
        <f t="shared" si="1"/>
        <v>24</v>
      </c>
      <c r="C51" s="222">
        <v>6.0</v>
      </c>
      <c r="D51" s="222">
        <f t="shared" si="2"/>
        <v>2026</v>
      </c>
      <c r="E51" s="223" t="s">
        <v>145</v>
      </c>
      <c r="F51" s="32">
        <v>3.0</v>
      </c>
      <c r="G51" s="227">
        <v>2.0</v>
      </c>
      <c r="H51" s="225">
        <f t="shared" si="4"/>
        <v>6</v>
      </c>
      <c r="I51" s="223" t="s">
        <v>245</v>
      </c>
      <c r="J51" s="223"/>
      <c r="K51" s="222">
        <v>6.0</v>
      </c>
      <c r="L51" s="222">
        <v>6.0</v>
      </c>
      <c r="M51" s="222">
        <v>2026.0</v>
      </c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hidden="1" customHeight="1">
      <c r="A52" s="228">
        <f t="shared" si="5"/>
        <v>46166</v>
      </c>
      <c r="B52" s="222">
        <f t="shared" si="1"/>
        <v>24</v>
      </c>
      <c r="C52" s="222">
        <v>6.0</v>
      </c>
      <c r="D52" s="222">
        <f t="shared" si="2"/>
        <v>2026</v>
      </c>
      <c r="E52" s="223" t="s">
        <v>145</v>
      </c>
      <c r="F52" s="32">
        <v>3.0</v>
      </c>
      <c r="G52" s="227">
        <v>2.0</v>
      </c>
      <c r="H52" s="225">
        <f t="shared" si="4"/>
        <v>6</v>
      </c>
      <c r="I52" s="223" t="s">
        <v>245</v>
      </c>
      <c r="J52" s="223"/>
      <c r="K52" s="222">
        <v>6.0</v>
      </c>
      <c r="L52" s="222">
        <v>6.0</v>
      </c>
      <c r="M52" s="222">
        <v>2026.0</v>
      </c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hidden="1" customHeight="1">
      <c r="A53" s="228">
        <f t="shared" si="5"/>
        <v>46166</v>
      </c>
      <c r="B53" s="222">
        <f t="shared" si="1"/>
        <v>24</v>
      </c>
      <c r="C53" s="222">
        <v>6.0</v>
      </c>
      <c r="D53" s="222">
        <f t="shared" si="2"/>
        <v>2026</v>
      </c>
      <c r="E53" s="233" t="s">
        <v>145</v>
      </c>
      <c r="F53" s="233">
        <v>3.0</v>
      </c>
      <c r="G53" s="236">
        <v>2.0</v>
      </c>
      <c r="H53" s="225">
        <f t="shared" si="4"/>
        <v>6</v>
      </c>
      <c r="I53" s="223" t="s">
        <v>245</v>
      </c>
      <c r="J53" s="223"/>
      <c r="K53" s="222">
        <v>6.0</v>
      </c>
      <c r="L53" s="222">
        <v>6.0</v>
      </c>
      <c r="M53" s="222">
        <v>2026.0</v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hidden="1" customHeight="1">
      <c r="A54" s="228">
        <f t="shared" si="5"/>
        <v>46166</v>
      </c>
      <c r="B54" s="222">
        <f t="shared" si="1"/>
        <v>24</v>
      </c>
      <c r="C54" s="222">
        <v>6.0</v>
      </c>
      <c r="D54" s="222">
        <f t="shared" si="2"/>
        <v>2026</v>
      </c>
      <c r="E54" s="223" t="s">
        <v>145</v>
      </c>
      <c r="F54" s="223">
        <v>3.0</v>
      </c>
      <c r="G54" s="227">
        <v>2.0</v>
      </c>
      <c r="H54" s="225">
        <f t="shared" si="4"/>
        <v>6</v>
      </c>
      <c r="I54" s="223" t="s">
        <v>245</v>
      </c>
      <c r="J54" s="223"/>
      <c r="K54" s="222">
        <v>6.0</v>
      </c>
      <c r="L54" s="222">
        <v>6.0</v>
      </c>
      <c r="M54" s="222">
        <v>2026.0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hidden="1" customHeight="1">
      <c r="A55" s="228">
        <f t="shared" si="5"/>
        <v>46166</v>
      </c>
      <c r="B55" s="222">
        <f t="shared" si="1"/>
        <v>24</v>
      </c>
      <c r="C55" s="222">
        <v>6.0</v>
      </c>
      <c r="D55" s="222">
        <f t="shared" si="2"/>
        <v>2026</v>
      </c>
      <c r="E55" s="223" t="s">
        <v>145</v>
      </c>
      <c r="F55" s="223">
        <v>3.0</v>
      </c>
      <c r="G55" s="227">
        <v>2.0</v>
      </c>
      <c r="H55" s="225">
        <f t="shared" si="4"/>
        <v>6</v>
      </c>
      <c r="I55" s="223" t="s">
        <v>245</v>
      </c>
      <c r="J55" s="223"/>
      <c r="K55" s="222">
        <v>6.0</v>
      </c>
      <c r="L55" s="222">
        <v>6.0</v>
      </c>
      <c r="M55" s="222">
        <v>2026.0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hidden="1" customHeight="1">
      <c r="A56" s="228">
        <f t="shared" si="5"/>
        <v>46166</v>
      </c>
      <c r="B56" s="222">
        <f t="shared" si="1"/>
        <v>24</v>
      </c>
      <c r="C56" s="222">
        <v>6.0</v>
      </c>
      <c r="D56" s="222">
        <f t="shared" si="2"/>
        <v>2026</v>
      </c>
      <c r="E56" s="233" t="s">
        <v>145</v>
      </c>
      <c r="F56" s="233">
        <v>3.0</v>
      </c>
      <c r="G56" s="236">
        <v>2.0</v>
      </c>
      <c r="H56" s="225">
        <f t="shared" si="4"/>
        <v>6</v>
      </c>
      <c r="I56" s="223" t="s">
        <v>245</v>
      </c>
      <c r="J56" s="223"/>
      <c r="K56" s="222">
        <v>6.0</v>
      </c>
      <c r="L56" s="222">
        <v>6.0</v>
      </c>
      <c r="M56" s="222">
        <v>2026.0</v>
      </c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hidden="1" customHeight="1">
      <c r="A57" s="229">
        <v>46167.0</v>
      </c>
      <c r="B57" s="222">
        <f t="shared" si="1"/>
        <v>25</v>
      </c>
      <c r="C57" s="222">
        <v>5.0</v>
      </c>
      <c r="D57" s="222">
        <f t="shared" si="2"/>
        <v>2026</v>
      </c>
      <c r="E57" s="223" t="s">
        <v>155</v>
      </c>
      <c r="F57" s="222">
        <v>1.0</v>
      </c>
      <c r="G57" s="224">
        <v>15.0</v>
      </c>
      <c r="H57" s="225">
        <f t="shared" si="4"/>
        <v>15</v>
      </c>
      <c r="I57" s="223" t="s">
        <v>245</v>
      </c>
      <c r="J57" s="223"/>
      <c r="K57" s="222">
        <v>5.0</v>
      </c>
      <c r="L57" s="222">
        <v>5.0</v>
      </c>
      <c r="M57" s="222">
        <v>2026.0</v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hidden="1" customHeight="1">
      <c r="A58" s="229">
        <v>46167.0</v>
      </c>
      <c r="B58" s="222">
        <f t="shared" si="1"/>
        <v>25</v>
      </c>
      <c r="C58" s="222">
        <v>5.0</v>
      </c>
      <c r="D58" s="222">
        <f t="shared" si="2"/>
        <v>2026</v>
      </c>
      <c r="E58" s="233" t="s">
        <v>145</v>
      </c>
      <c r="F58" s="234">
        <v>1.0</v>
      </c>
      <c r="G58" s="235">
        <v>2.0</v>
      </c>
      <c r="H58" s="225">
        <f t="shared" si="4"/>
        <v>2</v>
      </c>
      <c r="I58" s="223" t="s">
        <v>245</v>
      </c>
      <c r="J58" s="223"/>
      <c r="K58" s="222">
        <v>5.0</v>
      </c>
      <c r="L58" s="222">
        <v>5.0</v>
      </c>
      <c r="M58" s="222">
        <v>2026.0</v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hidden="1" customHeight="1">
      <c r="A59" s="226">
        <v>46168.0</v>
      </c>
      <c r="B59" s="222">
        <f t="shared" si="1"/>
        <v>26</v>
      </c>
      <c r="C59" s="222">
        <v>5.0</v>
      </c>
      <c r="D59" s="222">
        <f t="shared" si="2"/>
        <v>2026</v>
      </c>
      <c r="E59" s="223" t="s">
        <v>145</v>
      </c>
      <c r="F59" s="223">
        <v>2.0</v>
      </c>
      <c r="G59" s="227">
        <v>2.5</v>
      </c>
      <c r="H59" s="225">
        <f t="shared" si="4"/>
        <v>5</v>
      </c>
      <c r="I59" s="223" t="s">
        <v>245</v>
      </c>
      <c r="J59" s="223"/>
      <c r="K59" s="222">
        <v>5.0</v>
      </c>
      <c r="L59" s="222">
        <v>5.0</v>
      </c>
      <c r="M59" s="222">
        <v>2026.0</v>
      </c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hidden="1" customHeight="1">
      <c r="A60" s="229">
        <v>46169.0</v>
      </c>
      <c r="B60" s="222">
        <f t="shared" si="1"/>
        <v>27</v>
      </c>
      <c r="C60" s="222">
        <v>5.0</v>
      </c>
      <c r="D60" s="222">
        <f t="shared" si="2"/>
        <v>2026</v>
      </c>
      <c r="E60" s="233" t="s">
        <v>145</v>
      </c>
      <c r="F60" s="234">
        <v>1.0</v>
      </c>
      <c r="G60" s="235">
        <v>2.0</v>
      </c>
      <c r="H60" s="225">
        <f t="shared" si="4"/>
        <v>2</v>
      </c>
      <c r="I60" s="223" t="s">
        <v>245</v>
      </c>
      <c r="J60" s="223"/>
      <c r="K60" s="222">
        <v>5.0</v>
      </c>
      <c r="L60" s="222">
        <v>5.0</v>
      </c>
      <c r="M60" s="222">
        <v>2026.0</v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hidden="1" customHeight="1">
      <c r="A61" s="228">
        <f>A60</f>
        <v>46169</v>
      </c>
      <c r="B61" s="222">
        <f t="shared" si="1"/>
        <v>27</v>
      </c>
      <c r="C61" s="222">
        <v>5.0</v>
      </c>
      <c r="D61" s="222">
        <f t="shared" si="2"/>
        <v>2026</v>
      </c>
      <c r="E61" s="223" t="s">
        <v>145</v>
      </c>
      <c r="F61" s="32">
        <v>1.0</v>
      </c>
      <c r="G61" s="227">
        <v>2.0</v>
      </c>
      <c r="H61" s="225">
        <f t="shared" si="4"/>
        <v>2</v>
      </c>
      <c r="I61" s="223" t="s">
        <v>245</v>
      </c>
      <c r="J61" s="223"/>
      <c r="K61" s="222">
        <v>5.0</v>
      </c>
      <c r="L61" s="222">
        <v>5.0</v>
      </c>
      <c r="M61" s="222">
        <v>2026.0</v>
      </c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hidden="1" customHeight="1">
      <c r="A62" s="229">
        <v>46169.0</v>
      </c>
      <c r="B62" s="222">
        <f t="shared" si="1"/>
        <v>27</v>
      </c>
      <c r="C62" s="222">
        <v>5.0</v>
      </c>
      <c r="D62" s="222">
        <f t="shared" si="2"/>
        <v>2026</v>
      </c>
      <c r="E62" s="223" t="s">
        <v>148</v>
      </c>
      <c r="F62" s="223">
        <v>1.0</v>
      </c>
      <c r="G62" s="227">
        <v>15.0</v>
      </c>
      <c r="H62" s="224">
        <f t="shared" si="4"/>
        <v>15</v>
      </c>
      <c r="I62" s="223" t="s">
        <v>262</v>
      </c>
      <c r="J62" s="223"/>
      <c r="K62" s="222">
        <v>5.0</v>
      </c>
      <c r="L62" s="222">
        <v>5.0</v>
      </c>
      <c r="M62" s="222">
        <v>2026.0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hidden="1" customHeight="1">
      <c r="A63" s="228">
        <f>A62</f>
        <v>46169</v>
      </c>
      <c r="B63" s="222">
        <f t="shared" si="1"/>
        <v>27</v>
      </c>
      <c r="C63" s="222">
        <v>6.0</v>
      </c>
      <c r="D63" s="222">
        <f t="shared" si="2"/>
        <v>2026</v>
      </c>
      <c r="E63" s="223" t="s">
        <v>145</v>
      </c>
      <c r="F63" s="32">
        <v>1.0</v>
      </c>
      <c r="G63" s="227">
        <v>2.0</v>
      </c>
      <c r="H63" s="225">
        <f t="shared" si="4"/>
        <v>2</v>
      </c>
      <c r="I63" s="223" t="s">
        <v>245</v>
      </c>
      <c r="J63" s="223"/>
      <c r="K63" s="222">
        <v>6.0</v>
      </c>
      <c r="L63" s="222">
        <v>6.0</v>
      </c>
      <c r="M63" s="222">
        <v>2026.0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hidden="1" customHeight="1">
      <c r="A64" s="229">
        <v>46170.0</v>
      </c>
      <c r="B64" s="222">
        <f t="shared" si="1"/>
        <v>28</v>
      </c>
      <c r="C64" s="222">
        <v>5.0</v>
      </c>
      <c r="D64" s="222">
        <f t="shared" si="2"/>
        <v>2026</v>
      </c>
      <c r="E64" s="223" t="s">
        <v>145</v>
      </c>
      <c r="F64" s="223">
        <v>7.0</v>
      </c>
      <c r="G64" s="227">
        <v>2.0</v>
      </c>
      <c r="H64" s="225">
        <f t="shared" si="4"/>
        <v>14</v>
      </c>
      <c r="I64" s="223" t="s">
        <v>245</v>
      </c>
      <c r="J64" s="223"/>
      <c r="K64" s="222">
        <v>5.0</v>
      </c>
      <c r="L64" s="222">
        <v>5.0</v>
      </c>
      <c r="M64" s="222">
        <v>2026.0</v>
      </c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hidden="1" customHeight="1">
      <c r="A65" s="228">
        <f>A64</f>
        <v>46170</v>
      </c>
      <c r="B65" s="222">
        <f t="shared" si="1"/>
        <v>28</v>
      </c>
      <c r="C65" s="222">
        <v>6.0</v>
      </c>
      <c r="D65" s="222">
        <f t="shared" si="2"/>
        <v>2026</v>
      </c>
      <c r="E65" s="223" t="s">
        <v>145</v>
      </c>
      <c r="F65" s="32">
        <v>7.0</v>
      </c>
      <c r="G65" s="227">
        <v>2.0</v>
      </c>
      <c r="H65" s="225">
        <f t="shared" si="4"/>
        <v>14</v>
      </c>
      <c r="I65" s="223" t="s">
        <v>245</v>
      </c>
      <c r="J65" s="223"/>
      <c r="K65" s="222">
        <v>6.0</v>
      </c>
      <c r="L65" s="222">
        <v>6.0</v>
      </c>
      <c r="M65" s="222">
        <v>2026.0</v>
      </c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hidden="1" customHeight="1">
      <c r="A66" s="237">
        <v>46171.0</v>
      </c>
      <c r="B66" s="222">
        <f t="shared" si="1"/>
        <v>29</v>
      </c>
      <c r="C66" s="222">
        <v>7.0</v>
      </c>
      <c r="D66" s="222">
        <f t="shared" si="2"/>
        <v>2026</v>
      </c>
      <c r="E66" s="223" t="s">
        <v>150</v>
      </c>
      <c r="F66" s="223">
        <v>5.0</v>
      </c>
      <c r="G66" s="227">
        <v>5.0</v>
      </c>
      <c r="H66" s="225">
        <f t="shared" si="4"/>
        <v>25</v>
      </c>
      <c r="I66" s="223" t="s">
        <v>245</v>
      </c>
      <c r="J66" s="223"/>
      <c r="K66" s="222">
        <v>7.0</v>
      </c>
      <c r="L66" s="222">
        <v>7.0</v>
      </c>
      <c r="M66" s="222">
        <v>2026.0</v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hidden="1" customHeight="1">
      <c r="A67" s="229">
        <v>46171.0</v>
      </c>
      <c r="B67" s="222">
        <f t="shared" si="1"/>
        <v>29</v>
      </c>
      <c r="C67" s="222">
        <v>5.0</v>
      </c>
      <c r="D67" s="222">
        <f t="shared" si="2"/>
        <v>2026</v>
      </c>
      <c r="E67" s="223" t="s">
        <v>145</v>
      </c>
      <c r="F67" s="223">
        <v>5.0</v>
      </c>
      <c r="G67" s="227">
        <v>2.0</v>
      </c>
      <c r="H67" s="225">
        <f t="shared" si="4"/>
        <v>10</v>
      </c>
      <c r="I67" s="223" t="s">
        <v>245</v>
      </c>
      <c r="J67" s="223"/>
      <c r="K67" s="222">
        <v>5.0</v>
      </c>
      <c r="L67" s="222">
        <v>5.0</v>
      </c>
      <c r="M67" s="222">
        <v>2026.0</v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hidden="1" customHeight="1">
      <c r="A68" s="229">
        <v>46171.0</v>
      </c>
      <c r="B68" s="222">
        <f t="shared" si="1"/>
        <v>29</v>
      </c>
      <c r="C68" s="222">
        <v>5.0</v>
      </c>
      <c r="D68" s="222">
        <f t="shared" si="2"/>
        <v>2026</v>
      </c>
      <c r="E68" s="223" t="s">
        <v>150</v>
      </c>
      <c r="F68" s="223">
        <v>1.0</v>
      </c>
      <c r="G68" s="227">
        <v>9.0</v>
      </c>
      <c r="H68" s="225">
        <f t="shared" si="4"/>
        <v>9</v>
      </c>
      <c r="I68" s="223" t="s">
        <v>245</v>
      </c>
      <c r="J68" s="223"/>
      <c r="K68" s="222">
        <v>5.0</v>
      </c>
      <c r="L68" s="222">
        <v>5.0</v>
      </c>
      <c r="M68" s="222">
        <v>2026.0</v>
      </c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hidden="1" customHeight="1">
      <c r="A69" s="229">
        <v>46171.0</v>
      </c>
      <c r="B69" s="222">
        <f t="shared" si="1"/>
        <v>29</v>
      </c>
      <c r="C69" s="222">
        <v>5.0</v>
      </c>
      <c r="D69" s="222">
        <f t="shared" si="2"/>
        <v>2026</v>
      </c>
      <c r="E69" s="233" t="s">
        <v>148</v>
      </c>
      <c r="F69" s="234">
        <v>1.0</v>
      </c>
      <c r="G69" s="235">
        <v>25.0</v>
      </c>
      <c r="H69" s="224">
        <f t="shared" si="4"/>
        <v>25</v>
      </c>
      <c r="I69" s="223" t="s">
        <v>12</v>
      </c>
      <c r="J69" s="223"/>
      <c r="K69" s="222">
        <v>5.0</v>
      </c>
      <c r="L69" s="222">
        <v>5.0</v>
      </c>
      <c r="M69" s="222">
        <v>2026.0</v>
      </c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hidden="1" customHeight="1">
      <c r="A70" s="226">
        <v>46173.0</v>
      </c>
      <c r="B70" s="222">
        <f t="shared" si="1"/>
        <v>31</v>
      </c>
      <c r="C70" s="222">
        <v>5.0</v>
      </c>
      <c r="D70" s="222">
        <f t="shared" si="2"/>
        <v>2026</v>
      </c>
      <c r="E70" s="223" t="s">
        <v>145</v>
      </c>
      <c r="F70" s="223">
        <v>5.0</v>
      </c>
      <c r="G70" s="227">
        <v>2.0</v>
      </c>
      <c r="H70" s="225">
        <f t="shared" si="4"/>
        <v>10</v>
      </c>
      <c r="I70" s="223" t="s">
        <v>245</v>
      </c>
      <c r="J70" s="223"/>
      <c r="K70" s="222">
        <v>5.0</v>
      </c>
      <c r="L70" s="222">
        <v>5.0</v>
      </c>
      <c r="M70" s="222">
        <v>2026.0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hidden="1" customHeight="1">
      <c r="A71" s="226">
        <v>46173.0</v>
      </c>
      <c r="B71" s="222">
        <f t="shared" si="1"/>
        <v>31</v>
      </c>
      <c r="C71" s="222">
        <v>5.0</v>
      </c>
      <c r="D71" s="222">
        <f t="shared" si="2"/>
        <v>2026</v>
      </c>
      <c r="E71" s="223" t="s">
        <v>145</v>
      </c>
      <c r="F71" s="223">
        <v>2.0</v>
      </c>
      <c r="G71" s="227">
        <v>2.0</v>
      </c>
      <c r="H71" s="225">
        <f t="shared" si="4"/>
        <v>4</v>
      </c>
      <c r="I71" s="223" t="s">
        <v>245</v>
      </c>
      <c r="J71" s="223"/>
      <c r="K71" s="222">
        <v>5.0</v>
      </c>
      <c r="L71" s="222">
        <v>5.0</v>
      </c>
      <c r="M71" s="222">
        <v>2026.0</v>
      </c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37">
        <v>46174.0</v>
      </c>
      <c r="B72" s="222">
        <f t="shared" si="1"/>
        <v>1</v>
      </c>
      <c r="C72" s="222">
        <v>6.0</v>
      </c>
      <c r="D72" s="222">
        <f t="shared" si="2"/>
        <v>2026</v>
      </c>
      <c r="E72" s="223" t="s">
        <v>166</v>
      </c>
      <c r="F72" s="222">
        <v>1.0</v>
      </c>
      <c r="G72" s="224">
        <v>224.0</v>
      </c>
      <c r="H72" s="225">
        <f t="shared" si="4"/>
        <v>224</v>
      </c>
      <c r="I72" s="223" t="s">
        <v>245</v>
      </c>
      <c r="J72" s="223"/>
      <c r="K72" s="238">
        <v>6.0</v>
      </c>
      <c r="L72" s="222">
        <v>6.0</v>
      </c>
      <c r="M72" s="222">
        <v>2026.0</v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hidden="1" customHeight="1">
      <c r="A73" s="226">
        <v>46174.0</v>
      </c>
      <c r="B73" s="222">
        <f t="shared" si="1"/>
        <v>1</v>
      </c>
      <c r="C73" s="222">
        <v>6.0</v>
      </c>
      <c r="D73" s="222">
        <f t="shared" si="2"/>
        <v>2026</v>
      </c>
      <c r="E73" s="223" t="s">
        <v>155</v>
      </c>
      <c r="F73" s="32">
        <v>1.0</v>
      </c>
      <c r="G73" s="227">
        <v>15.0</v>
      </c>
      <c r="H73" s="225">
        <f t="shared" si="4"/>
        <v>15</v>
      </c>
      <c r="I73" s="223" t="s">
        <v>245</v>
      </c>
      <c r="J73" s="223"/>
      <c r="K73" s="222">
        <v>6.0</v>
      </c>
      <c r="L73" s="222">
        <v>6.0</v>
      </c>
      <c r="M73" s="222">
        <v>2026.0</v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hidden="1" customHeight="1">
      <c r="A74" s="226">
        <v>46174.0</v>
      </c>
      <c r="B74" s="222">
        <f t="shared" si="1"/>
        <v>1</v>
      </c>
      <c r="C74" s="222">
        <v>6.0</v>
      </c>
      <c r="D74" s="222">
        <f t="shared" si="2"/>
        <v>2026</v>
      </c>
      <c r="E74" s="223" t="s">
        <v>145</v>
      </c>
      <c r="F74" s="32">
        <v>1.0</v>
      </c>
      <c r="G74" s="227">
        <v>2.0</v>
      </c>
      <c r="H74" s="225">
        <f t="shared" si="4"/>
        <v>2</v>
      </c>
      <c r="I74" s="223" t="s">
        <v>245</v>
      </c>
      <c r="J74" s="223"/>
      <c r="K74" s="222">
        <v>6.0</v>
      </c>
      <c r="L74" s="222">
        <v>6.0</v>
      </c>
      <c r="M74" s="222">
        <v>2026.0</v>
      </c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hidden="1" customHeight="1">
      <c r="A75" s="226">
        <v>46174.0</v>
      </c>
      <c r="B75" s="222">
        <v>1.0</v>
      </c>
      <c r="C75" s="239">
        <v>5.0</v>
      </c>
      <c r="D75" s="222">
        <v>2026.0</v>
      </c>
      <c r="E75" s="240" t="s">
        <v>150</v>
      </c>
      <c r="F75" s="222">
        <v>1.0</v>
      </c>
      <c r="G75" s="241">
        <v>423.5</v>
      </c>
      <c r="H75" s="241">
        <v>423.5</v>
      </c>
      <c r="I75" s="240" t="s">
        <v>2</v>
      </c>
      <c r="J75" s="240" t="s">
        <v>817</v>
      </c>
      <c r="K75" s="238">
        <v>5.0</v>
      </c>
      <c r="L75" s="239">
        <v>5.0</v>
      </c>
      <c r="M75" s="239">
        <v>2026.0</v>
      </c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hidden="1" customHeight="1">
      <c r="A76" s="226">
        <v>46176.0</v>
      </c>
      <c r="B76" s="222">
        <f t="shared" ref="B76:B166" si="6">day(A76)</f>
        <v>3</v>
      </c>
      <c r="C76" s="222">
        <v>6.0</v>
      </c>
      <c r="D76" s="222">
        <f t="shared" ref="D76:D166" si="7">year(A76)</f>
        <v>2026</v>
      </c>
      <c r="E76" s="223" t="s">
        <v>145</v>
      </c>
      <c r="F76" s="32">
        <v>2.0</v>
      </c>
      <c r="G76" s="227">
        <v>2.0</v>
      </c>
      <c r="H76" s="225">
        <f t="shared" ref="H76:H166" si="8">F76*G76</f>
        <v>4</v>
      </c>
      <c r="I76" s="223" t="s">
        <v>245</v>
      </c>
      <c r="J76" s="223"/>
      <c r="K76" s="222">
        <v>6.0</v>
      </c>
      <c r="L76" s="222">
        <v>6.0</v>
      </c>
      <c r="M76" s="222">
        <v>2026.0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hidden="1" customHeight="1">
      <c r="A77" s="226">
        <v>46177.0</v>
      </c>
      <c r="B77" s="222">
        <f t="shared" si="6"/>
        <v>4</v>
      </c>
      <c r="C77" s="222">
        <v>6.0</v>
      </c>
      <c r="D77" s="222">
        <f t="shared" si="7"/>
        <v>2026</v>
      </c>
      <c r="E77" s="223" t="s">
        <v>155</v>
      </c>
      <c r="F77" s="222">
        <v>1.0</v>
      </c>
      <c r="G77" s="224">
        <v>15.0</v>
      </c>
      <c r="H77" s="225">
        <f t="shared" si="8"/>
        <v>15</v>
      </c>
      <c r="I77" s="223" t="s">
        <v>245</v>
      </c>
      <c r="J77" s="223"/>
      <c r="K77" s="222">
        <v>6.0</v>
      </c>
      <c r="L77" s="222">
        <v>6.0</v>
      </c>
      <c r="M77" s="222">
        <v>2026.0</v>
      </c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hidden="1" customHeight="1">
      <c r="A78" s="228">
        <f t="shared" ref="A78:A80" si="9">A77</f>
        <v>46177</v>
      </c>
      <c r="B78" s="222">
        <f t="shared" si="6"/>
        <v>4</v>
      </c>
      <c r="C78" s="222">
        <v>6.0</v>
      </c>
      <c r="D78" s="222">
        <f t="shared" si="7"/>
        <v>2026</v>
      </c>
      <c r="E78" s="223" t="s">
        <v>155</v>
      </c>
      <c r="F78" s="222">
        <v>1.0</v>
      </c>
      <c r="G78" s="224">
        <v>15.0</v>
      </c>
      <c r="H78" s="225">
        <f t="shared" si="8"/>
        <v>15</v>
      </c>
      <c r="I78" s="223" t="s">
        <v>245</v>
      </c>
      <c r="J78" s="223"/>
      <c r="K78" s="222">
        <v>6.0</v>
      </c>
      <c r="L78" s="222">
        <v>6.0</v>
      </c>
      <c r="M78" s="222">
        <v>2026.0</v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hidden="1" customHeight="1">
      <c r="A79" s="228">
        <f t="shared" si="9"/>
        <v>46177</v>
      </c>
      <c r="B79" s="222">
        <f t="shared" si="6"/>
        <v>4</v>
      </c>
      <c r="C79" s="222">
        <v>6.0</v>
      </c>
      <c r="D79" s="222">
        <f t="shared" si="7"/>
        <v>2026</v>
      </c>
      <c r="E79" s="233" t="s">
        <v>155</v>
      </c>
      <c r="F79" s="233">
        <v>1.0</v>
      </c>
      <c r="G79" s="236">
        <v>15.0</v>
      </c>
      <c r="H79" s="225">
        <f t="shared" si="8"/>
        <v>15</v>
      </c>
      <c r="I79" s="223" t="s">
        <v>245</v>
      </c>
      <c r="J79" s="223"/>
      <c r="K79" s="222">
        <v>6.0</v>
      </c>
      <c r="L79" s="222">
        <v>6.0</v>
      </c>
      <c r="M79" s="222">
        <v>2026.0</v>
      </c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hidden="1" customHeight="1">
      <c r="A80" s="228">
        <f t="shared" si="9"/>
        <v>46177</v>
      </c>
      <c r="B80" s="222">
        <f t="shared" si="6"/>
        <v>4</v>
      </c>
      <c r="C80" s="222">
        <v>6.0</v>
      </c>
      <c r="D80" s="222">
        <f t="shared" si="7"/>
        <v>2026</v>
      </c>
      <c r="E80" s="223" t="s">
        <v>155</v>
      </c>
      <c r="F80" s="222">
        <v>1.0</v>
      </c>
      <c r="G80" s="224">
        <v>15.0</v>
      </c>
      <c r="H80" s="225">
        <f t="shared" si="8"/>
        <v>15</v>
      </c>
      <c r="I80" s="223" t="s">
        <v>245</v>
      </c>
      <c r="J80" s="223"/>
      <c r="K80" s="222">
        <v>6.0</v>
      </c>
      <c r="L80" s="222">
        <v>6.0</v>
      </c>
      <c r="M80" s="222">
        <v>2026.0</v>
      </c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hidden="1" customHeight="1">
      <c r="A81" s="226">
        <v>46177.0</v>
      </c>
      <c r="B81" s="222">
        <f t="shared" si="6"/>
        <v>4</v>
      </c>
      <c r="C81" s="222">
        <v>6.0</v>
      </c>
      <c r="D81" s="222">
        <f t="shared" si="7"/>
        <v>2026</v>
      </c>
      <c r="E81" s="223" t="s">
        <v>145</v>
      </c>
      <c r="F81" s="223">
        <v>5.0</v>
      </c>
      <c r="G81" s="227">
        <v>2.0</v>
      </c>
      <c r="H81" s="225">
        <f t="shared" si="8"/>
        <v>10</v>
      </c>
      <c r="I81" s="223" t="s">
        <v>245</v>
      </c>
      <c r="J81" s="223"/>
      <c r="K81" s="222">
        <v>6.0</v>
      </c>
      <c r="L81" s="222">
        <v>6.0</v>
      </c>
      <c r="M81" s="222">
        <v>2026.0</v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hidden="1" customHeight="1">
      <c r="A82" s="226">
        <v>46177.0</v>
      </c>
      <c r="B82" s="222">
        <f t="shared" si="6"/>
        <v>4</v>
      </c>
      <c r="C82" s="222">
        <v>6.0</v>
      </c>
      <c r="D82" s="222">
        <f t="shared" si="7"/>
        <v>2026</v>
      </c>
      <c r="E82" s="223" t="s">
        <v>145</v>
      </c>
      <c r="F82" s="32">
        <v>4.0</v>
      </c>
      <c r="G82" s="227">
        <v>2.0</v>
      </c>
      <c r="H82" s="225">
        <f t="shared" si="8"/>
        <v>8</v>
      </c>
      <c r="I82" s="223" t="s">
        <v>245</v>
      </c>
      <c r="J82" s="223"/>
      <c r="K82" s="222">
        <v>6.0</v>
      </c>
      <c r="L82" s="222">
        <v>6.0</v>
      </c>
      <c r="M82" s="222">
        <v>2026.0</v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hidden="1" customHeight="1">
      <c r="A83" s="228">
        <f t="shared" ref="A83:A85" si="10">A82</f>
        <v>46177</v>
      </c>
      <c r="B83" s="222">
        <f t="shared" si="6"/>
        <v>4</v>
      </c>
      <c r="C83" s="222">
        <v>6.0</v>
      </c>
      <c r="D83" s="222">
        <f t="shared" si="7"/>
        <v>2026</v>
      </c>
      <c r="E83" s="223" t="s">
        <v>145</v>
      </c>
      <c r="F83" s="223">
        <v>4.0</v>
      </c>
      <c r="G83" s="227">
        <v>2.0</v>
      </c>
      <c r="H83" s="225">
        <f t="shared" si="8"/>
        <v>8</v>
      </c>
      <c r="I83" s="223" t="s">
        <v>245</v>
      </c>
      <c r="J83" s="223"/>
      <c r="K83" s="222">
        <v>6.0</v>
      </c>
      <c r="L83" s="222">
        <v>6.0</v>
      </c>
      <c r="M83" s="222">
        <v>2026.0</v>
      </c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hidden="1" customHeight="1">
      <c r="A84" s="228">
        <f t="shared" si="10"/>
        <v>46177</v>
      </c>
      <c r="B84" s="222">
        <f t="shared" si="6"/>
        <v>4</v>
      </c>
      <c r="C84" s="222">
        <v>6.0</v>
      </c>
      <c r="D84" s="222">
        <f t="shared" si="7"/>
        <v>2026</v>
      </c>
      <c r="E84" s="223" t="s">
        <v>145</v>
      </c>
      <c r="F84" s="222">
        <v>4.0</v>
      </c>
      <c r="G84" s="224">
        <v>2.0</v>
      </c>
      <c r="H84" s="225">
        <f t="shared" si="8"/>
        <v>8</v>
      </c>
      <c r="I84" s="223" t="s">
        <v>245</v>
      </c>
      <c r="J84" s="223"/>
      <c r="K84" s="222">
        <v>6.0</v>
      </c>
      <c r="L84" s="222">
        <v>6.0</v>
      </c>
      <c r="M84" s="222">
        <v>2026.0</v>
      </c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hidden="1" customHeight="1">
      <c r="A85" s="228">
        <f t="shared" si="10"/>
        <v>46177</v>
      </c>
      <c r="B85" s="222">
        <f t="shared" si="6"/>
        <v>4</v>
      </c>
      <c r="C85" s="222">
        <v>6.0</v>
      </c>
      <c r="D85" s="222">
        <f t="shared" si="7"/>
        <v>2026</v>
      </c>
      <c r="E85" s="233" t="s">
        <v>145</v>
      </c>
      <c r="F85" s="233">
        <v>4.0</v>
      </c>
      <c r="G85" s="236">
        <v>2.0</v>
      </c>
      <c r="H85" s="225">
        <f t="shared" si="8"/>
        <v>8</v>
      </c>
      <c r="I85" s="223" t="s">
        <v>245</v>
      </c>
      <c r="J85" s="223"/>
      <c r="K85" s="222">
        <v>6.0</v>
      </c>
      <c r="L85" s="222">
        <v>6.0</v>
      </c>
      <c r="M85" s="222">
        <v>2026.0</v>
      </c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hidden="1" customHeight="1">
      <c r="A86" s="226">
        <v>46177.0</v>
      </c>
      <c r="B86" s="222">
        <f t="shared" si="6"/>
        <v>4</v>
      </c>
      <c r="C86" s="222">
        <v>6.0</v>
      </c>
      <c r="D86" s="222">
        <f t="shared" si="7"/>
        <v>2026</v>
      </c>
      <c r="E86" s="223" t="s">
        <v>150</v>
      </c>
      <c r="F86" s="32">
        <v>1.0</v>
      </c>
      <c r="G86" s="227">
        <v>5.0</v>
      </c>
      <c r="H86" s="225">
        <f t="shared" si="8"/>
        <v>5</v>
      </c>
      <c r="I86" s="223" t="s">
        <v>245</v>
      </c>
      <c r="J86" s="223"/>
      <c r="K86" s="222">
        <v>6.0</v>
      </c>
      <c r="L86" s="222">
        <v>6.0</v>
      </c>
      <c r="M86" s="222">
        <v>2026.0</v>
      </c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hidden="1" customHeight="1">
      <c r="A87" s="226">
        <v>46177.0</v>
      </c>
      <c r="B87" s="222">
        <f t="shared" si="6"/>
        <v>4</v>
      </c>
      <c r="C87" s="222">
        <v>6.0</v>
      </c>
      <c r="D87" s="222">
        <f t="shared" si="7"/>
        <v>2026</v>
      </c>
      <c r="E87" s="223" t="s">
        <v>145</v>
      </c>
      <c r="F87" s="223">
        <v>2.0</v>
      </c>
      <c r="G87" s="227">
        <v>2.0</v>
      </c>
      <c r="H87" s="225">
        <f t="shared" si="8"/>
        <v>4</v>
      </c>
      <c r="I87" s="223" t="s">
        <v>245</v>
      </c>
      <c r="J87" s="223"/>
      <c r="K87" s="222">
        <v>6.0</v>
      </c>
      <c r="L87" s="222">
        <v>6.0</v>
      </c>
      <c r="M87" s="222">
        <v>2026.0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hidden="1" customHeight="1">
      <c r="A88" s="226">
        <v>46177.0</v>
      </c>
      <c r="B88" s="222">
        <f t="shared" si="6"/>
        <v>4</v>
      </c>
      <c r="C88" s="222">
        <v>6.0</v>
      </c>
      <c r="D88" s="222">
        <f t="shared" si="7"/>
        <v>2026</v>
      </c>
      <c r="E88" s="223" t="s">
        <v>145</v>
      </c>
      <c r="F88" s="223">
        <v>1.0</v>
      </c>
      <c r="G88" s="227">
        <v>2.0</v>
      </c>
      <c r="H88" s="225">
        <f t="shared" si="8"/>
        <v>2</v>
      </c>
      <c r="I88" s="223" t="s">
        <v>245</v>
      </c>
      <c r="J88" s="223"/>
      <c r="K88" s="222">
        <v>6.0</v>
      </c>
      <c r="L88" s="222">
        <v>6.0</v>
      </c>
      <c r="M88" s="222">
        <v>2026.0</v>
      </c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hidden="1" customHeight="1">
      <c r="A89" s="228">
        <v>46178.0</v>
      </c>
      <c r="B89" s="222">
        <f t="shared" si="6"/>
        <v>5</v>
      </c>
      <c r="C89" s="222">
        <v>6.0</v>
      </c>
      <c r="D89" s="222">
        <f t="shared" si="7"/>
        <v>2026</v>
      </c>
      <c r="E89" s="223" t="s">
        <v>145</v>
      </c>
      <c r="F89" s="223">
        <v>5.0</v>
      </c>
      <c r="G89" s="227">
        <v>2.0</v>
      </c>
      <c r="H89" s="225">
        <f t="shared" si="8"/>
        <v>10</v>
      </c>
      <c r="I89" s="223" t="s">
        <v>245</v>
      </c>
      <c r="J89" s="223"/>
      <c r="K89" s="222">
        <v>6.0</v>
      </c>
      <c r="L89" s="222">
        <v>6.0</v>
      </c>
      <c r="M89" s="222">
        <v>2026.0</v>
      </c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hidden="1" customHeight="1">
      <c r="A90" s="228">
        <f t="shared" ref="A90:A93" si="11">A89</f>
        <v>46178</v>
      </c>
      <c r="B90" s="222">
        <f t="shared" si="6"/>
        <v>5</v>
      </c>
      <c r="C90" s="222">
        <v>6.0</v>
      </c>
      <c r="D90" s="222">
        <f t="shared" si="7"/>
        <v>2026</v>
      </c>
      <c r="E90" s="223" t="s">
        <v>145</v>
      </c>
      <c r="F90" s="32">
        <v>5.0</v>
      </c>
      <c r="G90" s="227">
        <v>2.0</v>
      </c>
      <c r="H90" s="225">
        <f t="shared" si="8"/>
        <v>10</v>
      </c>
      <c r="I90" s="223" t="s">
        <v>245</v>
      </c>
      <c r="J90" s="223"/>
      <c r="K90" s="222">
        <v>6.0</v>
      </c>
      <c r="L90" s="222">
        <v>6.0</v>
      </c>
      <c r="M90" s="222">
        <v>2026.0</v>
      </c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hidden="1" customHeight="1">
      <c r="A91" s="228">
        <f t="shared" si="11"/>
        <v>46178</v>
      </c>
      <c r="B91" s="222">
        <f t="shared" si="6"/>
        <v>5</v>
      </c>
      <c r="C91" s="222">
        <v>6.0</v>
      </c>
      <c r="D91" s="222">
        <f t="shared" si="7"/>
        <v>2026</v>
      </c>
      <c r="E91" s="223" t="s">
        <v>145</v>
      </c>
      <c r="F91" s="32">
        <v>5.0</v>
      </c>
      <c r="G91" s="227">
        <v>2.0</v>
      </c>
      <c r="H91" s="225">
        <f t="shared" si="8"/>
        <v>10</v>
      </c>
      <c r="I91" s="223" t="s">
        <v>245</v>
      </c>
      <c r="J91" s="223"/>
      <c r="K91" s="222">
        <v>6.0</v>
      </c>
      <c r="L91" s="222">
        <v>6.0</v>
      </c>
      <c r="M91" s="222">
        <v>2026.0</v>
      </c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hidden="1" customHeight="1">
      <c r="A92" s="228">
        <f t="shared" si="11"/>
        <v>46178</v>
      </c>
      <c r="B92" s="222">
        <f t="shared" si="6"/>
        <v>5</v>
      </c>
      <c r="C92" s="222">
        <v>6.0</v>
      </c>
      <c r="D92" s="222">
        <f t="shared" si="7"/>
        <v>2026</v>
      </c>
      <c r="E92" s="223" t="s">
        <v>145</v>
      </c>
      <c r="F92" s="223">
        <v>5.0</v>
      </c>
      <c r="G92" s="227">
        <v>2.0</v>
      </c>
      <c r="H92" s="225">
        <f t="shared" si="8"/>
        <v>10</v>
      </c>
      <c r="I92" s="223" t="s">
        <v>245</v>
      </c>
      <c r="J92" s="223"/>
      <c r="K92" s="222">
        <v>6.0</v>
      </c>
      <c r="L92" s="222">
        <v>6.0</v>
      </c>
      <c r="M92" s="222">
        <v>2026.0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hidden="1" customHeight="1">
      <c r="A93" s="228">
        <f t="shared" si="11"/>
        <v>46178</v>
      </c>
      <c r="B93" s="222">
        <f t="shared" si="6"/>
        <v>5</v>
      </c>
      <c r="C93" s="222">
        <v>6.0</v>
      </c>
      <c r="D93" s="222">
        <f t="shared" si="7"/>
        <v>2026</v>
      </c>
      <c r="E93" s="223" t="s">
        <v>145</v>
      </c>
      <c r="F93" s="223">
        <v>5.0</v>
      </c>
      <c r="G93" s="227">
        <v>2.0</v>
      </c>
      <c r="H93" s="225">
        <f t="shared" si="8"/>
        <v>10</v>
      </c>
      <c r="I93" s="223" t="s">
        <v>245</v>
      </c>
      <c r="J93" s="223"/>
      <c r="K93" s="222">
        <v>6.0</v>
      </c>
      <c r="L93" s="222">
        <v>6.0</v>
      </c>
      <c r="M93" s="222">
        <v>2026.0</v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hidden="1" customHeight="1">
      <c r="A94" s="228">
        <v>46178.0</v>
      </c>
      <c r="B94" s="222">
        <f t="shared" si="6"/>
        <v>5</v>
      </c>
      <c r="C94" s="222">
        <v>6.0</v>
      </c>
      <c r="D94" s="222">
        <f t="shared" si="7"/>
        <v>2026</v>
      </c>
      <c r="E94" s="234" t="s">
        <v>150</v>
      </c>
      <c r="F94" s="234">
        <v>1.0</v>
      </c>
      <c r="G94" s="236">
        <v>7.0</v>
      </c>
      <c r="H94" s="225">
        <f t="shared" si="8"/>
        <v>7</v>
      </c>
      <c r="I94" s="223" t="s">
        <v>245</v>
      </c>
      <c r="J94" s="223"/>
      <c r="K94" s="222">
        <v>6.0</v>
      </c>
      <c r="L94" s="222">
        <v>6.0</v>
      </c>
      <c r="M94" s="222">
        <v>2026.0</v>
      </c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hidden="1" customHeight="1">
      <c r="A95" s="228">
        <v>46178.0</v>
      </c>
      <c r="B95" s="222">
        <f t="shared" si="6"/>
        <v>5</v>
      </c>
      <c r="C95" s="222">
        <v>6.0</v>
      </c>
      <c r="D95" s="222">
        <f t="shared" si="7"/>
        <v>2026</v>
      </c>
      <c r="E95" s="223" t="s">
        <v>145</v>
      </c>
      <c r="F95" s="223">
        <v>1.0</v>
      </c>
      <c r="G95" s="227">
        <v>2.0</v>
      </c>
      <c r="H95" s="225">
        <f t="shared" si="8"/>
        <v>2</v>
      </c>
      <c r="I95" s="223" t="s">
        <v>245</v>
      </c>
      <c r="J95" s="223"/>
      <c r="K95" s="222">
        <v>6.0</v>
      </c>
      <c r="L95" s="222">
        <v>6.0</v>
      </c>
      <c r="M95" s="222">
        <v>2026.0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hidden="1" customHeight="1">
      <c r="A96" s="228">
        <v>46179.0</v>
      </c>
      <c r="B96" s="222">
        <f t="shared" si="6"/>
        <v>6</v>
      </c>
      <c r="C96" s="222">
        <v>6.0</v>
      </c>
      <c r="D96" s="222">
        <f t="shared" si="7"/>
        <v>2026</v>
      </c>
      <c r="E96" s="223" t="s">
        <v>145</v>
      </c>
      <c r="F96" s="32">
        <v>1.0</v>
      </c>
      <c r="G96" s="227">
        <v>2.0</v>
      </c>
      <c r="H96" s="224">
        <f t="shared" si="8"/>
        <v>2</v>
      </c>
      <c r="I96" s="223" t="s">
        <v>12</v>
      </c>
      <c r="J96" s="223"/>
      <c r="K96" s="222">
        <v>6.0</v>
      </c>
      <c r="L96" s="222">
        <v>6.0</v>
      </c>
      <c r="M96" s="222">
        <v>2026.0</v>
      </c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hidden="1" customHeight="1">
      <c r="A97" s="228">
        <v>46179.0</v>
      </c>
      <c r="B97" s="222">
        <f t="shared" si="6"/>
        <v>6</v>
      </c>
      <c r="C97" s="222">
        <v>6.0</v>
      </c>
      <c r="D97" s="222">
        <f t="shared" si="7"/>
        <v>2026</v>
      </c>
      <c r="E97" s="223" t="s">
        <v>150</v>
      </c>
      <c r="F97" s="32">
        <v>1.0</v>
      </c>
      <c r="G97" s="227">
        <v>10.0</v>
      </c>
      <c r="H97" s="225">
        <f t="shared" si="8"/>
        <v>10</v>
      </c>
      <c r="I97" s="223" t="s">
        <v>245</v>
      </c>
      <c r="J97" s="223"/>
      <c r="K97" s="222">
        <v>6.0</v>
      </c>
      <c r="L97" s="222">
        <v>6.0</v>
      </c>
      <c r="M97" s="222">
        <v>2026.0</v>
      </c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hidden="1" customHeight="1">
      <c r="A98" s="228">
        <v>46179.0</v>
      </c>
      <c r="B98" s="222">
        <f t="shared" si="6"/>
        <v>6</v>
      </c>
      <c r="C98" s="222">
        <v>6.0</v>
      </c>
      <c r="D98" s="222">
        <f t="shared" si="7"/>
        <v>2026</v>
      </c>
      <c r="E98" s="223" t="s">
        <v>145</v>
      </c>
      <c r="F98" s="223">
        <v>2.0</v>
      </c>
      <c r="G98" s="227">
        <v>2.5</v>
      </c>
      <c r="H98" s="225">
        <f t="shared" si="8"/>
        <v>5</v>
      </c>
      <c r="I98" s="223" t="s">
        <v>245</v>
      </c>
      <c r="J98" s="223"/>
      <c r="K98" s="222">
        <v>6.0</v>
      </c>
      <c r="L98" s="222">
        <v>6.0</v>
      </c>
      <c r="M98" s="222">
        <v>2026.0</v>
      </c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hidden="1" customHeight="1">
      <c r="A99" s="228">
        <v>46179.0</v>
      </c>
      <c r="B99" s="222">
        <f t="shared" si="6"/>
        <v>6</v>
      </c>
      <c r="C99" s="222">
        <v>6.0</v>
      </c>
      <c r="D99" s="222">
        <f t="shared" si="7"/>
        <v>2026</v>
      </c>
      <c r="E99" s="223" t="s">
        <v>145</v>
      </c>
      <c r="F99" s="32">
        <v>2.0</v>
      </c>
      <c r="G99" s="227">
        <v>2.0</v>
      </c>
      <c r="H99" s="225">
        <f t="shared" si="8"/>
        <v>4</v>
      </c>
      <c r="I99" s="223" t="s">
        <v>245</v>
      </c>
      <c r="J99" s="223"/>
      <c r="K99" s="222">
        <v>6.0</v>
      </c>
      <c r="L99" s="222">
        <v>6.0</v>
      </c>
      <c r="M99" s="222">
        <v>2026.0</v>
      </c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hidden="1" customHeight="1">
      <c r="A100" s="228">
        <v>46179.0</v>
      </c>
      <c r="B100" s="222">
        <f t="shared" si="6"/>
        <v>6</v>
      </c>
      <c r="C100" s="222">
        <v>6.0</v>
      </c>
      <c r="D100" s="222">
        <f t="shared" si="7"/>
        <v>2026</v>
      </c>
      <c r="E100" s="233" t="s">
        <v>148</v>
      </c>
      <c r="F100" s="233">
        <v>1.0</v>
      </c>
      <c r="G100" s="236">
        <v>15.0</v>
      </c>
      <c r="H100" s="224">
        <f t="shared" si="8"/>
        <v>15</v>
      </c>
      <c r="I100" s="223" t="s">
        <v>12</v>
      </c>
      <c r="J100" s="223"/>
      <c r="K100" s="222">
        <v>6.0</v>
      </c>
      <c r="L100" s="222">
        <v>6.0</v>
      </c>
      <c r="M100" s="222">
        <v>2026.0</v>
      </c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hidden="1" customHeight="1">
      <c r="A101" s="228">
        <f t="shared" ref="A101:A104" si="12">A100</f>
        <v>46179</v>
      </c>
      <c r="B101" s="222">
        <f t="shared" si="6"/>
        <v>6</v>
      </c>
      <c r="C101" s="222">
        <v>6.0</v>
      </c>
      <c r="D101" s="222">
        <f t="shared" si="7"/>
        <v>2026</v>
      </c>
      <c r="E101" s="223" t="s">
        <v>145</v>
      </c>
      <c r="F101" s="32">
        <v>1.0</v>
      </c>
      <c r="G101" s="227">
        <v>2.0</v>
      </c>
      <c r="H101" s="225">
        <f t="shared" si="8"/>
        <v>2</v>
      </c>
      <c r="I101" s="223" t="s">
        <v>245</v>
      </c>
      <c r="J101" s="223"/>
      <c r="K101" s="222">
        <v>6.0</v>
      </c>
      <c r="L101" s="222">
        <v>6.0</v>
      </c>
      <c r="M101" s="222">
        <v>2026.0</v>
      </c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hidden="1" customHeight="1">
      <c r="A102" s="228">
        <f t="shared" si="12"/>
        <v>46179</v>
      </c>
      <c r="B102" s="222">
        <f t="shared" si="6"/>
        <v>6</v>
      </c>
      <c r="C102" s="222">
        <v>6.0</v>
      </c>
      <c r="D102" s="222">
        <f t="shared" si="7"/>
        <v>2026</v>
      </c>
      <c r="E102" s="223" t="s">
        <v>145</v>
      </c>
      <c r="F102" s="32">
        <v>1.0</v>
      </c>
      <c r="G102" s="227">
        <v>2.0</v>
      </c>
      <c r="H102" s="225">
        <f t="shared" si="8"/>
        <v>2</v>
      </c>
      <c r="I102" s="223" t="s">
        <v>245</v>
      </c>
      <c r="J102" s="223"/>
      <c r="K102" s="222">
        <v>6.0</v>
      </c>
      <c r="L102" s="222">
        <v>6.0</v>
      </c>
      <c r="M102" s="222">
        <v>2026.0</v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hidden="1" customHeight="1">
      <c r="A103" s="228">
        <f t="shared" si="12"/>
        <v>46179</v>
      </c>
      <c r="B103" s="222">
        <f t="shared" si="6"/>
        <v>6</v>
      </c>
      <c r="C103" s="222">
        <v>6.0</v>
      </c>
      <c r="D103" s="222">
        <f t="shared" si="7"/>
        <v>2026</v>
      </c>
      <c r="E103" s="223" t="s">
        <v>145</v>
      </c>
      <c r="F103" s="32">
        <v>1.0</v>
      </c>
      <c r="G103" s="227">
        <v>2.0</v>
      </c>
      <c r="H103" s="225">
        <f t="shared" si="8"/>
        <v>2</v>
      </c>
      <c r="I103" s="223" t="s">
        <v>245</v>
      </c>
      <c r="J103" s="223"/>
      <c r="K103" s="222">
        <v>6.0</v>
      </c>
      <c r="L103" s="222">
        <v>6.0</v>
      </c>
      <c r="M103" s="222">
        <v>2026.0</v>
      </c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hidden="1" customHeight="1">
      <c r="A104" s="228">
        <f t="shared" si="12"/>
        <v>46179</v>
      </c>
      <c r="B104" s="222">
        <f t="shared" si="6"/>
        <v>6</v>
      </c>
      <c r="C104" s="222">
        <v>6.0</v>
      </c>
      <c r="D104" s="222">
        <f t="shared" si="7"/>
        <v>2026</v>
      </c>
      <c r="E104" s="223" t="s">
        <v>145</v>
      </c>
      <c r="F104" s="222">
        <v>1.0</v>
      </c>
      <c r="G104" s="224">
        <v>2.0</v>
      </c>
      <c r="H104" s="225">
        <f t="shared" si="8"/>
        <v>2</v>
      </c>
      <c r="I104" s="223" t="s">
        <v>245</v>
      </c>
      <c r="J104" s="223"/>
      <c r="K104" s="222">
        <v>6.0</v>
      </c>
      <c r="L104" s="222">
        <v>6.0</v>
      </c>
      <c r="M104" s="222">
        <v>2026.0</v>
      </c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hidden="1" customHeight="1">
      <c r="A105" s="228">
        <v>46180.0</v>
      </c>
      <c r="B105" s="222">
        <f t="shared" si="6"/>
        <v>7</v>
      </c>
      <c r="C105" s="222">
        <v>6.0</v>
      </c>
      <c r="D105" s="222">
        <f t="shared" si="7"/>
        <v>2026</v>
      </c>
      <c r="E105" s="233" t="s">
        <v>148</v>
      </c>
      <c r="F105" s="233">
        <v>1.0</v>
      </c>
      <c r="G105" s="236">
        <v>15.0</v>
      </c>
      <c r="H105" s="225">
        <f t="shared" si="8"/>
        <v>15</v>
      </c>
      <c r="I105" s="223" t="s">
        <v>245</v>
      </c>
      <c r="J105" s="223"/>
      <c r="K105" s="222">
        <v>6.0</v>
      </c>
      <c r="L105" s="222">
        <v>6.0</v>
      </c>
      <c r="M105" s="222">
        <v>2026.0</v>
      </c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hidden="1" customHeight="1">
      <c r="A106" s="228">
        <v>46180.0</v>
      </c>
      <c r="B106" s="222">
        <f t="shared" si="6"/>
        <v>7</v>
      </c>
      <c r="C106" s="222">
        <v>6.0</v>
      </c>
      <c r="D106" s="222">
        <f t="shared" si="7"/>
        <v>2026</v>
      </c>
      <c r="E106" s="223" t="s">
        <v>145</v>
      </c>
      <c r="F106" s="223">
        <v>2.0</v>
      </c>
      <c r="G106" s="227">
        <v>2.0</v>
      </c>
      <c r="H106" s="225">
        <f t="shared" si="8"/>
        <v>4</v>
      </c>
      <c r="I106" s="223" t="s">
        <v>245</v>
      </c>
      <c r="J106" s="223"/>
      <c r="K106" s="222">
        <v>6.0</v>
      </c>
      <c r="L106" s="222">
        <v>6.0</v>
      </c>
      <c r="M106" s="222">
        <v>2026.0</v>
      </c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hidden="1" customHeight="1">
      <c r="A107" s="228">
        <f t="shared" ref="A107:A108" si="13">A106</f>
        <v>46180</v>
      </c>
      <c r="B107" s="222">
        <f t="shared" si="6"/>
        <v>7</v>
      </c>
      <c r="C107" s="222">
        <v>6.0</v>
      </c>
      <c r="D107" s="222">
        <f t="shared" si="7"/>
        <v>2026</v>
      </c>
      <c r="E107" s="223" t="s">
        <v>145</v>
      </c>
      <c r="F107" s="32">
        <v>2.0</v>
      </c>
      <c r="G107" s="227">
        <v>2.0</v>
      </c>
      <c r="H107" s="225">
        <f t="shared" si="8"/>
        <v>4</v>
      </c>
      <c r="I107" s="223" t="s">
        <v>245</v>
      </c>
      <c r="J107" s="223"/>
      <c r="K107" s="222">
        <v>6.0</v>
      </c>
      <c r="L107" s="222">
        <v>6.0</v>
      </c>
      <c r="M107" s="222">
        <v>2026.0</v>
      </c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hidden="1" customHeight="1">
      <c r="A108" s="228">
        <f t="shared" si="13"/>
        <v>46180</v>
      </c>
      <c r="B108" s="222">
        <f t="shared" si="6"/>
        <v>7</v>
      </c>
      <c r="C108" s="222">
        <v>6.0</v>
      </c>
      <c r="D108" s="222">
        <f t="shared" si="7"/>
        <v>2026</v>
      </c>
      <c r="E108" s="233" t="s">
        <v>145</v>
      </c>
      <c r="F108" s="233">
        <v>2.0</v>
      </c>
      <c r="G108" s="236">
        <v>2.0</v>
      </c>
      <c r="H108" s="225">
        <f t="shared" si="8"/>
        <v>4</v>
      </c>
      <c r="I108" s="223" t="s">
        <v>245</v>
      </c>
      <c r="J108" s="223"/>
      <c r="K108" s="222">
        <v>6.0</v>
      </c>
      <c r="L108" s="222">
        <v>6.0</v>
      </c>
      <c r="M108" s="222">
        <v>2026.0</v>
      </c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hidden="1" customHeight="1">
      <c r="A109" s="228">
        <v>46180.0</v>
      </c>
      <c r="B109" s="222">
        <f t="shared" si="6"/>
        <v>7</v>
      </c>
      <c r="C109" s="222">
        <v>6.0</v>
      </c>
      <c r="D109" s="222">
        <f t="shared" si="7"/>
        <v>2026</v>
      </c>
      <c r="E109" s="223" t="s">
        <v>145</v>
      </c>
      <c r="F109" s="223">
        <v>1.0</v>
      </c>
      <c r="G109" s="227">
        <v>2.0</v>
      </c>
      <c r="H109" s="225">
        <f t="shared" si="8"/>
        <v>2</v>
      </c>
      <c r="I109" s="223" t="s">
        <v>245</v>
      </c>
      <c r="J109" s="223"/>
      <c r="K109" s="222">
        <v>6.0</v>
      </c>
      <c r="L109" s="222">
        <v>6.0</v>
      </c>
      <c r="M109" s="222">
        <v>2026.0</v>
      </c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hidden="1" customHeight="1">
      <c r="A110" s="228">
        <v>46181.0</v>
      </c>
      <c r="B110" s="222">
        <f t="shared" si="6"/>
        <v>8</v>
      </c>
      <c r="C110" s="222">
        <v>6.0</v>
      </c>
      <c r="D110" s="222">
        <f t="shared" si="7"/>
        <v>2026</v>
      </c>
      <c r="E110" s="223" t="s">
        <v>150</v>
      </c>
      <c r="F110" s="32">
        <v>2.0</v>
      </c>
      <c r="G110" s="227">
        <v>7.0</v>
      </c>
      <c r="H110" s="225">
        <f t="shared" si="8"/>
        <v>14</v>
      </c>
      <c r="I110" s="223" t="s">
        <v>245</v>
      </c>
      <c r="J110" s="223"/>
      <c r="K110" s="222">
        <v>6.0</v>
      </c>
      <c r="L110" s="222">
        <v>6.0</v>
      </c>
      <c r="M110" s="222">
        <v>2026.0</v>
      </c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hidden="1" customHeight="1">
      <c r="A111" s="228">
        <v>46181.0</v>
      </c>
      <c r="B111" s="222">
        <f t="shared" si="6"/>
        <v>8</v>
      </c>
      <c r="C111" s="222">
        <v>6.0</v>
      </c>
      <c r="D111" s="222">
        <f t="shared" si="7"/>
        <v>2026</v>
      </c>
      <c r="E111" s="223" t="s">
        <v>145</v>
      </c>
      <c r="F111" s="223">
        <v>1.0</v>
      </c>
      <c r="G111" s="227">
        <v>2.0</v>
      </c>
      <c r="H111" s="225">
        <f t="shared" si="8"/>
        <v>2</v>
      </c>
      <c r="I111" s="223" t="s">
        <v>245</v>
      </c>
      <c r="J111" s="223"/>
      <c r="K111" s="222">
        <v>6.0</v>
      </c>
      <c r="L111" s="222">
        <v>6.0</v>
      </c>
      <c r="M111" s="222">
        <v>2026.0</v>
      </c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hidden="1" customHeight="1">
      <c r="A112" s="228">
        <v>46182.0</v>
      </c>
      <c r="B112" s="222">
        <f t="shared" si="6"/>
        <v>9</v>
      </c>
      <c r="C112" s="222">
        <v>6.0</v>
      </c>
      <c r="D112" s="222">
        <f t="shared" si="7"/>
        <v>2026</v>
      </c>
      <c r="E112" s="223" t="s">
        <v>145</v>
      </c>
      <c r="F112" s="223">
        <v>1.0</v>
      </c>
      <c r="G112" s="227">
        <v>2.0</v>
      </c>
      <c r="H112" s="225">
        <f t="shared" si="8"/>
        <v>2</v>
      </c>
      <c r="I112" s="223" t="s">
        <v>245</v>
      </c>
      <c r="J112" s="223"/>
      <c r="K112" s="222">
        <v>6.0</v>
      </c>
      <c r="L112" s="222">
        <v>6.0</v>
      </c>
      <c r="M112" s="222">
        <v>2026.0</v>
      </c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hidden="1" customHeight="1">
      <c r="A113" s="228">
        <v>46184.0</v>
      </c>
      <c r="B113" s="222">
        <f t="shared" si="6"/>
        <v>11</v>
      </c>
      <c r="C113" s="222">
        <v>6.0</v>
      </c>
      <c r="D113" s="222">
        <f t="shared" si="7"/>
        <v>2026</v>
      </c>
      <c r="E113" s="223" t="s">
        <v>145</v>
      </c>
      <c r="F113" s="223">
        <v>1.0</v>
      </c>
      <c r="G113" s="227">
        <v>2.0</v>
      </c>
      <c r="H113" s="225">
        <f t="shared" si="8"/>
        <v>2</v>
      </c>
      <c r="I113" s="223" t="s">
        <v>245</v>
      </c>
      <c r="J113" s="223"/>
      <c r="K113" s="222">
        <v>6.0</v>
      </c>
      <c r="L113" s="222">
        <v>6.0</v>
      </c>
      <c r="M113" s="222">
        <v>2026.0</v>
      </c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hidden="1" customHeight="1">
      <c r="A114" s="228">
        <f>A113</f>
        <v>46184</v>
      </c>
      <c r="B114" s="222">
        <f t="shared" si="6"/>
        <v>11</v>
      </c>
      <c r="C114" s="222">
        <v>6.0</v>
      </c>
      <c r="D114" s="222">
        <f t="shared" si="7"/>
        <v>2026</v>
      </c>
      <c r="E114" s="223" t="s">
        <v>145</v>
      </c>
      <c r="F114" s="32">
        <v>1.0</v>
      </c>
      <c r="G114" s="227">
        <v>2.0</v>
      </c>
      <c r="H114" s="225">
        <f t="shared" si="8"/>
        <v>2</v>
      </c>
      <c r="I114" s="223" t="s">
        <v>245</v>
      </c>
      <c r="J114" s="223"/>
      <c r="K114" s="222">
        <v>6.0</v>
      </c>
      <c r="L114" s="222">
        <v>6.0</v>
      </c>
      <c r="M114" s="222">
        <v>2026.0</v>
      </c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hidden="1" customHeight="1">
      <c r="A115" s="228">
        <v>46185.0</v>
      </c>
      <c r="B115" s="222">
        <f t="shared" si="6"/>
        <v>12</v>
      </c>
      <c r="C115" s="222">
        <v>6.0</v>
      </c>
      <c r="D115" s="222">
        <f t="shared" si="7"/>
        <v>2026</v>
      </c>
      <c r="E115" s="223" t="s">
        <v>145</v>
      </c>
      <c r="F115" s="32">
        <v>1.0</v>
      </c>
      <c r="G115" s="227">
        <v>2.0</v>
      </c>
      <c r="H115" s="225">
        <f t="shared" si="8"/>
        <v>2</v>
      </c>
      <c r="I115" s="223" t="s">
        <v>245</v>
      </c>
      <c r="J115" s="223"/>
      <c r="K115" s="222">
        <v>6.0</v>
      </c>
      <c r="L115" s="222">
        <v>6.0</v>
      </c>
      <c r="M115" s="222">
        <v>2026.0</v>
      </c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hidden="1" customHeight="1">
      <c r="A116" s="228">
        <f>A115</f>
        <v>46185</v>
      </c>
      <c r="B116" s="222">
        <f t="shared" si="6"/>
        <v>12</v>
      </c>
      <c r="C116" s="222">
        <v>6.0</v>
      </c>
      <c r="D116" s="222">
        <f t="shared" si="7"/>
        <v>2026</v>
      </c>
      <c r="E116" s="223" t="s">
        <v>145</v>
      </c>
      <c r="F116" s="222">
        <v>1.0</v>
      </c>
      <c r="G116" s="224">
        <v>2.0</v>
      </c>
      <c r="H116" s="225">
        <f t="shared" si="8"/>
        <v>2</v>
      </c>
      <c r="I116" s="223" t="s">
        <v>245</v>
      </c>
      <c r="J116" s="223"/>
      <c r="K116" s="222">
        <v>6.0</v>
      </c>
      <c r="L116" s="222">
        <v>6.0</v>
      </c>
      <c r="M116" s="222">
        <v>2026.0</v>
      </c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hidden="1" customHeight="1">
      <c r="A117" s="228">
        <v>46186.0</v>
      </c>
      <c r="B117" s="222">
        <f t="shared" si="6"/>
        <v>13</v>
      </c>
      <c r="C117" s="222">
        <v>6.0</v>
      </c>
      <c r="D117" s="222">
        <f t="shared" si="7"/>
        <v>2026</v>
      </c>
      <c r="E117" s="223" t="s">
        <v>155</v>
      </c>
      <c r="F117" s="223">
        <v>1.0</v>
      </c>
      <c r="G117" s="227">
        <v>10.0</v>
      </c>
      <c r="H117" s="225">
        <f t="shared" si="8"/>
        <v>10</v>
      </c>
      <c r="I117" s="223" t="s">
        <v>245</v>
      </c>
      <c r="J117" s="223"/>
      <c r="K117" s="222">
        <v>6.0</v>
      </c>
      <c r="L117" s="222">
        <v>6.0</v>
      </c>
      <c r="M117" s="222">
        <v>2026.0</v>
      </c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hidden="1" customHeight="1">
      <c r="A118" s="228">
        <v>46187.0</v>
      </c>
      <c r="B118" s="222">
        <f t="shared" si="6"/>
        <v>14</v>
      </c>
      <c r="C118" s="222">
        <v>6.0</v>
      </c>
      <c r="D118" s="222">
        <f t="shared" si="7"/>
        <v>2026</v>
      </c>
      <c r="E118" s="223" t="s">
        <v>150</v>
      </c>
      <c r="F118" s="32">
        <v>1.0</v>
      </c>
      <c r="G118" s="227">
        <v>10.0</v>
      </c>
      <c r="H118" s="225">
        <f t="shared" si="8"/>
        <v>10</v>
      </c>
      <c r="I118" s="223" t="s">
        <v>245</v>
      </c>
      <c r="J118" s="223"/>
      <c r="K118" s="222">
        <v>6.0</v>
      </c>
      <c r="L118" s="222">
        <v>6.0</v>
      </c>
      <c r="M118" s="222">
        <v>2026.0</v>
      </c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hidden="1" customHeight="1">
      <c r="A119" s="228">
        <f>A118</f>
        <v>46187</v>
      </c>
      <c r="B119" s="222">
        <f t="shared" si="6"/>
        <v>14</v>
      </c>
      <c r="C119" s="222">
        <v>6.0</v>
      </c>
      <c r="D119" s="222">
        <f t="shared" si="7"/>
        <v>2026</v>
      </c>
      <c r="E119" s="223" t="s">
        <v>150</v>
      </c>
      <c r="F119" s="222">
        <v>1.0</v>
      </c>
      <c r="G119" s="224">
        <v>10.0</v>
      </c>
      <c r="H119" s="225">
        <f t="shared" si="8"/>
        <v>10</v>
      </c>
      <c r="I119" s="223" t="s">
        <v>245</v>
      </c>
      <c r="J119" s="223"/>
      <c r="K119" s="222">
        <v>6.0</v>
      </c>
      <c r="L119" s="222">
        <v>6.0</v>
      </c>
      <c r="M119" s="222">
        <v>2026.0</v>
      </c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hidden="1" customHeight="1">
      <c r="A120" s="228">
        <v>46188.0</v>
      </c>
      <c r="B120" s="222">
        <f t="shared" si="6"/>
        <v>15</v>
      </c>
      <c r="C120" s="222">
        <v>6.0</v>
      </c>
      <c r="D120" s="222">
        <f t="shared" si="7"/>
        <v>2026</v>
      </c>
      <c r="E120" s="223" t="s">
        <v>150</v>
      </c>
      <c r="F120" s="223">
        <v>1.0</v>
      </c>
      <c r="G120" s="227">
        <v>5.0</v>
      </c>
      <c r="H120" s="225">
        <f t="shared" si="8"/>
        <v>5</v>
      </c>
      <c r="I120" s="223" t="s">
        <v>245</v>
      </c>
      <c r="J120" s="223"/>
      <c r="K120" s="222">
        <v>6.0</v>
      </c>
      <c r="L120" s="222">
        <v>6.0</v>
      </c>
      <c r="M120" s="222">
        <v>2026.0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hidden="1" customHeight="1">
      <c r="A121" s="228">
        <v>46189.0</v>
      </c>
      <c r="B121" s="222">
        <f t="shared" si="6"/>
        <v>16</v>
      </c>
      <c r="C121" s="222">
        <v>6.0</v>
      </c>
      <c r="D121" s="222">
        <f t="shared" si="7"/>
        <v>2026</v>
      </c>
      <c r="E121" s="223" t="s">
        <v>145</v>
      </c>
      <c r="F121" s="32">
        <v>1.0</v>
      </c>
      <c r="G121" s="227">
        <v>2.0</v>
      </c>
      <c r="H121" s="225">
        <f t="shared" si="8"/>
        <v>2</v>
      </c>
      <c r="I121" s="223" t="s">
        <v>245</v>
      </c>
      <c r="J121" s="223"/>
      <c r="K121" s="222">
        <v>6.0</v>
      </c>
      <c r="L121" s="222">
        <v>6.0</v>
      </c>
      <c r="M121" s="222">
        <v>2026.0</v>
      </c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hidden="1" customHeight="1">
      <c r="A122" s="228">
        <v>46190.0</v>
      </c>
      <c r="B122" s="222">
        <f t="shared" si="6"/>
        <v>17</v>
      </c>
      <c r="C122" s="222">
        <v>6.0</v>
      </c>
      <c r="D122" s="222">
        <f t="shared" si="7"/>
        <v>2026</v>
      </c>
      <c r="E122" s="223" t="s">
        <v>145</v>
      </c>
      <c r="F122" s="32">
        <v>2.0</v>
      </c>
      <c r="G122" s="227">
        <v>2.0</v>
      </c>
      <c r="H122" s="225">
        <f t="shared" si="8"/>
        <v>4</v>
      </c>
      <c r="I122" s="223" t="s">
        <v>245</v>
      </c>
      <c r="J122" s="223"/>
      <c r="K122" s="222">
        <v>6.0</v>
      </c>
      <c r="L122" s="222">
        <v>6.0</v>
      </c>
      <c r="M122" s="222">
        <v>2026.0</v>
      </c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hidden="1" customHeight="1">
      <c r="A123" s="228">
        <v>46192.0</v>
      </c>
      <c r="B123" s="222">
        <f t="shared" si="6"/>
        <v>19</v>
      </c>
      <c r="C123" s="222">
        <v>6.0</v>
      </c>
      <c r="D123" s="222">
        <f t="shared" si="7"/>
        <v>2026</v>
      </c>
      <c r="E123" s="223" t="s">
        <v>145</v>
      </c>
      <c r="F123" s="32">
        <v>1.0</v>
      </c>
      <c r="G123" s="227">
        <v>2.0</v>
      </c>
      <c r="H123" s="225">
        <f t="shared" si="8"/>
        <v>2</v>
      </c>
      <c r="I123" s="223" t="s">
        <v>245</v>
      </c>
      <c r="J123" s="223"/>
      <c r="K123" s="222">
        <v>6.0</v>
      </c>
      <c r="L123" s="222">
        <v>6.0</v>
      </c>
      <c r="M123" s="222">
        <v>2026.0</v>
      </c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hidden="1" customHeight="1">
      <c r="A124" s="228">
        <v>46193.0</v>
      </c>
      <c r="B124" s="222">
        <f t="shared" si="6"/>
        <v>20</v>
      </c>
      <c r="C124" s="222">
        <v>6.0</v>
      </c>
      <c r="D124" s="222">
        <f t="shared" si="7"/>
        <v>2026</v>
      </c>
      <c r="E124" s="223" t="s">
        <v>145</v>
      </c>
      <c r="F124" s="32">
        <v>1.0</v>
      </c>
      <c r="G124" s="227">
        <v>2.0</v>
      </c>
      <c r="H124" s="225">
        <f t="shared" si="8"/>
        <v>2</v>
      </c>
      <c r="I124" s="223" t="s">
        <v>245</v>
      </c>
      <c r="J124" s="223"/>
      <c r="K124" s="222">
        <v>6.0</v>
      </c>
      <c r="L124" s="222">
        <v>6.0</v>
      </c>
      <c r="M124" s="222">
        <v>2026.0</v>
      </c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hidden="1" customHeight="1">
      <c r="A125" s="228">
        <f>A124</f>
        <v>46193</v>
      </c>
      <c r="B125" s="222">
        <f t="shared" si="6"/>
        <v>20</v>
      </c>
      <c r="C125" s="222">
        <v>6.0</v>
      </c>
      <c r="D125" s="222">
        <f t="shared" si="7"/>
        <v>2026</v>
      </c>
      <c r="E125" s="223" t="s">
        <v>155</v>
      </c>
      <c r="F125" s="222">
        <v>1.0</v>
      </c>
      <c r="G125" s="224">
        <v>15.0</v>
      </c>
      <c r="H125" s="224">
        <f t="shared" si="8"/>
        <v>15</v>
      </c>
      <c r="I125" s="223" t="s">
        <v>262</v>
      </c>
      <c r="J125" s="223"/>
      <c r="K125" s="222">
        <v>6.0</v>
      </c>
      <c r="L125" s="222">
        <v>6.0</v>
      </c>
      <c r="M125" s="222">
        <v>2026.0</v>
      </c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hidden="1" customHeight="1">
      <c r="A126" s="228">
        <v>46194.0</v>
      </c>
      <c r="B126" s="222">
        <f t="shared" si="6"/>
        <v>21</v>
      </c>
      <c r="C126" s="222">
        <v>6.0</v>
      </c>
      <c r="D126" s="222">
        <f t="shared" si="7"/>
        <v>2026</v>
      </c>
      <c r="E126" s="223" t="s">
        <v>145</v>
      </c>
      <c r="F126" s="32">
        <v>2.0</v>
      </c>
      <c r="G126" s="227">
        <v>2.0</v>
      </c>
      <c r="H126" s="225">
        <f t="shared" si="8"/>
        <v>4</v>
      </c>
      <c r="I126" s="223" t="s">
        <v>245</v>
      </c>
      <c r="J126" s="223"/>
      <c r="K126" s="222">
        <v>6.0</v>
      </c>
      <c r="L126" s="222">
        <v>6.0</v>
      </c>
      <c r="M126" s="222">
        <v>2026.0</v>
      </c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hidden="1" customHeight="1">
      <c r="A127" s="228">
        <f t="shared" ref="A127:A133" si="14">A126</f>
        <v>46194</v>
      </c>
      <c r="B127" s="222">
        <f t="shared" si="6"/>
        <v>21</v>
      </c>
      <c r="C127" s="222">
        <v>6.0</v>
      </c>
      <c r="D127" s="222">
        <f t="shared" si="7"/>
        <v>2026</v>
      </c>
      <c r="E127" s="223" t="s">
        <v>145</v>
      </c>
      <c r="F127" s="223">
        <v>2.0</v>
      </c>
      <c r="G127" s="227">
        <v>2.0</v>
      </c>
      <c r="H127" s="225">
        <f t="shared" si="8"/>
        <v>4</v>
      </c>
      <c r="I127" s="223" t="s">
        <v>245</v>
      </c>
      <c r="J127" s="223"/>
      <c r="K127" s="222">
        <v>6.0</v>
      </c>
      <c r="L127" s="222">
        <v>6.0</v>
      </c>
      <c r="M127" s="222">
        <v>2026.0</v>
      </c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hidden="1" customHeight="1">
      <c r="A128" s="228">
        <f t="shared" si="14"/>
        <v>46194</v>
      </c>
      <c r="B128" s="222">
        <f t="shared" si="6"/>
        <v>21</v>
      </c>
      <c r="C128" s="222">
        <v>6.0</v>
      </c>
      <c r="D128" s="222">
        <f t="shared" si="7"/>
        <v>2026</v>
      </c>
      <c r="E128" s="223" t="s">
        <v>145</v>
      </c>
      <c r="F128" s="32">
        <v>2.0</v>
      </c>
      <c r="G128" s="227">
        <v>2.0</v>
      </c>
      <c r="H128" s="225">
        <f t="shared" si="8"/>
        <v>4</v>
      </c>
      <c r="I128" s="223" t="s">
        <v>245</v>
      </c>
      <c r="J128" s="223"/>
      <c r="K128" s="222">
        <v>6.0</v>
      </c>
      <c r="L128" s="222">
        <v>6.0</v>
      </c>
      <c r="M128" s="222">
        <v>2026.0</v>
      </c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hidden="1" customHeight="1">
      <c r="A129" s="228">
        <f t="shared" si="14"/>
        <v>46194</v>
      </c>
      <c r="B129" s="222">
        <f t="shared" si="6"/>
        <v>21</v>
      </c>
      <c r="C129" s="222">
        <v>6.0</v>
      </c>
      <c r="D129" s="222">
        <f t="shared" si="7"/>
        <v>2026</v>
      </c>
      <c r="E129" s="233" t="s">
        <v>145</v>
      </c>
      <c r="F129" s="233">
        <v>2.0</v>
      </c>
      <c r="G129" s="236">
        <v>2.0</v>
      </c>
      <c r="H129" s="225">
        <f t="shared" si="8"/>
        <v>4</v>
      </c>
      <c r="I129" s="223" t="s">
        <v>245</v>
      </c>
      <c r="J129" s="223"/>
      <c r="K129" s="222">
        <v>6.0</v>
      </c>
      <c r="L129" s="222">
        <v>6.0</v>
      </c>
      <c r="M129" s="222">
        <v>2026.0</v>
      </c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hidden="1" customHeight="1">
      <c r="A130" s="228">
        <f t="shared" si="14"/>
        <v>46194</v>
      </c>
      <c r="B130" s="222">
        <f t="shared" si="6"/>
        <v>21</v>
      </c>
      <c r="C130" s="222">
        <v>6.0</v>
      </c>
      <c r="D130" s="222">
        <f t="shared" si="7"/>
        <v>2026</v>
      </c>
      <c r="E130" s="223" t="s">
        <v>145</v>
      </c>
      <c r="F130" s="32">
        <v>2.0</v>
      </c>
      <c r="G130" s="227">
        <v>2.0</v>
      </c>
      <c r="H130" s="225">
        <f t="shared" si="8"/>
        <v>4</v>
      </c>
      <c r="I130" s="223" t="s">
        <v>245</v>
      </c>
      <c r="J130" s="223"/>
      <c r="K130" s="222">
        <v>6.0</v>
      </c>
      <c r="L130" s="222">
        <v>6.0</v>
      </c>
      <c r="M130" s="222">
        <v>2026.0</v>
      </c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hidden="1" customHeight="1">
      <c r="A131" s="228">
        <f t="shared" si="14"/>
        <v>46194</v>
      </c>
      <c r="B131" s="222">
        <f t="shared" si="6"/>
        <v>21</v>
      </c>
      <c r="C131" s="222">
        <v>6.0</v>
      </c>
      <c r="D131" s="222">
        <f t="shared" si="7"/>
        <v>2026</v>
      </c>
      <c r="E131" s="223" t="s">
        <v>145</v>
      </c>
      <c r="F131" s="223">
        <v>2.0</v>
      </c>
      <c r="G131" s="227">
        <v>2.0</v>
      </c>
      <c r="H131" s="225">
        <f t="shared" si="8"/>
        <v>4</v>
      </c>
      <c r="I131" s="223" t="s">
        <v>245</v>
      </c>
      <c r="J131" s="223"/>
      <c r="K131" s="222">
        <v>6.0</v>
      </c>
      <c r="L131" s="222">
        <v>6.0</v>
      </c>
      <c r="M131" s="222">
        <v>2026.0</v>
      </c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hidden="1" customHeight="1">
      <c r="A132" s="228">
        <f t="shared" si="14"/>
        <v>46194</v>
      </c>
      <c r="B132" s="222">
        <f t="shared" si="6"/>
        <v>21</v>
      </c>
      <c r="C132" s="222">
        <v>6.0</v>
      </c>
      <c r="D132" s="222">
        <f t="shared" si="7"/>
        <v>2026</v>
      </c>
      <c r="E132" s="223" t="s">
        <v>145</v>
      </c>
      <c r="F132" s="32">
        <v>2.0</v>
      </c>
      <c r="G132" s="227">
        <v>2.0</v>
      </c>
      <c r="H132" s="225">
        <f t="shared" si="8"/>
        <v>4</v>
      </c>
      <c r="I132" s="223" t="s">
        <v>245</v>
      </c>
      <c r="J132" s="223"/>
      <c r="K132" s="222">
        <v>6.0</v>
      </c>
      <c r="L132" s="222">
        <v>6.0</v>
      </c>
      <c r="M132" s="222">
        <v>2026.0</v>
      </c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hidden="1" customHeight="1">
      <c r="A133" s="228">
        <f t="shared" si="14"/>
        <v>46194</v>
      </c>
      <c r="B133" s="222">
        <f t="shared" si="6"/>
        <v>21</v>
      </c>
      <c r="C133" s="222">
        <v>6.0</v>
      </c>
      <c r="D133" s="222">
        <f t="shared" si="7"/>
        <v>2026</v>
      </c>
      <c r="E133" s="223" t="s">
        <v>145</v>
      </c>
      <c r="F133" s="223">
        <v>2.0</v>
      </c>
      <c r="G133" s="227">
        <v>2.0</v>
      </c>
      <c r="H133" s="225">
        <f t="shared" si="8"/>
        <v>4</v>
      </c>
      <c r="I133" s="223" t="s">
        <v>245</v>
      </c>
      <c r="J133" s="223"/>
      <c r="K133" s="222">
        <v>6.0</v>
      </c>
      <c r="L133" s="222">
        <v>6.0</v>
      </c>
      <c r="M133" s="222">
        <v>2026.0</v>
      </c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hidden="1" customHeight="1">
      <c r="A134" s="242">
        <v>46196.0</v>
      </c>
      <c r="B134" s="222">
        <f t="shared" si="6"/>
        <v>23</v>
      </c>
      <c r="C134" s="222">
        <v>6.0</v>
      </c>
      <c r="D134" s="222">
        <f t="shared" si="7"/>
        <v>2026</v>
      </c>
      <c r="E134" s="223" t="s">
        <v>145</v>
      </c>
      <c r="F134" s="32">
        <v>1.0</v>
      </c>
      <c r="G134" s="227">
        <v>2.0</v>
      </c>
      <c r="H134" s="224">
        <f t="shared" si="8"/>
        <v>2</v>
      </c>
      <c r="I134" s="223" t="s">
        <v>12</v>
      </c>
      <c r="J134" s="223"/>
      <c r="K134" s="222">
        <v>6.0</v>
      </c>
      <c r="L134" s="222">
        <v>6.0</v>
      </c>
      <c r="M134" s="222">
        <v>2026.0</v>
      </c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hidden="1" customHeight="1">
      <c r="A135" s="228">
        <v>46197.0</v>
      </c>
      <c r="B135" s="222">
        <f t="shared" si="6"/>
        <v>24</v>
      </c>
      <c r="C135" s="222">
        <v>6.0</v>
      </c>
      <c r="D135" s="222">
        <f t="shared" si="7"/>
        <v>2026</v>
      </c>
      <c r="E135" s="223" t="s">
        <v>145</v>
      </c>
      <c r="F135" s="222">
        <v>1.0</v>
      </c>
      <c r="G135" s="224">
        <v>2.0</v>
      </c>
      <c r="H135" s="224">
        <f t="shared" si="8"/>
        <v>2</v>
      </c>
      <c r="I135" s="223" t="s">
        <v>262</v>
      </c>
      <c r="J135" s="223"/>
      <c r="K135" s="222">
        <v>6.0</v>
      </c>
      <c r="L135" s="222">
        <v>6.0</v>
      </c>
      <c r="M135" s="222">
        <v>2026.0</v>
      </c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hidden="1" customHeight="1">
      <c r="A136" s="228">
        <f t="shared" ref="A136:A141" si="15">A135</f>
        <v>46197</v>
      </c>
      <c r="B136" s="222">
        <f t="shared" si="6"/>
        <v>24</v>
      </c>
      <c r="C136" s="222">
        <v>6.0</v>
      </c>
      <c r="D136" s="222">
        <f t="shared" si="7"/>
        <v>2026</v>
      </c>
      <c r="E136" s="223" t="s">
        <v>155</v>
      </c>
      <c r="F136" s="32">
        <v>1.0</v>
      </c>
      <c r="G136" s="227">
        <v>15.0</v>
      </c>
      <c r="H136" s="225">
        <f t="shared" si="8"/>
        <v>15</v>
      </c>
      <c r="I136" s="223" t="s">
        <v>245</v>
      </c>
      <c r="J136" s="223"/>
      <c r="K136" s="222">
        <v>6.0</v>
      </c>
      <c r="L136" s="222">
        <v>6.0</v>
      </c>
      <c r="M136" s="222">
        <v>2026.0</v>
      </c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hidden="1" customHeight="1">
      <c r="A137" s="228">
        <f t="shared" si="15"/>
        <v>46197</v>
      </c>
      <c r="B137" s="222">
        <f t="shared" si="6"/>
        <v>24</v>
      </c>
      <c r="C137" s="222">
        <v>6.0</v>
      </c>
      <c r="D137" s="222">
        <f t="shared" si="7"/>
        <v>2026</v>
      </c>
      <c r="E137" s="223" t="s">
        <v>155</v>
      </c>
      <c r="F137" s="32">
        <v>1.0</v>
      </c>
      <c r="G137" s="227">
        <v>15.0</v>
      </c>
      <c r="H137" s="225">
        <f t="shared" si="8"/>
        <v>15</v>
      </c>
      <c r="I137" s="223" t="s">
        <v>245</v>
      </c>
      <c r="J137" s="223"/>
      <c r="K137" s="222">
        <v>6.0</v>
      </c>
      <c r="L137" s="222">
        <v>6.0</v>
      </c>
      <c r="M137" s="222">
        <v>2026.0</v>
      </c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hidden="1" customHeight="1">
      <c r="A138" s="228">
        <f t="shared" si="15"/>
        <v>46197</v>
      </c>
      <c r="B138" s="222">
        <f t="shared" si="6"/>
        <v>24</v>
      </c>
      <c r="C138" s="222">
        <v>6.0</v>
      </c>
      <c r="D138" s="222">
        <f t="shared" si="7"/>
        <v>2026</v>
      </c>
      <c r="E138" s="223" t="s">
        <v>155</v>
      </c>
      <c r="F138" s="32">
        <v>1.0</v>
      </c>
      <c r="G138" s="227">
        <v>15.0</v>
      </c>
      <c r="H138" s="225">
        <f t="shared" si="8"/>
        <v>15</v>
      </c>
      <c r="I138" s="223" t="s">
        <v>245</v>
      </c>
      <c r="J138" s="223"/>
      <c r="K138" s="222">
        <v>6.0</v>
      </c>
      <c r="L138" s="222">
        <v>6.0</v>
      </c>
      <c r="M138" s="222">
        <v>2026.0</v>
      </c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hidden="1" customHeight="1">
      <c r="A139" s="228">
        <f t="shared" si="15"/>
        <v>46197</v>
      </c>
      <c r="B139" s="222">
        <f t="shared" si="6"/>
        <v>24</v>
      </c>
      <c r="C139" s="222">
        <v>6.0</v>
      </c>
      <c r="D139" s="222">
        <f t="shared" si="7"/>
        <v>2026</v>
      </c>
      <c r="E139" s="223" t="s">
        <v>155</v>
      </c>
      <c r="F139" s="223">
        <v>1.0</v>
      </c>
      <c r="G139" s="227">
        <v>15.0</v>
      </c>
      <c r="H139" s="225">
        <f t="shared" si="8"/>
        <v>15</v>
      </c>
      <c r="I139" s="223" t="s">
        <v>245</v>
      </c>
      <c r="J139" s="223"/>
      <c r="K139" s="222">
        <v>6.0</v>
      </c>
      <c r="L139" s="222">
        <v>6.0</v>
      </c>
      <c r="M139" s="222">
        <v>2026.0</v>
      </c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hidden="1" customHeight="1">
      <c r="A140" s="228">
        <f t="shared" si="15"/>
        <v>46197</v>
      </c>
      <c r="B140" s="222">
        <f t="shared" si="6"/>
        <v>24</v>
      </c>
      <c r="C140" s="222">
        <v>6.0</v>
      </c>
      <c r="D140" s="222">
        <f t="shared" si="7"/>
        <v>2026</v>
      </c>
      <c r="E140" s="223" t="s">
        <v>155</v>
      </c>
      <c r="F140" s="223">
        <v>1.0</v>
      </c>
      <c r="G140" s="227">
        <v>15.0</v>
      </c>
      <c r="H140" s="225">
        <f t="shared" si="8"/>
        <v>15</v>
      </c>
      <c r="I140" s="223" t="s">
        <v>245</v>
      </c>
      <c r="J140" s="223"/>
      <c r="K140" s="222">
        <v>6.0</v>
      </c>
      <c r="L140" s="222">
        <v>6.0</v>
      </c>
      <c r="M140" s="222">
        <v>2026.0</v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hidden="1" customHeight="1">
      <c r="A141" s="228">
        <f t="shared" si="15"/>
        <v>46197</v>
      </c>
      <c r="B141" s="222">
        <f t="shared" si="6"/>
        <v>24</v>
      </c>
      <c r="C141" s="222">
        <v>6.0</v>
      </c>
      <c r="D141" s="222">
        <f t="shared" si="7"/>
        <v>2026</v>
      </c>
      <c r="E141" s="223" t="s">
        <v>155</v>
      </c>
      <c r="F141" s="223">
        <v>1.0</v>
      </c>
      <c r="G141" s="227">
        <v>15.0</v>
      </c>
      <c r="H141" s="225">
        <f t="shared" si="8"/>
        <v>15</v>
      </c>
      <c r="I141" s="223" t="s">
        <v>245</v>
      </c>
      <c r="J141" s="223"/>
      <c r="K141" s="222">
        <v>6.0</v>
      </c>
      <c r="L141" s="222">
        <v>6.0</v>
      </c>
      <c r="M141" s="222">
        <v>2026.0</v>
      </c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hidden="1" customHeight="1">
      <c r="A142" s="228">
        <v>46198.0</v>
      </c>
      <c r="B142" s="222">
        <f t="shared" si="6"/>
        <v>25</v>
      </c>
      <c r="C142" s="222">
        <v>6.0</v>
      </c>
      <c r="D142" s="222">
        <f t="shared" si="7"/>
        <v>2026</v>
      </c>
      <c r="E142" s="223" t="s">
        <v>145</v>
      </c>
      <c r="F142" s="222">
        <v>1.0</v>
      </c>
      <c r="G142" s="224">
        <v>2.0</v>
      </c>
      <c r="H142" s="225">
        <f t="shared" si="8"/>
        <v>2</v>
      </c>
      <c r="I142" s="223" t="s">
        <v>245</v>
      </c>
      <c r="J142" s="223"/>
      <c r="K142" s="222">
        <v>6.0</v>
      </c>
      <c r="L142" s="222">
        <v>6.0</v>
      </c>
      <c r="M142" s="222">
        <v>2026.0</v>
      </c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hidden="1" customHeight="1">
      <c r="A143" s="228">
        <f t="shared" ref="A143:A146" si="16">A142</f>
        <v>46198</v>
      </c>
      <c r="B143" s="222">
        <f t="shared" si="6"/>
        <v>25</v>
      </c>
      <c r="C143" s="222">
        <v>6.0</v>
      </c>
      <c r="D143" s="222">
        <f t="shared" si="7"/>
        <v>2026</v>
      </c>
      <c r="E143" s="223" t="s">
        <v>145</v>
      </c>
      <c r="F143" s="32">
        <v>1.0</v>
      </c>
      <c r="G143" s="227">
        <v>2.0</v>
      </c>
      <c r="H143" s="225">
        <f t="shared" si="8"/>
        <v>2</v>
      </c>
      <c r="I143" s="223" t="s">
        <v>245</v>
      </c>
      <c r="J143" s="223"/>
      <c r="K143" s="222">
        <v>6.0</v>
      </c>
      <c r="L143" s="222">
        <v>6.0</v>
      </c>
      <c r="M143" s="222">
        <v>2026.0</v>
      </c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hidden="1" customHeight="1">
      <c r="A144" s="228">
        <f t="shared" si="16"/>
        <v>46198</v>
      </c>
      <c r="B144" s="222">
        <f t="shared" si="6"/>
        <v>25</v>
      </c>
      <c r="C144" s="222">
        <v>6.0</v>
      </c>
      <c r="D144" s="222">
        <f t="shared" si="7"/>
        <v>2026</v>
      </c>
      <c r="E144" s="233" t="s">
        <v>145</v>
      </c>
      <c r="F144" s="233">
        <v>1.0</v>
      </c>
      <c r="G144" s="236">
        <v>2.0</v>
      </c>
      <c r="H144" s="225">
        <f t="shared" si="8"/>
        <v>2</v>
      </c>
      <c r="I144" s="223" t="s">
        <v>245</v>
      </c>
      <c r="J144" s="223"/>
      <c r="K144" s="222">
        <v>6.0</v>
      </c>
      <c r="L144" s="222">
        <v>6.0</v>
      </c>
      <c r="M144" s="222">
        <v>2026.0</v>
      </c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hidden="1" customHeight="1">
      <c r="A145" s="228">
        <f t="shared" si="16"/>
        <v>46198</v>
      </c>
      <c r="B145" s="222">
        <f t="shared" si="6"/>
        <v>25</v>
      </c>
      <c r="C145" s="222">
        <v>6.0</v>
      </c>
      <c r="D145" s="222">
        <f t="shared" si="7"/>
        <v>2026</v>
      </c>
      <c r="E145" s="223" t="s">
        <v>145</v>
      </c>
      <c r="F145" s="32">
        <v>1.0</v>
      </c>
      <c r="G145" s="227">
        <v>2.0</v>
      </c>
      <c r="H145" s="225">
        <f t="shared" si="8"/>
        <v>2</v>
      </c>
      <c r="I145" s="223" t="s">
        <v>245</v>
      </c>
      <c r="J145" s="223"/>
      <c r="K145" s="222">
        <v>6.0</v>
      </c>
      <c r="L145" s="222">
        <v>6.0</v>
      </c>
      <c r="M145" s="222">
        <v>2026.0</v>
      </c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hidden="1" customHeight="1">
      <c r="A146" s="228">
        <f t="shared" si="16"/>
        <v>46198</v>
      </c>
      <c r="B146" s="222">
        <f t="shared" si="6"/>
        <v>25</v>
      </c>
      <c r="C146" s="222">
        <v>6.0</v>
      </c>
      <c r="D146" s="222">
        <f t="shared" si="7"/>
        <v>2026</v>
      </c>
      <c r="E146" s="223" t="s">
        <v>145</v>
      </c>
      <c r="F146" s="222">
        <v>1.0</v>
      </c>
      <c r="G146" s="224">
        <v>2.0</v>
      </c>
      <c r="H146" s="225">
        <f t="shared" si="8"/>
        <v>2</v>
      </c>
      <c r="I146" s="223" t="s">
        <v>245</v>
      </c>
      <c r="J146" s="223"/>
      <c r="K146" s="222">
        <v>6.0</v>
      </c>
      <c r="L146" s="222">
        <v>6.0</v>
      </c>
      <c r="M146" s="222">
        <v>2026.0</v>
      </c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hidden="1" customHeight="1">
      <c r="A147" s="228">
        <v>46199.0</v>
      </c>
      <c r="B147" s="222">
        <f t="shared" si="6"/>
        <v>26</v>
      </c>
      <c r="C147" s="222">
        <v>6.0</v>
      </c>
      <c r="D147" s="222">
        <f t="shared" si="7"/>
        <v>2026</v>
      </c>
      <c r="E147" s="223" t="s">
        <v>150</v>
      </c>
      <c r="F147" s="223">
        <v>1.0</v>
      </c>
      <c r="G147" s="227">
        <v>15.0</v>
      </c>
      <c r="H147" s="225">
        <f t="shared" si="8"/>
        <v>15</v>
      </c>
      <c r="I147" s="223" t="s">
        <v>245</v>
      </c>
      <c r="J147" s="223"/>
      <c r="K147" s="222">
        <v>6.0</v>
      </c>
      <c r="L147" s="222">
        <v>6.0</v>
      </c>
      <c r="M147" s="222">
        <v>2026.0</v>
      </c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hidden="1" customHeight="1">
      <c r="A148" s="228">
        <f t="shared" ref="A148:A149" si="17">A147</f>
        <v>46199</v>
      </c>
      <c r="B148" s="222">
        <f t="shared" si="6"/>
        <v>26</v>
      </c>
      <c r="C148" s="222">
        <v>6.0</v>
      </c>
      <c r="D148" s="222">
        <f t="shared" si="7"/>
        <v>2026</v>
      </c>
      <c r="E148" s="223" t="s">
        <v>150</v>
      </c>
      <c r="F148" s="32">
        <v>1.0</v>
      </c>
      <c r="G148" s="227">
        <v>15.0</v>
      </c>
      <c r="H148" s="225">
        <f t="shared" si="8"/>
        <v>15</v>
      </c>
      <c r="I148" s="223" t="s">
        <v>245</v>
      </c>
      <c r="J148" s="223"/>
      <c r="K148" s="222">
        <v>6.0</v>
      </c>
      <c r="L148" s="222">
        <v>6.0</v>
      </c>
      <c r="M148" s="222">
        <v>2026.0</v>
      </c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hidden="1" customHeight="1">
      <c r="A149" s="228">
        <f t="shared" si="17"/>
        <v>46199</v>
      </c>
      <c r="B149" s="222">
        <f t="shared" si="6"/>
        <v>26</v>
      </c>
      <c r="C149" s="222">
        <v>6.0</v>
      </c>
      <c r="D149" s="222">
        <f t="shared" si="7"/>
        <v>2026</v>
      </c>
      <c r="E149" s="233" t="s">
        <v>150</v>
      </c>
      <c r="F149" s="233">
        <v>3.0</v>
      </c>
      <c r="G149" s="236">
        <v>5.0</v>
      </c>
      <c r="H149" s="225">
        <f t="shared" si="8"/>
        <v>15</v>
      </c>
      <c r="I149" s="223" t="s">
        <v>245</v>
      </c>
      <c r="J149" s="223"/>
      <c r="K149" s="222">
        <v>6.0</v>
      </c>
      <c r="L149" s="222">
        <v>6.0</v>
      </c>
      <c r="M149" s="222">
        <v>2026.0</v>
      </c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hidden="1" customHeight="1">
      <c r="A150" s="228">
        <v>46200.0</v>
      </c>
      <c r="B150" s="222">
        <f t="shared" si="6"/>
        <v>27</v>
      </c>
      <c r="C150" s="222">
        <v>6.0</v>
      </c>
      <c r="D150" s="222">
        <f t="shared" si="7"/>
        <v>2026</v>
      </c>
      <c r="E150" s="223" t="s">
        <v>145</v>
      </c>
      <c r="F150" s="223">
        <v>1.0</v>
      </c>
      <c r="G150" s="227">
        <v>2.0</v>
      </c>
      <c r="H150" s="225">
        <f t="shared" si="8"/>
        <v>2</v>
      </c>
      <c r="I150" s="223" t="s">
        <v>245</v>
      </c>
      <c r="J150" s="223"/>
      <c r="K150" s="222">
        <v>6.0</v>
      </c>
      <c r="L150" s="222">
        <v>6.0</v>
      </c>
      <c r="M150" s="222">
        <v>2026.0</v>
      </c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hidden="1" customHeight="1">
      <c r="A151" s="228">
        <f>A150</f>
        <v>46200</v>
      </c>
      <c r="B151" s="222">
        <f t="shared" si="6"/>
        <v>27</v>
      </c>
      <c r="C151" s="222">
        <v>6.0</v>
      </c>
      <c r="D151" s="222">
        <f t="shared" si="7"/>
        <v>2026</v>
      </c>
      <c r="E151" s="223" t="s">
        <v>145</v>
      </c>
      <c r="F151" s="223">
        <v>1.0</v>
      </c>
      <c r="G151" s="227">
        <v>2.0</v>
      </c>
      <c r="H151" s="225">
        <f t="shared" si="8"/>
        <v>2</v>
      </c>
      <c r="I151" s="223" t="s">
        <v>245</v>
      </c>
      <c r="J151" s="223"/>
      <c r="K151" s="222">
        <v>6.0</v>
      </c>
      <c r="L151" s="222">
        <v>6.0</v>
      </c>
      <c r="M151" s="222">
        <v>2026.0</v>
      </c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hidden="1" customHeight="1">
      <c r="A152" s="228">
        <v>46201.0</v>
      </c>
      <c r="B152" s="222">
        <f t="shared" si="6"/>
        <v>28</v>
      </c>
      <c r="C152" s="222">
        <v>6.0</v>
      </c>
      <c r="D152" s="222">
        <f t="shared" si="7"/>
        <v>2026</v>
      </c>
      <c r="E152" s="223" t="s">
        <v>150</v>
      </c>
      <c r="F152" s="223">
        <v>1.0</v>
      </c>
      <c r="G152" s="227">
        <v>10.0</v>
      </c>
      <c r="H152" s="225">
        <f t="shared" si="8"/>
        <v>10</v>
      </c>
      <c r="I152" s="223" t="s">
        <v>245</v>
      </c>
      <c r="J152" s="223"/>
      <c r="K152" s="222">
        <v>6.0</v>
      </c>
      <c r="L152" s="222">
        <v>6.0</v>
      </c>
      <c r="M152" s="222">
        <v>2026.0</v>
      </c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hidden="1" customHeight="1">
      <c r="A153" s="228">
        <v>46202.0</v>
      </c>
      <c r="B153" s="222">
        <f t="shared" si="6"/>
        <v>29</v>
      </c>
      <c r="C153" s="222">
        <v>6.0</v>
      </c>
      <c r="D153" s="222">
        <f t="shared" si="7"/>
        <v>2026</v>
      </c>
      <c r="E153" s="223" t="s">
        <v>145</v>
      </c>
      <c r="F153" s="223">
        <v>1.0</v>
      </c>
      <c r="G153" s="227">
        <v>2.0</v>
      </c>
      <c r="H153" s="225">
        <f t="shared" si="8"/>
        <v>2</v>
      </c>
      <c r="I153" s="223" t="s">
        <v>245</v>
      </c>
      <c r="J153" s="223"/>
      <c r="K153" s="222">
        <v>6.0</v>
      </c>
      <c r="L153" s="222">
        <v>6.0</v>
      </c>
      <c r="M153" s="222">
        <v>2026.0</v>
      </c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hidden="1" customHeight="1">
      <c r="A154" s="228">
        <f t="shared" ref="A154:A155" si="18">A153</f>
        <v>46202</v>
      </c>
      <c r="B154" s="222">
        <f t="shared" si="6"/>
        <v>29</v>
      </c>
      <c r="C154" s="222">
        <v>6.0</v>
      </c>
      <c r="D154" s="222">
        <f t="shared" si="7"/>
        <v>2026</v>
      </c>
      <c r="E154" s="223" t="s">
        <v>145</v>
      </c>
      <c r="F154" s="32">
        <v>1.0</v>
      </c>
      <c r="G154" s="227">
        <v>2.0</v>
      </c>
      <c r="H154" s="225">
        <f t="shared" si="8"/>
        <v>2</v>
      </c>
      <c r="I154" s="223" t="s">
        <v>245</v>
      </c>
      <c r="J154" s="223"/>
      <c r="K154" s="222">
        <v>6.0</v>
      </c>
      <c r="L154" s="222">
        <v>6.0</v>
      </c>
      <c r="M154" s="222">
        <v>2026.0</v>
      </c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hidden="1" customHeight="1">
      <c r="A155" s="228">
        <f t="shared" si="18"/>
        <v>46202</v>
      </c>
      <c r="B155" s="222">
        <f t="shared" si="6"/>
        <v>29</v>
      </c>
      <c r="C155" s="222">
        <v>6.0</v>
      </c>
      <c r="D155" s="222">
        <f t="shared" si="7"/>
        <v>2026</v>
      </c>
      <c r="E155" s="223" t="s">
        <v>145</v>
      </c>
      <c r="F155" s="222">
        <v>1.0</v>
      </c>
      <c r="G155" s="224">
        <v>2.0</v>
      </c>
      <c r="H155" s="225">
        <f t="shared" si="8"/>
        <v>2</v>
      </c>
      <c r="I155" s="223" t="s">
        <v>245</v>
      </c>
      <c r="J155" s="223"/>
      <c r="K155" s="222">
        <v>6.0</v>
      </c>
      <c r="L155" s="222">
        <v>6.0</v>
      </c>
      <c r="M155" s="222">
        <v>2026.0</v>
      </c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hidden="1" customHeight="1">
      <c r="A156" s="228">
        <v>46203.0</v>
      </c>
      <c r="B156" s="222">
        <f t="shared" si="6"/>
        <v>30</v>
      </c>
      <c r="C156" s="222">
        <v>6.0</v>
      </c>
      <c r="D156" s="222">
        <f t="shared" si="7"/>
        <v>2026</v>
      </c>
      <c r="E156" s="223" t="s">
        <v>158</v>
      </c>
      <c r="F156" s="222">
        <v>1.0</v>
      </c>
      <c r="G156" s="224">
        <v>24.0</v>
      </c>
      <c r="H156" s="225">
        <f t="shared" si="8"/>
        <v>24</v>
      </c>
      <c r="I156" s="223" t="s">
        <v>245</v>
      </c>
      <c r="J156" s="223"/>
      <c r="K156" s="222">
        <v>6.0</v>
      </c>
      <c r="L156" s="222">
        <v>6.0</v>
      </c>
      <c r="M156" s="222">
        <v>2026.0</v>
      </c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hidden="1" customHeight="1">
      <c r="A157" s="228">
        <v>46203.0</v>
      </c>
      <c r="B157" s="222">
        <f t="shared" si="6"/>
        <v>30</v>
      </c>
      <c r="C157" s="222">
        <v>6.0</v>
      </c>
      <c r="D157" s="222">
        <f t="shared" si="7"/>
        <v>2026</v>
      </c>
      <c r="E157" s="223" t="s">
        <v>150</v>
      </c>
      <c r="F157" s="223">
        <v>1.0</v>
      </c>
      <c r="G157" s="227">
        <v>10.0</v>
      </c>
      <c r="H157" s="225">
        <f t="shared" si="8"/>
        <v>10</v>
      </c>
      <c r="I157" s="223" t="s">
        <v>245</v>
      </c>
      <c r="J157" s="223"/>
      <c r="K157" s="222">
        <v>6.0</v>
      </c>
      <c r="L157" s="222">
        <v>6.0</v>
      </c>
      <c r="M157" s="222">
        <v>2026.0</v>
      </c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hidden="1" customHeight="1">
      <c r="A158" s="228">
        <f t="shared" ref="A158:A162" si="19">A157</f>
        <v>46203</v>
      </c>
      <c r="B158" s="222">
        <f t="shared" si="6"/>
        <v>30</v>
      </c>
      <c r="C158" s="222">
        <v>6.0</v>
      </c>
      <c r="D158" s="222">
        <f t="shared" si="7"/>
        <v>2026</v>
      </c>
      <c r="E158" s="223" t="s">
        <v>145</v>
      </c>
      <c r="F158" s="223">
        <v>2.0</v>
      </c>
      <c r="G158" s="227">
        <v>2.0</v>
      </c>
      <c r="H158" s="224">
        <f t="shared" si="8"/>
        <v>4</v>
      </c>
      <c r="I158" s="223" t="s">
        <v>262</v>
      </c>
      <c r="J158" s="223"/>
      <c r="K158" s="222">
        <v>6.0</v>
      </c>
      <c r="L158" s="222">
        <v>6.0</v>
      </c>
      <c r="M158" s="222">
        <v>2026.0</v>
      </c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hidden="1" customHeight="1">
      <c r="A159" s="228">
        <f t="shared" si="19"/>
        <v>46203</v>
      </c>
      <c r="B159" s="222">
        <f t="shared" si="6"/>
        <v>30</v>
      </c>
      <c r="C159" s="222">
        <v>7.0</v>
      </c>
      <c r="D159" s="222">
        <f t="shared" si="7"/>
        <v>2026</v>
      </c>
      <c r="E159" s="223" t="s">
        <v>150</v>
      </c>
      <c r="F159" s="223">
        <v>1.0</v>
      </c>
      <c r="G159" s="227">
        <v>10.0</v>
      </c>
      <c r="H159" s="225">
        <f t="shared" si="8"/>
        <v>10</v>
      </c>
      <c r="I159" s="223" t="s">
        <v>245</v>
      </c>
      <c r="J159" s="223"/>
      <c r="K159" s="222">
        <v>7.0</v>
      </c>
      <c r="L159" s="222">
        <v>7.0</v>
      </c>
      <c r="M159" s="222">
        <v>2026.0</v>
      </c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hidden="1" customHeight="1">
      <c r="A160" s="228">
        <f t="shared" si="19"/>
        <v>46203</v>
      </c>
      <c r="B160" s="222">
        <f t="shared" si="6"/>
        <v>30</v>
      </c>
      <c r="C160" s="222">
        <v>8.0</v>
      </c>
      <c r="D160" s="222">
        <f t="shared" si="7"/>
        <v>2026</v>
      </c>
      <c r="E160" s="233" t="s">
        <v>170</v>
      </c>
      <c r="F160" s="233">
        <v>1.0</v>
      </c>
      <c r="G160" s="236">
        <v>10.0</v>
      </c>
      <c r="H160" s="225">
        <f t="shared" si="8"/>
        <v>10</v>
      </c>
      <c r="I160" s="223" t="s">
        <v>245</v>
      </c>
      <c r="J160" s="223"/>
      <c r="K160" s="222">
        <v>8.0</v>
      </c>
      <c r="L160" s="222">
        <v>8.0</v>
      </c>
      <c r="M160" s="222">
        <v>2026.0</v>
      </c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hidden="1" customHeight="1">
      <c r="A161" s="228">
        <f t="shared" si="19"/>
        <v>46203</v>
      </c>
      <c r="B161" s="222">
        <f t="shared" si="6"/>
        <v>30</v>
      </c>
      <c r="C161" s="222">
        <v>6.0</v>
      </c>
      <c r="D161" s="222">
        <f t="shared" si="7"/>
        <v>2026</v>
      </c>
      <c r="E161" s="223" t="s">
        <v>150</v>
      </c>
      <c r="F161" s="223">
        <v>2.0</v>
      </c>
      <c r="G161" s="227">
        <v>5.0</v>
      </c>
      <c r="H161" s="225">
        <f t="shared" si="8"/>
        <v>10</v>
      </c>
      <c r="I161" s="223" t="s">
        <v>245</v>
      </c>
      <c r="J161" s="223"/>
      <c r="K161" s="222">
        <v>6.0</v>
      </c>
      <c r="L161" s="222">
        <v>6.0</v>
      </c>
      <c r="M161" s="222">
        <v>2026.0</v>
      </c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hidden="1" customHeight="1">
      <c r="A162" s="228">
        <f t="shared" si="19"/>
        <v>46203</v>
      </c>
      <c r="B162" s="222">
        <f t="shared" si="6"/>
        <v>30</v>
      </c>
      <c r="C162" s="222">
        <v>6.0</v>
      </c>
      <c r="D162" s="222">
        <f t="shared" si="7"/>
        <v>2026</v>
      </c>
      <c r="E162" s="223" t="s">
        <v>150</v>
      </c>
      <c r="F162" s="32">
        <v>2.0</v>
      </c>
      <c r="G162" s="227">
        <v>5.0</v>
      </c>
      <c r="H162" s="225">
        <f t="shared" si="8"/>
        <v>10</v>
      </c>
      <c r="I162" s="223" t="s">
        <v>245</v>
      </c>
      <c r="J162" s="223"/>
      <c r="K162" s="222">
        <v>6.0</v>
      </c>
      <c r="L162" s="222">
        <v>6.0</v>
      </c>
      <c r="M162" s="222">
        <v>2026.0</v>
      </c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hidden="1" customHeight="1">
      <c r="A163" s="228">
        <v>46203.0</v>
      </c>
      <c r="B163" s="222">
        <f t="shared" si="6"/>
        <v>30</v>
      </c>
      <c r="C163" s="222">
        <v>6.0</v>
      </c>
      <c r="D163" s="222">
        <f t="shared" si="7"/>
        <v>2026</v>
      </c>
      <c r="E163" s="223" t="s">
        <v>145</v>
      </c>
      <c r="F163" s="32">
        <v>5.0</v>
      </c>
      <c r="G163" s="227">
        <v>2.0</v>
      </c>
      <c r="H163" s="225">
        <f t="shared" si="8"/>
        <v>10</v>
      </c>
      <c r="I163" s="223" t="s">
        <v>245</v>
      </c>
      <c r="J163" s="223"/>
      <c r="K163" s="222">
        <v>6.0</v>
      </c>
      <c r="L163" s="222">
        <v>6.0</v>
      </c>
      <c r="M163" s="222">
        <v>2026.0</v>
      </c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hidden="1" customHeight="1">
      <c r="A164" s="228">
        <v>46203.0</v>
      </c>
      <c r="B164" s="222">
        <f t="shared" si="6"/>
        <v>30</v>
      </c>
      <c r="C164" s="222">
        <v>6.0</v>
      </c>
      <c r="D164" s="222">
        <f t="shared" si="7"/>
        <v>2026</v>
      </c>
      <c r="E164" s="223" t="s">
        <v>145</v>
      </c>
      <c r="F164" s="223">
        <v>3.0</v>
      </c>
      <c r="G164" s="227">
        <v>2.0</v>
      </c>
      <c r="H164" s="225">
        <f t="shared" si="8"/>
        <v>6</v>
      </c>
      <c r="I164" s="223" t="s">
        <v>245</v>
      </c>
      <c r="J164" s="223"/>
      <c r="K164" s="222">
        <v>6.0</v>
      </c>
      <c r="L164" s="222">
        <v>6.0</v>
      </c>
      <c r="M164" s="222">
        <v>2026.0</v>
      </c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hidden="1" customHeight="1">
      <c r="A165" s="228">
        <v>46203.0</v>
      </c>
      <c r="B165" s="222">
        <f t="shared" si="6"/>
        <v>30</v>
      </c>
      <c r="C165" s="222">
        <v>6.0</v>
      </c>
      <c r="D165" s="222">
        <f t="shared" si="7"/>
        <v>2026</v>
      </c>
      <c r="E165" s="223" t="s">
        <v>145</v>
      </c>
      <c r="F165" s="32">
        <v>2.0</v>
      </c>
      <c r="G165" s="227">
        <v>2.0</v>
      </c>
      <c r="H165" s="225">
        <f t="shared" si="8"/>
        <v>4</v>
      </c>
      <c r="I165" s="223" t="s">
        <v>245</v>
      </c>
      <c r="J165" s="223"/>
      <c r="K165" s="222">
        <v>6.0</v>
      </c>
      <c r="L165" s="222">
        <v>6.0</v>
      </c>
      <c r="M165" s="222">
        <v>2026.0</v>
      </c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hidden="1" customHeight="1">
      <c r="A166" s="228">
        <v>46203.0</v>
      </c>
      <c r="B166" s="222">
        <f t="shared" si="6"/>
        <v>30</v>
      </c>
      <c r="C166" s="222">
        <v>6.0</v>
      </c>
      <c r="D166" s="222">
        <f t="shared" si="7"/>
        <v>2026</v>
      </c>
      <c r="E166" s="223" t="s">
        <v>145</v>
      </c>
      <c r="F166" s="32">
        <v>2.0</v>
      </c>
      <c r="G166" s="227">
        <v>2.0</v>
      </c>
      <c r="H166" s="225">
        <f t="shared" si="8"/>
        <v>4</v>
      </c>
      <c r="I166" s="223" t="s">
        <v>245</v>
      </c>
      <c r="J166" s="223"/>
      <c r="K166" s="222">
        <v>6.0</v>
      </c>
      <c r="L166" s="222">
        <v>6.0</v>
      </c>
      <c r="M166" s="222">
        <v>2026.0</v>
      </c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hidden="1" customHeight="1">
      <c r="A167" s="243">
        <v>46203.0</v>
      </c>
      <c r="B167" s="244">
        <v>30.0</v>
      </c>
      <c r="C167" s="245">
        <v>6.0</v>
      </c>
      <c r="D167" s="246">
        <v>2026.0</v>
      </c>
      <c r="E167" s="247" t="s">
        <v>150</v>
      </c>
      <c r="F167" s="246">
        <v>1.0</v>
      </c>
      <c r="G167" s="248">
        <v>216.15</v>
      </c>
      <c r="H167" s="248">
        <v>216.15</v>
      </c>
      <c r="I167" s="247" t="s">
        <v>2</v>
      </c>
      <c r="J167" s="247" t="s">
        <v>817</v>
      </c>
      <c r="K167" s="244">
        <v>6.0</v>
      </c>
      <c r="L167" s="245">
        <v>6.0</v>
      </c>
      <c r="M167" s="244">
        <v>2026.0</v>
      </c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hidden="1" customHeight="1">
      <c r="A168" s="228">
        <v>46204.0</v>
      </c>
      <c r="B168" s="222">
        <f t="shared" ref="B168:B211" si="20">day(A168)</f>
        <v>1</v>
      </c>
      <c r="C168" s="222">
        <v>7.0</v>
      </c>
      <c r="D168" s="222">
        <f t="shared" ref="D168:D211" si="21">year(A168)</f>
        <v>2026</v>
      </c>
      <c r="E168" s="233" t="s">
        <v>145</v>
      </c>
      <c r="F168" s="233">
        <v>2.0</v>
      </c>
      <c r="G168" s="236">
        <v>2.0</v>
      </c>
      <c r="H168" s="225">
        <f t="shared" ref="H168:H211" si="22">F168*G168</f>
        <v>4</v>
      </c>
      <c r="I168" s="223" t="s">
        <v>245</v>
      </c>
      <c r="J168" s="223"/>
      <c r="K168" s="222">
        <v>7.0</v>
      </c>
      <c r="L168" s="222">
        <v>7.0</v>
      </c>
      <c r="M168" s="222">
        <v>2026.0</v>
      </c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hidden="1" customHeight="1">
      <c r="A169" s="228">
        <f t="shared" ref="A169:A170" si="23">A168</f>
        <v>46204</v>
      </c>
      <c r="B169" s="222">
        <f t="shared" si="20"/>
        <v>1</v>
      </c>
      <c r="C169" s="222">
        <v>7.0</v>
      </c>
      <c r="D169" s="222">
        <f t="shared" si="21"/>
        <v>2026</v>
      </c>
      <c r="E169" s="223" t="s">
        <v>145</v>
      </c>
      <c r="F169" s="222">
        <v>2.0</v>
      </c>
      <c r="G169" s="224">
        <v>2.0</v>
      </c>
      <c r="H169" s="225">
        <f t="shared" si="22"/>
        <v>4</v>
      </c>
      <c r="I169" s="223" t="s">
        <v>245</v>
      </c>
      <c r="J169" s="223"/>
      <c r="K169" s="222">
        <v>7.0</v>
      </c>
      <c r="L169" s="222">
        <v>7.0</v>
      </c>
      <c r="M169" s="222">
        <v>2026.0</v>
      </c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hidden="1" customHeight="1">
      <c r="A170" s="228">
        <f t="shared" si="23"/>
        <v>46204</v>
      </c>
      <c r="B170" s="222">
        <f t="shared" si="20"/>
        <v>1</v>
      </c>
      <c r="C170" s="222">
        <v>7.0</v>
      </c>
      <c r="D170" s="222">
        <f t="shared" si="21"/>
        <v>2026</v>
      </c>
      <c r="E170" s="223" t="s">
        <v>145</v>
      </c>
      <c r="F170" s="223">
        <v>2.0</v>
      </c>
      <c r="G170" s="227">
        <v>2.0</v>
      </c>
      <c r="H170" s="225">
        <f t="shared" si="22"/>
        <v>4</v>
      </c>
      <c r="I170" s="223" t="s">
        <v>245</v>
      </c>
      <c r="J170" s="223"/>
      <c r="K170" s="222">
        <v>7.0</v>
      </c>
      <c r="L170" s="222">
        <v>7.0</v>
      </c>
      <c r="M170" s="222">
        <v>2026.0</v>
      </c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28">
        <v>46205.0</v>
      </c>
      <c r="B171" s="222">
        <f t="shared" si="20"/>
        <v>2</v>
      </c>
      <c r="C171" s="222">
        <v>7.0</v>
      </c>
      <c r="D171" s="222">
        <f t="shared" si="21"/>
        <v>2026</v>
      </c>
      <c r="E171" s="223" t="s">
        <v>166</v>
      </c>
      <c r="F171" s="222">
        <v>1.0</v>
      </c>
      <c r="G171" s="224">
        <v>58.0</v>
      </c>
      <c r="H171" s="225">
        <f t="shared" si="22"/>
        <v>58</v>
      </c>
      <c r="I171" s="223" t="s">
        <v>245</v>
      </c>
      <c r="J171" s="223"/>
      <c r="K171" s="238">
        <v>7.0</v>
      </c>
      <c r="L171" s="222">
        <v>7.0</v>
      </c>
      <c r="M171" s="222">
        <v>2026.0</v>
      </c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hidden="1" customHeight="1">
      <c r="A172" s="228">
        <v>46206.0</v>
      </c>
      <c r="B172" s="222">
        <f t="shared" si="20"/>
        <v>3</v>
      </c>
      <c r="C172" s="222">
        <v>7.0</v>
      </c>
      <c r="D172" s="222">
        <f t="shared" si="21"/>
        <v>2026</v>
      </c>
      <c r="E172" s="233" t="s">
        <v>145</v>
      </c>
      <c r="F172" s="233">
        <v>5.0</v>
      </c>
      <c r="G172" s="236">
        <v>2.0</v>
      </c>
      <c r="H172" s="225">
        <f t="shared" si="22"/>
        <v>10</v>
      </c>
      <c r="I172" s="223" t="s">
        <v>245</v>
      </c>
      <c r="J172" s="223"/>
      <c r="K172" s="222">
        <v>7.0</v>
      </c>
      <c r="L172" s="222">
        <v>7.0</v>
      </c>
      <c r="M172" s="222">
        <v>2026.0</v>
      </c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hidden="1" customHeight="1">
      <c r="A173" s="228">
        <f>A172</f>
        <v>46206</v>
      </c>
      <c r="B173" s="222">
        <f t="shared" si="20"/>
        <v>3</v>
      </c>
      <c r="C173" s="222">
        <v>7.0</v>
      </c>
      <c r="D173" s="222">
        <f t="shared" si="21"/>
        <v>2026</v>
      </c>
      <c r="E173" s="223" t="s">
        <v>145</v>
      </c>
      <c r="F173" s="222">
        <v>5.0</v>
      </c>
      <c r="G173" s="224">
        <v>2.0</v>
      </c>
      <c r="H173" s="225">
        <f t="shared" si="22"/>
        <v>10</v>
      </c>
      <c r="I173" s="223" t="s">
        <v>245</v>
      </c>
      <c r="J173" s="223"/>
      <c r="K173" s="222">
        <v>7.0</v>
      </c>
      <c r="L173" s="222">
        <v>7.0</v>
      </c>
      <c r="M173" s="222">
        <v>2026.0</v>
      </c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hidden="1" customHeight="1">
      <c r="A174" s="228">
        <v>46207.0</v>
      </c>
      <c r="B174" s="222">
        <f t="shared" si="20"/>
        <v>4</v>
      </c>
      <c r="C174" s="222">
        <v>7.0</v>
      </c>
      <c r="D174" s="222">
        <f t="shared" si="21"/>
        <v>2026</v>
      </c>
      <c r="E174" s="223" t="s">
        <v>170</v>
      </c>
      <c r="F174" s="222">
        <v>1.0</v>
      </c>
      <c r="G174" s="224">
        <v>5.0</v>
      </c>
      <c r="H174" s="225">
        <f t="shared" si="22"/>
        <v>5</v>
      </c>
      <c r="I174" s="223" t="s">
        <v>245</v>
      </c>
      <c r="J174" s="223"/>
      <c r="K174" s="222">
        <v>7.0</v>
      </c>
      <c r="L174" s="222">
        <v>7.0</v>
      </c>
      <c r="M174" s="222">
        <v>2026.0</v>
      </c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hidden="1" customHeight="1">
      <c r="A175" s="228">
        <v>46208.0</v>
      </c>
      <c r="B175" s="222">
        <f t="shared" si="20"/>
        <v>5</v>
      </c>
      <c r="C175" s="222">
        <v>7.0</v>
      </c>
      <c r="D175" s="222">
        <f t="shared" si="21"/>
        <v>2026</v>
      </c>
      <c r="E175" s="223" t="s">
        <v>145</v>
      </c>
      <c r="F175" s="223">
        <v>7.0</v>
      </c>
      <c r="G175" s="227">
        <v>2.0</v>
      </c>
      <c r="H175" s="225">
        <f t="shared" si="22"/>
        <v>14</v>
      </c>
      <c r="I175" s="223" t="s">
        <v>245</v>
      </c>
      <c r="J175" s="223"/>
      <c r="K175" s="222">
        <v>7.0</v>
      </c>
      <c r="L175" s="222">
        <v>7.0</v>
      </c>
      <c r="M175" s="222">
        <v>2026.0</v>
      </c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hidden="1" customHeight="1">
      <c r="A176" s="228">
        <v>46209.0</v>
      </c>
      <c r="B176" s="222">
        <f t="shared" si="20"/>
        <v>6</v>
      </c>
      <c r="C176" s="222">
        <v>7.0</v>
      </c>
      <c r="D176" s="222">
        <f t="shared" si="21"/>
        <v>2026</v>
      </c>
      <c r="E176" s="223" t="s">
        <v>145</v>
      </c>
      <c r="F176" s="222">
        <v>3.0</v>
      </c>
      <c r="G176" s="224">
        <v>2.0</v>
      </c>
      <c r="H176" s="225">
        <f t="shared" si="22"/>
        <v>6</v>
      </c>
      <c r="I176" s="223" t="s">
        <v>245</v>
      </c>
      <c r="J176" s="223"/>
      <c r="K176" s="222">
        <v>7.0</v>
      </c>
      <c r="L176" s="222">
        <v>7.0</v>
      </c>
      <c r="M176" s="222">
        <v>2026.0</v>
      </c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hidden="1" customHeight="1">
      <c r="A177" s="228">
        <v>46210.0</v>
      </c>
      <c r="B177" s="222">
        <f t="shared" si="20"/>
        <v>7</v>
      </c>
      <c r="C177" s="222">
        <v>7.0</v>
      </c>
      <c r="D177" s="222">
        <f t="shared" si="21"/>
        <v>2026</v>
      </c>
      <c r="E177" s="223" t="s">
        <v>170</v>
      </c>
      <c r="F177" s="223">
        <v>1.0</v>
      </c>
      <c r="G177" s="227">
        <v>5.0</v>
      </c>
      <c r="H177" s="225">
        <f t="shared" si="22"/>
        <v>5</v>
      </c>
      <c r="I177" s="223" t="s">
        <v>245</v>
      </c>
      <c r="J177" s="223"/>
      <c r="K177" s="222">
        <v>7.0</v>
      </c>
      <c r="L177" s="222">
        <v>7.0</v>
      </c>
      <c r="M177" s="222">
        <v>2026.0</v>
      </c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hidden="1" customHeight="1">
      <c r="A178" s="228">
        <f>A177</f>
        <v>46210</v>
      </c>
      <c r="B178" s="222">
        <f t="shared" si="20"/>
        <v>7</v>
      </c>
      <c r="C178" s="222">
        <v>7.0</v>
      </c>
      <c r="D178" s="222">
        <f t="shared" si="21"/>
        <v>2026</v>
      </c>
      <c r="E178" s="223" t="s">
        <v>170</v>
      </c>
      <c r="F178" s="223">
        <v>1.0</v>
      </c>
      <c r="G178" s="227">
        <v>5.0</v>
      </c>
      <c r="H178" s="225">
        <f t="shared" si="22"/>
        <v>5</v>
      </c>
      <c r="I178" s="223" t="s">
        <v>245</v>
      </c>
      <c r="J178" s="223"/>
      <c r="K178" s="222">
        <v>7.0</v>
      </c>
      <c r="L178" s="222">
        <v>7.0</v>
      </c>
      <c r="M178" s="222">
        <v>2026.0</v>
      </c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hidden="1" customHeight="1">
      <c r="A179" s="228">
        <v>46211.0</v>
      </c>
      <c r="B179" s="222">
        <f t="shared" si="20"/>
        <v>8</v>
      </c>
      <c r="C179" s="222">
        <v>7.0</v>
      </c>
      <c r="D179" s="222">
        <f t="shared" si="21"/>
        <v>2026</v>
      </c>
      <c r="E179" s="223" t="s">
        <v>145</v>
      </c>
      <c r="F179" s="32">
        <v>2.0</v>
      </c>
      <c r="G179" s="227">
        <v>2.0</v>
      </c>
      <c r="H179" s="225">
        <f t="shared" si="22"/>
        <v>4</v>
      </c>
      <c r="I179" s="223" t="s">
        <v>245</v>
      </c>
      <c r="J179" s="223"/>
      <c r="K179" s="222">
        <v>7.0</v>
      </c>
      <c r="L179" s="222">
        <v>7.0</v>
      </c>
      <c r="M179" s="222">
        <v>2026.0</v>
      </c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hidden="1" customHeight="1">
      <c r="A180" s="228">
        <f>A179</f>
        <v>46211</v>
      </c>
      <c r="B180" s="222">
        <f t="shared" si="20"/>
        <v>8</v>
      </c>
      <c r="C180" s="222">
        <v>7.0</v>
      </c>
      <c r="D180" s="222">
        <f t="shared" si="21"/>
        <v>2026</v>
      </c>
      <c r="E180" s="223" t="s">
        <v>145</v>
      </c>
      <c r="F180" s="32">
        <v>2.0</v>
      </c>
      <c r="G180" s="227">
        <v>2.0</v>
      </c>
      <c r="H180" s="225">
        <f t="shared" si="22"/>
        <v>4</v>
      </c>
      <c r="I180" s="223" t="s">
        <v>245</v>
      </c>
      <c r="J180" s="223"/>
      <c r="K180" s="222">
        <v>7.0</v>
      </c>
      <c r="L180" s="222">
        <v>7.0</v>
      </c>
      <c r="M180" s="222">
        <v>2026.0</v>
      </c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hidden="1" customHeight="1">
      <c r="A181" s="228">
        <v>46212.0</v>
      </c>
      <c r="B181" s="222">
        <f t="shared" si="20"/>
        <v>9</v>
      </c>
      <c r="C181" s="222">
        <v>7.0</v>
      </c>
      <c r="D181" s="222">
        <f t="shared" si="21"/>
        <v>2026</v>
      </c>
      <c r="E181" s="223" t="s">
        <v>145</v>
      </c>
      <c r="F181" s="222">
        <v>3.0</v>
      </c>
      <c r="G181" s="224">
        <v>2.0</v>
      </c>
      <c r="H181" s="224">
        <f t="shared" si="22"/>
        <v>6</v>
      </c>
      <c r="I181" s="223" t="s">
        <v>12</v>
      </c>
      <c r="J181" s="223"/>
      <c r="K181" s="222">
        <v>7.0</v>
      </c>
      <c r="L181" s="222">
        <v>7.0</v>
      </c>
      <c r="M181" s="222">
        <v>2026.0</v>
      </c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hidden="1" customHeight="1">
      <c r="A182" s="228">
        <v>46212.0</v>
      </c>
      <c r="B182" s="222">
        <f t="shared" si="20"/>
        <v>9</v>
      </c>
      <c r="C182" s="222">
        <v>7.0</v>
      </c>
      <c r="D182" s="222">
        <f t="shared" si="21"/>
        <v>2026</v>
      </c>
      <c r="E182" s="233" t="s">
        <v>145</v>
      </c>
      <c r="F182" s="233">
        <v>3.0</v>
      </c>
      <c r="G182" s="236">
        <v>2.0</v>
      </c>
      <c r="H182" s="224">
        <f t="shared" si="22"/>
        <v>6</v>
      </c>
      <c r="I182" s="223" t="s">
        <v>12</v>
      </c>
      <c r="J182" s="223"/>
      <c r="K182" s="222">
        <v>7.0</v>
      </c>
      <c r="L182" s="222">
        <v>7.0</v>
      </c>
      <c r="M182" s="222">
        <v>2026.0</v>
      </c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hidden="1" customHeight="1">
      <c r="A183" s="228">
        <v>46212.0</v>
      </c>
      <c r="B183" s="222">
        <f t="shared" si="20"/>
        <v>9</v>
      </c>
      <c r="C183" s="222">
        <v>7.0</v>
      </c>
      <c r="D183" s="222">
        <f t="shared" si="21"/>
        <v>2026</v>
      </c>
      <c r="E183" s="223" t="s">
        <v>145</v>
      </c>
      <c r="F183" s="222">
        <v>1.0</v>
      </c>
      <c r="G183" s="224">
        <v>2.0</v>
      </c>
      <c r="H183" s="225">
        <f t="shared" si="22"/>
        <v>2</v>
      </c>
      <c r="I183" s="223" t="s">
        <v>245</v>
      </c>
      <c r="J183" s="223"/>
      <c r="K183" s="222">
        <v>7.0</v>
      </c>
      <c r="L183" s="222">
        <v>7.0</v>
      </c>
      <c r="M183" s="222">
        <v>2026.0</v>
      </c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hidden="1" customHeight="1">
      <c r="A184" s="228">
        <v>46213.0</v>
      </c>
      <c r="B184" s="222">
        <f t="shared" si="20"/>
        <v>10</v>
      </c>
      <c r="C184" s="222">
        <v>7.0</v>
      </c>
      <c r="D184" s="222">
        <f t="shared" si="21"/>
        <v>2026</v>
      </c>
      <c r="E184" s="223" t="s">
        <v>145</v>
      </c>
      <c r="F184" s="223">
        <v>4.0</v>
      </c>
      <c r="G184" s="227">
        <v>2.0</v>
      </c>
      <c r="H184" s="225">
        <f t="shared" si="22"/>
        <v>8</v>
      </c>
      <c r="I184" s="223" t="s">
        <v>245</v>
      </c>
      <c r="J184" s="223"/>
      <c r="K184" s="222">
        <v>7.0</v>
      </c>
      <c r="L184" s="222">
        <v>7.0</v>
      </c>
      <c r="M184" s="222">
        <v>2026.0</v>
      </c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hidden="1" customHeight="1">
      <c r="A185" s="228">
        <v>46214.0</v>
      </c>
      <c r="B185" s="222">
        <f t="shared" si="20"/>
        <v>11</v>
      </c>
      <c r="C185" s="222">
        <v>7.0</v>
      </c>
      <c r="D185" s="222">
        <f t="shared" si="21"/>
        <v>2026</v>
      </c>
      <c r="E185" s="223" t="s">
        <v>150</v>
      </c>
      <c r="F185" s="32">
        <v>1.0</v>
      </c>
      <c r="G185" s="227">
        <v>5.0</v>
      </c>
      <c r="H185" s="225">
        <f t="shared" si="22"/>
        <v>5</v>
      </c>
      <c r="I185" s="223" t="s">
        <v>245</v>
      </c>
      <c r="J185" s="223"/>
      <c r="K185" s="222">
        <v>7.0</v>
      </c>
      <c r="L185" s="222">
        <v>7.0</v>
      </c>
      <c r="M185" s="222">
        <v>2026.0</v>
      </c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hidden="1" customHeight="1">
      <c r="A186" s="228">
        <v>46215.0</v>
      </c>
      <c r="B186" s="222">
        <f t="shared" si="20"/>
        <v>12</v>
      </c>
      <c r="C186" s="222">
        <v>7.0</v>
      </c>
      <c r="D186" s="222">
        <f t="shared" si="21"/>
        <v>2026</v>
      </c>
      <c r="E186" s="223" t="s">
        <v>150</v>
      </c>
      <c r="F186" s="223">
        <v>1.0</v>
      </c>
      <c r="G186" s="227">
        <v>5.0</v>
      </c>
      <c r="H186" s="225">
        <f t="shared" si="22"/>
        <v>5</v>
      </c>
      <c r="I186" s="223" t="s">
        <v>245</v>
      </c>
      <c r="J186" s="223"/>
      <c r="K186" s="222">
        <v>7.0</v>
      </c>
      <c r="L186" s="222">
        <v>7.0</v>
      </c>
      <c r="M186" s="222">
        <v>2026.0</v>
      </c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hidden="1" customHeight="1">
      <c r="A187" s="228">
        <f>A186</f>
        <v>46215</v>
      </c>
      <c r="B187" s="222">
        <f t="shared" si="20"/>
        <v>12</v>
      </c>
      <c r="C187" s="222">
        <v>6.0</v>
      </c>
      <c r="D187" s="222">
        <f t="shared" si="21"/>
        <v>2026</v>
      </c>
      <c r="E187" s="223" t="s">
        <v>150</v>
      </c>
      <c r="F187" s="222">
        <v>1.0</v>
      </c>
      <c r="G187" s="224">
        <v>5.0</v>
      </c>
      <c r="H187" s="225">
        <f t="shared" si="22"/>
        <v>5</v>
      </c>
      <c r="I187" s="223" t="s">
        <v>245</v>
      </c>
      <c r="J187" s="223"/>
      <c r="K187" s="222">
        <v>6.0</v>
      </c>
      <c r="L187" s="222">
        <v>6.0</v>
      </c>
      <c r="M187" s="222">
        <v>2026.0</v>
      </c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hidden="1" customHeight="1">
      <c r="A188" s="228">
        <v>46216.0</v>
      </c>
      <c r="B188" s="222">
        <f t="shared" si="20"/>
        <v>13</v>
      </c>
      <c r="C188" s="222">
        <v>7.0</v>
      </c>
      <c r="D188" s="222">
        <f t="shared" si="21"/>
        <v>2026</v>
      </c>
      <c r="E188" s="223" t="s">
        <v>145</v>
      </c>
      <c r="F188" s="32">
        <v>5.0</v>
      </c>
      <c r="G188" s="227">
        <v>2.0</v>
      </c>
      <c r="H188" s="225">
        <f t="shared" si="22"/>
        <v>10</v>
      </c>
      <c r="I188" s="223" t="s">
        <v>245</v>
      </c>
      <c r="J188" s="223"/>
      <c r="K188" s="222">
        <v>7.0</v>
      </c>
      <c r="L188" s="222">
        <v>7.0</v>
      </c>
      <c r="M188" s="222">
        <v>2026.0</v>
      </c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hidden="1" customHeight="1">
      <c r="A189" s="228">
        <v>46217.0</v>
      </c>
      <c r="B189" s="222">
        <f t="shared" si="20"/>
        <v>14</v>
      </c>
      <c r="C189" s="222">
        <v>7.0</v>
      </c>
      <c r="D189" s="222">
        <f t="shared" si="21"/>
        <v>2026</v>
      </c>
      <c r="E189" s="223" t="s">
        <v>145</v>
      </c>
      <c r="F189" s="223">
        <v>5.0</v>
      </c>
      <c r="G189" s="227">
        <v>2.0</v>
      </c>
      <c r="H189" s="225">
        <f t="shared" si="22"/>
        <v>10</v>
      </c>
      <c r="I189" s="223" t="s">
        <v>245</v>
      </c>
      <c r="J189" s="223"/>
      <c r="K189" s="222">
        <v>7.0</v>
      </c>
      <c r="L189" s="222">
        <v>7.0</v>
      </c>
      <c r="M189" s="222">
        <v>2026.0</v>
      </c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hidden="1" customHeight="1">
      <c r="A190" s="228">
        <v>46217.0</v>
      </c>
      <c r="B190" s="222">
        <f t="shared" si="20"/>
        <v>14</v>
      </c>
      <c r="C190" s="222">
        <v>7.0</v>
      </c>
      <c r="D190" s="222">
        <f t="shared" si="21"/>
        <v>2026</v>
      </c>
      <c r="E190" s="223" t="s">
        <v>145</v>
      </c>
      <c r="F190" s="222">
        <v>5.0</v>
      </c>
      <c r="G190" s="224">
        <v>2.0</v>
      </c>
      <c r="H190" s="225">
        <f t="shared" si="22"/>
        <v>10</v>
      </c>
      <c r="I190" s="223" t="s">
        <v>245</v>
      </c>
      <c r="J190" s="223"/>
      <c r="K190" s="222">
        <v>7.0</v>
      </c>
      <c r="L190" s="222">
        <v>7.0</v>
      </c>
      <c r="M190" s="222">
        <v>2026.0</v>
      </c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hidden="1" customHeight="1">
      <c r="A191" s="228">
        <v>46218.0</v>
      </c>
      <c r="B191" s="222">
        <f t="shared" si="20"/>
        <v>15</v>
      </c>
      <c r="C191" s="222">
        <v>7.0</v>
      </c>
      <c r="D191" s="222">
        <f t="shared" si="21"/>
        <v>2026</v>
      </c>
      <c r="E191" s="233" t="s">
        <v>145</v>
      </c>
      <c r="F191" s="233">
        <v>4.0</v>
      </c>
      <c r="G191" s="236">
        <v>2.0</v>
      </c>
      <c r="H191" s="225">
        <f t="shared" si="22"/>
        <v>8</v>
      </c>
      <c r="I191" s="223" t="s">
        <v>245</v>
      </c>
      <c r="J191" s="223"/>
      <c r="K191" s="222">
        <v>7.0</v>
      </c>
      <c r="L191" s="222">
        <v>7.0</v>
      </c>
      <c r="M191" s="222">
        <v>2026.0</v>
      </c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hidden="1" customHeight="1">
      <c r="A192" s="228">
        <v>46219.0</v>
      </c>
      <c r="B192" s="222">
        <f t="shared" si="20"/>
        <v>16</v>
      </c>
      <c r="C192" s="222">
        <v>7.0</v>
      </c>
      <c r="D192" s="222">
        <f t="shared" si="21"/>
        <v>2026</v>
      </c>
      <c r="E192" s="223" t="s">
        <v>145</v>
      </c>
      <c r="F192" s="32">
        <v>5.0</v>
      </c>
      <c r="G192" s="227">
        <v>2.0</v>
      </c>
      <c r="H192" s="225">
        <f t="shared" si="22"/>
        <v>10</v>
      </c>
      <c r="I192" s="223" t="s">
        <v>245</v>
      </c>
      <c r="J192" s="223"/>
      <c r="K192" s="222">
        <v>7.0</v>
      </c>
      <c r="L192" s="222">
        <v>7.0</v>
      </c>
      <c r="M192" s="222">
        <v>2026.0</v>
      </c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hidden="1" customHeight="1">
      <c r="A193" s="228">
        <v>46220.0</v>
      </c>
      <c r="B193" s="222">
        <f t="shared" si="20"/>
        <v>17</v>
      </c>
      <c r="C193" s="222">
        <v>7.0</v>
      </c>
      <c r="D193" s="222">
        <f t="shared" si="21"/>
        <v>2026</v>
      </c>
      <c r="E193" s="233" t="s">
        <v>145</v>
      </c>
      <c r="F193" s="233">
        <v>1.0</v>
      </c>
      <c r="G193" s="236">
        <v>2.0</v>
      </c>
      <c r="H193" s="225">
        <f t="shared" si="22"/>
        <v>2</v>
      </c>
      <c r="I193" s="223" t="s">
        <v>245</v>
      </c>
      <c r="J193" s="223"/>
      <c r="K193" s="222">
        <v>7.0</v>
      </c>
      <c r="L193" s="222">
        <v>7.0</v>
      </c>
      <c r="M193" s="222">
        <v>2026.0</v>
      </c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hidden="1" customHeight="1">
      <c r="A194" s="228">
        <v>46221.0</v>
      </c>
      <c r="B194" s="222">
        <f t="shared" si="20"/>
        <v>18</v>
      </c>
      <c r="C194" s="222">
        <v>7.0</v>
      </c>
      <c r="D194" s="222">
        <f t="shared" si="21"/>
        <v>2026</v>
      </c>
      <c r="E194" s="223" t="s">
        <v>145</v>
      </c>
      <c r="F194" s="222">
        <v>12.0</v>
      </c>
      <c r="G194" s="224">
        <v>2.0</v>
      </c>
      <c r="H194" s="225">
        <f t="shared" si="22"/>
        <v>24</v>
      </c>
      <c r="I194" s="223" t="s">
        <v>245</v>
      </c>
      <c r="J194" s="223"/>
      <c r="K194" s="222">
        <v>7.0</v>
      </c>
      <c r="L194" s="222">
        <v>7.0</v>
      </c>
      <c r="M194" s="222">
        <v>2026.0</v>
      </c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hidden="1" customHeight="1">
      <c r="A195" s="228">
        <v>46222.0</v>
      </c>
      <c r="B195" s="222">
        <f t="shared" si="20"/>
        <v>19</v>
      </c>
      <c r="C195" s="222">
        <v>7.0</v>
      </c>
      <c r="D195" s="222">
        <f t="shared" si="21"/>
        <v>2026</v>
      </c>
      <c r="E195" s="233" t="s">
        <v>145</v>
      </c>
      <c r="F195" s="233">
        <v>4.0</v>
      </c>
      <c r="G195" s="236">
        <v>2.0</v>
      </c>
      <c r="H195" s="225">
        <f t="shared" si="22"/>
        <v>8</v>
      </c>
      <c r="I195" s="223" t="s">
        <v>245</v>
      </c>
      <c r="J195" s="223"/>
      <c r="K195" s="222">
        <v>7.0</v>
      </c>
      <c r="L195" s="222">
        <v>7.0</v>
      </c>
      <c r="M195" s="222">
        <v>2026.0</v>
      </c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hidden="1" customHeight="1">
      <c r="A196" s="228">
        <f>A195</f>
        <v>46222</v>
      </c>
      <c r="B196" s="222">
        <f t="shared" si="20"/>
        <v>19</v>
      </c>
      <c r="C196" s="222">
        <v>8.0</v>
      </c>
      <c r="D196" s="222">
        <f t="shared" si="21"/>
        <v>2026</v>
      </c>
      <c r="E196" s="223" t="s">
        <v>170</v>
      </c>
      <c r="F196" s="222">
        <v>1.0</v>
      </c>
      <c r="G196" s="224">
        <v>5.0</v>
      </c>
      <c r="H196" s="224">
        <f t="shared" si="22"/>
        <v>5</v>
      </c>
      <c r="I196" s="223" t="s">
        <v>262</v>
      </c>
      <c r="J196" s="223"/>
      <c r="K196" s="222">
        <v>8.0</v>
      </c>
      <c r="L196" s="222">
        <v>8.0</v>
      </c>
      <c r="M196" s="222">
        <v>2026.0</v>
      </c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hidden="1" customHeight="1">
      <c r="A197" s="228">
        <v>46223.0</v>
      </c>
      <c r="B197" s="222">
        <f t="shared" si="20"/>
        <v>20</v>
      </c>
      <c r="C197" s="222">
        <v>7.0</v>
      </c>
      <c r="D197" s="222">
        <f t="shared" si="21"/>
        <v>2026</v>
      </c>
      <c r="E197" s="223" t="s">
        <v>145</v>
      </c>
      <c r="F197" s="223">
        <v>5.0</v>
      </c>
      <c r="G197" s="227">
        <v>2.0</v>
      </c>
      <c r="H197" s="225">
        <f t="shared" si="22"/>
        <v>10</v>
      </c>
      <c r="I197" s="223" t="s">
        <v>245</v>
      </c>
      <c r="J197" s="223"/>
      <c r="K197" s="222">
        <v>7.0</v>
      </c>
      <c r="L197" s="222">
        <v>7.0</v>
      </c>
      <c r="M197" s="222">
        <v>2026.0</v>
      </c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hidden="1" customHeight="1">
      <c r="A198" s="228">
        <v>46224.0</v>
      </c>
      <c r="B198" s="222">
        <f t="shared" si="20"/>
        <v>21</v>
      </c>
      <c r="C198" s="222">
        <v>7.0</v>
      </c>
      <c r="D198" s="222">
        <f t="shared" si="21"/>
        <v>2026</v>
      </c>
      <c r="E198" s="223" t="s">
        <v>145</v>
      </c>
      <c r="F198" s="32">
        <v>3.0</v>
      </c>
      <c r="G198" s="227">
        <v>2.0</v>
      </c>
      <c r="H198" s="225">
        <f t="shared" si="22"/>
        <v>6</v>
      </c>
      <c r="I198" s="223" t="s">
        <v>245</v>
      </c>
      <c r="J198" s="223"/>
      <c r="K198" s="222">
        <v>7.0</v>
      </c>
      <c r="L198" s="222">
        <v>7.0</v>
      </c>
      <c r="M198" s="222">
        <v>2026.0</v>
      </c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hidden="1" customHeight="1">
      <c r="A199" s="228">
        <v>46225.0</v>
      </c>
      <c r="B199" s="222">
        <f t="shared" si="20"/>
        <v>22</v>
      </c>
      <c r="C199" s="222">
        <v>7.0</v>
      </c>
      <c r="D199" s="222">
        <f t="shared" si="21"/>
        <v>2026</v>
      </c>
      <c r="E199" s="233" t="s">
        <v>163</v>
      </c>
      <c r="F199" s="233">
        <v>2.0</v>
      </c>
      <c r="G199" s="236">
        <v>1.0</v>
      </c>
      <c r="H199" s="225">
        <f t="shared" si="22"/>
        <v>2</v>
      </c>
      <c r="I199" s="223" t="s">
        <v>245</v>
      </c>
      <c r="J199" s="223"/>
      <c r="K199" s="222">
        <v>7.0</v>
      </c>
      <c r="L199" s="222">
        <v>7.0</v>
      </c>
      <c r="M199" s="222">
        <v>2026.0</v>
      </c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hidden="1" customHeight="1">
      <c r="A200" s="228">
        <v>46226.0</v>
      </c>
      <c r="B200" s="222">
        <f t="shared" si="20"/>
        <v>23</v>
      </c>
      <c r="C200" s="222">
        <v>7.0</v>
      </c>
      <c r="D200" s="222">
        <f t="shared" si="21"/>
        <v>2026</v>
      </c>
      <c r="E200" s="223" t="s">
        <v>145</v>
      </c>
      <c r="F200" s="222">
        <v>3.0</v>
      </c>
      <c r="G200" s="224">
        <v>2.0</v>
      </c>
      <c r="H200" s="225">
        <f t="shared" si="22"/>
        <v>6</v>
      </c>
      <c r="I200" s="223" t="s">
        <v>245</v>
      </c>
      <c r="J200" s="223"/>
      <c r="K200" s="222">
        <v>7.0</v>
      </c>
      <c r="L200" s="222">
        <v>7.0</v>
      </c>
      <c r="M200" s="222">
        <v>2026.0</v>
      </c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hidden="1" customHeight="1">
      <c r="A201" s="228">
        <f>A200</f>
        <v>46226</v>
      </c>
      <c r="B201" s="222">
        <f t="shared" si="20"/>
        <v>23</v>
      </c>
      <c r="C201" s="222">
        <v>7.0</v>
      </c>
      <c r="D201" s="222">
        <f t="shared" si="21"/>
        <v>2026</v>
      </c>
      <c r="E201" s="233" t="s">
        <v>145</v>
      </c>
      <c r="F201" s="233">
        <v>3.0</v>
      </c>
      <c r="G201" s="236">
        <v>2.0</v>
      </c>
      <c r="H201" s="225">
        <f t="shared" si="22"/>
        <v>6</v>
      </c>
      <c r="I201" s="223" t="s">
        <v>245</v>
      </c>
      <c r="J201" s="223"/>
      <c r="K201" s="222">
        <v>7.0</v>
      </c>
      <c r="L201" s="222">
        <v>7.0</v>
      </c>
      <c r="M201" s="222">
        <v>2026.0</v>
      </c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hidden="1" customHeight="1">
      <c r="A202" s="228">
        <v>46227.0</v>
      </c>
      <c r="B202" s="222">
        <f t="shared" si="20"/>
        <v>24</v>
      </c>
      <c r="C202" s="222">
        <v>7.0</v>
      </c>
      <c r="D202" s="222">
        <f t="shared" si="21"/>
        <v>2026</v>
      </c>
      <c r="E202" s="223" t="s">
        <v>145</v>
      </c>
      <c r="F202" s="32">
        <v>9.0</v>
      </c>
      <c r="G202" s="227">
        <v>2.0</v>
      </c>
      <c r="H202" s="225">
        <f t="shared" si="22"/>
        <v>18</v>
      </c>
      <c r="I202" s="223" t="s">
        <v>245</v>
      </c>
      <c r="J202" s="223"/>
      <c r="K202" s="222">
        <v>7.0</v>
      </c>
      <c r="L202" s="222">
        <v>7.0</v>
      </c>
      <c r="M202" s="222">
        <v>2026.0</v>
      </c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hidden="1" customHeight="1">
      <c r="A203" s="228">
        <v>46227.0</v>
      </c>
      <c r="B203" s="222">
        <f t="shared" si="20"/>
        <v>24</v>
      </c>
      <c r="C203" s="222">
        <v>7.0</v>
      </c>
      <c r="D203" s="222">
        <f t="shared" si="21"/>
        <v>2026</v>
      </c>
      <c r="E203" s="233" t="s">
        <v>170</v>
      </c>
      <c r="F203" s="233">
        <v>1.0</v>
      </c>
      <c r="G203" s="236">
        <v>10.0</v>
      </c>
      <c r="H203" s="224">
        <f t="shared" si="22"/>
        <v>10</v>
      </c>
      <c r="I203" s="223" t="s">
        <v>262</v>
      </c>
      <c r="J203" s="223"/>
      <c r="K203" s="222">
        <v>7.0</v>
      </c>
      <c r="L203" s="222">
        <v>7.0</v>
      </c>
      <c r="M203" s="222">
        <v>2026.0</v>
      </c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hidden="1" customHeight="1">
      <c r="A204" s="228">
        <v>46228.0</v>
      </c>
      <c r="B204" s="222">
        <f t="shared" si="20"/>
        <v>25</v>
      </c>
      <c r="C204" s="222">
        <v>7.0</v>
      </c>
      <c r="D204" s="222">
        <f t="shared" si="21"/>
        <v>2026</v>
      </c>
      <c r="E204" s="223" t="s">
        <v>145</v>
      </c>
      <c r="F204" s="222">
        <v>2.0</v>
      </c>
      <c r="G204" s="224">
        <v>2.2</v>
      </c>
      <c r="H204" s="225">
        <f t="shared" si="22"/>
        <v>4.4</v>
      </c>
      <c r="I204" s="223" t="s">
        <v>245</v>
      </c>
      <c r="J204" s="223"/>
      <c r="K204" s="222">
        <v>7.0</v>
      </c>
      <c r="L204" s="222">
        <v>7.0</v>
      </c>
      <c r="M204" s="222">
        <v>2026.0</v>
      </c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hidden="1" customHeight="1">
      <c r="A205" s="228">
        <v>46229.0</v>
      </c>
      <c r="B205" s="222">
        <f t="shared" si="20"/>
        <v>26</v>
      </c>
      <c r="C205" s="222">
        <v>7.0</v>
      </c>
      <c r="D205" s="222">
        <f t="shared" si="21"/>
        <v>2026</v>
      </c>
      <c r="E205" s="223" t="s">
        <v>145</v>
      </c>
      <c r="F205" s="222">
        <v>5.0</v>
      </c>
      <c r="G205" s="224">
        <v>2.0</v>
      </c>
      <c r="H205" s="225">
        <f t="shared" si="22"/>
        <v>10</v>
      </c>
      <c r="I205" s="223" t="s">
        <v>245</v>
      </c>
      <c r="J205" s="223"/>
      <c r="K205" s="222">
        <v>7.0</v>
      </c>
      <c r="L205" s="222">
        <v>7.0</v>
      </c>
      <c r="M205" s="222">
        <v>2026.0</v>
      </c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hidden="1" customHeight="1">
      <c r="A206" s="228">
        <f>A205</f>
        <v>46229</v>
      </c>
      <c r="B206" s="222">
        <f t="shared" si="20"/>
        <v>26</v>
      </c>
      <c r="C206" s="222">
        <v>7.0</v>
      </c>
      <c r="D206" s="222">
        <f t="shared" si="21"/>
        <v>2026</v>
      </c>
      <c r="E206" s="223" t="s">
        <v>145</v>
      </c>
      <c r="F206" s="223">
        <v>5.0</v>
      </c>
      <c r="G206" s="227">
        <v>2.0</v>
      </c>
      <c r="H206" s="225">
        <f t="shared" si="22"/>
        <v>10</v>
      </c>
      <c r="I206" s="223" t="s">
        <v>245</v>
      </c>
      <c r="J206" s="223"/>
      <c r="K206" s="222">
        <v>7.0</v>
      </c>
      <c r="L206" s="222">
        <v>7.0</v>
      </c>
      <c r="M206" s="222">
        <v>2026.0</v>
      </c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hidden="1" customHeight="1">
      <c r="A207" s="228">
        <v>46230.0</v>
      </c>
      <c r="B207" s="222">
        <f t="shared" si="20"/>
        <v>27</v>
      </c>
      <c r="C207" s="222">
        <v>7.0</v>
      </c>
      <c r="D207" s="222">
        <f t="shared" si="21"/>
        <v>2026</v>
      </c>
      <c r="E207" s="223" t="s">
        <v>155</v>
      </c>
      <c r="F207" s="32">
        <v>1.0</v>
      </c>
      <c r="G207" s="227">
        <v>7.0</v>
      </c>
      <c r="H207" s="225">
        <f t="shared" si="22"/>
        <v>7</v>
      </c>
      <c r="I207" s="223" t="s">
        <v>245</v>
      </c>
      <c r="J207" s="223"/>
      <c r="K207" s="222">
        <v>7.0</v>
      </c>
      <c r="L207" s="222">
        <v>7.0</v>
      </c>
      <c r="M207" s="222">
        <v>2026.0</v>
      </c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hidden="1" customHeight="1">
      <c r="A208" s="228">
        <v>46231.0</v>
      </c>
      <c r="B208" s="222">
        <f t="shared" si="20"/>
        <v>28</v>
      </c>
      <c r="C208" s="222">
        <v>7.0</v>
      </c>
      <c r="D208" s="222">
        <f t="shared" si="21"/>
        <v>2026</v>
      </c>
      <c r="E208" s="223" t="s">
        <v>145</v>
      </c>
      <c r="F208" s="32">
        <v>4.0</v>
      </c>
      <c r="G208" s="227">
        <v>2.0</v>
      </c>
      <c r="H208" s="225">
        <f t="shared" si="22"/>
        <v>8</v>
      </c>
      <c r="I208" s="223" t="s">
        <v>245</v>
      </c>
      <c r="J208" s="223"/>
      <c r="K208" s="222">
        <v>7.0</v>
      </c>
      <c r="L208" s="222">
        <v>7.0</v>
      </c>
      <c r="M208" s="222">
        <v>2026.0</v>
      </c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hidden="1" customHeight="1">
      <c r="A209" s="228">
        <v>46232.0</v>
      </c>
      <c r="B209" s="222">
        <f t="shared" si="20"/>
        <v>29</v>
      </c>
      <c r="C209" s="222">
        <v>7.0</v>
      </c>
      <c r="D209" s="222">
        <f t="shared" si="21"/>
        <v>2026</v>
      </c>
      <c r="E209" s="223" t="s">
        <v>145</v>
      </c>
      <c r="F209" s="32">
        <v>2.0</v>
      </c>
      <c r="G209" s="227">
        <v>2.0</v>
      </c>
      <c r="H209" s="225">
        <f t="shared" si="22"/>
        <v>4</v>
      </c>
      <c r="I209" s="223" t="s">
        <v>245</v>
      </c>
      <c r="J209" s="223"/>
      <c r="K209" s="222">
        <v>7.0</v>
      </c>
      <c r="L209" s="222">
        <v>7.0</v>
      </c>
      <c r="M209" s="222">
        <v>2026.0</v>
      </c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hidden="1" customHeight="1">
      <c r="A210" s="228">
        <v>46233.0</v>
      </c>
      <c r="B210" s="222">
        <f t="shared" si="20"/>
        <v>30</v>
      </c>
      <c r="C210" s="222">
        <v>7.0</v>
      </c>
      <c r="D210" s="222">
        <f t="shared" si="21"/>
        <v>2026</v>
      </c>
      <c r="E210" s="223" t="s">
        <v>150</v>
      </c>
      <c r="F210" s="222">
        <v>6.0</v>
      </c>
      <c r="G210" s="224">
        <v>5.0</v>
      </c>
      <c r="H210" s="225">
        <f t="shared" si="22"/>
        <v>30</v>
      </c>
      <c r="I210" s="223" t="s">
        <v>245</v>
      </c>
      <c r="J210" s="223"/>
      <c r="K210" s="222">
        <v>7.0</v>
      </c>
      <c r="L210" s="222">
        <v>7.0</v>
      </c>
      <c r="M210" s="222">
        <v>2026.0</v>
      </c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hidden="1" customHeight="1">
      <c r="A211" s="228">
        <v>46233.0</v>
      </c>
      <c r="B211" s="222">
        <f t="shared" si="20"/>
        <v>30</v>
      </c>
      <c r="C211" s="222"/>
      <c r="D211" s="222">
        <f t="shared" si="21"/>
        <v>2026</v>
      </c>
      <c r="E211" s="223" t="s">
        <v>150</v>
      </c>
      <c r="F211" s="238">
        <v>1.0</v>
      </c>
      <c r="G211" s="249">
        <v>29.0</v>
      </c>
      <c r="H211" s="225">
        <f t="shared" si="22"/>
        <v>29</v>
      </c>
      <c r="I211" s="223" t="s">
        <v>245</v>
      </c>
      <c r="J211" s="223"/>
      <c r="K211" s="222"/>
      <c r="L211" s="222"/>
      <c r="M211" s="222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hidden="1" customHeight="1">
      <c r="A212" s="250">
        <v>46234.0</v>
      </c>
      <c r="B212" s="252">
        <v>31.0</v>
      </c>
      <c r="C212" s="254">
        <v>8.0</v>
      </c>
      <c r="D212" s="252">
        <v>2026.0</v>
      </c>
      <c r="E212" s="255" t="s">
        <v>145</v>
      </c>
      <c r="F212" s="252">
        <f>H212/G212</f>
        <v>51</v>
      </c>
      <c r="G212" s="257">
        <v>2.0</v>
      </c>
      <c r="H212" s="257">
        <f>132-30</f>
        <v>102</v>
      </c>
      <c r="I212" s="255" t="s">
        <v>245</v>
      </c>
      <c r="J212" s="258" t="s">
        <v>859</v>
      </c>
      <c r="K212" s="254">
        <v>8.0</v>
      </c>
      <c r="L212" s="254">
        <v>8.0</v>
      </c>
      <c r="M212" s="254">
        <v>2026.0</v>
      </c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</row>
    <row r="213" ht="15.75" hidden="1" customHeight="1">
      <c r="A213" s="228">
        <v>46234.0</v>
      </c>
      <c r="B213" s="222">
        <f>day(A213)</f>
        <v>31</v>
      </c>
      <c r="C213" s="222">
        <v>7.0</v>
      </c>
      <c r="D213" s="222">
        <f>year(A213)</f>
        <v>2026</v>
      </c>
      <c r="E213" s="223" t="s">
        <v>145</v>
      </c>
      <c r="F213" s="222">
        <v>7.0</v>
      </c>
      <c r="G213" s="224">
        <v>2.0</v>
      </c>
      <c r="H213" s="225">
        <f>F213*G213</f>
        <v>14</v>
      </c>
      <c r="I213" s="223" t="s">
        <v>245</v>
      </c>
      <c r="J213" s="223"/>
      <c r="K213" s="222">
        <v>7.0</v>
      </c>
      <c r="L213" s="222">
        <v>7.0</v>
      </c>
      <c r="M213" s="222">
        <v>2026.0</v>
      </c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hidden="1" customHeight="1">
      <c r="A214" s="243">
        <v>46234.0</v>
      </c>
      <c r="B214" s="244">
        <v>31.0</v>
      </c>
      <c r="C214" s="245">
        <v>7.0</v>
      </c>
      <c r="D214" s="246">
        <v>2026.0</v>
      </c>
      <c r="E214" s="247" t="s">
        <v>150</v>
      </c>
      <c r="F214" s="246">
        <v>1.0</v>
      </c>
      <c r="G214" s="248">
        <v>356.4</v>
      </c>
      <c r="H214" s="248">
        <v>356.4</v>
      </c>
      <c r="I214" s="247" t="s">
        <v>2</v>
      </c>
      <c r="J214" s="247" t="s">
        <v>817</v>
      </c>
      <c r="K214" s="244">
        <v>7.0</v>
      </c>
      <c r="L214" s="245">
        <v>7.0</v>
      </c>
      <c r="M214" s="244">
        <v>2026.0</v>
      </c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hidden="1" customHeight="1">
      <c r="A215" s="260">
        <v>46235.0</v>
      </c>
      <c r="B215" s="246">
        <v>1.0</v>
      </c>
      <c r="C215" s="246">
        <v>8.0</v>
      </c>
      <c r="D215" s="246">
        <v>2026.0</v>
      </c>
      <c r="E215" s="261" t="s">
        <v>163</v>
      </c>
      <c r="F215" s="246">
        <v>1.0</v>
      </c>
      <c r="G215" s="262">
        <v>1.0</v>
      </c>
      <c r="H215" s="262">
        <v>1.0</v>
      </c>
      <c r="I215" s="261" t="s">
        <v>245</v>
      </c>
      <c r="J215" s="261" t="s">
        <v>867</v>
      </c>
      <c r="K215" s="246">
        <v>8.0</v>
      </c>
      <c r="L215" s="246">
        <v>8.0</v>
      </c>
      <c r="M215" s="246">
        <v>2026.0</v>
      </c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hidden="1" customHeight="1">
      <c r="A216" s="260">
        <v>46235.0</v>
      </c>
      <c r="B216" s="246">
        <v>1.0</v>
      </c>
      <c r="C216" s="246">
        <v>8.0</v>
      </c>
      <c r="D216" s="246">
        <v>2026.0</v>
      </c>
      <c r="E216" s="261" t="s">
        <v>145</v>
      </c>
      <c r="F216" s="246">
        <v>2.0</v>
      </c>
      <c r="G216" s="262">
        <v>2.0</v>
      </c>
      <c r="H216" s="262">
        <v>4.0</v>
      </c>
      <c r="I216" s="261" t="s">
        <v>245</v>
      </c>
      <c r="J216" s="261"/>
      <c r="K216" s="246">
        <v>8.0</v>
      </c>
      <c r="L216" s="246">
        <v>8.0</v>
      </c>
      <c r="M216" s="246">
        <v>2026.0</v>
      </c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hidden="1" customHeight="1">
      <c r="A217" s="260">
        <v>46235.0</v>
      </c>
      <c r="B217" s="246">
        <v>1.0</v>
      </c>
      <c r="C217" s="246">
        <v>8.0</v>
      </c>
      <c r="D217" s="246">
        <v>2026.0</v>
      </c>
      <c r="E217" s="261" t="s">
        <v>145</v>
      </c>
      <c r="F217" s="246">
        <v>2.0</v>
      </c>
      <c r="G217" s="262">
        <v>3.0</v>
      </c>
      <c r="H217" s="262">
        <v>6.0</v>
      </c>
      <c r="I217" s="261" t="s">
        <v>245</v>
      </c>
      <c r="J217" s="261" t="s">
        <v>870</v>
      </c>
      <c r="K217" s="246">
        <v>8.0</v>
      </c>
      <c r="L217" s="246">
        <v>8.0</v>
      </c>
      <c r="M217" s="246">
        <v>2026.0</v>
      </c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hidden="1" customHeight="1">
      <c r="A218" s="260">
        <v>46235.0</v>
      </c>
      <c r="B218" s="246">
        <v>1.0</v>
      </c>
      <c r="C218" s="246">
        <v>8.0</v>
      </c>
      <c r="D218" s="246">
        <v>2026.0</v>
      </c>
      <c r="E218" s="261" t="s">
        <v>155</v>
      </c>
      <c r="F218" s="246">
        <v>15.0</v>
      </c>
      <c r="G218" s="262">
        <v>1.0</v>
      </c>
      <c r="H218" s="262">
        <v>15.0</v>
      </c>
      <c r="I218" s="261" t="s">
        <v>245</v>
      </c>
      <c r="J218" s="261" t="s">
        <v>111</v>
      </c>
      <c r="K218" s="246">
        <v>8.0</v>
      </c>
      <c r="L218" s="246">
        <v>8.0</v>
      </c>
      <c r="M218" s="246">
        <v>2026.0</v>
      </c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hidden="1" customHeight="1">
      <c r="A219" s="260">
        <v>46235.0</v>
      </c>
      <c r="B219" s="246">
        <v>1.0</v>
      </c>
      <c r="C219" s="246">
        <v>8.0</v>
      </c>
      <c r="D219" s="246">
        <v>2026.0</v>
      </c>
      <c r="E219" s="261" t="s">
        <v>145</v>
      </c>
      <c r="F219" s="246">
        <v>22.0</v>
      </c>
      <c r="G219" s="262">
        <v>2.0</v>
      </c>
      <c r="H219" s="262">
        <v>44.0</v>
      </c>
      <c r="I219" s="261" t="s">
        <v>245</v>
      </c>
      <c r="J219" s="261" t="s">
        <v>686</v>
      </c>
      <c r="K219" s="246">
        <v>8.0</v>
      </c>
      <c r="L219" s="246">
        <v>8.0</v>
      </c>
      <c r="M219" s="246">
        <v>2026.0</v>
      </c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hidden="1" customHeight="1">
      <c r="A220" s="260">
        <v>46236.0</v>
      </c>
      <c r="B220" s="246">
        <v>2.0</v>
      </c>
      <c r="C220" s="246">
        <v>8.0</v>
      </c>
      <c r="D220" s="246">
        <v>2026.0</v>
      </c>
      <c r="E220" s="261" t="s">
        <v>145</v>
      </c>
      <c r="F220" s="246">
        <v>2.0</v>
      </c>
      <c r="G220" s="262">
        <v>15.0</v>
      </c>
      <c r="H220" s="262">
        <v>30.0</v>
      </c>
      <c r="I220" s="261" t="s">
        <v>245</v>
      </c>
      <c r="J220" s="261" t="s">
        <v>873</v>
      </c>
      <c r="K220" s="246">
        <v>8.0</v>
      </c>
      <c r="L220" s="246">
        <v>8.0</v>
      </c>
      <c r="M220" s="246">
        <v>2026.0</v>
      </c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hidden="1" customHeight="1">
      <c r="A221" s="260">
        <v>46237.0</v>
      </c>
      <c r="B221" s="246">
        <v>3.0</v>
      </c>
      <c r="C221" s="246">
        <v>8.0</v>
      </c>
      <c r="D221" s="246">
        <v>2026.0</v>
      </c>
      <c r="E221" s="261" t="s">
        <v>145</v>
      </c>
      <c r="F221" s="246">
        <v>2.0</v>
      </c>
      <c r="G221" s="262">
        <v>3.0</v>
      </c>
      <c r="H221" s="262">
        <v>6.0</v>
      </c>
      <c r="I221" s="261" t="s">
        <v>245</v>
      </c>
      <c r="J221" s="261" t="s">
        <v>870</v>
      </c>
      <c r="K221" s="246">
        <v>8.0</v>
      </c>
      <c r="L221" s="246">
        <v>8.0</v>
      </c>
      <c r="M221" s="246">
        <v>2026.0</v>
      </c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hidden="1" customHeight="1">
      <c r="A222" s="260">
        <v>46237.0</v>
      </c>
      <c r="B222" s="246">
        <v>3.0</v>
      </c>
      <c r="C222" s="246">
        <v>8.0</v>
      </c>
      <c r="D222" s="246">
        <v>2026.0</v>
      </c>
      <c r="E222" s="261" t="s">
        <v>150</v>
      </c>
      <c r="F222" s="246">
        <v>5.0</v>
      </c>
      <c r="G222" s="262">
        <v>2.0</v>
      </c>
      <c r="H222" s="262">
        <v>10.0</v>
      </c>
      <c r="I222" s="261" t="s">
        <v>245</v>
      </c>
      <c r="J222" s="261" t="s">
        <v>150</v>
      </c>
      <c r="K222" s="246">
        <v>8.0</v>
      </c>
      <c r="L222" s="246">
        <v>8.0</v>
      </c>
      <c r="M222" s="246">
        <v>2026.0</v>
      </c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hidden="1" customHeight="1">
      <c r="A223" s="260">
        <v>46238.0</v>
      </c>
      <c r="B223" s="246">
        <v>4.0</v>
      </c>
      <c r="C223" s="246">
        <v>8.0</v>
      </c>
      <c r="D223" s="246">
        <v>2026.0</v>
      </c>
      <c r="E223" s="261" t="s">
        <v>163</v>
      </c>
      <c r="F223" s="246">
        <v>1.0</v>
      </c>
      <c r="G223" s="262">
        <v>1.0</v>
      </c>
      <c r="H223" s="262">
        <v>1.0</v>
      </c>
      <c r="I223" s="261" t="s">
        <v>245</v>
      </c>
      <c r="J223" s="261" t="s">
        <v>877</v>
      </c>
      <c r="K223" s="246">
        <v>8.0</v>
      </c>
      <c r="L223" s="246">
        <v>8.0</v>
      </c>
      <c r="M223" s="246">
        <v>2026.0</v>
      </c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hidden="1" customHeight="1">
      <c r="A224" s="260">
        <v>46238.0</v>
      </c>
      <c r="B224" s="246">
        <v>4.0</v>
      </c>
      <c r="C224" s="246">
        <v>8.0</v>
      </c>
      <c r="D224" s="246">
        <v>2026.0</v>
      </c>
      <c r="E224" s="261" t="s">
        <v>150</v>
      </c>
      <c r="F224" s="246">
        <v>5.0</v>
      </c>
      <c r="G224" s="262">
        <v>2.0</v>
      </c>
      <c r="H224" s="262">
        <v>10.0</v>
      </c>
      <c r="I224" s="261" t="s">
        <v>245</v>
      </c>
      <c r="J224" s="261" t="s">
        <v>879</v>
      </c>
      <c r="K224" s="246">
        <v>8.0</v>
      </c>
      <c r="L224" s="246">
        <v>8.0</v>
      </c>
      <c r="M224" s="246">
        <v>2026.0</v>
      </c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hidden="1" customHeight="1">
      <c r="A225" s="260">
        <v>46238.0</v>
      </c>
      <c r="B225" s="246">
        <v>4.0</v>
      </c>
      <c r="C225" s="246">
        <v>8.0</v>
      </c>
      <c r="D225" s="246">
        <v>2026.0</v>
      </c>
      <c r="E225" s="261" t="s">
        <v>145</v>
      </c>
      <c r="F225" s="246">
        <v>2.0</v>
      </c>
      <c r="G225" s="261">
        <v>28.0</v>
      </c>
      <c r="H225" s="262">
        <v>56.0</v>
      </c>
      <c r="I225" s="261" t="s">
        <v>245</v>
      </c>
      <c r="J225" s="261" t="s">
        <v>880</v>
      </c>
      <c r="K225" s="246">
        <v>8.0</v>
      </c>
      <c r="L225" s="246">
        <v>8.0</v>
      </c>
      <c r="M225" s="246">
        <v>2026.0</v>
      </c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hidden="1" customHeight="1">
      <c r="A226" s="228">
        <f>A225</f>
        <v>46238</v>
      </c>
      <c r="B226" s="222">
        <f>day(A226)</f>
        <v>4</v>
      </c>
      <c r="C226" s="222">
        <v>5.0</v>
      </c>
      <c r="D226" s="222">
        <f>year(A226)</f>
        <v>2026</v>
      </c>
      <c r="E226" s="223" t="s">
        <v>163</v>
      </c>
      <c r="F226" s="32">
        <v>1.0</v>
      </c>
      <c r="G226" s="227">
        <v>1.0</v>
      </c>
      <c r="H226" s="225">
        <f>F226*G226</f>
        <v>1</v>
      </c>
      <c r="I226" s="223" t="s">
        <v>245</v>
      </c>
      <c r="J226" s="223"/>
      <c r="K226" s="222">
        <v>5.0</v>
      </c>
      <c r="L226" s="222">
        <v>5.0</v>
      </c>
      <c r="M226" s="222">
        <v>2026.0</v>
      </c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hidden="1" customHeight="1">
      <c r="A227" s="260">
        <v>46239.0</v>
      </c>
      <c r="B227" s="246">
        <v>5.0</v>
      </c>
      <c r="C227" s="246">
        <v>8.0</v>
      </c>
      <c r="D227" s="246">
        <v>2026.0</v>
      </c>
      <c r="E227" s="261" t="s">
        <v>150</v>
      </c>
      <c r="F227" s="246">
        <v>4.0</v>
      </c>
      <c r="G227" s="262">
        <v>3.0</v>
      </c>
      <c r="H227" s="262">
        <v>12.0</v>
      </c>
      <c r="I227" s="261" t="s">
        <v>245</v>
      </c>
      <c r="J227" s="261" t="s">
        <v>886</v>
      </c>
      <c r="K227" s="246">
        <v>8.0</v>
      </c>
      <c r="L227" s="246">
        <v>8.0</v>
      </c>
      <c r="M227" s="246">
        <v>2026.0</v>
      </c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hidden="1" customHeight="1">
      <c r="A228" s="228">
        <f>A227</f>
        <v>46239</v>
      </c>
      <c r="B228" s="222">
        <f>day(A228)</f>
        <v>5</v>
      </c>
      <c r="C228" s="222">
        <v>7.0</v>
      </c>
      <c r="D228" s="222">
        <f>year(A228)</f>
        <v>2026</v>
      </c>
      <c r="E228" s="223" t="s">
        <v>145</v>
      </c>
      <c r="F228" s="222">
        <v>2.0</v>
      </c>
      <c r="G228" s="224">
        <v>2.0</v>
      </c>
      <c r="H228" s="225">
        <f>F228*G228</f>
        <v>4</v>
      </c>
      <c r="I228" s="223" t="s">
        <v>245</v>
      </c>
      <c r="J228" s="223"/>
      <c r="K228" s="222">
        <v>7.0</v>
      </c>
      <c r="L228" s="222">
        <v>7.0</v>
      </c>
      <c r="M228" s="222">
        <v>2026.0</v>
      </c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hidden="1" customHeight="1">
      <c r="A229" s="260">
        <v>46239.0</v>
      </c>
      <c r="B229" s="246">
        <v>5.0</v>
      </c>
      <c r="C229" s="246">
        <v>8.0</v>
      </c>
      <c r="D229" s="246">
        <v>2026.0</v>
      </c>
      <c r="E229" s="261" t="s">
        <v>145</v>
      </c>
      <c r="F229" s="246">
        <v>2.0</v>
      </c>
      <c r="G229" s="262">
        <v>7.0</v>
      </c>
      <c r="H229" s="262">
        <v>14.0</v>
      </c>
      <c r="I229" s="261" t="s">
        <v>245</v>
      </c>
      <c r="J229" s="261" t="s">
        <v>890</v>
      </c>
      <c r="K229" s="246">
        <v>8.0</v>
      </c>
      <c r="L229" s="246">
        <v>8.0</v>
      </c>
      <c r="M229" s="246">
        <v>2026.0</v>
      </c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hidden="1" customHeight="1">
      <c r="A230" s="260">
        <v>46240.0</v>
      </c>
      <c r="B230" s="246">
        <v>6.0</v>
      </c>
      <c r="C230" s="246">
        <v>8.0</v>
      </c>
      <c r="D230" s="246">
        <v>2026.0</v>
      </c>
      <c r="E230" s="261" t="s">
        <v>145</v>
      </c>
      <c r="F230" s="246">
        <v>2.0</v>
      </c>
      <c r="G230" s="262">
        <v>5.0</v>
      </c>
      <c r="H230" s="262">
        <v>10.0</v>
      </c>
      <c r="I230" s="261" t="s">
        <v>12</v>
      </c>
      <c r="J230" s="261" t="s">
        <v>891</v>
      </c>
      <c r="K230" s="246">
        <v>8.0</v>
      </c>
      <c r="L230" s="246">
        <v>8.0</v>
      </c>
      <c r="M230" s="246">
        <v>2026.0</v>
      </c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hidden="1" customHeight="1">
      <c r="A231" s="260">
        <v>46240.0</v>
      </c>
      <c r="B231" s="246">
        <v>6.0</v>
      </c>
      <c r="C231" s="246">
        <v>8.0</v>
      </c>
      <c r="D231" s="246">
        <v>2026.0</v>
      </c>
      <c r="E231" s="261" t="s">
        <v>155</v>
      </c>
      <c r="F231" s="246">
        <v>15.0</v>
      </c>
      <c r="G231" s="262">
        <v>1.0</v>
      </c>
      <c r="H231" s="262">
        <v>15.0</v>
      </c>
      <c r="I231" s="261" t="s">
        <v>245</v>
      </c>
      <c r="J231" s="261" t="s">
        <v>893</v>
      </c>
      <c r="K231" s="246">
        <v>8.0</v>
      </c>
      <c r="L231" s="246">
        <v>8.0</v>
      </c>
      <c r="M231" s="246">
        <v>2026.0</v>
      </c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hidden="1" customHeight="1">
      <c r="A232" s="260">
        <v>46240.0</v>
      </c>
      <c r="B232" s="246">
        <v>6.0</v>
      </c>
      <c r="C232" s="246">
        <v>8.0</v>
      </c>
      <c r="D232" s="246">
        <v>2026.0</v>
      </c>
      <c r="E232" s="261" t="s">
        <v>145</v>
      </c>
      <c r="F232" s="246">
        <v>2.0</v>
      </c>
      <c r="G232" s="262">
        <v>18.0</v>
      </c>
      <c r="H232" s="262">
        <v>36.0</v>
      </c>
      <c r="I232" s="261" t="s">
        <v>245</v>
      </c>
      <c r="J232" s="261" t="s">
        <v>894</v>
      </c>
      <c r="K232" s="246">
        <v>8.0</v>
      </c>
      <c r="L232" s="246">
        <v>8.0</v>
      </c>
      <c r="M232" s="246">
        <v>2026.0</v>
      </c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hidden="1" customHeight="1">
      <c r="A233" s="260">
        <v>46241.0</v>
      </c>
      <c r="B233" s="246">
        <v>7.0</v>
      </c>
      <c r="C233" s="246">
        <v>8.0</v>
      </c>
      <c r="D233" s="246">
        <v>2026.0</v>
      </c>
      <c r="E233" s="261" t="s">
        <v>150</v>
      </c>
      <c r="F233" s="246">
        <v>5.0</v>
      </c>
      <c r="G233" s="262">
        <v>2.0</v>
      </c>
      <c r="H233" s="262">
        <v>10.0</v>
      </c>
      <c r="I233" s="261" t="s">
        <v>245</v>
      </c>
      <c r="J233" s="261" t="s">
        <v>879</v>
      </c>
      <c r="K233" s="246">
        <v>8.0</v>
      </c>
      <c r="L233" s="246">
        <v>8.0</v>
      </c>
      <c r="M233" s="246">
        <v>2026.0</v>
      </c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hidden="1" customHeight="1">
      <c r="A234" s="260">
        <v>46241.0</v>
      </c>
      <c r="B234" s="246">
        <v>7.0</v>
      </c>
      <c r="C234" s="246">
        <v>8.0</v>
      </c>
      <c r="D234" s="246">
        <v>2026.0</v>
      </c>
      <c r="E234" s="261" t="s">
        <v>145</v>
      </c>
      <c r="F234" s="246">
        <v>2.0</v>
      </c>
      <c r="G234" s="262">
        <v>6.0</v>
      </c>
      <c r="H234" s="262">
        <v>12.0</v>
      </c>
      <c r="I234" s="261" t="s">
        <v>12</v>
      </c>
      <c r="J234" s="261" t="s">
        <v>895</v>
      </c>
      <c r="K234" s="246">
        <v>8.0</v>
      </c>
      <c r="L234" s="246">
        <v>8.0</v>
      </c>
      <c r="M234" s="246">
        <v>2026.0</v>
      </c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hidden="1" customHeight="1">
      <c r="A235" s="260">
        <v>46241.0</v>
      </c>
      <c r="B235" s="246">
        <v>7.0</v>
      </c>
      <c r="C235" s="245">
        <v>8.0</v>
      </c>
      <c r="D235" s="246">
        <v>2026.0</v>
      </c>
      <c r="E235" s="261" t="s">
        <v>170</v>
      </c>
      <c r="F235" s="246">
        <v>15.0</v>
      </c>
      <c r="G235" s="262">
        <v>1.0</v>
      </c>
      <c r="H235" s="262">
        <v>15.0</v>
      </c>
      <c r="I235" s="261" t="s">
        <v>245</v>
      </c>
      <c r="J235" s="261" t="s">
        <v>896</v>
      </c>
      <c r="K235" s="246">
        <v>8.0</v>
      </c>
      <c r="L235" s="245">
        <v>8.0</v>
      </c>
      <c r="M235" s="244">
        <v>2026.0</v>
      </c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hidden="1" customHeight="1">
      <c r="A236" s="260">
        <v>46241.0</v>
      </c>
      <c r="B236" s="246">
        <v>7.0</v>
      </c>
      <c r="C236" s="246">
        <v>8.0</v>
      </c>
      <c r="D236" s="246">
        <v>2026.0</v>
      </c>
      <c r="E236" s="261" t="s">
        <v>145</v>
      </c>
      <c r="F236" s="246">
        <v>2.0</v>
      </c>
      <c r="G236" s="262">
        <v>18.0</v>
      </c>
      <c r="H236" s="262">
        <v>36.0</v>
      </c>
      <c r="I236" s="261" t="s">
        <v>245</v>
      </c>
      <c r="J236" s="261" t="s">
        <v>894</v>
      </c>
      <c r="K236" s="246">
        <v>8.0</v>
      </c>
      <c r="L236" s="246">
        <v>8.0</v>
      </c>
      <c r="M236" s="246">
        <v>2026.0</v>
      </c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hidden="1" customHeight="1">
      <c r="A237" s="260">
        <v>46242.0</v>
      </c>
      <c r="B237" s="246">
        <v>8.0</v>
      </c>
      <c r="C237" s="246">
        <v>8.0</v>
      </c>
      <c r="D237" s="246">
        <v>2026.0</v>
      </c>
      <c r="E237" s="261" t="s">
        <v>145</v>
      </c>
      <c r="F237" s="246">
        <v>2.0</v>
      </c>
      <c r="G237" s="262">
        <v>3.0</v>
      </c>
      <c r="H237" s="262">
        <v>6.0</v>
      </c>
      <c r="I237" s="261" t="s">
        <v>12</v>
      </c>
      <c r="J237" s="261" t="s">
        <v>897</v>
      </c>
      <c r="K237" s="246">
        <v>8.0</v>
      </c>
      <c r="L237" s="246">
        <v>8.0</v>
      </c>
      <c r="M237" s="246">
        <v>2026.0</v>
      </c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hidden="1" customHeight="1">
      <c r="A238" s="260">
        <v>46242.0</v>
      </c>
      <c r="B238" s="246">
        <v>8.0</v>
      </c>
      <c r="C238" s="246">
        <v>8.0</v>
      </c>
      <c r="D238" s="246">
        <v>2026.0</v>
      </c>
      <c r="E238" s="261" t="s">
        <v>145</v>
      </c>
      <c r="F238" s="246">
        <v>2.0</v>
      </c>
      <c r="G238" s="262">
        <v>16.0</v>
      </c>
      <c r="H238" s="262">
        <v>32.0</v>
      </c>
      <c r="I238" s="261" t="s">
        <v>245</v>
      </c>
      <c r="J238" s="261" t="s">
        <v>900</v>
      </c>
      <c r="K238" s="246">
        <v>8.0</v>
      </c>
      <c r="L238" s="246">
        <v>8.0</v>
      </c>
      <c r="M238" s="246">
        <v>2026.0</v>
      </c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hidden="1" customHeight="1">
      <c r="A239" s="260">
        <v>46243.0</v>
      </c>
      <c r="B239" s="246">
        <v>9.0</v>
      </c>
      <c r="C239" s="246">
        <v>8.0</v>
      </c>
      <c r="D239" s="246">
        <v>2026.0</v>
      </c>
      <c r="E239" s="261" t="s">
        <v>145</v>
      </c>
      <c r="F239" s="246">
        <v>2.0</v>
      </c>
      <c r="G239" s="262">
        <v>3.0</v>
      </c>
      <c r="H239" s="262">
        <v>6.0</v>
      </c>
      <c r="I239" s="261" t="s">
        <v>262</v>
      </c>
      <c r="J239" s="261" t="s">
        <v>897</v>
      </c>
      <c r="K239" s="246">
        <v>8.0</v>
      </c>
      <c r="L239" s="246">
        <v>8.0</v>
      </c>
      <c r="M239" s="246">
        <v>2026.0</v>
      </c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hidden="1" customHeight="1">
      <c r="A240" s="260">
        <v>46243.0</v>
      </c>
      <c r="B240" s="246">
        <v>9.0</v>
      </c>
      <c r="C240" s="246">
        <v>8.0</v>
      </c>
      <c r="D240" s="246">
        <v>2026.0</v>
      </c>
      <c r="E240" s="261" t="s">
        <v>145</v>
      </c>
      <c r="F240" s="246">
        <v>2.0</v>
      </c>
      <c r="G240" s="262">
        <v>21.0</v>
      </c>
      <c r="H240" s="261">
        <v>42.0</v>
      </c>
      <c r="I240" s="261" t="s">
        <v>245</v>
      </c>
      <c r="J240" s="261" t="s">
        <v>902</v>
      </c>
      <c r="K240" s="246">
        <v>8.0</v>
      </c>
      <c r="L240" s="246">
        <v>8.0</v>
      </c>
      <c r="M240" s="246">
        <v>2026.0</v>
      </c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hidden="1" customHeight="1">
      <c r="A241" s="260">
        <v>46243.0</v>
      </c>
      <c r="B241" s="246">
        <v>9.0</v>
      </c>
      <c r="C241" s="246">
        <v>8.0</v>
      </c>
      <c r="D241" s="246">
        <v>2026.0</v>
      </c>
      <c r="E241" s="261" t="s">
        <v>150</v>
      </c>
      <c r="F241" s="246">
        <v>5.0</v>
      </c>
      <c r="G241" s="262">
        <v>11.0</v>
      </c>
      <c r="H241" s="262">
        <v>55.0</v>
      </c>
      <c r="I241" s="261" t="s">
        <v>245</v>
      </c>
      <c r="J241" s="261" t="s">
        <v>879</v>
      </c>
      <c r="K241" s="246">
        <v>8.0</v>
      </c>
      <c r="L241" s="246">
        <v>8.0</v>
      </c>
      <c r="M241" s="246">
        <v>2026.0</v>
      </c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hidden="1" customHeight="1">
      <c r="A242" s="260">
        <v>46244.0</v>
      </c>
      <c r="B242" s="246">
        <v>10.0</v>
      </c>
      <c r="C242" s="246">
        <v>8.0</v>
      </c>
      <c r="D242" s="246">
        <v>2026.0</v>
      </c>
      <c r="E242" s="261" t="s">
        <v>150</v>
      </c>
      <c r="F242" s="246">
        <v>5.0</v>
      </c>
      <c r="G242" s="262">
        <v>2.0</v>
      </c>
      <c r="H242" s="262">
        <v>10.0</v>
      </c>
      <c r="I242" s="261" t="s">
        <v>245</v>
      </c>
      <c r="J242" s="261" t="s">
        <v>879</v>
      </c>
      <c r="K242" s="246">
        <v>8.0</v>
      </c>
      <c r="L242" s="246">
        <v>8.0</v>
      </c>
      <c r="M242" s="246">
        <v>2026.0</v>
      </c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hidden="1" customHeight="1">
      <c r="A243" s="260">
        <v>46244.0</v>
      </c>
      <c r="B243" s="246">
        <v>10.0</v>
      </c>
      <c r="C243" s="246">
        <v>8.0</v>
      </c>
      <c r="D243" s="246">
        <v>2026.0</v>
      </c>
      <c r="E243" s="261" t="s">
        <v>145</v>
      </c>
      <c r="F243" s="246">
        <v>2.0</v>
      </c>
      <c r="G243" s="262">
        <v>6.0</v>
      </c>
      <c r="H243" s="262">
        <v>12.0</v>
      </c>
      <c r="I243" s="261" t="s">
        <v>245</v>
      </c>
      <c r="J243" s="261" t="s">
        <v>895</v>
      </c>
      <c r="K243" s="246">
        <v>8.0</v>
      </c>
      <c r="L243" s="246">
        <v>8.0</v>
      </c>
      <c r="M243" s="246">
        <v>2026.0</v>
      </c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hidden="1" customHeight="1">
      <c r="A244" s="260">
        <v>46244.0</v>
      </c>
      <c r="B244" s="246">
        <v>10.0</v>
      </c>
      <c r="C244" s="246">
        <v>8.0</v>
      </c>
      <c r="D244" s="246">
        <v>2026.0</v>
      </c>
      <c r="E244" s="261" t="s">
        <v>150</v>
      </c>
      <c r="F244" s="263">
        <v>46144.0</v>
      </c>
      <c r="G244" s="262">
        <v>7.0</v>
      </c>
      <c r="H244" s="262">
        <v>17.5</v>
      </c>
      <c r="I244" s="261" t="s">
        <v>245</v>
      </c>
      <c r="J244" s="261" t="s">
        <v>907</v>
      </c>
      <c r="K244" s="246">
        <v>8.0</v>
      </c>
      <c r="L244" s="246">
        <v>8.0</v>
      </c>
      <c r="M244" s="246">
        <v>2026.0</v>
      </c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hidden="1" customHeight="1">
      <c r="A245" s="228">
        <f t="shared" ref="A245:A246" si="24">A244</f>
        <v>46244</v>
      </c>
      <c r="B245" s="222">
        <f t="shared" ref="B245:B246" si="25">day(A245)</f>
        <v>10</v>
      </c>
      <c r="C245" s="222">
        <v>6.0</v>
      </c>
      <c r="D245" s="222">
        <f t="shared" ref="D245:D246" si="26">year(A245)</f>
        <v>2026</v>
      </c>
      <c r="E245" s="223" t="s">
        <v>145</v>
      </c>
      <c r="F245" s="222">
        <v>1.0</v>
      </c>
      <c r="G245" s="224">
        <v>2.0</v>
      </c>
      <c r="H245" s="225">
        <f t="shared" ref="H245:H246" si="27">F245*G245</f>
        <v>2</v>
      </c>
      <c r="I245" s="223" t="s">
        <v>245</v>
      </c>
      <c r="J245" s="223"/>
      <c r="K245" s="222">
        <v>6.0</v>
      </c>
      <c r="L245" s="222">
        <v>6.0</v>
      </c>
      <c r="M245" s="222">
        <v>2026.0</v>
      </c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hidden="1" customHeight="1">
      <c r="A246" s="228">
        <f t="shared" si="24"/>
        <v>46244</v>
      </c>
      <c r="B246" s="222">
        <f t="shared" si="25"/>
        <v>10</v>
      </c>
      <c r="C246" s="222">
        <v>6.0</v>
      </c>
      <c r="D246" s="222">
        <f t="shared" si="26"/>
        <v>2026</v>
      </c>
      <c r="E246" s="223" t="s">
        <v>145</v>
      </c>
      <c r="F246" s="223">
        <v>1.0</v>
      </c>
      <c r="G246" s="227">
        <v>2.0</v>
      </c>
      <c r="H246" s="225">
        <f t="shared" si="27"/>
        <v>2</v>
      </c>
      <c r="I246" s="223" t="s">
        <v>245</v>
      </c>
      <c r="J246" s="223"/>
      <c r="K246" s="222">
        <v>6.0</v>
      </c>
      <c r="L246" s="222">
        <v>6.0</v>
      </c>
      <c r="M246" s="222">
        <v>2026.0</v>
      </c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hidden="1" customHeight="1">
      <c r="A247" s="260">
        <v>46244.0</v>
      </c>
      <c r="B247" s="246">
        <v>10.0</v>
      </c>
      <c r="C247" s="246">
        <v>8.0</v>
      </c>
      <c r="D247" s="246">
        <v>2026.0</v>
      </c>
      <c r="E247" s="261" t="s">
        <v>155</v>
      </c>
      <c r="F247" s="246">
        <v>15.0</v>
      </c>
      <c r="G247" s="262">
        <v>2.0</v>
      </c>
      <c r="H247" s="262">
        <v>30.0</v>
      </c>
      <c r="I247" s="261" t="s">
        <v>245</v>
      </c>
      <c r="J247" s="261" t="s">
        <v>909</v>
      </c>
      <c r="K247" s="246">
        <v>8.0</v>
      </c>
      <c r="L247" s="246">
        <v>8.0</v>
      </c>
      <c r="M247" s="246">
        <v>2026.0</v>
      </c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hidden="1" customHeight="1">
      <c r="A248" s="260">
        <v>46244.0</v>
      </c>
      <c r="B248" s="246">
        <v>10.0</v>
      </c>
      <c r="C248" s="246">
        <v>8.0</v>
      </c>
      <c r="D248" s="246">
        <v>2026.0</v>
      </c>
      <c r="E248" s="247" t="s">
        <v>153</v>
      </c>
      <c r="F248" s="246">
        <v>50.0</v>
      </c>
      <c r="G248" s="262">
        <v>1.0</v>
      </c>
      <c r="H248" s="262">
        <v>50.0</v>
      </c>
      <c r="I248" s="261" t="s">
        <v>262</v>
      </c>
      <c r="J248" s="261" t="s">
        <v>911</v>
      </c>
      <c r="K248" s="246">
        <v>8.0</v>
      </c>
      <c r="L248" s="246">
        <v>8.0</v>
      </c>
      <c r="M248" s="246">
        <v>2026.0</v>
      </c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hidden="1" customHeight="1">
      <c r="A249" s="260">
        <v>46245.0</v>
      </c>
      <c r="B249" s="246">
        <v>11.0</v>
      </c>
      <c r="C249" s="246">
        <v>8.0</v>
      </c>
      <c r="D249" s="246">
        <v>2026.0</v>
      </c>
      <c r="E249" s="261" t="s">
        <v>145</v>
      </c>
      <c r="F249" s="246">
        <v>2.0</v>
      </c>
      <c r="G249" s="262">
        <v>6.0</v>
      </c>
      <c r="H249" s="262">
        <v>12.0</v>
      </c>
      <c r="I249" s="261" t="s">
        <v>245</v>
      </c>
      <c r="J249" s="261" t="s">
        <v>895</v>
      </c>
      <c r="K249" s="246">
        <v>8.0</v>
      </c>
      <c r="L249" s="246">
        <v>8.0</v>
      </c>
      <c r="M249" s="246">
        <v>2026.0</v>
      </c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hidden="1" customHeight="1">
      <c r="A250" s="260">
        <v>46246.0</v>
      </c>
      <c r="B250" s="246">
        <v>12.0</v>
      </c>
      <c r="C250" s="246">
        <v>8.0</v>
      </c>
      <c r="D250" s="246">
        <v>2026.0</v>
      </c>
      <c r="E250" s="261" t="s">
        <v>155</v>
      </c>
      <c r="F250" s="246">
        <v>15.0</v>
      </c>
      <c r="G250" s="262">
        <v>1.0</v>
      </c>
      <c r="H250" s="262">
        <v>15.0</v>
      </c>
      <c r="I250" s="261" t="s">
        <v>245</v>
      </c>
      <c r="J250" s="261" t="s">
        <v>893</v>
      </c>
      <c r="K250" s="246">
        <v>8.0</v>
      </c>
      <c r="L250" s="246">
        <v>8.0</v>
      </c>
      <c r="M250" s="246">
        <v>2026.0</v>
      </c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hidden="1" customHeight="1">
      <c r="A251" s="260">
        <v>46246.0</v>
      </c>
      <c r="B251" s="246">
        <v>12.0</v>
      </c>
      <c r="C251" s="246">
        <v>8.0</v>
      </c>
      <c r="D251" s="246">
        <v>2026.0</v>
      </c>
      <c r="E251" s="261" t="s">
        <v>145</v>
      </c>
      <c r="F251" s="246">
        <v>2.0</v>
      </c>
      <c r="G251" s="262">
        <v>8.0</v>
      </c>
      <c r="H251" s="262">
        <v>16.0</v>
      </c>
      <c r="I251" s="261" t="s">
        <v>245</v>
      </c>
      <c r="J251" s="261" t="s">
        <v>914</v>
      </c>
      <c r="K251" s="246">
        <v>8.0</v>
      </c>
      <c r="L251" s="246">
        <v>8.0</v>
      </c>
      <c r="M251" s="246">
        <v>2026.0</v>
      </c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hidden="1" customHeight="1">
      <c r="A252" s="228">
        <f>A251</f>
        <v>46246</v>
      </c>
      <c r="B252" s="222">
        <f>day(A252)</f>
        <v>12</v>
      </c>
      <c r="C252" s="222">
        <v>5.0</v>
      </c>
      <c r="D252" s="222">
        <f>year(A252)</f>
        <v>2026</v>
      </c>
      <c r="E252" s="223" t="s">
        <v>150</v>
      </c>
      <c r="F252" s="32">
        <v>1.0</v>
      </c>
      <c r="G252" s="227">
        <v>5.0</v>
      </c>
      <c r="H252" s="225">
        <f>F252*G252</f>
        <v>5</v>
      </c>
      <c r="I252" s="223" t="s">
        <v>245</v>
      </c>
      <c r="J252" s="223"/>
      <c r="K252" s="222">
        <v>5.0</v>
      </c>
      <c r="L252" s="222">
        <v>5.0</v>
      </c>
      <c r="M252" s="222">
        <v>2026.0</v>
      </c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hidden="1" customHeight="1">
      <c r="A253" s="260">
        <v>46247.0</v>
      </c>
      <c r="B253" s="246">
        <v>13.0</v>
      </c>
      <c r="C253" s="246">
        <v>8.0</v>
      </c>
      <c r="D253" s="246">
        <v>2026.0</v>
      </c>
      <c r="E253" s="261" t="s">
        <v>145</v>
      </c>
      <c r="F253" s="246">
        <v>2.0</v>
      </c>
      <c r="G253" s="262">
        <v>1.0</v>
      </c>
      <c r="H253" s="262">
        <v>2.0</v>
      </c>
      <c r="I253" s="261" t="s">
        <v>12</v>
      </c>
      <c r="J253" s="261" t="s">
        <v>919</v>
      </c>
      <c r="K253" s="246">
        <v>8.0</v>
      </c>
      <c r="L253" s="246">
        <v>8.0</v>
      </c>
      <c r="M253" s="246">
        <v>2026.0</v>
      </c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hidden="1" customHeight="1">
      <c r="A254" s="260">
        <v>46247.0</v>
      </c>
      <c r="B254" s="246">
        <v>13.0</v>
      </c>
      <c r="C254" s="246">
        <v>8.0</v>
      </c>
      <c r="D254" s="246">
        <v>2026.0</v>
      </c>
      <c r="E254" s="261" t="s">
        <v>145</v>
      </c>
      <c r="F254" s="246">
        <v>2.0</v>
      </c>
      <c r="G254" s="262">
        <v>7.0</v>
      </c>
      <c r="H254" s="262">
        <v>14.0</v>
      </c>
      <c r="I254" s="261" t="s">
        <v>245</v>
      </c>
      <c r="J254" s="261" t="s">
        <v>890</v>
      </c>
      <c r="K254" s="246">
        <v>8.0</v>
      </c>
      <c r="L254" s="246">
        <v>8.0</v>
      </c>
      <c r="M254" s="246">
        <v>2026.0</v>
      </c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hidden="1" customHeight="1">
      <c r="A255" s="260">
        <v>46247.0</v>
      </c>
      <c r="B255" s="246">
        <v>13.0</v>
      </c>
      <c r="C255" s="246">
        <v>8.0</v>
      </c>
      <c r="D255" s="246">
        <v>2026.0</v>
      </c>
      <c r="E255" s="261" t="s">
        <v>155</v>
      </c>
      <c r="F255" s="246">
        <v>15.0</v>
      </c>
      <c r="G255" s="262">
        <v>1.0</v>
      </c>
      <c r="H255" s="262">
        <v>15.0</v>
      </c>
      <c r="I255" s="261" t="s">
        <v>12</v>
      </c>
      <c r="J255" s="261" t="s">
        <v>893</v>
      </c>
      <c r="K255" s="246">
        <v>8.0</v>
      </c>
      <c r="L255" s="246">
        <v>8.0</v>
      </c>
      <c r="M255" s="246">
        <v>2026.0</v>
      </c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hidden="1" customHeight="1">
      <c r="A256" s="260">
        <v>46247.0</v>
      </c>
      <c r="B256" s="246">
        <v>13.0</v>
      </c>
      <c r="C256" s="246">
        <v>8.0</v>
      </c>
      <c r="D256" s="246">
        <v>2026.0</v>
      </c>
      <c r="E256" s="261" t="s">
        <v>155</v>
      </c>
      <c r="F256" s="246">
        <v>15.0</v>
      </c>
      <c r="G256" s="262">
        <v>1.0</v>
      </c>
      <c r="H256" s="262">
        <v>15.0</v>
      </c>
      <c r="I256" s="261" t="s">
        <v>262</v>
      </c>
      <c r="J256" s="261" t="s">
        <v>893</v>
      </c>
      <c r="K256" s="246">
        <v>8.0</v>
      </c>
      <c r="L256" s="246">
        <v>8.0</v>
      </c>
      <c r="M256" s="246">
        <v>2026.0</v>
      </c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hidden="1" customHeight="1">
      <c r="A257" s="260">
        <v>46247.0</v>
      </c>
      <c r="B257" s="246">
        <v>13.0</v>
      </c>
      <c r="C257" s="246">
        <v>8.0</v>
      </c>
      <c r="D257" s="246">
        <v>2026.0</v>
      </c>
      <c r="E257" s="261" t="s">
        <v>145</v>
      </c>
      <c r="F257" s="246">
        <v>2.0</v>
      </c>
      <c r="G257" s="262">
        <v>11.0</v>
      </c>
      <c r="H257" s="262">
        <v>22.0</v>
      </c>
      <c r="I257" s="261" t="s">
        <v>262</v>
      </c>
      <c r="J257" s="261" t="s">
        <v>922</v>
      </c>
      <c r="K257" s="246">
        <v>8.0</v>
      </c>
      <c r="L257" s="246">
        <v>8.0</v>
      </c>
      <c r="M257" s="246">
        <v>2026.0</v>
      </c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hidden="1" customHeight="1">
      <c r="A258" s="260">
        <v>46247.0</v>
      </c>
      <c r="B258" s="246">
        <v>13.0</v>
      </c>
      <c r="C258" s="246">
        <v>8.0</v>
      </c>
      <c r="D258" s="246">
        <v>2026.0</v>
      </c>
      <c r="E258" s="261" t="s">
        <v>150</v>
      </c>
      <c r="F258" s="246">
        <v>4.0</v>
      </c>
      <c r="G258" s="262">
        <v>7.0</v>
      </c>
      <c r="H258" s="262">
        <v>28.0</v>
      </c>
      <c r="I258" s="261" t="s">
        <v>245</v>
      </c>
      <c r="J258" s="261" t="s">
        <v>886</v>
      </c>
      <c r="K258" s="246">
        <v>8.0</v>
      </c>
      <c r="L258" s="246">
        <v>8.0</v>
      </c>
      <c r="M258" s="246">
        <v>2026.0</v>
      </c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hidden="1" customHeight="1">
      <c r="A259" s="228">
        <f>A258</f>
        <v>46247</v>
      </c>
      <c r="B259" s="222">
        <f>day(A259)</f>
        <v>13</v>
      </c>
      <c r="C259" s="222">
        <v>6.0</v>
      </c>
      <c r="D259" s="222">
        <f>year(A259)</f>
        <v>2026</v>
      </c>
      <c r="E259" s="233" t="s">
        <v>150</v>
      </c>
      <c r="F259" s="233">
        <v>1.0</v>
      </c>
      <c r="G259" s="236">
        <v>29.0</v>
      </c>
      <c r="H259" s="224">
        <f>F259*G259</f>
        <v>29</v>
      </c>
      <c r="I259" s="223" t="s">
        <v>245</v>
      </c>
      <c r="J259" s="223"/>
      <c r="K259" s="222">
        <v>6.0</v>
      </c>
      <c r="L259" s="222">
        <v>6.0</v>
      </c>
      <c r="M259" s="222">
        <v>2026.0</v>
      </c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hidden="1" customHeight="1">
      <c r="A260" s="260">
        <v>46248.0</v>
      </c>
      <c r="B260" s="246">
        <v>14.0</v>
      </c>
      <c r="C260" s="246">
        <v>8.0</v>
      </c>
      <c r="D260" s="246">
        <v>2026.0</v>
      </c>
      <c r="E260" s="261" t="s">
        <v>145</v>
      </c>
      <c r="F260" s="246">
        <v>2.0</v>
      </c>
      <c r="G260" s="262">
        <v>4.0</v>
      </c>
      <c r="H260" s="262">
        <v>8.0</v>
      </c>
      <c r="I260" s="261" t="s">
        <v>245</v>
      </c>
      <c r="J260" s="261" t="s">
        <v>927</v>
      </c>
      <c r="K260" s="246">
        <v>8.0</v>
      </c>
      <c r="L260" s="246">
        <v>8.0</v>
      </c>
      <c r="M260" s="246">
        <v>2026.0</v>
      </c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hidden="1" customHeight="1">
      <c r="A261" s="260">
        <v>46249.0</v>
      </c>
      <c r="B261" s="246">
        <v>15.0</v>
      </c>
      <c r="C261" s="246">
        <v>8.0</v>
      </c>
      <c r="D261" s="246">
        <v>2026.0</v>
      </c>
      <c r="E261" s="261" t="s">
        <v>145</v>
      </c>
      <c r="F261" s="246">
        <v>2.0</v>
      </c>
      <c r="G261" s="262">
        <v>5.0</v>
      </c>
      <c r="H261" s="262">
        <v>10.0</v>
      </c>
      <c r="I261" s="261" t="s">
        <v>245</v>
      </c>
      <c r="J261" s="261" t="s">
        <v>891</v>
      </c>
      <c r="K261" s="246">
        <v>8.0</v>
      </c>
      <c r="L261" s="246">
        <v>8.0</v>
      </c>
      <c r="M261" s="246">
        <v>2026.0</v>
      </c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hidden="1" customHeight="1">
      <c r="A262" s="228">
        <f>A261</f>
        <v>46249</v>
      </c>
      <c r="B262" s="222">
        <f>day(A262)</f>
        <v>15</v>
      </c>
      <c r="C262" s="222">
        <v>6.0</v>
      </c>
      <c r="D262" s="222">
        <f>year(A262)</f>
        <v>2026</v>
      </c>
      <c r="E262" s="233" t="s">
        <v>145</v>
      </c>
      <c r="F262" s="233">
        <v>10.0</v>
      </c>
      <c r="G262" s="236">
        <v>2.0</v>
      </c>
      <c r="H262" s="224">
        <f>F262*G262</f>
        <v>20</v>
      </c>
      <c r="I262" s="223" t="s">
        <v>245</v>
      </c>
      <c r="J262" s="223"/>
      <c r="K262" s="222">
        <v>6.0</v>
      </c>
      <c r="L262" s="222">
        <v>6.0</v>
      </c>
      <c r="M262" s="222">
        <v>2026.0</v>
      </c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hidden="1" customHeight="1">
      <c r="A263" s="260">
        <v>46250.0</v>
      </c>
      <c r="B263" s="246">
        <v>16.0</v>
      </c>
      <c r="C263" s="246">
        <v>8.0</v>
      </c>
      <c r="D263" s="246">
        <v>2026.0</v>
      </c>
      <c r="E263" s="261" t="s">
        <v>145</v>
      </c>
      <c r="F263" s="246">
        <v>2.0</v>
      </c>
      <c r="G263" s="262">
        <v>1.0</v>
      </c>
      <c r="H263" s="262">
        <v>2.0</v>
      </c>
      <c r="I263" s="261" t="s">
        <v>245</v>
      </c>
      <c r="J263" s="261" t="s">
        <v>919</v>
      </c>
      <c r="K263" s="246">
        <v>8.0</v>
      </c>
      <c r="L263" s="246">
        <v>8.0</v>
      </c>
      <c r="M263" s="246">
        <v>2026.0</v>
      </c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hidden="1" customHeight="1">
      <c r="A264" s="260">
        <v>46250.0</v>
      </c>
      <c r="B264" s="246">
        <v>16.0</v>
      </c>
      <c r="C264" s="246">
        <v>8.0</v>
      </c>
      <c r="D264" s="246">
        <v>2026.0</v>
      </c>
      <c r="E264" s="261" t="s">
        <v>145</v>
      </c>
      <c r="F264" s="246">
        <v>2.0</v>
      </c>
      <c r="G264" s="262">
        <v>3.0</v>
      </c>
      <c r="H264" s="262">
        <v>6.0</v>
      </c>
      <c r="I264" s="261" t="s">
        <v>12</v>
      </c>
      <c r="J264" s="261" t="s">
        <v>897</v>
      </c>
      <c r="K264" s="246">
        <v>8.0</v>
      </c>
      <c r="L264" s="246">
        <v>8.0</v>
      </c>
      <c r="M264" s="246">
        <v>2026.0</v>
      </c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hidden="1" customHeight="1">
      <c r="A265" s="260">
        <v>46250.0</v>
      </c>
      <c r="B265" s="246">
        <v>16.0</v>
      </c>
      <c r="C265" s="246">
        <v>8.0</v>
      </c>
      <c r="D265" s="246">
        <v>2026.0</v>
      </c>
      <c r="E265" s="261" t="s">
        <v>155</v>
      </c>
      <c r="F265" s="246">
        <v>15.0</v>
      </c>
      <c r="G265" s="262">
        <v>1.0</v>
      </c>
      <c r="H265" s="262">
        <v>15.0</v>
      </c>
      <c r="I265" s="261" t="s">
        <v>12</v>
      </c>
      <c r="J265" s="261" t="s">
        <v>893</v>
      </c>
      <c r="K265" s="246">
        <v>8.0</v>
      </c>
      <c r="L265" s="246">
        <v>8.0</v>
      </c>
      <c r="M265" s="246">
        <v>2026.0</v>
      </c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hidden="1" customHeight="1">
      <c r="A266" s="260">
        <v>46250.0</v>
      </c>
      <c r="B266" s="246">
        <v>16.0</v>
      </c>
      <c r="C266" s="246">
        <v>8.0</v>
      </c>
      <c r="D266" s="246">
        <v>2026.0</v>
      </c>
      <c r="E266" s="261" t="s">
        <v>150</v>
      </c>
      <c r="F266" s="246">
        <v>4.0</v>
      </c>
      <c r="G266" s="262">
        <v>4.0</v>
      </c>
      <c r="H266" s="262">
        <v>16.0</v>
      </c>
      <c r="I266" s="261" t="s">
        <v>245</v>
      </c>
      <c r="J266" s="261" t="s">
        <v>886</v>
      </c>
      <c r="K266" s="246">
        <v>8.0</v>
      </c>
      <c r="L266" s="246">
        <v>8.0</v>
      </c>
      <c r="M266" s="246">
        <v>2026.0</v>
      </c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hidden="1" customHeight="1">
      <c r="A267" s="260">
        <v>46250.0</v>
      </c>
      <c r="B267" s="246">
        <v>16.0</v>
      </c>
      <c r="C267" s="246">
        <v>8.0</v>
      </c>
      <c r="D267" s="246">
        <v>2026.0</v>
      </c>
      <c r="E267" s="261" t="s">
        <v>155</v>
      </c>
      <c r="F267" s="246">
        <v>15.0</v>
      </c>
      <c r="G267" s="262">
        <v>2.0</v>
      </c>
      <c r="H267" s="262">
        <v>30.0</v>
      </c>
      <c r="I267" s="261" t="s">
        <v>245</v>
      </c>
      <c r="J267" s="261" t="s">
        <v>909</v>
      </c>
      <c r="K267" s="246">
        <v>8.0</v>
      </c>
      <c r="L267" s="246">
        <v>8.0</v>
      </c>
      <c r="M267" s="246">
        <v>2026.0</v>
      </c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hidden="1" customHeight="1">
      <c r="A268" s="260">
        <v>46251.0</v>
      </c>
      <c r="B268" s="246">
        <v>17.0</v>
      </c>
      <c r="C268" s="246">
        <v>8.0</v>
      </c>
      <c r="D268" s="246">
        <v>2026.0</v>
      </c>
      <c r="E268" s="261" t="s">
        <v>163</v>
      </c>
      <c r="F268" s="246">
        <v>1.0</v>
      </c>
      <c r="G268" s="262">
        <v>1.0</v>
      </c>
      <c r="H268" s="262">
        <v>1.0</v>
      </c>
      <c r="I268" s="261" t="s">
        <v>245</v>
      </c>
      <c r="J268" s="261" t="s">
        <v>877</v>
      </c>
      <c r="K268" s="246">
        <v>8.0</v>
      </c>
      <c r="L268" s="246">
        <v>8.0</v>
      </c>
      <c r="M268" s="246">
        <v>2026.0</v>
      </c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hidden="1" customHeight="1">
      <c r="A269" s="260">
        <v>46251.0</v>
      </c>
      <c r="B269" s="246">
        <v>17.0</v>
      </c>
      <c r="C269" s="246">
        <v>8.0</v>
      </c>
      <c r="D269" s="246">
        <v>2026.0</v>
      </c>
      <c r="E269" s="261" t="s">
        <v>145</v>
      </c>
      <c r="F269" s="246">
        <v>2.0</v>
      </c>
      <c r="G269" s="262">
        <v>1.0</v>
      </c>
      <c r="H269" s="262">
        <v>2.0</v>
      </c>
      <c r="I269" s="261" t="s">
        <v>262</v>
      </c>
      <c r="J269" s="261" t="s">
        <v>919</v>
      </c>
      <c r="K269" s="246">
        <v>8.0</v>
      </c>
      <c r="L269" s="246">
        <v>8.0</v>
      </c>
      <c r="M269" s="246">
        <v>2026.0</v>
      </c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hidden="1" customHeight="1">
      <c r="A270" s="260">
        <v>46251.0</v>
      </c>
      <c r="B270" s="246">
        <v>17.0</v>
      </c>
      <c r="C270" s="246">
        <v>8.0</v>
      </c>
      <c r="D270" s="246">
        <v>2026.0</v>
      </c>
      <c r="E270" s="261" t="s">
        <v>145</v>
      </c>
      <c r="F270" s="246">
        <v>2.0</v>
      </c>
      <c r="G270" s="262">
        <v>2.0</v>
      </c>
      <c r="H270" s="262">
        <v>4.0</v>
      </c>
      <c r="I270" s="261" t="s">
        <v>245</v>
      </c>
      <c r="J270" s="261" t="s">
        <v>943</v>
      </c>
      <c r="K270" s="246">
        <v>8.0</v>
      </c>
      <c r="L270" s="246">
        <v>8.0</v>
      </c>
      <c r="M270" s="246">
        <v>2026.0</v>
      </c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hidden="1" customHeight="1">
      <c r="A271" s="260">
        <v>46251.0</v>
      </c>
      <c r="B271" s="246">
        <v>17.0</v>
      </c>
      <c r="C271" s="246">
        <v>8.0</v>
      </c>
      <c r="D271" s="246">
        <v>2026.0</v>
      </c>
      <c r="E271" s="261" t="s">
        <v>155</v>
      </c>
      <c r="F271" s="246">
        <v>15.0</v>
      </c>
      <c r="G271" s="262">
        <v>1.0</v>
      </c>
      <c r="H271" s="262">
        <v>15.0</v>
      </c>
      <c r="I271" s="261" t="s">
        <v>245</v>
      </c>
      <c r="J271" s="261" t="s">
        <v>893</v>
      </c>
      <c r="K271" s="246">
        <v>8.0</v>
      </c>
      <c r="L271" s="246">
        <v>8.0</v>
      </c>
      <c r="M271" s="246">
        <v>2026.0</v>
      </c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hidden="1" customHeight="1">
      <c r="A272" s="260">
        <v>46251.0</v>
      </c>
      <c r="B272" s="246">
        <v>17.0</v>
      </c>
      <c r="C272" s="246">
        <v>8.0</v>
      </c>
      <c r="D272" s="246">
        <v>2026.0</v>
      </c>
      <c r="E272" s="261" t="s">
        <v>150</v>
      </c>
      <c r="F272" s="246">
        <v>4.0</v>
      </c>
      <c r="G272" s="262">
        <v>10.0</v>
      </c>
      <c r="H272" s="262">
        <v>40.0</v>
      </c>
      <c r="I272" s="261" t="s">
        <v>245</v>
      </c>
      <c r="J272" s="261" t="s">
        <v>879</v>
      </c>
      <c r="K272" s="246">
        <v>8.0</v>
      </c>
      <c r="L272" s="246">
        <v>8.0</v>
      </c>
      <c r="M272" s="246">
        <v>2026.0</v>
      </c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hidden="1" customHeight="1">
      <c r="A273" s="260">
        <v>46252.0</v>
      </c>
      <c r="B273" s="246">
        <v>18.0</v>
      </c>
      <c r="C273" s="246">
        <v>8.0</v>
      </c>
      <c r="D273" s="246">
        <v>2026.0</v>
      </c>
      <c r="E273" s="261" t="s">
        <v>145</v>
      </c>
      <c r="F273" s="246">
        <v>2.0</v>
      </c>
      <c r="G273" s="262">
        <v>3.0</v>
      </c>
      <c r="H273" s="262">
        <v>6.0</v>
      </c>
      <c r="I273" s="261" t="s">
        <v>245</v>
      </c>
      <c r="J273" s="261" t="s">
        <v>897</v>
      </c>
      <c r="K273" s="246">
        <v>8.0</v>
      </c>
      <c r="L273" s="246">
        <v>8.0</v>
      </c>
      <c r="M273" s="246">
        <v>2026.0</v>
      </c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hidden="1" customHeight="1">
      <c r="A274" s="260">
        <v>46253.0</v>
      </c>
      <c r="B274" s="246">
        <v>19.0</v>
      </c>
      <c r="C274" s="246">
        <v>8.0</v>
      </c>
      <c r="D274" s="246">
        <v>2026.0</v>
      </c>
      <c r="E274" s="261" t="s">
        <v>145</v>
      </c>
      <c r="F274" s="246">
        <v>2.0</v>
      </c>
      <c r="G274" s="262">
        <v>3.0</v>
      </c>
      <c r="H274" s="262">
        <v>6.0</v>
      </c>
      <c r="I274" s="261" t="s">
        <v>245</v>
      </c>
      <c r="J274" s="261" t="s">
        <v>897</v>
      </c>
      <c r="K274" s="246">
        <v>8.0</v>
      </c>
      <c r="L274" s="246">
        <v>8.0</v>
      </c>
      <c r="M274" s="246">
        <v>2026.0</v>
      </c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hidden="1" customHeight="1">
      <c r="A275" s="260">
        <v>46254.0</v>
      </c>
      <c r="B275" s="246">
        <v>20.0</v>
      </c>
      <c r="C275" s="246">
        <v>8.0</v>
      </c>
      <c r="D275" s="246">
        <v>2026.0</v>
      </c>
      <c r="E275" s="261" t="s">
        <v>145</v>
      </c>
      <c r="F275" s="246">
        <v>2.0</v>
      </c>
      <c r="G275" s="262">
        <v>4.0</v>
      </c>
      <c r="H275" s="262">
        <v>8.0</v>
      </c>
      <c r="I275" s="261" t="s">
        <v>245</v>
      </c>
      <c r="J275" s="261" t="s">
        <v>927</v>
      </c>
      <c r="K275" s="246">
        <v>8.0</v>
      </c>
      <c r="L275" s="246">
        <v>8.0</v>
      </c>
      <c r="M275" s="246">
        <v>2026.0</v>
      </c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hidden="1" customHeight="1">
      <c r="A276" s="260">
        <v>46255.0</v>
      </c>
      <c r="B276" s="246">
        <v>21.0</v>
      </c>
      <c r="C276" s="246">
        <v>8.0</v>
      </c>
      <c r="D276" s="246">
        <v>2026.0</v>
      </c>
      <c r="E276" s="261" t="s">
        <v>163</v>
      </c>
      <c r="F276" s="246">
        <v>1.0</v>
      </c>
      <c r="G276" s="262">
        <v>2.0</v>
      </c>
      <c r="H276" s="262">
        <v>2.0</v>
      </c>
      <c r="I276" s="261" t="s">
        <v>245</v>
      </c>
      <c r="J276" s="261" t="s">
        <v>946</v>
      </c>
      <c r="K276" s="246">
        <v>8.0</v>
      </c>
      <c r="L276" s="246">
        <v>8.0</v>
      </c>
      <c r="M276" s="246">
        <v>2026.0</v>
      </c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hidden="1" customHeight="1">
      <c r="A277" s="260">
        <v>46255.0</v>
      </c>
      <c r="B277" s="246">
        <v>21.0</v>
      </c>
      <c r="C277" s="246">
        <v>8.0</v>
      </c>
      <c r="D277" s="246">
        <v>2026.0</v>
      </c>
      <c r="E277" s="261" t="s">
        <v>145</v>
      </c>
      <c r="F277" s="246">
        <v>2.0</v>
      </c>
      <c r="G277" s="262">
        <v>12.0</v>
      </c>
      <c r="H277" s="262">
        <v>24.0</v>
      </c>
      <c r="I277" s="261" t="s">
        <v>245</v>
      </c>
      <c r="J277" s="261" t="s">
        <v>948</v>
      </c>
      <c r="K277" s="246">
        <v>8.0</v>
      </c>
      <c r="L277" s="246">
        <v>8.0</v>
      </c>
      <c r="M277" s="246">
        <v>2026.0</v>
      </c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hidden="1" customHeight="1">
      <c r="A278" s="228">
        <f>A277</f>
        <v>46255</v>
      </c>
      <c r="B278" s="222">
        <f>day(A278)</f>
        <v>21</v>
      </c>
      <c r="C278" s="222">
        <v>7.0</v>
      </c>
      <c r="D278" s="222">
        <f>year(A278)</f>
        <v>2026</v>
      </c>
      <c r="E278" s="233" t="s">
        <v>145</v>
      </c>
      <c r="F278" s="233">
        <v>1.0</v>
      </c>
      <c r="G278" s="236">
        <v>2.0</v>
      </c>
      <c r="H278" s="225">
        <f>F278*G278</f>
        <v>2</v>
      </c>
      <c r="I278" s="223" t="s">
        <v>245</v>
      </c>
      <c r="J278" s="223"/>
      <c r="K278" s="222">
        <v>7.0</v>
      </c>
      <c r="L278" s="222">
        <v>7.0</v>
      </c>
      <c r="M278" s="222">
        <v>2026.0</v>
      </c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hidden="1" customHeight="1">
      <c r="A279" s="260">
        <v>46256.0</v>
      </c>
      <c r="B279" s="246">
        <v>22.0</v>
      </c>
      <c r="C279" s="246">
        <v>8.0</v>
      </c>
      <c r="D279" s="246">
        <v>2026.0</v>
      </c>
      <c r="E279" s="261" t="s">
        <v>145</v>
      </c>
      <c r="F279" s="246">
        <v>2.0</v>
      </c>
      <c r="G279" s="262">
        <v>2.0</v>
      </c>
      <c r="H279" s="262">
        <v>4.0</v>
      </c>
      <c r="I279" s="261" t="s">
        <v>245</v>
      </c>
      <c r="J279" s="261" t="s">
        <v>943</v>
      </c>
      <c r="K279" s="246">
        <v>8.0</v>
      </c>
      <c r="L279" s="246">
        <v>8.0</v>
      </c>
      <c r="M279" s="246">
        <v>2026.0</v>
      </c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hidden="1" customHeight="1">
      <c r="A280" s="260">
        <v>46257.0</v>
      </c>
      <c r="B280" s="246">
        <v>23.0</v>
      </c>
      <c r="C280" s="246">
        <v>8.0</v>
      </c>
      <c r="D280" s="246">
        <v>2026.0</v>
      </c>
      <c r="E280" s="261" t="s">
        <v>145</v>
      </c>
      <c r="F280" s="246">
        <v>2.0</v>
      </c>
      <c r="G280" s="262">
        <v>2.0</v>
      </c>
      <c r="H280" s="262">
        <v>4.0</v>
      </c>
      <c r="I280" s="261" t="s">
        <v>245</v>
      </c>
      <c r="J280" s="261" t="s">
        <v>943</v>
      </c>
      <c r="K280" s="246">
        <v>8.0</v>
      </c>
      <c r="L280" s="246">
        <v>8.0</v>
      </c>
      <c r="M280" s="246">
        <v>2026.0</v>
      </c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hidden="1" customHeight="1">
      <c r="A281" s="260">
        <v>46258.0</v>
      </c>
      <c r="B281" s="246">
        <v>24.0</v>
      </c>
      <c r="C281" s="246">
        <v>8.0</v>
      </c>
      <c r="D281" s="246">
        <v>2026.0</v>
      </c>
      <c r="E281" s="261" t="s">
        <v>150</v>
      </c>
      <c r="F281" s="263">
        <v>46144.0</v>
      </c>
      <c r="G281" s="262">
        <v>5.0</v>
      </c>
      <c r="H281" s="262">
        <v>12.5</v>
      </c>
      <c r="I281" s="261" t="s">
        <v>245</v>
      </c>
      <c r="J281" s="261" t="s">
        <v>879</v>
      </c>
      <c r="K281" s="246">
        <v>8.0</v>
      </c>
      <c r="L281" s="246">
        <v>8.0</v>
      </c>
      <c r="M281" s="246">
        <v>2026.0</v>
      </c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hidden="1" customHeight="1">
      <c r="A282" s="260">
        <v>46258.0</v>
      </c>
      <c r="B282" s="246">
        <v>24.0</v>
      </c>
      <c r="C282" s="246">
        <v>8.0</v>
      </c>
      <c r="D282" s="246">
        <v>2026.0</v>
      </c>
      <c r="E282" s="261" t="s">
        <v>155</v>
      </c>
      <c r="F282" s="246">
        <v>15.0</v>
      </c>
      <c r="G282" s="262">
        <v>1.0</v>
      </c>
      <c r="H282" s="262">
        <v>15.0</v>
      </c>
      <c r="I282" s="261" t="s">
        <v>245</v>
      </c>
      <c r="J282" s="261" t="s">
        <v>893</v>
      </c>
      <c r="K282" s="246">
        <v>8.0</v>
      </c>
      <c r="L282" s="246">
        <v>8.0</v>
      </c>
      <c r="M282" s="246">
        <v>2026.0</v>
      </c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hidden="1" customHeight="1">
      <c r="A283" s="260">
        <v>46258.0</v>
      </c>
      <c r="B283" s="246">
        <v>24.0</v>
      </c>
      <c r="C283" s="246">
        <v>8.0</v>
      </c>
      <c r="D283" s="246">
        <v>2026.0</v>
      </c>
      <c r="E283" s="261" t="s">
        <v>145</v>
      </c>
      <c r="F283" s="246">
        <v>2.0</v>
      </c>
      <c r="G283" s="262">
        <v>13.0</v>
      </c>
      <c r="H283" s="262">
        <v>26.0</v>
      </c>
      <c r="I283" s="261" t="s">
        <v>245</v>
      </c>
      <c r="J283" s="261" t="s">
        <v>950</v>
      </c>
      <c r="K283" s="246">
        <v>8.0</v>
      </c>
      <c r="L283" s="246">
        <v>8.0</v>
      </c>
      <c r="M283" s="246">
        <v>2026.0</v>
      </c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hidden="1" customHeight="1">
      <c r="A284" s="260">
        <v>46259.0</v>
      </c>
      <c r="B284" s="246">
        <v>25.0</v>
      </c>
      <c r="C284" s="246">
        <v>8.0</v>
      </c>
      <c r="D284" s="246">
        <v>2026.0</v>
      </c>
      <c r="E284" s="261" t="s">
        <v>145</v>
      </c>
      <c r="F284" s="246">
        <v>2.0</v>
      </c>
      <c r="G284" s="262">
        <v>2.0</v>
      </c>
      <c r="H284" s="262">
        <v>4.0</v>
      </c>
      <c r="I284" s="261" t="s">
        <v>245</v>
      </c>
      <c r="J284" s="261" t="s">
        <v>943</v>
      </c>
      <c r="K284" s="246">
        <v>8.0</v>
      </c>
      <c r="L284" s="246">
        <v>8.0</v>
      </c>
      <c r="M284" s="246">
        <v>2026.0</v>
      </c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hidden="1" customHeight="1">
      <c r="A285" s="260">
        <v>46260.0</v>
      </c>
      <c r="B285" s="246">
        <v>26.0</v>
      </c>
      <c r="C285" s="246">
        <v>8.0</v>
      </c>
      <c r="D285" s="246">
        <v>2026.0</v>
      </c>
      <c r="E285" s="261" t="s">
        <v>145</v>
      </c>
      <c r="F285" s="246">
        <v>2.0</v>
      </c>
      <c r="G285" s="262">
        <v>6.0</v>
      </c>
      <c r="H285" s="262">
        <v>12.0</v>
      </c>
      <c r="I285" s="261" t="s">
        <v>245</v>
      </c>
      <c r="J285" s="261" t="s">
        <v>895</v>
      </c>
      <c r="K285" s="246">
        <v>8.0</v>
      </c>
      <c r="L285" s="246">
        <v>8.0</v>
      </c>
      <c r="M285" s="246">
        <v>2026.0</v>
      </c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hidden="1" customHeight="1">
      <c r="A286" s="260">
        <v>46261.0</v>
      </c>
      <c r="B286" s="246">
        <v>27.0</v>
      </c>
      <c r="C286" s="246">
        <v>8.0</v>
      </c>
      <c r="D286" s="246">
        <v>2026.0</v>
      </c>
      <c r="E286" s="261" t="s">
        <v>145</v>
      </c>
      <c r="F286" s="246">
        <v>2.0</v>
      </c>
      <c r="G286" s="262">
        <v>4.0</v>
      </c>
      <c r="H286" s="261">
        <v>8.0</v>
      </c>
      <c r="I286" s="261" t="s">
        <v>245</v>
      </c>
      <c r="J286" s="261" t="s">
        <v>927</v>
      </c>
      <c r="K286" s="246">
        <v>8.0</v>
      </c>
      <c r="L286" s="246">
        <v>8.0</v>
      </c>
      <c r="M286" s="246">
        <v>2026.0</v>
      </c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hidden="1" customHeight="1">
      <c r="A287" s="260">
        <v>46262.0</v>
      </c>
      <c r="B287" s="246">
        <v>28.0</v>
      </c>
      <c r="C287" s="246">
        <v>8.0</v>
      </c>
      <c r="D287" s="246">
        <v>2026.0</v>
      </c>
      <c r="E287" s="261" t="s">
        <v>145</v>
      </c>
      <c r="F287" s="246">
        <v>2.0</v>
      </c>
      <c r="G287" s="262">
        <v>2.0</v>
      </c>
      <c r="H287" s="262">
        <v>4.0</v>
      </c>
      <c r="I287" s="261" t="s">
        <v>245</v>
      </c>
      <c r="J287" s="261" t="s">
        <v>943</v>
      </c>
      <c r="K287" s="246">
        <v>8.0</v>
      </c>
      <c r="L287" s="246">
        <v>8.0</v>
      </c>
      <c r="M287" s="246">
        <v>2026.0</v>
      </c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hidden="1" customHeight="1">
      <c r="A288" s="260">
        <v>46264.0</v>
      </c>
      <c r="B288" s="246">
        <v>30.0</v>
      </c>
      <c r="C288" s="246">
        <v>8.0</v>
      </c>
      <c r="D288" s="246">
        <v>2026.0</v>
      </c>
      <c r="E288" s="261" t="s">
        <v>145</v>
      </c>
      <c r="F288" s="246">
        <v>2.0</v>
      </c>
      <c r="G288" s="262">
        <v>4.0</v>
      </c>
      <c r="H288" s="262">
        <v>8.0</v>
      </c>
      <c r="I288" s="261" t="s">
        <v>245</v>
      </c>
      <c r="J288" s="261" t="s">
        <v>927</v>
      </c>
      <c r="K288" s="246">
        <v>8.0</v>
      </c>
      <c r="L288" s="246">
        <v>8.0</v>
      </c>
      <c r="M288" s="246">
        <v>2026.0</v>
      </c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hidden="1" customHeight="1">
      <c r="A289" s="260">
        <v>46265.0</v>
      </c>
      <c r="B289" s="246">
        <v>31.0</v>
      </c>
      <c r="C289" s="246">
        <v>8.0</v>
      </c>
      <c r="D289" s="246">
        <v>2026.0</v>
      </c>
      <c r="E289" s="261" t="s">
        <v>155</v>
      </c>
      <c r="F289" s="246">
        <v>15.0</v>
      </c>
      <c r="G289" s="262">
        <v>1.0</v>
      </c>
      <c r="H289" s="262">
        <v>15.0</v>
      </c>
      <c r="I289" s="261" t="s">
        <v>245</v>
      </c>
      <c r="J289" s="261" t="s">
        <v>111</v>
      </c>
      <c r="K289" s="246">
        <v>8.0</v>
      </c>
      <c r="L289" s="246">
        <v>8.0</v>
      </c>
      <c r="M289" s="246">
        <v>2026.0</v>
      </c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hidden="1" customHeight="1">
      <c r="A290" s="260">
        <v>46265.0</v>
      </c>
      <c r="B290" s="246">
        <v>31.0</v>
      </c>
      <c r="C290" s="246">
        <v>8.0</v>
      </c>
      <c r="D290" s="246">
        <v>2026.0</v>
      </c>
      <c r="E290" s="261" t="s">
        <v>145</v>
      </c>
      <c r="F290" s="246">
        <v>2.0</v>
      </c>
      <c r="G290" s="262">
        <v>21.0</v>
      </c>
      <c r="H290" s="262">
        <v>42.0</v>
      </c>
      <c r="I290" s="261" t="s">
        <v>245</v>
      </c>
      <c r="J290" s="261" t="s">
        <v>902</v>
      </c>
      <c r="K290" s="246">
        <v>8.0</v>
      </c>
      <c r="L290" s="246">
        <v>8.0</v>
      </c>
      <c r="M290" s="246">
        <v>2026.0</v>
      </c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60">
        <v>46265.0</v>
      </c>
      <c r="B291" s="246">
        <v>31.0</v>
      </c>
      <c r="C291" s="246">
        <v>8.0</v>
      </c>
      <c r="D291" s="246">
        <v>2026.0</v>
      </c>
      <c r="E291" s="223" t="s">
        <v>166</v>
      </c>
      <c r="F291" s="246">
        <v>283.0</v>
      </c>
      <c r="G291" s="262">
        <v>1.0</v>
      </c>
      <c r="H291" s="262">
        <v>283.0</v>
      </c>
      <c r="I291" s="261" t="s">
        <v>245</v>
      </c>
      <c r="J291" s="261" t="s">
        <v>960</v>
      </c>
      <c r="K291" s="244">
        <v>8.0</v>
      </c>
      <c r="L291" s="246">
        <v>8.0</v>
      </c>
      <c r="M291" s="246">
        <v>2026.0</v>
      </c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hidden="1" customHeight="1">
      <c r="A292" s="243">
        <v>46265.0</v>
      </c>
      <c r="B292" s="244">
        <v>31.0</v>
      </c>
      <c r="C292" s="246">
        <v>8.0</v>
      </c>
      <c r="D292" s="246">
        <v>2026.0</v>
      </c>
      <c r="E292" s="247" t="s">
        <v>150</v>
      </c>
      <c r="F292" s="246">
        <v>1.0</v>
      </c>
      <c r="G292" s="248">
        <v>533.4</v>
      </c>
      <c r="H292" s="248">
        <v>533.4</v>
      </c>
      <c r="I292" s="247" t="s">
        <v>2</v>
      </c>
      <c r="J292" s="247" t="s">
        <v>817</v>
      </c>
      <c r="K292" s="244">
        <v>8.0</v>
      </c>
      <c r="L292" s="246">
        <v>8.0</v>
      </c>
      <c r="M292" s="246">
        <v>2026.0</v>
      </c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hidden="1" customHeight="1">
      <c r="A293" s="265">
        <v>46279.0</v>
      </c>
      <c r="B293" s="266">
        <v>14.0</v>
      </c>
      <c r="C293" s="222">
        <v>9.0</v>
      </c>
      <c r="D293" s="266">
        <v>2026.0</v>
      </c>
      <c r="E293" s="267" t="s">
        <v>145</v>
      </c>
      <c r="F293" s="266">
        <v>2.0</v>
      </c>
      <c r="G293" s="268">
        <v>1.0</v>
      </c>
      <c r="H293" s="268">
        <v>2.0</v>
      </c>
      <c r="I293" s="267" t="s">
        <v>245</v>
      </c>
      <c r="J293" s="267" t="s">
        <v>919</v>
      </c>
      <c r="K293" s="222">
        <f t="shared" ref="K293:K299" si="28">MONTH(A293)</f>
        <v>9</v>
      </c>
      <c r="L293" s="222">
        <v>9.0</v>
      </c>
      <c r="M293" s="222">
        <f t="shared" ref="M293:M299" si="29">YEAR(A293)</f>
        <v>2026</v>
      </c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hidden="1" customHeight="1">
      <c r="A294" s="265">
        <v>46293.0</v>
      </c>
      <c r="B294" s="266">
        <v>28.0</v>
      </c>
      <c r="C294" s="222">
        <v>9.0</v>
      </c>
      <c r="D294" s="266">
        <v>2026.0</v>
      </c>
      <c r="E294" s="267" t="s">
        <v>150</v>
      </c>
      <c r="F294" s="269">
        <v>46144.0</v>
      </c>
      <c r="G294" s="268">
        <v>1.0</v>
      </c>
      <c r="H294" s="268">
        <v>2.5</v>
      </c>
      <c r="I294" s="267" t="s">
        <v>245</v>
      </c>
      <c r="J294" s="267" t="s">
        <v>974</v>
      </c>
      <c r="K294" s="222">
        <f t="shared" si="28"/>
        <v>9</v>
      </c>
      <c r="L294" s="222">
        <v>9.0</v>
      </c>
      <c r="M294" s="222">
        <f t="shared" si="29"/>
        <v>2026</v>
      </c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hidden="1" customHeight="1">
      <c r="A295" s="265">
        <v>46275.0</v>
      </c>
      <c r="B295" s="266">
        <v>10.0</v>
      </c>
      <c r="C295" s="222">
        <v>9.0</v>
      </c>
      <c r="D295" s="266">
        <v>2026.0</v>
      </c>
      <c r="E295" s="267" t="s">
        <v>145</v>
      </c>
      <c r="F295" s="266">
        <v>2.0</v>
      </c>
      <c r="G295" s="268">
        <v>2.0</v>
      </c>
      <c r="H295" s="268">
        <v>4.0</v>
      </c>
      <c r="I295" s="267" t="s">
        <v>245</v>
      </c>
      <c r="J295" s="267" t="s">
        <v>981</v>
      </c>
      <c r="K295" s="222">
        <f t="shared" si="28"/>
        <v>9</v>
      </c>
      <c r="L295" s="222">
        <v>9.0</v>
      </c>
      <c r="M295" s="222">
        <f t="shared" si="29"/>
        <v>2026</v>
      </c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hidden="1" customHeight="1">
      <c r="A296" s="265">
        <v>46275.0</v>
      </c>
      <c r="B296" s="266">
        <v>10.0</v>
      </c>
      <c r="C296" s="222">
        <v>9.0</v>
      </c>
      <c r="D296" s="266">
        <v>2026.0</v>
      </c>
      <c r="E296" s="267" t="s">
        <v>145</v>
      </c>
      <c r="F296" s="266">
        <v>12.0</v>
      </c>
      <c r="G296" s="268">
        <v>2.0</v>
      </c>
      <c r="H296" s="268">
        <v>24.0</v>
      </c>
      <c r="I296" s="267" t="s">
        <v>245</v>
      </c>
      <c r="J296" s="267" t="s">
        <v>981</v>
      </c>
      <c r="K296" s="222">
        <f t="shared" si="28"/>
        <v>9</v>
      </c>
      <c r="L296" s="222">
        <v>9.0</v>
      </c>
      <c r="M296" s="222">
        <f t="shared" si="29"/>
        <v>2026</v>
      </c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hidden="1" customHeight="1">
      <c r="A297" s="265">
        <v>46282.0</v>
      </c>
      <c r="B297" s="266">
        <v>17.0</v>
      </c>
      <c r="C297" s="222">
        <v>9.0</v>
      </c>
      <c r="D297" s="266">
        <v>2026.0</v>
      </c>
      <c r="E297" s="267" t="s">
        <v>145</v>
      </c>
      <c r="F297" s="266">
        <v>2.0</v>
      </c>
      <c r="G297" s="268">
        <v>2.0</v>
      </c>
      <c r="H297" s="268">
        <v>4.0</v>
      </c>
      <c r="I297" s="267" t="s">
        <v>245</v>
      </c>
      <c r="J297" s="267" t="s">
        <v>984</v>
      </c>
      <c r="K297" s="222">
        <f t="shared" si="28"/>
        <v>9</v>
      </c>
      <c r="L297" s="222">
        <v>9.0</v>
      </c>
      <c r="M297" s="222">
        <f t="shared" si="29"/>
        <v>2026</v>
      </c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hidden="1" customHeight="1">
      <c r="A298" s="265">
        <v>46284.0</v>
      </c>
      <c r="B298" s="266">
        <v>19.0</v>
      </c>
      <c r="C298" s="222">
        <v>9.0</v>
      </c>
      <c r="D298" s="266">
        <v>2026.0</v>
      </c>
      <c r="E298" s="267" t="s">
        <v>145</v>
      </c>
      <c r="F298" s="266">
        <v>2.0</v>
      </c>
      <c r="G298" s="268">
        <v>2.0</v>
      </c>
      <c r="H298" s="268">
        <v>4.0</v>
      </c>
      <c r="I298" s="267" t="s">
        <v>245</v>
      </c>
      <c r="J298" s="267" t="s">
        <v>986</v>
      </c>
      <c r="K298" s="222">
        <f t="shared" si="28"/>
        <v>9</v>
      </c>
      <c r="L298" s="222">
        <v>9.0</v>
      </c>
      <c r="M298" s="222">
        <f t="shared" si="29"/>
        <v>2026</v>
      </c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hidden="1" customHeight="1">
      <c r="A299" s="265">
        <v>46284.0</v>
      </c>
      <c r="B299" s="266">
        <v>19.0</v>
      </c>
      <c r="C299" s="222">
        <v>9.0</v>
      </c>
      <c r="D299" s="266">
        <v>2026.0</v>
      </c>
      <c r="E299" s="267" t="s">
        <v>150</v>
      </c>
      <c r="F299" s="266">
        <v>5.0</v>
      </c>
      <c r="G299" s="268">
        <v>1.0</v>
      </c>
      <c r="H299" s="268">
        <v>5.0</v>
      </c>
      <c r="I299" s="267" t="s">
        <v>245</v>
      </c>
      <c r="J299" s="267" t="s">
        <v>989</v>
      </c>
      <c r="K299" s="222">
        <f t="shared" si="28"/>
        <v>9</v>
      </c>
      <c r="L299" s="222">
        <v>9.0</v>
      </c>
      <c r="M299" s="222">
        <f t="shared" si="29"/>
        <v>2026</v>
      </c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hidden="1" customHeight="1">
      <c r="A300" s="260">
        <v>46266.0</v>
      </c>
      <c r="B300" s="246">
        <v>1.0</v>
      </c>
      <c r="C300" s="246">
        <v>9.0</v>
      </c>
      <c r="D300" s="246">
        <v>2026.0</v>
      </c>
      <c r="E300" s="261" t="s">
        <v>145</v>
      </c>
      <c r="F300" s="246">
        <v>2.0</v>
      </c>
      <c r="G300" s="262">
        <v>3.0</v>
      </c>
      <c r="H300" s="262">
        <v>6.0</v>
      </c>
      <c r="I300" s="247" t="s">
        <v>262</v>
      </c>
      <c r="J300" s="261" t="s">
        <v>992</v>
      </c>
      <c r="K300" s="246">
        <v>9.0</v>
      </c>
      <c r="L300" s="246">
        <v>9.0</v>
      </c>
      <c r="M300" s="246">
        <v>2026.0</v>
      </c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hidden="1" customHeight="1">
      <c r="A301" s="265">
        <v>46266.0</v>
      </c>
      <c r="B301" s="266">
        <v>1.0</v>
      </c>
      <c r="C301" s="222">
        <v>9.0</v>
      </c>
      <c r="D301" s="266">
        <v>2026.0</v>
      </c>
      <c r="E301" s="267" t="s">
        <v>145</v>
      </c>
      <c r="F301" s="266">
        <v>2.0</v>
      </c>
      <c r="G301" s="268">
        <v>3.0</v>
      </c>
      <c r="H301" s="268">
        <v>6.0</v>
      </c>
      <c r="I301" s="267" t="s">
        <v>262</v>
      </c>
      <c r="J301" s="267" t="s">
        <v>992</v>
      </c>
      <c r="K301" s="222">
        <f>MONTH(A301)</f>
        <v>9</v>
      </c>
      <c r="L301" s="222">
        <v>9.0</v>
      </c>
      <c r="M301" s="222">
        <f>YEAR(A301)</f>
        <v>2026</v>
      </c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hidden="1" customHeight="1">
      <c r="A302" s="260">
        <v>46267.0</v>
      </c>
      <c r="B302" s="246">
        <v>2.0</v>
      </c>
      <c r="C302" s="246">
        <v>9.0</v>
      </c>
      <c r="D302" s="246">
        <v>2026.0</v>
      </c>
      <c r="E302" s="261" t="s">
        <v>145</v>
      </c>
      <c r="F302" s="246">
        <v>2.0</v>
      </c>
      <c r="G302" s="262">
        <v>3.0</v>
      </c>
      <c r="H302" s="262">
        <v>6.0</v>
      </c>
      <c r="I302" s="261" t="s">
        <v>245</v>
      </c>
      <c r="J302" s="261" t="s">
        <v>992</v>
      </c>
      <c r="K302" s="246">
        <v>9.0</v>
      </c>
      <c r="L302" s="246">
        <v>9.0</v>
      </c>
      <c r="M302" s="246">
        <v>2026.0</v>
      </c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hidden="1" customHeight="1">
      <c r="A303" s="265">
        <v>46267.0</v>
      </c>
      <c r="B303" s="266">
        <v>2.0</v>
      </c>
      <c r="C303" s="222">
        <v>9.0</v>
      </c>
      <c r="D303" s="266">
        <v>2026.0</v>
      </c>
      <c r="E303" s="267" t="s">
        <v>145</v>
      </c>
      <c r="F303" s="266">
        <v>2.0</v>
      </c>
      <c r="G303" s="268">
        <v>3.0</v>
      </c>
      <c r="H303" s="268">
        <v>6.0</v>
      </c>
      <c r="I303" s="267" t="s">
        <v>245</v>
      </c>
      <c r="J303" s="267" t="s">
        <v>992</v>
      </c>
      <c r="K303" s="222">
        <f t="shared" ref="K303:K306" si="30">MONTH(A303)</f>
        <v>9</v>
      </c>
      <c r="L303" s="222">
        <v>9.0</v>
      </c>
      <c r="M303" s="222">
        <f t="shared" ref="M303:M306" si="31">YEAR(A303)</f>
        <v>2026</v>
      </c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hidden="1" customHeight="1">
      <c r="A304" s="265">
        <v>46277.0</v>
      </c>
      <c r="B304" s="266">
        <v>12.0</v>
      </c>
      <c r="C304" s="222">
        <v>9.0</v>
      </c>
      <c r="D304" s="266">
        <v>2026.0</v>
      </c>
      <c r="E304" s="267" t="s">
        <v>145</v>
      </c>
      <c r="F304" s="266">
        <v>2.0</v>
      </c>
      <c r="G304" s="268">
        <v>3.0</v>
      </c>
      <c r="H304" s="268">
        <v>6.0</v>
      </c>
      <c r="I304" s="267" t="s">
        <v>245</v>
      </c>
      <c r="J304" s="267" t="s">
        <v>897</v>
      </c>
      <c r="K304" s="222">
        <f t="shared" si="30"/>
        <v>9</v>
      </c>
      <c r="L304" s="222">
        <v>9.0</v>
      </c>
      <c r="M304" s="222">
        <f t="shared" si="31"/>
        <v>2026</v>
      </c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hidden="1" customHeight="1">
      <c r="A305" s="265">
        <v>46290.0</v>
      </c>
      <c r="B305" s="266">
        <v>25.0</v>
      </c>
      <c r="C305" s="222">
        <v>9.0</v>
      </c>
      <c r="D305" s="266">
        <v>2026.0</v>
      </c>
      <c r="E305" s="267" t="s">
        <v>145</v>
      </c>
      <c r="F305" s="266">
        <v>2.0</v>
      </c>
      <c r="G305" s="268">
        <v>3.0</v>
      </c>
      <c r="H305" s="268">
        <v>6.0</v>
      </c>
      <c r="I305" s="267" t="s">
        <v>245</v>
      </c>
      <c r="J305" s="267" t="s">
        <v>1004</v>
      </c>
      <c r="K305" s="222">
        <f t="shared" si="30"/>
        <v>9</v>
      </c>
      <c r="L305" s="222">
        <v>9.0</v>
      </c>
      <c r="M305" s="222">
        <f t="shared" si="31"/>
        <v>2026</v>
      </c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hidden="1" customHeight="1">
      <c r="A306" s="265">
        <v>46292.0</v>
      </c>
      <c r="B306" s="266">
        <v>27.0</v>
      </c>
      <c r="C306" s="222">
        <v>9.0</v>
      </c>
      <c r="D306" s="266">
        <v>2026.0</v>
      </c>
      <c r="E306" s="267" t="s">
        <v>145</v>
      </c>
      <c r="F306" s="266">
        <v>2.0</v>
      </c>
      <c r="G306" s="268">
        <v>3.0</v>
      </c>
      <c r="H306" s="268">
        <v>6.0</v>
      </c>
      <c r="I306" s="267" t="s">
        <v>245</v>
      </c>
      <c r="J306" s="267" t="s">
        <v>1006</v>
      </c>
      <c r="K306" s="222">
        <f t="shared" si="30"/>
        <v>9</v>
      </c>
      <c r="L306" s="222">
        <v>9.0</v>
      </c>
      <c r="M306" s="222">
        <f t="shared" si="31"/>
        <v>2026</v>
      </c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hidden="1" customHeight="1">
      <c r="A307" s="270">
        <v>46274.0</v>
      </c>
      <c r="B307" s="238">
        <v>1.0</v>
      </c>
      <c r="C307" s="239">
        <v>9.0</v>
      </c>
      <c r="D307" s="238">
        <v>2026.0</v>
      </c>
      <c r="E307" s="271" t="s">
        <v>145</v>
      </c>
      <c r="F307" s="271">
        <v>7.0</v>
      </c>
      <c r="G307" s="241">
        <v>1.0</v>
      </c>
      <c r="H307" s="230">
        <v>7.0</v>
      </c>
      <c r="I307" s="271" t="s">
        <v>2</v>
      </c>
      <c r="J307" s="271" t="s">
        <v>1014</v>
      </c>
      <c r="K307" s="238">
        <v>9.0</v>
      </c>
      <c r="L307" s="239">
        <v>9.0</v>
      </c>
      <c r="M307" s="238">
        <v>2026.0</v>
      </c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hidden="1" customHeight="1">
      <c r="A308" s="265">
        <v>46289.0</v>
      </c>
      <c r="B308" s="266">
        <v>24.0</v>
      </c>
      <c r="C308" s="222">
        <v>9.0</v>
      </c>
      <c r="D308" s="266">
        <v>2026.0</v>
      </c>
      <c r="E308" s="267" t="s">
        <v>145</v>
      </c>
      <c r="F308" s="266">
        <v>2.0</v>
      </c>
      <c r="G308" s="268">
        <v>4.0</v>
      </c>
      <c r="H308" s="268">
        <v>8.0</v>
      </c>
      <c r="I308" s="267" t="s">
        <v>245</v>
      </c>
      <c r="J308" s="267" t="s">
        <v>1016</v>
      </c>
      <c r="K308" s="222">
        <f>MONTH(A308)</f>
        <v>9</v>
      </c>
      <c r="L308" s="222">
        <v>9.0</v>
      </c>
      <c r="M308" s="222">
        <f>YEAR(A308)</f>
        <v>2026</v>
      </c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hidden="1" customHeight="1">
      <c r="A309" s="260">
        <v>46266.0</v>
      </c>
      <c r="B309" s="246">
        <v>1.0</v>
      </c>
      <c r="C309" s="246">
        <v>9.0</v>
      </c>
      <c r="D309" s="246">
        <v>2026.0</v>
      </c>
      <c r="E309" s="261" t="s">
        <v>145</v>
      </c>
      <c r="F309" s="246">
        <v>2.0</v>
      </c>
      <c r="G309" s="262">
        <v>5.0</v>
      </c>
      <c r="H309" s="262">
        <v>10.0</v>
      </c>
      <c r="I309" s="261" t="s">
        <v>245</v>
      </c>
      <c r="J309" s="261" t="s">
        <v>1019</v>
      </c>
      <c r="K309" s="246">
        <v>9.0</v>
      </c>
      <c r="L309" s="246">
        <v>9.0</v>
      </c>
      <c r="M309" s="246">
        <v>2026.0</v>
      </c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hidden="1" customHeight="1">
      <c r="A310" s="272">
        <v>46266.0</v>
      </c>
      <c r="B310" s="208">
        <v>1.0</v>
      </c>
      <c r="C310" s="222">
        <v>9.0</v>
      </c>
      <c r="D310" s="208">
        <v>2026.0</v>
      </c>
      <c r="E310" s="209" t="s">
        <v>145</v>
      </c>
      <c r="F310" s="208">
        <v>2.0</v>
      </c>
      <c r="G310" s="273">
        <v>5.0</v>
      </c>
      <c r="H310" s="273">
        <v>10.0</v>
      </c>
      <c r="I310" s="209" t="s">
        <v>245</v>
      </c>
      <c r="J310" s="209" t="s">
        <v>1019</v>
      </c>
      <c r="K310" s="222">
        <f t="shared" ref="K310:K329" si="32">MONTH(A310)</f>
        <v>9</v>
      </c>
      <c r="L310" s="222">
        <v>9.0</v>
      </c>
      <c r="M310" s="222">
        <f t="shared" ref="M310:M329" si="33">YEAR(A310)</f>
        <v>2026</v>
      </c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hidden="1" customHeight="1">
      <c r="A311" s="272">
        <v>46291.0</v>
      </c>
      <c r="B311" s="208">
        <v>26.0</v>
      </c>
      <c r="C311" s="222">
        <v>9.0</v>
      </c>
      <c r="D311" s="208">
        <v>2026.0</v>
      </c>
      <c r="E311" s="209" t="s">
        <v>145</v>
      </c>
      <c r="F311" s="208">
        <v>2.0</v>
      </c>
      <c r="G311" s="273">
        <v>5.0</v>
      </c>
      <c r="H311" s="273">
        <v>10.0</v>
      </c>
      <c r="I311" s="209" t="s">
        <v>245</v>
      </c>
      <c r="J311" s="209" t="s">
        <v>1028</v>
      </c>
      <c r="K311" s="222">
        <f t="shared" si="32"/>
        <v>9</v>
      </c>
      <c r="L311" s="222">
        <v>9.0</v>
      </c>
      <c r="M311" s="222">
        <f t="shared" si="33"/>
        <v>2026</v>
      </c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hidden="1" customHeight="1">
      <c r="A312" s="272">
        <v>46291.0</v>
      </c>
      <c r="B312" s="208">
        <v>26.0</v>
      </c>
      <c r="C312" s="222">
        <v>9.0</v>
      </c>
      <c r="D312" s="208">
        <v>2026.0</v>
      </c>
      <c r="E312" s="209" t="s">
        <v>150</v>
      </c>
      <c r="F312" s="208">
        <v>5.0</v>
      </c>
      <c r="G312" s="273">
        <v>2.0</v>
      </c>
      <c r="H312" s="273">
        <v>10.0</v>
      </c>
      <c r="I312" s="209" t="s">
        <v>245</v>
      </c>
      <c r="J312" s="209" t="s">
        <v>1032</v>
      </c>
      <c r="K312" s="222">
        <f t="shared" si="32"/>
        <v>9</v>
      </c>
      <c r="L312" s="222">
        <v>9.0</v>
      </c>
      <c r="M312" s="222">
        <f t="shared" si="33"/>
        <v>2026</v>
      </c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hidden="1" customHeight="1">
      <c r="A313" s="272">
        <v>46293.0</v>
      </c>
      <c r="B313" s="208">
        <v>28.0</v>
      </c>
      <c r="C313" s="222">
        <v>9.0</v>
      </c>
      <c r="D313" s="208">
        <v>2026.0</v>
      </c>
      <c r="E313" s="209" t="s">
        <v>145</v>
      </c>
      <c r="F313" s="208">
        <v>2.0</v>
      </c>
      <c r="G313" s="273">
        <v>5.0</v>
      </c>
      <c r="H313" s="273">
        <v>10.0</v>
      </c>
      <c r="I313" s="209" t="s">
        <v>245</v>
      </c>
      <c r="J313" s="209" t="s">
        <v>1035</v>
      </c>
      <c r="K313" s="222">
        <f t="shared" si="32"/>
        <v>9</v>
      </c>
      <c r="L313" s="222">
        <v>9.0</v>
      </c>
      <c r="M313" s="222">
        <f t="shared" si="33"/>
        <v>2026</v>
      </c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hidden="1" customHeight="1">
      <c r="A314" s="272">
        <v>46276.0</v>
      </c>
      <c r="B314" s="208">
        <v>11.0</v>
      </c>
      <c r="C314" s="222">
        <v>9.0</v>
      </c>
      <c r="D314" s="208">
        <v>2026.0</v>
      </c>
      <c r="E314" s="209" t="s">
        <v>145</v>
      </c>
      <c r="F314" s="208">
        <v>2.0</v>
      </c>
      <c r="G314" s="273">
        <v>6.0</v>
      </c>
      <c r="H314" s="273">
        <v>12.0</v>
      </c>
      <c r="I314" s="209" t="s">
        <v>245</v>
      </c>
      <c r="J314" s="209" t="s">
        <v>895</v>
      </c>
      <c r="K314" s="222">
        <f t="shared" si="32"/>
        <v>9</v>
      </c>
      <c r="L314" s="222">
        <v>9.0</v>
      </c>
      <c r="M314" s="222">
        <f t="shared" si="33"/>
        <v>2026</v>
      </c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hidden="1" customHeight="1">
      <c r="A315" s="272">
        <v>46278.0</v>
      </c>
      <c r="B315" s="208">
        <v>13.0</v>
      </c>
      <c r="C315" s="222">
        <v>9.0</v>
      </c>
      <c r="D315" s="208">
        <v>2026.0</v>
      </c>
      <c r="E315" s="209" t="s">
        <v>145</v>
      </c>
      <c r="F315" s="208">
        <v>2.0</v>
      </c>
      <c r="G315" s="273">
        <v>6.0</v>
      </c>
      <c r="H315" s="273">
        <v>12.0</v>
      </c>
      <c r="I315" s="209" t="s">
        <v>245</v>
      </c>
      <c r="J315" s="209" t="s">
        <v>1041</v>
      </c>
      <c r="K315" s="222">
        <f t="shared" si="32"/>
        <v>9</v>
      </c>
      <c r="L315" s="222">
        <v>9.0</v>
      </c>
      <c r="M315" s="222">
        <f t="shared" si="33"/>
        <v>2026</v>
      </c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hidden="1" customHeight="1">
      <c r="A316" s="272">
        <v>46281.0</v>
      </c>
      <c r="B316" s="208">
        <v>16.0</v>
      </c>
      <c r="C316" s="222">
        <v>9.0</v>
      </c>
      <c r="D316" s="208">
        <v>2026.0</v>
      </c>
      <c r="E316" s="209" t="s">
        <v>145</v>
      </c>
      <c r="F316" s="208">
        <v>2.0</v>
      </c>
      <c r="G316" s="273">
        <v>6.0</v>
      </c>
      <c r="H316" s="273">
        <v>12.0</v>
      </c>
      <c r="I316" s="209" t="s">
        <v>245</v>
      </c>
      <c r="J316" s="209" t="s">
        <v>1042</v>
      </c>
      <c r="K316" s="222">
        <f t="shared" si="32"/>
        <v>9</v>
      </c>
      <c r="L316" s="222">
        <v>9.0</v>
      </c>
      <c r="M316" s="222">
        <f t="shared" si="33"/>
        <v>2026</v>
      </c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hidden="1" customHeight="1">
      <c r="A317" s="272">
        <v>46272.0</v>
      </c>
      <c r="B317" s="208">
        <v>7.0</v>
      </c>
      <c r="C317" s="222">
        <v>9.0</v>
      </c>
      <c r="D317" s="208">
        <v>2026.0</v>
      </c>
      <c r="E317" s="209" t="s">
        <v>145</v>
      </c>
      <c r="F317" s="208">
        <v>2.0</v>
      </c>
      <c r="G317" s="273">
        <v>7.0</v>
      </c>
      <c r="H317" s="273">
        <v>14.0</v>
      </c>
      <c r="I317" s="209" t="s">
        <v>245</v>
      </c>
      <c r="J317" s="209" t="s">
        <v>890</v>
      </c>
      <c r="K317" s="222">
        <f t="shared" si="32"/>
        <v>9</v>
      </c>
      <c r="L317" s="222">
        <v>9.0</v>
      </c>
      <c r="M317" s="222">
        <f t="shared" si="33"/>
        <v>2026</v>
      </c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hidden="1" customHeight="1">
      <c r="A318" s="272">
        <v>46286.0</v>
      </c>
      <c r="B318" s="208">
        <v>21.0</v>
      </c>
      <c r="C318" s="222">
        <v>9.0</v>
      </c>
      <c r="D318" s="208">
        <v>2026.0</v>
      </c>
      <c r="E318" s="209" t="s">
        <v>145</v>
      </c>
      <c r="F318" s="208">
        <v>2.0</v>
      </c>
      <c r="G318" s="273">
        <v>7.0</v>
      </c>
      <c r="H318" s="273">
        <v>14.0</v>
      </c>
      <c r="I318" s="209" t="s">
        <v>245</v>
      </c>
      <c r="J318" s="209" t="s">
        <v>1046</v>
      </c>
      <c r="K318" s="222">
        <f t="shared" si="32"/>
        <v>9</v>
      </c>
      <c r="L318" s="222">
        <v>9.0</v>
      </c>
      <c r="M318" s="222">
        <f t="shared" si="33"/>
        <v>2026</v>
      </c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hidden="1" customHeight="1">
      <c r="A319" s="272">
        <v>46287.0</v>
      </c>
      <c r="B319" s="208">
        <v>22.0</v>
      </c>
      <c r="C319" s="222">
        <v>9.0</v>
      </c>
      <c r="D319" s="208">
        <v>2026.0</v>
      </c>
      <c r="E319" s="209" t="s">
        <v>145</v>
      </c>
      <c r="F319" s="208">
        <v>2.0</v>
      </c>
      <c r="G319" s="273">
        <v>7.0</v>
      </c>
      <c r="H319" s="273">
        <v>14.0</v>
      </c>
      <c r="I319" s="209" t="s">
        <v>245</v>
      </c>
      <c r="J319" s="209" t="s">
        <v>1049</v>
      </c>
      <c r="K319" s="222">
        <f t="shared" si="32"/>
        <v>9</v>
      </c>
      <c r="L319" s="222">
        <v>9.0</v>
      </c>
      <c r="M319" s="222">
        <f t="shared" si="33"/>
        <v>2026</v>
      </c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hidden="1" customHeight="1">
      <c r="A320" s="272">
        <v>46294.0</v>
      </c>
      <c r="B320" s="208">
        <v>29.0</v>
      </c>
      <c r="C320" s="222">
        <v>9.0</v>
      </c>
      <c r="D320" s="208">
        <v>2026.0</v>
      </c>
      <c r="E320" s="209" t="s">
        <v>145</v>
      </c>
      <c r="F320" s="208">
        <v>2.0</v>
      </c>
      <c r="G320" s="273">
        <v>7.0</v>
      </c>
      <c r="H320" s="273">
        <v>14.0</v>
      </c>
      <c r="I320" s="209" t="s">
        <v>245</v>
      </c>
      <c r="J320" s="209" t="s">
        <v>1052</v>
      </c>
      <c r="K320" s="222">
        <f t="shared" si="32"/>
        <v>9</v>
      </c>
      <c r="L320" s="222">
        <v>9.0</v>
      </c>
      <c r="M320" s="222">
        <f t="shared" si="33"/>
        <v>2026</v>
      </c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hidden="1" customHeight="1">
      <c r="A321" s="272">
        <v>46295.0</v>
      </c>
      <c r="B321" s="208">
        <v>30.0</v>
      </c>
      <c r="C321" s="222">
        <v>9.0</v>
      </c>
      <c r="D321" s="208">
        <v>2026.0</v>
      </c>
      <c r="E321" s="209" t="s">
        <v>145</v>
      </c>
      <c r="F321" s="208">
        <v>2.0</v>
      </c>
      <c r="G321" s="273">
        <v>7.0</v>
      </c>
      <c r="H321" s="273">
        <v>14.0</v>
      </c>
      <c r="I321" s="209" t="s">
        <v>245</v>
      </c>
      <c r="J321" s="209" t="s">
        <v>1056</v>
      </c>
      <c r="K321" s="222">
        <f t="shared" si="32"/>
        <v>9</v>
      </c>
      <c r="L321" s="222">
        <v>9.0</v>
      </c>
      <c r="M321" s="222">
        <f t="shared" si="33"/>
        <v>2026</v>
      </c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hidden="1" customHeight="1">
      <c r="A322" s="272">
        <v>46295.0</v>
      </c>
      <c r="B322" s="208">
        <v>30.0</v>
      </c>
      <c r="C322" s="222">
        <v>9.0</v>
      </c>
      <c r="D322" s="208">
        <v>2026.0</v>
      </c>
      <c r="E322" s="209" t="s">
        <v>150</v>
      </c>
      <c r="F322" s="208">
        <v>7.0</v>
      </c>
      <c r="G322" s="273">
        <v>2.0</v>
      </c>
      <c r="H322" s="273">
        <v>14.0</v>
      </c>
      <c r="I322" s="209" t="s">
        <v>245</v>
      </c>
      <c r="J322" s="209" t="s">
        <v>1057</v>
      </c>
      <c r="K322" s="222">
        <f t="shared" si="32"/>
        <v>9</v>
      </c>
      <c r="L322" s="222">
        <v>9.0</v>
      </c>
      <c r="M322" s="222">
        <f t="shared" si="33"/>
        <v>2026</v>
      </c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hidden="1" customHeight="1">
      <c r="A323" s="272">
        <v>46270.0</v>
      </c>
      <c r="B323" s="208">
        <v>5.0</v>
      </c>
      <c r="C323" s="222">
        <v>9.0</v>
      </c>
      <c r="D323" s="208">
        <v>2026.0</v>
      </c>
      <c r="E323" s="209" t="s">
        <v>155</v>
      </c>
      <c r="F323" s="208">
        <v>15.0</v>
      </c>
      <c r="G323" s="273">
        <v>1.0</v>
      </c>
      <c r="H323" s="273">
        <v>15.0</v>
      </c>
      <c r="I323" s="209" t="s">
        <v>245</v>
      </c>
      <c r="J323" s="209" t="s">
        <v>893</v>
      </c>
      <c r="K323" s="222">
        <f t="shared" si="32"/>
        <v>9</v>
      </c>
      <c r="L323" s="222">
        <v>9.0</v>
      </c>
      <c r="M323" s="222">
        <f t="shared" si="33"/>
        <v>2026</v>
      </c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hidden="1" customHeight="1">
      <c r="A324" s="272">
        <v>46277.0</v>
      </c>
      <c r="B324" s="208">
        <v>12.0</v>
      </c>
      <c r="C324" s="222">
        <v>9.0</v>
      </c>
      <c r="D324" s="208">
        <v>2026.0</v>
      </c>
      <c r="E324" s="209" t="s">
        <v>155</v>
      </c>
      <c r="F324" s="208">
        <v>15.0</v>
      </c>
      <c r="G324" s="273">
        <v>1.0</v>
      </c>
      <c r="H324" s="273">
        <v>15.0</v>
      </c>
      <c r="I324" s="209" t="s">
        <v>245</v>
      </c>
      <c r="J324" s="209" t="s">
        <v>893</v>
      </c>
      <c r="K324" s="222">
        <f t="shared" si="32"/>
        <v>9</v>
      </c>
      <c r="L324" s="222">
        <v>9.0</v>
      </c>
      <c r="M324" s="222">
        <f t="shared" si="33"/>
        <v>2026</v>
      </c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hidden="1" customHeight="1">
      <c r="A325" s="272">
        <v>46278.0</v>
      </c>
      <c r="B325" s="208">
        <v>13.0</v>
      </c>
      <c r="C325" s="222">
        <v>9.0</v>
      </c>
      <c r="D325" s="208">
        <v>2026.0</v>
      </c>
      <c r="E325" s="209" t="s">
        <v>155</v>
      </c>
      <c r="F325" s="208">
        <v>15.0</v>
      </c>
      <c r="G325" s="273">
        <v>1.0</v>
      </c>
      <c r="H325" s="273">
        <v>15.0</v>
      </c>
      <c r="I325" s="209" t="s">
        <v>245</v>
      </c>
      <c r="J325" s="209" t="s">
        <v>893</v>
      </c>
      <c r="K325" s="222">
        <f t="shared" si="32"/>
        <v>9</v>
      </c>
      <c r="L325" s="222">
        <v>9.0</v>
      </c>
      <c r="M325" s="222">
        <f t="shared" si="33"/>
        <v>2026</v>
      </c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hidden="1" customHeight="1">
      <c r="A326" s="272">
        <v>46295.0</v>
      </c>
      <c r="B326" s="208">
        <v>30.0</v>
      </c>
      <c r="C326" s="222">
        <v>9.0</v>
      </c>
      <c r="D326" s="208">
        <v>2026.0</v>
      </c>
      <c r="E326" s="209" t="s">
        <v>155</v>
      </c>
      <c r="F326" s="208">
        <v>15.0</v>
      </c>
      <c r="G326" s="273">
        <v>1.0</v>
      </c>
      <c r="H326" s="273">
        <v>15.0</v>
      </c>
      <c r="I326" s="209" t="s">
        <v>245</v>
      </c>
      <c r="J326" s="209" t="s">
        <v>1065</v>
      </c>
      <c r="K326" s="222">
        <f t="shared" si="32"/>
        <v>9</v>
      </c>
      <c r="L326" s="222">
        <v>9.0</v>
      </c>
      <c r="M326" s="222">
        <f t="shared" si="33"/>
        <v>2026</v>
      </c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hidden="1" customHeight="1">
      <c r="A327" s="272">
        <v>46285.0</v>
      </c>
      <c r="B327" s="208">
        <v>20.0</v>
      </c>
      <c r="C327" s="222">
        <v>9.0</v>
      </c>
      <c r="D327" s="208">
        <v>2026.0</v>
      </c>
      <c r="E327" s="209" t="s">
        <v>145</v>
      </c>
      <c r="F327" s="208">
        <v>2.0</v>
      </c>
      <c r="G327" s="273">
        <v>8.0</v>
      </c>
      <c r="H327" s="273">
        <v>16.0</v>
      </c>
      <c r="I327" s="209" t="s">
        <v>245</v>
      </c>
      <c r="J327" s="209" t="s">
        <v>1067</v>
      </c>
      <c r="K327" s="222">
        <f t="shared" si="32"/>
        <v>9</v>
      </c>
      <c r="L327" s="222">
        <v>9.0</v>
      </c>
      <c r="M327" s="222">
        <f t="shared" si="33"/>
        <v>2026</v>
      </c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hidden="1" customHeight="1">
      <c r="A328" s="272">
        <v>46288.0</v>
      </c>
      <c r="B328" s="208">
        <v>23.0</v>
      </c>
      <c r="C328" s="222">
        <v>9.0</v>
      </c>
      <c r="D328" s="208">
        <v>2026.0</v>
      </c>
      <c r="E328" s="209" t="s">
        <v>145</v>
      </c>
      <c r="F328" s="208">
        <v>2.0</v>
      </c>
      <c r="G328" s="273">
        <v>8.0</v>
      </c>
      <c r="H328" s="273">
        <v>16.0</v>
      </c>
      <c r="I328" s="209" t="s">
        <v>245</v>
      </c>
      <c r="J328" s="209" t="s">
        <v>1070</v>
      </c>
      <c r="K328" s="222">
        <f t="shared" si="32"/>
        <v>9</v>
      </c>
      <c r="L328" s="222">
        <v>9.0</v>
      </c>
      <c r="M328" s="222">
        <f t="shared" si="33"/>
        <v>2026</v>
      </c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hidden="1" customHeight="1">
      <c r="A329" s="272">
        <v>46272.0</v>
      </c>
      <c r="B329" s="208">
        <v>7.0</v>
      </c>
      <c r="C329" s="222">
        <v>9.0</v>
      </c>
      <c r="D329" s="208">
        <v>2026.0</v>
      </c>
      <c r="E329" s="209" t="s">
        <v>150</v>
      </c>
      <c r="F329" s="208" t="s">
        <v>1071</v>
      </c>
      <c r="G329" s="273">
        <v>4.0</v>
      </c>
      <c r="H329" s="273">
        <v>19.0</v>
      </c>
      <c r="I329" s="209" t="s">
        <v>245</v>
      </c>
      <c r="J329" s="209" t="s">
        <v>907</v>
      </c>
      <c r="K329" s="222">
        <f t="shared" si="32"/>
        <v>9</v>
      </c>
      <c r="L329" s="222">
        <v>9.0</v>
      </c>
      <c r="M329" s="222">
        <f t="shared" si="33"/>
        <v>2026</v>
      </c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hidden="1" customHeight="1">
      <c r="A330" s="275">
        <f t="shared" ref="A330:A331" si="34">A329</f>
        <v>46272</v>
      </c>
      <c r="B330" s="194">
        <f t="shared" ref="B330:B331" si="35">day(A330)</f>
        <v>7</v>
      </c>
      <c r="C330" s="222">
        <v>5.0</v>
      </c>
      <c r="D330" s="194">
        <f t="shared" ref="D330:D331" si="36">year(A330)</f>
        <v>2026</v>
      </c>
      <c r="E330" s="74" t="s">
        <v>145</v>
      </c>
      <c r="F330" s="194">
        <v>4.0</v>
      </c>
      <c r="G330" s="187">
        <v>2.0</v>
      </c>
      <c r="H330" s="187">
        <f t="shared" ref="H330:H331" si="37">F330*G330</f>
        <v>8</v>
      </c>
      <c r="I330" s="74" t="s">
        <v>262</v>
      </c>
      <c r="J330" s="74"/>
      <c r="K330" s="222">
        <v>5.0</v>
      </c>
      <c r="L330" s="222">
        <v>5.0</v>
      </c>
      <c r="M330" s="222">
        <v>2026.0</v>
      </c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hidden="1" customHeight="1">
      <c r="A331" s="275">
        <f t="shared" si="34"/>
        <v>46272</v>
      </c>
      <c r="B331" s="194">
        <f t="shared" si="35"/>
        <v>7</v>
      </c>
      <c r="C331" s="222">
        <v>6.0</v>
      </c>
      <c r="D331" s="194">
        <f t="shared" si="36"/>
        <v>2026</v>
      </c>
      <c r="E331" s="74" t="s">
        <v>145</v>
      </c>
      <c r="F331" s="27">
        <v>4.0</v>
      </c>
      <c r="G331" s="276">
        <v>2.0</v>
      </c>
      <c r="H331" s="187">
        <f t="shared" si="37"/>
        <v>8</v>
      </c>
      <c r="I331" s="74" t="s">
        <v>262</v>
      </c>
      <c r="J331" s="74"/>
      <c r="K331" s="222">
        <v>6.0</v>
      </c>
      <c r="L331" s="222">
        <v>6.0</v>
      </c>
      <c r="M331" s="222">
        <v>2026.0</v>
      </c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hidden="1" customHeight="1">
      <c r="A332" s="272">
        <v>46290.0</v>
      </c>
      <c r="B332" s="208">
        <v>25.0</v>
      </c>
      <c r="C332" s="222">
        <v>9.0</v>
      </c>
      <c r="D332" s="208">
        <v>2026.0</v>
      </c>
      <c r="E332" s="209" t="s">
        <v>150</v>
      </c>
      <c r="F332" s="208">
        <v>5.0</v>
      </c>
      <c r="G332" s="273">
        <v>4.0</v>
      </c>
      <c r="H332" s="273">
        <v>20.0</v>
      </c>
      <c r="I332" s="209" t="s">
        <v>245</v>
      </c>
      <c r="J332" s="209" t="s">
        <v>1081</v>
      </c>
      <c r="K332" s="222">
        <f t="shared" ref="K332:K345" si="38">MONTH(A332)</f>
        <v>9</v>
      </c>
      <c r="L332" s="222">
        <v>9.0</v>
      </c>
      <c r="M332" s="222">
        <f t="shared" ref="M332:M345" si="39">YEAR(A332)</f>
        <v>2026</v>
      </c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hidden="1" customHeight="1">
      <c r="A333" s="272">
        <v>46280.0</v>
      </c>
      <c r="B333" s="208">
        <v>15.0</v>
      </c>
      <c r="C333" s="222">
        <v>9.0</v>
      </c>
      <c r="D333" s="208">
        <v>2026.0</v>
      </c>
      <c r="E333" s="209" t="s">
        <v>145</v>
      </c>
      <c r="F333" s="208">
        <v>2.0</v>
      </c>
      <c r="G333" s="273">
        <v>7.0</v>
      </c>
      <c r="H333" s="273">
        <v>26.0</v>
      </c>
      <c r="I333" s="209" t="s">
        <v>245</v>
      </c>
      <c r="J333" s="209" t="s">
        <v>1086</v>
      </c>
      <c r="K333" s="222">
        <f t="shared" si="38"/>
        <v>9</v>
      </c>
      <c r="L333" s="222">
        <v>9.0</v>
      </c>
      <c r="M333" s="222">
        <f t="shared" si="39"/>
        <v>2026</v>
      </c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hidden="1" customHeight="1">
      <c r="A334" s="272">
        <v>46268.0</v>
      </c>
      <c r="B334" s="208">
        <v>3.0</v>
      </c>
      <c r="C334" s="222">
        <v>9.0</v>
      </c>
      <c r="D334" s="208">
        <v>2026.0</v>
      </c>
      <c r="E334" s="209" t="s">
        <v>145</v>
      </c>
      <c r="F334" s="208">
        <v>2.0</v>
      </c>
      <c r="G334" s="273">
        <v>14.0</v>
      </c>
      <c r="H334" s="273">
        <v>28.0</v>
      </c>
      <c r="I334" s="209" t="s">
        <v>245</v>
      </c>
      <c r="J334" s="209" t="s">
        <v>1089</v>
      </c>
      <c r="K334" s="222">
        <f t="shared" si="38"/>
        <v>9</v>
      </c>
      <c r="L334" s="222">
        <v>9.0</v>
      </c>
      <c r="M334" s="222">
        <f t="shared" si="39"/>
        <v>2026</v>
      </c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hidden="1" customHeight="1">
      <c r="A335" s="272">
        <v>46269.0</v>
      </c>
      <c r="B335" s="208">
        <v>4.0</v>
      </c>
      <c r="C335" s="222">
        <v>9.0</v>
      </c>
      <c r="D335" s="208">
        <v>2026.0</v>
      </c>
      <c r="E335" s="209" t="s">
        <v>145</v>
      </c>
      <c r="F335" s="208">
        <v>2.0</v>
      </c>
      <c r="G335" s="273">
        <v>15.0</v>
      </c>
      <c r="H335" s="273">
        <v>30.0</v>
      </c>
      <c r="I335" s="209" t="s">
        <v>245</v>
      </c>
      <c r="J335" s="209" t="s">
        <v>1091</v>
      </c>
      <c r="K335" s="222">
        <f t="shared" si="38"/>
        <v>9</v>
      </c>
      <c r="L335" s="222">
        <v>9.0</v>
      </c>
      <c r="M335" s="222">
        <f t="shared" si="39"/>
        <v>2026</v>
      </c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hidden="1" customHeight="1">
      <c r="A336" s="272">
        <v>46271.0</v>
      </c>
      <c r="B336" s="208">
        <v>6.0</v>
      </c>
      <c r="C336" s="222">
        <v>9.0</v>
      </c>
      <c r="D336" s="208">
        <v>2026.0</v>
      </c>
      <c r="E336" s="209" t="s">
        <v>145</v>
      </c>
      <c r="F336" s="208">
        <v>2.0</v>
      </c>
      <c r="G336" s="273">
        <v>15.0</v>
      </c>
      <c r="H336" s="273">
        <v>30.0</v>
      </c>
      <c r="I336" s="209" t="s">
        <v>245</v>
      </c>
      <c r="J336" s="209" t="s">
        <v>1093</v>
      </c>
      <c r="K336" s="222">
        <f t="shared" si="38"/>
        <v>9</v>
      </c>
      <c r="L336" s="222">
        <v>9.0</v>
      </c>
      <c r="M336" s="222">
        <f t="shared" si="39"/>
        <v>2026</v>
      </c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hidden="1" customHeight="1">
      <c r="A337" s="272">
        <v>46274.0</v>
      </c>
      <c r="B337" s="208">
        <v>9.0</v>
      </c>
      <c r="C337" s="222">
        <v>9.0</v>
      </c>
      <c r="D337" s="208">
        <v>2026.0</v>
      </c>
      <c r="E337" s="209" t="s">
        <v>145</v>
      </c>
      <c r="F337" s="208">
        <v>2.0</v>
      </c>
      <c r="G337" s="273">
        <v>15.0</v>
      </c>
      <c r="H337" s="273">
        <v>30.0</v>
      </c>
      <c r="I337" s="209" t="s">
        <v>245</v>
      </c>
      <c r="J337" s="209" t="s">
        <v>1095</v>
      </c>
      <c r="K337" s="222">
        <f t="shared" si="38"/>
        <v>9</v>
      </c>
      <c r="L337" s="222">
        <v>9.0</v>
      </c>
      <c r="M337" s="222">
        <f t="shared" si="39"/>
        <v>2026</v>
      </c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hidden="1" customHeight="1">
      <c r="A338" s="272">
        <v>46282.0</v>
      </c>
      <c r="B338" s="208">
        <v>17.0</v>
      </c>
      <c r="C338" s="222">
        <v>9.0</v>
      </c>
      <c r="D338" s="208">
        <v>2026.0</v>
      </c>
      <c r="E338" s="209" t="s">
        <v>155</v>
      </c>
      <c r="F338" s="208">
        <v>15.0</v>
      </c>
      <c r="G338" s="273">
        <v>2.0</v>
      </c>
      <c r="H338" s="273">
        <v>30.0</v>
      </c>
      <c r="I338" s="209" t="s">
        <v>245</v>
      </c>
      <c r="J338" s="209" t="s">
        <v>1098</v>
      </c>
      <c r="K338" s="222">
        <f t="shared" si="38"/>
        <v>9</v>
      </c>
      <c r="L338" s="222">
        <v>9.0</v>
      </c>
      <c r="M338" s="222">
        <f t="shared" si="39"/>
        <v>2026</v>
      </c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hidden="1" customHeight="1">
      <c r="A339" s="272">
        <v>46292.0</v>
      </c>
      <c r="B339" s="208">
        <v>27.0</v>
      </c>
      <c r="C339" s="222">
        <v>9.0</v>
      </c>
      <c r="D339" s="208">
        <v>2026.0</v>
      </c>
      <c r="E339" s="209" t="s">
        <v>155</v>
      </c>
      <c r="F339" s="208">
        <v>15.0</v>
      </c>
      <c r="G339" s="273">
        <v>2.0</v>
      </c>
      <c r="H339" s="273">
        <v>30.0</v>
      </c>
      <c r="I339" s="209" t="s">
        <v>245</v>
      </c>
      <c r="J339" s="209" t="s">
        <v>1101</v>
      </c>
      <c r="K339" s="222">
        <f t="shared" si="38"/>
        <v>9</v>
      </c>
      <c r="L339" s="222">
        <v>9.0</v>
      </c>
      <c r="M339" s="222">
        <f t="shared" si="39"/>
        <v>2026</v>
      </c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hidden="1" customHeight="1">
      <c r="A340" s="272">
        <v>46283.0</v>
      </c>
      <c r="B340" s="208">
        <v>18.0</v>
      </c>
      <c r="C340" s="222">
        <v>9.0</v>
      </c>
      <c r="D340" s="208">
        <v>2026.0</v>
      </c>
      <c r="E340" s="209" t="s">
        <v>145</v>
      </c>
      <c r="F340" s="208">
        <v>2.0</v>
      </c>
      <c r="G340" s="273">
        <v>16.0</v>
      </c>
      <c r="H340" s="273">
        <v>32.0</v>
      </c>
      <c r="I340" s="209" t="s">
        <v>245</v>
      </c>
      <c r="J340" s="209" t="s">
        <v>1104</v>
      </c>
      <c r="K340" s="222">
        <f t="shared" si="38"/>
        <v>9</v>
      </c>
      <c r="L340" s="222">
        <v>9.0</v>
      </c>
      <c r="M340" s="222">
        <f t="shared" si="39"/>
        <v>2026</v>
      </c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hidden="1" customHeight="1">
      <c r="A341" s="272">
        <v>46270.0</v>
      </c>
      <c r="B341" s="208">
        <v>5.0</v>
      </c>
      <c r="C341" s="222">
        <v>9.0</v>
      </c>
      <c r="D341" s="208">
        <v>2026.0</v>
      </c>
      <c r="E341" s="209" t="s">
        <v>145</v>
      </c>
      <c r="F341" s="208">
        <v>2.0</v>
      </c>
      <c r="G341" s="273">
        <v>17.0</v>
      </c>
      <c r="H341" s="273">
        <v>34.0</v>
      </c>
      <c r="I341" s="209" t="s">
        <v>245</v>
      </c>
      <c r="J341" s="209" t="s">
        <v>1108</v>
      </c>
      <c r="K341" s="222">
        <f t="shared" si="38"/>
        <v>9</v>
      </c>
      <c r="L341" s="222">
        <v>9.0</v>
      </c>
      <c r="M341" s="222">
        <f t="shared" si="39"/>
        <v>2026</v>
      </c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hidden="1" customHeight="1">
      <c r="A342" s="272">
        <v>46273.0</v>
      </c>
      <c r="B342" s="208">
        <v>8.0</v>
      </c>
      <c r="C342" s="222">
        <v>9.0</v>
      </c>
      <c r="D342" s="208">
        <v>2026.0</v>
      </c>
      <c r="E342" s="209" t="s">
        <v>145</v>
      </c>
      <c r="F342" s="208">
        <v>2.0</v>
      </c>
      <c r="G342" s="273">
        <v>22.0</v>
      </c>
      <c r="H342" s="273">
        <v>44.0</v>
      </c>
      <c r="I342" s="209" t="s">
        <v>245</v>
      </c>
      <c r="J342" s="209" t="s">
        <v>1109</v>
      </c>
      <c r="K342" s="222">
        <f t="shared" si="38"/>
        <v>9</v>
      </c>
      <c r="L342" s="222">
        <v>9.0</v>
      </c>
      <c r="M342" s="222">
        <f t="shared" si="39"/>
        <v>2026</v>
      </c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hidden="1" customHeight="1">
      <c r="A343" s="272">
        <v>46272.0</v>
      </c>
      <c r="B343" s="208">
        <v>7.0</v>
      </c>
      <c r="C343" s="222">
        <v>9.0</v>
      </c>
      <c r="D343" s="208">
        <v>2026.0</v>
      </c>
      <c r="E343" s="209" t="s">
        <v>155</v>
      </c>
      <c r="F343" s="208">
        <v>15.0</v>
      </c>
      <c r="G343" s="273">
        <v>3.0</v>
      </c>
      <c r="H343" s="273">
        <v>45.0</v>
      </c>
      <c r="I343" s="209" t="s">
        <v>245</v>
      </c>
      <c r="J343" s="209" t="s">
        <v>1112</v>
      </c>
      <c r="K343" s="222">
        <f t="shared" si="38"/>
        <v>9</v>
      </c>
      <c r="L343" s="222">
        <v>9.0</v>
      </c>
      <c r="M343" s="222">
        <f t="shared" si="39"/>
        <v>2026</v>
      </c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2">
        <v>46295.0</v>
      </c>
      <c r="B344" s="208">
        <v>30.0</v>
      </c>
      <c r="C344" s="222">
        <v>9.0</v>
      </c>
      <c r="D344" s="208">
        <v>2026.0</v>
      </c>
      <c r="E344" s="74" t="s">
        <v>166</v>
      </c>
      <c r="F344" s="208">
        <v>291.0</v>
      </c>
      <c r="G344" s="273">
        <v>1.0</v>
      </c>
      <c r="H344" s="273">
        <v>291.0</v>
      </c>
      <c r="I344" s="209" t="s">
        <v>245</v>
      </c>
      <c r="J344" s="209" t="s">
        <v>1116</v>
      </c>
      <c r="K344" s="222">
        <f t="shared" si="38"/>
        <v>9</v>
      </c>
      <c r="L344" s="222">
        <v>9.0</v>
      </c>
      <c r="M344" s="222">
        <f t="shared" si="39"/>
        <v>2026</v>
      </c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hidden="1" customHeight="1">
      <c r="A345" s="272">
        <v>46295.0</v>
      </c>
      <c r="B345" s="208">
        <v>30.0</v>
      </c>
      <c r="C345" s="222">
        <v>9.0</v>
      </c>
      <c r="D345" s="208">
        <v>2026.0</v>
      </c>
      <c r="E345" s="277" t="s">
        <v>150</v>
      </c>
      <c r="F345" s="130">
        <v>1.0</v>
      </c>
      <c r="G345" s="278">
        <v>393.2</v>
      </c>
      <c r="H345" s="279">
        <v>393.2</v>
      </c>
      <c r="I345" s="277" t="s">
        <v>2</v>
      </c>
      <c r="J345" s="205" t="s">
        <v>817</v>
      </c>
      <c r="K345" s="222">
        <f t="shared" si="38"/>
        <v>9</v>
      </c>
      <c r="L345" s="222">
        <v>9.0</v>
      </c>
      <c r="M345" s="222">
        <f t="shared" si="39"/>
        <v>2026</v>
      </c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hidden="1" customHeight="1">
      <c r="A346" s="272"/>
      <c r="B346" s="208"/>
      <c r="C346" s="222"/>
      <c r="D346" s="208"/>
      <c r="E346" s="209"/>
      <c r="F346" s="208"/>
      <c r="G346" s="273"/>
      <c r="H346" s="273"/>
      <c r="I346" s="209"/>
      <c r="J346" s="209"/>
      <c r="K346" s="222"/>
      <c r="L346" s="222"/>
      <c r="M346" s="222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hidden="1" customHeight="1">
      <c r="A347" s="280"/>
      <c r="B347" s="281"/>
      <c r="C347" s="222"/>
      <c r="D347" s="282"/>
      <c r="E347" s="283"/>
      <c r="F347" s="281"/>
      <c r="G347" s="276"/>
      <c r="H347" s="278"/>
      <c r="I347" s="277"/>
      <c r="J347" s="277"/>
      <c r="K347" s="222"/>
      <c r="L347" s="222"/>
      <c r="M347" s="222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5.75" hidden="1" customHeight="1">
      <c r="A348" s="275"/>
      <c r="B348" s="194"/>
      <c r="C348" s="222"/>
      <c r="D348" s="194"/>
      <c r="E348" s="74"/>
      <c r="F348" s="194"/>
      <c r="G348" s="187"/>
      <c r="H348" s="187"/>
      <c r="I348" s="74"/>
      <c r="J348" s="74"/>
      <c r="K348" s="222"/>
      <c r="L348" s="222"/>
      <c r="M348" s="222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hidden="1" customHeight="1">
      <c r="A349" s="275"/>
      <c r="B349" s="194"/>
      <c r="C349" s="222"/>
      <c r="D349" s="194"/>
      <c r="E349" s="284"/>
      <c r="F349" s="284"/>
      <c r="G349" s="285"/>
      <c r="H349" s="187"/>
      <c r="I349" s="74"/>
      <c r="J349" s="74"/>
      <c r="K349" s="222"/>
      <c r="L349" s="222"/>
      <c r="M349" s="222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hidden="1" customHeight="1">
      <c r="A350" s="275"/>
      <c r="B350" s="194"/>
      <c r="C350" s="222"/>
      <c r="D350" s="194"/>
      <c r="E350" s="74"/>
      <c r="F350" s="27"/>
      <c r="G350" s="276"/>
      <c r="H350" s="187"/>
      <c r="I350" s="74"/>
      <c r="J350" s="74"/>
      <c r="K350" s="222"/>
      <c r="L350" s="222"/>
      <c r="M350" s="222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hidden="1" customHeight="1">
      <c r="A351" s="275"/>
      <c r="B351" s="194"/>
      <c r="C351" s="222"/>
      <c r="D351" s="194"/>
      <c r="E351" s="74"/>
      <c r="F351" s="194"/>
      <c r="G351" s="187"/>
      <c r="H351" s="187"/>
      <c r="I351" s="74"/>
      <c r="J351" s="74"/>
      <c r="K351" s="222"/>
      <c r="L351" s="222"/>
      <c r="M351" s="222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hidden="1" customHeight="1">
      <c r="A352" s="275"/>
      <c r="B352" s="194"/>
      <c r="C352" s="222"/>
      <c r="D352" s="194"/>
      <c r="E352" s="74"/>
      <c r="F352" s="194"/>
      <c r="G352" s="187"/>
      <c r="H352" s="286"/>
      <c r="I352" s="74"/>
      <c r="J352" s="74"/>
      <c r="K352" s="222"/>
      <c r="L352" s="222"/>
      <c r="M352" s="222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hidden="1" customHeight="1">
      <c r="A353" s="275"/>
      <c r="B353" s="194"/>
      <c r="C353" s="222"/>
      <c r="D353" s="194"/>
      <c r="E353" s="74"/>
      <c r="F353" s="74"/>
      <c r="G353" s="276"/>
      <c r="H353" s="187"/>
      <c r="I353" s="74"/>
      <c r="J353" s="74"/>
      <c r="K353" s="222"/>
      <c r="L353" s="222"/>
      <c r="M353" s="222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hidden="1" customHeight="1">
      <c r="A354" s="275"/>
      <c r="B354" s="194"/>
      <c r="C354" s="222"/>
      <c r="D354" s="194"/>
      <c r="E354" s="284"/>
      <c r="F354" s="284"/>
      <c r="G354" s="285"/>
      <c r="H354" s="286"/>
      <c r="I354" s="74"/>
      <c r="J354" s="74"/>
      <c r="K354" s="222"/>
      <c r="L354" s="222"/>
      <c r="M354" s="222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hidden="1" customHeight="1">
      <c r="A355" s="275"/>
      <c r="B355" s="194"/>
      <c r="C355" s="222"/>
      <c r="D355" s="194"/>
      <c r="E355" s="74"/>
      <c r="F355" s="194"/>
      <c r="G355" s="187"/>
      <c r="H355" s="187"/>
      <c r="I355" s="74"/>
      <c r="J355" s="74"/>
      <c r="K355" s="222"/>
      <c r="L355" s="222"/>
      <c r="M355" s="222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hidden="1" customHeight="1">
      <c r="A356" s="275" t="str">
        <f>A355</f>
        <v/>
      </c>
      <c r="B356" s="194">
        <f>day(A356)</f>
        <v>30</v>
      </c>
      <c r="C356" s="222">
        <v>6.0</v>
      </c>
      <c r="D356" s="194">
        <f>year(A356)</f>
        <v>1899</v>
      </c>
      <c r="E356" s="74" t="s">
        <v>145</v>
      </c>
      <c r="F356" s="74">
        <v>4.0</v>
      </c>
      <c r="G356" s="276">
        <v>2.0</v>
      </c>
      <c r="H356" s="187">
        <f>F356*G356</f>
        <v>8</v>
      </c>
      <c r="I356" s="74" t="s">
        <v>262</v>
      </c>
      <c r="J356" s="74"/>
      <c r="K356" s="222">
        <v>6.0</v>
      </c>
      <c r="L356" s="222">
        <v>6.0</v>
      </c>
      <c r="M356" s="222">
        <v>2026.0</v>
      </c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hidden="1" customHeight="1">
      <c r="A357" s="275"/>
      <c r="B357" s="194"/>
      <c r="C357" s="222"/>
      <c r="D357" s="194"/>
      <c r="E357" s="223"/>
      <c r="F357" s="32"/>
      <c r="G357" s="227"/>
      <c r="H357" s="225"/>
      <c r="I357" s="223"/>
      <c r="J357" s="223"/>
      <c r="K357" s="222"/>
      <c r="L357" s="222"/>
      <c r="M357" s="222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hidden="1" customHeight="1">
      <c r="A358" s="228"/>
      <c r="B358" s="222"/>
      <c r="C358" s="222"/>
      <c r="D358" s="222"/>
      <c r="E358" s="223"/>
      <c r="F358" s="223"/>
      <c r="G358" s="227"/>
      <c r="H358" s="225"/>
      <c r="I358" s="223"/>
      <c r="J358" s="223"/>
      <c r="K358" s="222"/>
      <c r="L358" s="222"/>
      <c r="M358" s="222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hidden="1" customHeight="1">
      <c r="A359" s="287"/>
      <c r="B359" s="288"/>
      <c r="C359" s="289"/>
      <c r="D359" s="288"/>
      <c r="E359" s="290"/>
      <c r="F359" s="290"/>
      <c r="G359" s="291"/>
      <c r="H359" s="292"/>
      <c r="I359" s="290"/>
      <c r="J359" s="290"/>
      <c r="K359" s="288"/>
      <c r="L359" s="289"/>
      <c r="M359" s="288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</row>
    <row r="360" ht="15.75" hidden="1" customHeight="1">
      <c r="A360" s="270"/>
      <c r="B360" s="238"/>
      <c r="C360" s="239"/>
      <c r="D360" s="238"/>
      <c r="E360" s="271"/>
      <c r="F360" s="271"/>
      <c r="G360" s="241"/>
      <c r="H360" s="224"/>
      <c r="I360" s="271"/>
      <c r="J360" s="223"/>
      <c r="K360" s="238"/>
      <c r="L360" s="239"/>
      <c r="M360" s="238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hidden="1" customHeight="1">
      <c r="A361" s="226"/>
      <c r="B361" s="222"/>
      <c r="C361" s="222"/>
      <c r="D361" s="222"/>
      <c r="E361" s="223"/>
      <c r="F361" s="32"/>
      <c r="G361" s="227"/>
      <c r="H361" s="227"/>
      <c r="I361" s="223"/>
      <c r="J361" s="223"/>
      <c r="K361" s="222"/>
      <c r="L361" s="222"/>
      <c r="M361" s="222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hidden="1" customHeight="1">
      <c r="A362" s="226"/>
      <c r="B362" s="222"/>
      <c r="C362" s="222"/>
      <c r="D362" s="222"/>
      <c r="E362" s="223"/>
      <c r="F362" s="32"/>
      <c r="G362" s="227"/>
      <c r="H362" s="227"/>
      <c r="I362" s="223"/>
      <c r="J362" s="223"/>
      <c r="K362" s="222"/>
      <c r="L362" s="222"/>
      <c r="M362" s="222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hidden="1" customHeight="1">
      <c r="A363" s="226"/>
      <c r="B363" s="222"/>
      <c r="C363" s="222"/>
      <c r="D363" s="222"/>
      <c r="E363" s="223"/>
      <c r="F363" s="32"/>
      <c r="G363" s="227"/>
      <c r="H363" s="227"/>
      <c r="I363" s="223"/>
      <c r="J363" s="223"/>
      <c r="K363" s="222"/>
      <c r="L363" s="222"/>
      <c r="M363" s="222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hidden="1" customHeight="1">
      <c r="A364" s="226"/>
      <c r="B364" s="222"/>
      <c r="C364" s="222"/>
      <c r="D364" s="222"/>
      <c r="E364" s="223"/>
      <c r="F364" s="32"/>
      <c r="G364" s="227"/>
      <c r="H364" s="227"/>
      <c r="I364" s="223"/>
      <c r="J364" s="223" t="s">
        <v>1143</v>
      </c>
      <c r="K364" s="222"/>
      <c r="L364" s="222"/>
      <c r="M364" s="222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hidden="1" customHeight="1">
      <c r="A365" s="226"/>
      <c r="B365" s="222"/>
      <c r="C365" s="222"/>
      <c r="D365" s="222"/>
      <c r="E365" s="223"/>
      <c r="F365" s="32"/>
      <c r="G365" s="227"/>
      <c r="H365" s="227"/>
      <c r="I365" s="223"/>
      <c r="J365" s="223"/>
      <c r="K365" s="222"/>
      <c r="L365" s="222"/>
      <c r="M365" s="222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hidden="1" customHeight="1">
      <c r="A366" s="226"/>
      <c r="B366" s="222"/>
      <c r="C366" s="222"/>
      <c r="D366" s="222"/>
      <c r="E366" s="223"/>
      <c r="F366" s="32"/>
      <c r="G366" s="227"/>
      <c r="H366" s="227"/>
      <c r="I366" s="223"/>
      <c r="J366" s="223"/>
      <c r="K366" s="222"/>
      <c r="L366" s="222"/>
      <c r="M366" s="222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hidden="1" customHeight="1">
      <c r="A367" s="226"/>
      <c r="B367" s="222"/>
      <c r="C367" s="222"/>
      <c r="D367" s="222"/>
      <c r="E367" s="223"/>
      <c r="F367" s="32"/>
      <c r="G367" s="227"/>
      <c r="H367" s="227"/>
      <c r="I367" s="223"/>
      <c r="J367" s="223"/>
      <c r="K367" s="222"/>
      <c r="L367" s="222"/>
      <c r="M367" s="222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hidden="1" customHeight="1">
      <c r="A368" s="226"/>
      <c r="B368" s="222"/>
      <c r="C368" s="222"/>
      <c r="D368" s="222"/>
      <c r="E368" s="223"/>
      <c r="F368" s="32"/>
      <c r="G368" s="227"/>
      <c r="H368" s="227"/>
      <c r="I368" s="223"/>
      <c r="J368" s="223"/>
      <c r="K368" s="222"/>
      <c r="L368" s="222"/>
      <c r="M368" s="222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hidden="1" customHeight="1">
      <c r="A369" s="226"/>
      <c r="B369" s="222"/>
      <c r="C369" s="222"/>
      <c r="D369" s="222"/>
      <c r="E369" s="223"/>
      <c r="F369" s="32"/>
      <c r="G369" s="227"/>
      <c r="H369" s="227"/>
      <c r="I369" s="223"/>
      <c r="J369" s="223"/>
      <c r="K369" s="222"/>
      <c r="L369" s="222"/>
      <c r="M369" s="222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hidden="1" customHeight="1">
      <c r="A370" s="226"/>
      <c r="B370" s="222"/>
      <c r="C370" s="222"/>
      <c r="D370" s="222"/>
      <c r="E370" s="223"/>
      <c r="F370" s="32"/>
      <c r="G370" s="227"/>
      <c r="H370" s="227"/>
      <c r="I370" s="223"/>
      <c r="J370" s="223"/>
      <c r="K370" s="222"/>
      <c r="L370" s="222"/>
      <c r="M370" s="222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hidden="1" customHeight="1">
      <c r="A371" s="226"/>
      <c r="B371" s="222"/>
      <c r="C371" s="222"/>
      <c r="D371" s="222"/>
      <c r="E371" s="223"/>
      <c r="F371" s="32"/>
      <c r="G371" s="227"/>
      <c r="H371" s="227"/>
      <c r="I371" s="223"/>
      <c r="J371" s="223"/>
      <c r="K371" s="222"/>
      <c r="L371" s="222"/>
      <c r="M371" s="222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hidden="1" customHeight="1">
      <c r="A372" s="226"/>
      <c r="B372" s="222"/>
      <c r="C372" s="222"/>
      <c r="D372" s="222"/>
      <c r="E372" s="223"/>
      <c r="F372" s="32"/>
      <c r="G372" s="227"/>
      <c r="H372" s="227"/>
      <c r="I372" s="223"/>
      <c r="J372" s="223"/>
      <c r="K372" s="222"/>
      <c r="L372" s="222"/>
      <c r="M372" s="222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hidden="1" customHeight="1">
      <c r="A373" s="226"/>
      <c r="B373" s="222"/>
      <c r="C373" s="222"/>
      <c r="D373" s="222"/>
      <c r="E373" s="223"/>
      <c r="F373" s="32"/>
      <c r="G373" s="227"/>
      <c r="H373" s="227"/>
      <c r="I373" s="223"/>
      <c r="J373" s="223"/>
      <c r="K373" s="222"/>
      <c r="L373" s="222"/>
      <c r="M373" s="222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hidden="1" customHeight="1">
      <c r="A374" s="226"/>
      <c r="B374" s="222"/>
      <c r="C374" s="222"/>
      <c r="D374" s="222"/>
      <c r="E374" s="223"/>
      <c r="F374" s="32"/>
      <c r="G374" s="227"/>
      <c r="H374" s="227"/>
      <c r="I374" s="223"/>
      <c r="J374" s="223"/>
      <c r="K374" s="222"/>
      <c r="L374" s="222"/>
      <c r="M374" s="222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hidden="1" customHeight="1">
      <c r="A375" s="226"/>
      <c r="B375" s="222"/>
      <c r="C375" s="222"/>
      <c r="D375" s="222"/>
      <c r="E375" s="223"/>
      <c r="F375" s="32"/>
      <c r="G375" s="227"/>
      <c r="H375" s="227"/>
      <c r="I375" s="223"/>
      <c r="J375" s="223"/>
      <c r="K375" s="222"/>
      <c r="L375" s="222"/>
      <c r="M375" s="222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hidden="1" customHeight="1">
      <c r="A376" s="226"/>
      <c r="B376" s="222"/>
      <c r="C376" s="222"/>
      <c r="D376" s="222"/>
      <c r="E376" s="223"/>
      <c r="F376" s="32"/>
      <c r="G376" s="227"/>
      <c r="H376" s="227"/>
      <c r="I376" s="223"/>
      <c r="J376" s="223"/>
      <c r="K376" s="222"/>
      <c r="L376" s="222"/>
      <c r="M376" s="222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hidden="1" customHeight="1">
      <c r="A377" s="226"/>
      <c r="B377" s="222"/>
      <c r="C377" s="222"/>
      <c r="D377" s="222"/>
      <c r="E377" s="223"/>
      <c r="F377" s="32"/>
      <c r="G377" s="227"/>
      <c r="H377" s="227"/>
      <c r="I377" s="223"/>
      <c r="J377" s="223"/>
      <c r="K377" s="222"/>
      <c r="L377" s="222"/>
      <c r="M377" s="222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hidden="1" customHeight="1">
      <c r="A378" s="226"/>
      <c r="B378" s="222"/>
      <c r="C378" s="222"/>
      <c r="D378" s="222"/>
      <c r="E378" s="223"/>
      <c r="F378" s="32"/>
      <c r="G378" s="227"/>
      <c r="H378" s="227"/>
      <c r="I378" s="223"/>
      <c r="J378" s="223"/>
      <c r="K378" s="222"/>
      <c r="L378" s="222"/>
      <c r="M378" s="222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hidden="1" customHeight="1">
      <c r="A379" s="226"/>
      <c r="B379" s="222"/>
      <c r="C379" s="222"/>
      <c r="D379" s="222"/>
      <c r="E379" s="223"/>
      <c r="F379" s="32"/>
      <c r="G379" s="227"/>
      <c r="H379" s="227"/>
      <c r="I379" s="223"/>
      <c r="J379" s="223"/>
      <c r="K379" s="222"/>
      <c r="L379" s="222"/>
      <c r="M379" s="222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hidden="1" customHeight="1">
      <c r="A380" s="226"/>
      <c r="B380" s="222"/>
      <c r="C380" s="222"/>
      <c r="D380" s="222"/>
      <c r="E380" s="223"/>
      <c r="F380" s="32"/>
      <c r="G380" s="227"/>
      <c r="H380" s="227"/>
      <c r="I380" s="223"/>
      <c r="J380" s="223"/>
      <c r="K380" s="222"/>
      <c r="L380" s="222"/>
      <c r="M380" s="222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hidden="1" customHeight="1">
      <c r="A381" s="226"/>
      <c r="B381" s="222"/>
      <c r="C381" s="222"/>
      <c r="D381" s="222"/>
      <c r="E381" s="223"/>
      <c r="F381" s="32"/>
      <c r="G381" s="227"/>
      <c r="H381" s="227"/>
      <c r="I381" s="223"/>
      <c r="J381" s="223"/>
      <c r="K381" s="222"/>
      <c r="L381" s="222"/>
      <c r="M381" s="222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hidden="1" customHeight="1">
      <c r="A382" s="226"/>
      <c r="B382" s="222"/>
      <c r="C382" s="222"/>
      <c r="D382" s="222"/>
      <c r="E382" s="223"/>
      <c r="F382" s="32"/>
      <c r="G382" s="227"/>
      <c r="H382" s="227"/>
      <c r="I382" s="223"/>
      <c r="J382" s="223"/>
      <c r="K382" s="222"/>
      <c r="L382" s="222"/>
      <c r="M382" s="222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hidden="1" customHeight="1">
      <c r="A383" s="226"/>
      <c r="B383" s="222"/>
      <c r="C383" s="222"/>
      <c r="D383" s="222"/>
      <c r="E383" s="223"/>
      <c r="F383" s="32"/>
      <c r="G383" s="227"/>
      <c r="H383" s="227"/>
      <c r="I383" s="223"/>
      <c r="J383" s="223"/>
      <c r="K383" s="222"/>
      <c r="L383" s="222"/>
      <c r="M383" s="222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hidden="1" customHeight="1">
      <c r="A384" s="226"/>
      <c r="B384" s="222"/>
      <c r="C384" s="222"/>
      <c r="D384" s="222"/>
      <c r="E384" s="223"/>
      <c r="F384" s="32"/>
      <c r="G384" s="227"/>
      <c r="H384" s="227"/>
      <c r="I384" s="223"/>
      <c r="J384" s="223"/>
      <c r="K384" s="222"/>
      <c r="L384" s="222"/>
      <c r="M384" s="222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hidden="1" customHeight="1">
      <c r="A385" s="226"/>
      <c r="B385" s="222"/>
      <c r="C385" s="222"/>
      <c r="D385" s="222"/>
      <c r="E385" s="223"/>
      <c r="F385" s="32"/>
      <c r="G385" s="227"/>
      <c r="H385" s="227"/>
      <c r="I385" s="223"/>
      <c r="J385" s="223"/>
      <c r="K385" s="222"/>
      <c r="L385" s="222"/>
      <c r="M385" s="222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hidden="1" customHeight="1">
      <c r="A386" s="226"/>
      <c r="B386" s="222"/>
      <c r="C386" s="222"/>
      <c r="D386" s="222"/>
      <c r="E386" s="223"/>
      <c r="F386" s="32"/>
      <c r="G386" s="227"/>
      <c r="H386" s="227"/>
      <c r="I386" s="223"/>
      <c r="J386" s="223"/>
      <c r="K386" s="222"/>
      <c r="L386" s="222"/>
      <c r="M386" s="222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hidden="1" customHeight="1">
      <c r="A387" s="226"/>
      <c r="B387" s="222"/>
      <c r="C387" s="222"/>
      <c r="D387" s="222"/>
      <c r="E387" s="223"/>
      <c r="F387" s="32"/>
      <c r="G387" s="227"/>
      <c r="H387" s="227"/>
      <c r="I387" s="223"/>
      <c r="J387" s="223"/>
      <c r="K387" s="222"/>
      <c r="L387" s="222"/>
      <c r="M387" s="222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hidden="1" customHeight="1">
      <c r="A388" s="226"/>
      <c r="B388" s="222"/>
      <c r="C388" s="222"/>
      <c r="D388" s="222"/>
      <c r="E388" s="223"/>
      <c r="F388" s="32"/>
      <c r="G388" s="227"/>
      <c r="H388" s="227"/>
      <c r="I388" s="223"/>
      <c r="J388" s="223"/>
      <c r="K388" s="222"/>
      <c r="L388" s="222"/>
      <c r="M388" s="222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hidden="1" customHeight="1">
      <c r="A389" s="226"/>
      <c r="B389" s="222"/>
      <c r="C389" s="222"/>
      <c r="D389" s="222"/>
      <c r="E389" s="223"/>
      <c r="F389" s="32"/>
      <c r="G389" s="227"/>
      <c r="H389" s="227"/>
      <c r="I389" s="223"/>
      <c r="J389" s="223"/>
      <c r="K389" s="222"/>
      <c r="L389" s="222"/>
      <c r="M389" s="222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hidden="1" customHeight="1">
      <c r="A390" s="226"/>
      <c r="B390" s="222"/>
      <c r="C390" s="222"/>
      <c r="D390" s="222"/>
      <c r="E390" s="223"/>
      <c r="F390" s="32"/>
      <c r="G390" s="227"/>
      <c r="H390" s="227"/>
      <c r="I390" s="223"/>
      <c r="J390" s="223"/>
      <c r="K390" s="222"/>
      <c r="L390" s="222"/>
      <c r="M390" s="222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hidden="1" customHeight="1">
      <c r="A391" s="226"/>
      <c r="B391" s="222"/>
      <c r="C391" s="222"/>
      <c r="D391" s="222"/>
      <c r="E391" s="223"/>
      <c r="F391" s="32"/>
      <c r="G391" s="227"/>
      <c r="H391" s="227"/>
      <c r="I391" s="223"/>
      <c r="J391" s="223"/>
      <c r="K391" s="222"/>
      <c r="L391" s="222"/>
      <c r="M391" s="222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hidden="1" customHeight="1">
      <c r="A392" s="226"/>
      <c r="B392" s="222"/>
      <c r="C392" s="222"/>
      <c r="D392" s="222"/>
      <c r="E392" s="223"/>
      <c r="F392" s="32"/>
      <c r="G392" s="227"/>
      <c r="H392" s="227"/>
      <c r="I392" s="223"/>
      <c r="J392" s="223"/>
      <c r="K392" s="222"/>
      <c r="L392" s="222"/>
      <c r="M392" s="222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hidden="1" customHeight="1">
      <c r="A393" s="226"/>
      <c r="B393" s="222"/>
      <c r="C393" s="222"/>
      <c r="D393" s="222"/>
      <c r="E393" s="223"/>
      <c r="F393" s="32"/>
      <c r="G393" s="227"/>
      <c r="H393" s="227"/>
      <c r="I393" s="223"/>
      <c r="J393" s="223"/>
      <c r="K393" s="222"/>
      <c r="L393" s="222"/>
      <c r="M393" s="222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hidden="1" customHeight="1">
      <c r="A394" s="226"/>
      <c r="B394" s="222"/>
      <c r="C394" s="222"/>
      <c r="D394" s="222"/>
      <c r="E394" s="223"/>
      <c r="F394" s="32"/>
      <c r="G394" s="227"/>
      <c r="H394" s="227"/>
      <c r="I394" s="223"/>
      <c r="J394" s="223"/>
      <c r="K394" s="222"/>
      <c r="L394" s="222"/>
      <c r="M394" s="222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hidden="1" customHeight="1">
      <c r="A395" s="226"/>
      <c r="B395" s="222"/>
      <c r="C395" s="222"/>
      <c r="D395" s="222"/>
      <c r="E395" s="223"/>
      <c r="F395" s="32"/>
      <c r="G395" s="227"/>
      <c r="H395" s="227"/>
      <c r="I395" s="223"/>
      <c r="J395" s="223"/>
      <c r="K395" s="222"/>
      <c r="L395" s="222"/>
      <c r="M395" s="222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hidden="1" customHeight="1">
      <c r="A396" s="226"/>
      <c r="B396" s="222"/>
      <c r="C396" s="222"/>
      <c r="D396" s="222"/>
      <c r="E396" s="223"/>
      <c r="F396" s="32"/>
      <c r="G396" s="227"/>
      <c r="H396" s="227"/>
      <c r="I396" s="223"/>
      <c r="J396" s="223"/>
      <c r="K396" s="222"/>
      <c r="L396" s="222"/>
      <c r="M396" s="222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hidden="1" customHeight="1">
      <c r="A397" s="226"/>
      <c r="B397" s="222"/>
      <c r="C397" s="222"/>
      <c r="D397" s="222"/>
      <c r="E397" s="223"/>
      <c r="F397" s="32"/>
      <c r="G397" s="227"/>
      <c r="H397" s="227"/>
      <c r="I397" s="223"/>
      <c r="J397" s="223"/>
      <c r="K397" s="222"/>
      <c r="L397" s="222"/>
      <c r="M397" s="222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hidden="1" customHeight="1">
      <c r="A398" s="226"/>
      <c r="B398" s="222"/>
      <c r="C398" s="222"/>
      <c r="D398" s="222"/>
      <c r="E398" s="223"/>
      <c r="F398" s="32"/>
      <c r="G398" s="227"/>
      <c r="H398" s="227"/>
      <c r="I398" s="223"/>
      <c r="J398" s="223"/>
      <c r="K398" s="222"/>
      <c r="L398" s="222"/>
      <c r="M398" s="222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hidden="1" customHeight="1">
      <c r="A399" s="226"/>
      <c r="B399" s="222"/>
      <c r="C399" s="222"/>
      <c r="D399" s="222"/>
      <c r="E399" s="223"/>
      <c r="F399" s="32"/>
      <c r="G399" s="227"/>
      <c r="H399" s="227"/>
      <c r="I399" s="223"/>
      <c r="J399" s="223"/>
      <c r="K399" s="222"/>
      <c r="L399" s="222"/>
      <c r="M399" s="222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hidden="1" customHeight="1">
      <c r="A400" s="226"/>
      <c r="B400" s="222"/>
      <c r="C400" s="222"/>
      <c r="D400" s="222"/>
      <c r="E400" s="223"/>
      <c r="F400" s="32"/>
      <c r="G400" s="227"/>
      <c r="H400" s="227"/>
      <c r="I400" s="223"/>
      <c r="J400" s="223"/>
      <c r="K400" s="222"/>
      <c r="L400" s="222"/>
      <c r="M400" s="222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hidden="1" customHeight="1">
      <c r="A401" s="226"/>
      <c r="B401" s="222"/>
      <c r="C401" s="222"/>
      <c r="D401" s="222"/>
      <c r="E401" s="223"/>
      <c r="F401" s="32"/>
      <c r="G401" s="227"/>
      <c r="H401" s="227"/>
      <c r="I401" s="223"/>
      <c r="J401" s="223"/>
      <c r="K401" s="222"/>
      <c r="L401" s="222"/>
      <c r="M401" s="222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hidden="1" customHeight="1">
      <c r="A402" s="226"/>
      <c r="B402" s="222"/>
      <c r="C402" s="222"/>
      <c r="D402" s="222"/>
      <c r="E402" s="223"/>
      <c r="F402" s="32"/>
      <c r="G402" s="227"/>
      <c r="H402" s="227"/>
      <c r="I402" s="223"/>
      <c r="J402" s="223"/>
      <c r="K402" s="222"/>
      <c r="L402" s="222"/>
      <c r="M402" s="222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hidden="1" customHeight="1">
      <c r="A403" s="226"/>
      <c r="B403" s="222"/>
      <c r="C403" s="222"/>
      <c r="D403" s="222"/>
      <c r="E403" s="223"/>
      <c r="F403" s="32"/>
      <c r="G403" s="227"/>
      <c r="H403" s="227"/>
      <c r="I403" s="223"/>
      <c r="J403" s="223"/>
      <c r="K403" s="222"/>
      <c r="L403" s="222"/>
      <c r="M403" s="222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hidden="1" customHeight="1">
      <c r="A404" s="226"/>
      <c r="B404" s="222"/>
      <c r="C404" s="222"/>
      <c r="D404" s="222"/>
      <c r="E404" s="223"/>
      <c r="F404" s="32"/>
      <c r="G404" s="227"/>
      <c r="H404" s="227"/>
      <c r="I404" s="223"/>
      <c r="J404" s="223"/>
      <c r="K404" s="222"/>
      <c r="L404" s="222"/>
      <c r="M404" s="222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hidden="1" customHeight="1">
      <c r="A405" s="226"/>
      <c r="B405" s="222"/>
      <c r="C405" s="222"/>
      <c r="D405" s="222"/>
      <c r="E405" s="223"/>
      <c r="F405" s="32"/>
      <c r="G405" s="227"/>
      <c r="H405" s="227"/>
      <c r="I405" s="223"/>
      <c r="J405" s="223"/>
      <c r="K405" s="222"/>
      <c r="L405" s="222"/>
      <c r="M405" s="222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hidden="1" customHeight="1">
      <c r="A406" s="226"/>
      <c r="B406" s="222"/>
      <c r="C406" s="222"/>
      <c r="D406" s="222"/>
      <c r="E406" s="223"/>
      <c r="F406" s="32"/>
      <c r="G406" s="227"/>
      <c r="H406" s="227"/>
      <c r="I406" s="223"/>
      <c r="J406" s="223"/>
      <c r="K406" s="222"/>
      <c r="L406" s="222"/>
      <c r="M406" s="222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hidden="1" customHeight="1">
      <c r="A407" s="226"/>
      <c r="B407" s="222"/>
      <c r="C407" s="222"/>
      <c r="D407" s="222"/>
      <c r="E407" s="223"/>
      <c r="F407" s="32"/>
      <c r="G407" s="227"/>
      <c r="H407" s="227"/>
      <c r="I407" s="223"/>
      <c r="J407" s="223"/>
      <c r="K407" s="222"/>
      <c r="L407" s="222"/>
      <c r="M407" s="222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hidden="1" customHeight="1">
      <c r="A408" s="226"/>
      <c r="B408" s="222"/>
      <c r="C408" s="222"/>
      <c r="D408" s="222"/>
      <c r="E408" s="223"/>
      <c r="F408" s="32"/>
      <c r="G408" s="227"/>
      <c r="H408" s="227"/>
      <c r="I408" s="223"/>
      <c r="J408" s="223"/>
      <c r="K408" s="222"/>
      <c r="L408" s="222"/>
      <c r="M408" s="222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hidden="1" customHeight="1">
      <c r="A409" s="226"/>
      <c r="B409" s="222"/>
      <c r="C409" s="222"/>
      <c r="D409" s="222"/>
      <c r="E409" s="223"/>
      <c r="F409" s="32"/>
      <c r="G409" s="227"/>
      <c r="H409" s="227"/>
      <c r="I409" s="223"/>
      <c r="J409" s="223"/>
      <c r="K409" s="222"/>
      <c r="L409" s="222"/>
      <c r="M409" s="222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hidden="1" customHeight="1">
      <c r="A410" s="226"/>
      <c r="B410" s="222"/>
      <c r="C410" s="222"/>
      <c r="D410" s="222"/>
      <c r="E410" s="223"/>
      <c r="F410" s="32"/>
      <c r="G410" s="227"/>
      <c r="H410" s="227"/>
      <c r="I410" s="223"/>
      <c r="J410" s="223"/>
      <c r="K410" s="222"/>
      <c r="L410" s="222"/>
      <c r="M410" s="222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hidden="1" customHeight="1">
      <c r="A411" s="226"/>
      <c r="B411" s="222"/>
      <c r="C411" s="222"/>
      <c r="D411" s="222"/>
      <c r="E411" s="223"/>
      <c r="F411" s="32"/>
      <c r="G411" s="227"/>
      <c r="H411" s="227"/>
      <c r="I411" s="223"/>
      <c r="J411" s="223"/>
      <c r="K411" s="222"/>
      <c r="L411" s="222"/>
      <c r="M411" s="222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hidden="1" customHeight="1">
      <c r="A412" s="226"/>
      <c r="B412" s="222"/>
      <c r="C412" s="222"/>
      <c r="D412" s="222"/>
      <c r="E412" s="223"/>
      <c r="F412" s="32"/>
      <c r="G412" s="227"/>
      <c r="H412" s="227"/>
      <c r="I412" s="223"/>
      <c r="J412" s="223"/>
      <c r="K412" s="222"/>
      <c r="L412" s="222"/>
      <c r="M412" s="222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hidden="1" customHeight="1">
      <c r="A413" s="226"/>
      <c r="B413" s="222"/>
      <c r="C413" s="222"/>
      <c r="D413" s="222"/>
      <c r="E413" s="223"/>
      <c r="F413" s="32"/>
      <c r="G413" s="227"/>
      <c r="H413" s="227"/>
      <c r="I413" s="223"/>
      <c r="J413" s="223"/>
      <c r="K413" s="222"/>
      <c r="L413" s="222"/>
      <c r="M413" s="222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hidden="1" customHeight="1">
      <c r="A414" s="226"/>
      <c r="B414" s="222"/>
      <c r="C414" s="222"/>
      <c r="D414" s="222"/>
      <c r="E414" s="223"/>
      <c r="F414" s="32"/>
      <c r="G414" s="227"/>
      <c r="H414" s="227"/>
      <c r="I414" s="223"/>
      <c r="J414" s="223"/>
      <c r="K414" s="222"/>
      <c r="L414" s="222"/>
      <c r="M414" s="222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hidden="1" customHeight="1">
      <c r="A415" s="226"/>
      <c r="B415" s="222"/>
      <c r="C415" s="222"/>
      <c r="D415" s="222"/>
      <c r="E415" s="223"/>
      <c r="F415" s="32"/>
      <c r="G415" s="227"/>
      <c r="H415" s="227"/>
      <c r="I415" s="223"/>
      <c r="J415" s="223"/>
      <c r="K415" s="222"/>
      <c r="L415" s="222"/>
      <c r="M415" s="222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hidden="1" customHeight="1">
      <c r="A416" s="226"/>
      <c r="B416" s="222"/>
      <c r="C416" s="222"/>
      <c r="D416" s="222"/>
      <c r="E416" s="223"/>
      <c r="F416" s="32"/>
      <c r="G416" s="227"/>
      <c r="H416" s="227"/>
      <c r="I416" s="223"/>
      <c r="J416" s="223"/>
      <c r="K416" s="222"/>
      <c r="L416" s="222"/>
      <c r="M416" s="222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hidden="1" customHeight="1">
      <c r="A417" s="226"/>
      <c r="B417" s="222"/>
      <c r="C417" s="222"/>
      <c r="D417" s="222"/>
      <c r="E417" s="223"/>
      <c r="F417" s="32"/>
      <c r="G417" s="227"/>
      <c r="H417" s="227"/>
      <c r="I417" s="223"/>
      <c r="J417" s="223"/>
      <c r="K417" s="222"/>
      <c r="L417" s="222"/>
      <c r="M417" s="222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hidden="1" customHeight="1">
      <c r="A418" s="226"/>
      <c r="B418" s="222"/>
      <c r="C418" s="222"/>
      <c r="D418" s="222"/>
      <c r="E418" s="223"/>
      <c r="F418" s="32"/>
      <c r="G418" s="227"/>
      <c r="H418" s="227"/>
      <c r="I418" s="223"/>
      <c r="J418" s="223"/>
      <c r="K418" s="222"/>
      <c r="L418" s="222"/>
      <c r="M418" s="222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hidden="1" customHeight="1">
      <c r="A419" s="226"/>
      <c r="B419" s="222"/>
      <c r="C419" s="222"/>
      <c r="D419" s="222"/>
      <c r="E419" s="223"/>
      <c r="F419" s="32"/>
      <c r="G419" s="227"/>
      <c r="H419" s="227"/>
      <c r="I419" s="223"/>
      <c r="J419" s="223"/>
      <c r="K419" s="222"/>
      <c r="L419" s="222"/>
      <c r="M419" s="222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hidden="1" customHeight="1">
      <c r="A420" s="226"/>
      <c r="B420" s="222"/>
      <c r="C420" s="222"/>
      <c r="D420" s="222"/>
      <c r="E420" s="223"/>
      <c r="F420" s="32"/>
      <c r="G420" s="227"/>
      <c r="H420" s="227"/>
      <c r="I420" s="223"/>
      <c r="J420" s="223"/>
      <c r="K420" s="222"/>
      <c r="L420" s="222"/>
      <c r="M420" s="222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hidden="1" customHeight="1">
      <c r="A421" s="226"/>
      <c r="B421" s="222"/>
      <c r="C421" s="222"/>
      <c r="D421" s="222"/>
      <c r="E421" s="223"/>
      <c r="F421" s="32"/>
      <c r="G421" s="227"/>
      <c r="H421" s="227"/>
      <c r="I421" s="223"/>
      <c r="J421" s="223"/>
      <c r="K421" s="222"/>
      <c r="L421" s="222"/>
      <c r="M421" s="222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hidden="1" customHeight="1">
      <c r="A422" s="226"/>
      <c r="B422" s="222"/>
      <c r="C422" s="222"/>
      <c r="D422" s="222"/>
      <c r="E422" s="223"/>
      <c r="F422" s="32"/>
      <c r="G422" s="227"/>
      <c r="H422" s="227"/>
      <c r="I422" s="223"/>
      <c r="J422" s="223"/>
      <c r="K422" s="222"/>
      <c r="L422" s="222"/>
      <c r="M422" s="222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hidden="1" customHeight="1">
      <c r="A423" s="226"/>
      <c r="B423" s="222"/>
      <c r="C423" s="222"/>
      <c r="D423" s="222"/>
      <c r="E423" s="223"/>
      <c r="F423" s="32"/>
      <c r="G423" s="227"/>
      <c r="H423" s="227"/>
      <c r="I423" s="223"/>
      <c r="J423" s="223"/>
      <c r="K423" s="222"/>
      <c r="L423" s="222"/>
      <c r="M423" s="222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hidden="1" customHeight="1">
      <c r="A424" s="226"/>
      <c r="B424" s="222"/>
      <c r="C424" s="222"/>
      <c r="D424" s="222"/>
      <c r="E424" s="223"/>
      <c r="F424" s="32"/>
      <c r="G424" s="227"/>
      <c r="H424" s="227"/>
      <c r="I424" s="223"/>
      <c r="J424" s="223"/>
      <c r="K424" s="222"/>
      <c r="L424" s="222"/>
      <c r="M424" s="222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hidden="1" customHeight="1">
      <c r="A425" s="226"/>
      <c r="B425" s="222"/>
      <c r="C425" s="222"/>
      <c r="D425" s="222"/>
      <c r="E425" s="223"/>
      <c r="F425" s="32"/>
      <c r="G425" s="227"/>
      <c r="H425" s="227"/>
      <c r="I425" s="223"/>
      <c r="J425" s="223"/>
      <c r="K425" s="222"/>
      <c r="L425" s="222"/>
      <c r="M425" s="222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hidden="1" customHeight="1">
      <c r="A426" s="226"/>
      <c r="B426" s="222"/>
      <c r="C426" s="222"/>
      <c r="D426" s="222"/>
      <c r="E426" s="223"/>
      <c r="F426" s="32"/>
      <c r="G426" s="227"/>
      <c r="H426" s="227"/>
      <c r="I426" s="223"/>
      <c r="J426" s="223"/>
      <c r="K426" s="222"/>
      <c r="L426" s="222"/>
      <c r="M426" s="222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hidden="1" customHeight="1">
      <c r="A427" s="226"/>
      <c r="B427" s="222"/>
      <c r="C427" s="222"/>
      <c r="D427" s="222"/>
      <c r="E427" s="223"/>
      <c r="F427" s="32"/>
      <c r="G427" s="227"/>
      <c r="H427" s="227"/>
      <c r="I427" s="223"/>
      <c r="J427" s="223"/>
      <c r="K427" s="222"/>
      <c r="L427" s="222"/>
      <c r="M427" s="222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hidden="1" customHeight="1">
      <c r="A428" s="226"/>
      <c r="B428" s="222"/>
      <c r="C428" s="222"/>
      <c r="D428" s="222"/>
      <c r="E428" s="223"/>
      <c r="F428" s="32"/>
      <c r="G428" s="227"/>
      <c r="H428" s="227"/>
      <c r="I428" s="223"/>
      <c r="J428" s="223"/>
      <c r="K428" s="222"/>
      <c r="L428" s="222"/>
      <c r="M428" s="222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hidden="1" customHeight="1">
      <c r="A429" s="226"/>
      <c r="B429" s="222"/>
      <c r="C429" s="222"/>
      <c r="D429" s="222"/>
      <c r="E429" s="223"/>
      <c r="F429" s="32"/>
      <c r="G429" s="227"/>
      <c r="H429" s="227"/>
      <c r="I429" s="223"/>
      <c r="J429" s="223"/>
      <c r="K429" s="222"/>
      <c r="L429" s="222"/>
      <c r="M429" s="222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hidden="1" customHeight="1">
      <c r="A430" s="226"/>
      <c r="B430" s="222"/>
      <c r="C430" s="222"/>
      <c r="D430" s="222"/>
      <c r="E430" s="223"/>
      <c r="F430" s="32"/>
      <c r="G430" s="227"/>
      <c r="H430" s="227"/>
      <c r="I430" s="223"/>
      <c r="J430" s="223"/>
      <c r="K430" s="222"/>
      <c r="L430" s="222"/>
      <c r="M430" s="222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hidden="1" customHeight="1">
      <c r="A431" s="226"/>
      <c r="B431" s="222"/>
      <c r="C431" s="222"/>
      <c r="D431" s="222"/>
      <c r="E431" s="223"/>
      <c r="F431" s="32"/>
      <c r="G431" s="227"/>
      <c r="H431" s="227"/>
      <c r="I431" s="223"/>
      <c r="J431" s="223"/>
      <c r="K431" s="222"/>
      <c r="L431" s="222"/>
      <c r="M431" s="222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hidden="1" customHeight="1">
      <c r="A432" s="226"/>
      <c r="B432" s="222"/>
      <c r="C432" s="222"/>
      <c r="D432" s="222"/>
      <c r="E432" s="223"/>
      <c r="F432" s="32"/>
      <c r="G432" s="227"/>
      <c r="H432" s="227"/>
      <c r="I432" s="223"/>
      <c r="J432" s="223"/>
      <c r="K432" s="222"/>
      <c r="L432" s="222"/>
      <c r="M432" s="222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hidden="1" customHeight="1">
      <c r="A433" s="226"/>
      <c r="B433" s="222"/>
      <c r="C433" s="222"/>
      <c r="D433" s="222"/>
      <c r="E433" s="223"/>
      <c r="F433" s="32"/>
      <c r="G433" s="227"/>
      <c r="H433" s="227"/>
      <c r="I433" s="223"/>
      <c r="J433" s="223"/>
      <c r="K433" s="222"/>
      <c r="L433" s="222"/>
      <c r="M433" s="222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hidden="1" customHeight="1">
      <c r="A434" s="226"/>
      <c r="B434" s="222"/>
      <c r="C434" s="222"/>
      <c r="D434" s="222"/>
      <c r="E434" s="223"/>
      <c r="F434" s="32"/>
      <c r="G434" s="227"/>
      <c r="H434" s="227"/>
      <c r="I434" s="223"/>
      <c r="J434" s="223"/>
      <c r="K434" s="222"/>
      <c r="L434" s="222"/>
      <c r="M434" s="222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hidden="1" customHeight="1">
      <c r="A435" s="226"/>
      <c r="B435" s="222"/>
      <c r="C435" s="222"/>
      <c r="D435" s="222"/>
      <c r="E435" s="223"/>
      <c r="F435" s="32"/>
      <c r="G435" s="227"/>
      <c r="H435" s="227"/>
      <c r="I435" s="223"/>
      <c r="J435" s="223"/>
      <c r="K435" s="222"/>
      <c r="L435" s="222"/>
      <c r="M435" s="222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hidden="1" customHeight="1">
      <c r="A436" s="226"/>
      <c r="B436" s="222"/>
      <c r="C436" s="222"/>
      <c r="D436" s="222"/>
      <c r="E436" s="223"/>
      <c r="F436" s="32"/>
      <c r="G436" s="227"/>
      <c r="H436" s="227"/>
      <c r="I436" s="223"/>
      <c r="J436" s="223"/>
      <c r="K436" s="222"/>
      <c r="L436" s="222"/>
      <c r="M436" s="222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hidden="1" customHeight="1">
      <c r="A437" s="226"/>
      <c r="B437" s="222"/>
      <c r="C437" s="222"/>
      <c r="D437" s="222"/>
      <c r="E437" s="223"/>
      <c r="F437" s="32"/>
      <c r="G437" s="227"/>
      <c r="H437" s="227"/>
      <c r="I437" s="223"/>
      <c r="J437" s="223"/>
      <c r="K437" s="222"/>
      <c r="L437" s="222"/>
      <c r="M437" s="222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hidden="1" customHeight="1">
      <c r="A438" s="226"/>
      <c r="B438" s="222"/>
      <c r="C438" s="222"/>
      <c r="D438" s="222"/>
      <c r="E438" s="223"/>
      <c r="F438" s="32"/>
      <c r="G438" s="227"/>
      <c r="H438" s="227"/>
      <c r="I438" s="223"/>
      <c r="J438" s="223"/>
      <c r="K438" s="222"/>
      <c r="L438" s="222"/>
      <c r="M438" s="222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hidden="1" customHeight="1">
      <c r="A439" s="226"/>
      <c r="B439" s="222"/>
      <c r="C439" s="222"/>
      <c r="D439" s="222"/>
      <c r="E439" s="223"/>
      <c r="F439" s="32"/>
      <c r="G439" s="227"/>
      <c r="H439" s="227"/>
      <c r="I439" s="223"/>
      <c r="J439" s="223"/>
      <c r="K439" s="222"/>
      <c r="L439" s="222"/>
      <c r="M439" s="222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hidden="1" customHeight="1">
      <c r="A440" s="226"/>
      <c r="B440" s="222"/>
      <c r="C440" s="222"/>
      <c r="D440" s="222"/>
      <c r="E440" s="223"/>
      <c r="F440" s="32"/>
      <c r="G440" s="227"/>
      <c r="H440" s="227"/>
      <c r="I440" s="223"/>
      <c r="J440" s="223"/>
      <c r="K440" s="222"/>
      <c r="L440" s="222"/>
      <c r="M440" s="222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hidden="1" customHeight="1">
      <c r="A441" s="226"/>
      <c r="B441" s="222"/>
      <c r="C441" s="222"/>
      <c r="D441" s="222"/>
      <c r="E441" s="223"/>
      <c r="F441" s="32"/>
      <c r="G441" s="227"/>
      <c r="H441" s="227"/>
      <c r="I441" s="223"/>
      <c r="J441" s="223"/>
      <c r="K441" s="222"/>
      <c r="L441" s="222"/>
      <c r="M441" s="222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hidden="1" customHeight="1">
      <c r="A442" s="226"/>
      <c r="B442" s="222"/>
      <c r="C442" s="222"/>
      <c r="D442" s="222"/>
      <c r="E442" s="223"/>
      <c r="F442" s="32"/>
      <c r="G442" s="227"/>
      <c r="H442" s="227"/>
      <c r="I442" s="223"/>
      <c r="J442" s="223"/>
      <c r="K442" s="222"/>
      <c r="L442" s="222"/>
      <c r="M442" s="222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hidden="1" customHeight="1">
      <c r="A443" s="226"/>
      <c r="B443" s="222"/>
      <c r="C443" s="222"/>
      <c r="D443" s="222"/>
      <c r="E443" s="223"/>
      <c r="F443" s="32"/>
      <c r="G443" s="227"/>
      <c r="H443" s="227"/>
      <c r="I443" s="223"/>
      <c r="J443" s="223"/>
      <c r="K443" s="222"/>
      <c r="L443" s="222"/>
      <c r="M443" s="222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hidden="1" customHeight="1">
      <c r="A444" s="226"/>
      <c r="B444" s="222"/>
      <c r="C444" s="222"/>
      <c r="D444" s="222"/>
      <c r="E444" s="223"/>
      <c r="F444" s="32"/>
      <c r="G444" s="227"/>
      <c r="H444" s="227"/>
      <c r="I444" s="223"/>
      <c r="J444" s="223"/>
      <c r="K444" s="222"/>
      <c r="L444" s="222"/>
      <c r="M444" s="222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hidden="1" customHeight="1">
      <c r="A445" s="226"/>
      <c r="B445" s="222"/>
      <c r="C445" s="222"/>
      <c r="D445" s="222"/>
      <c r="E445" s="223"/>
      <c r="F445" s="32"/>
      <c r="G445" s="227"/>
      <c r="H445" s="227"/>
      <c r="I445" s="223"/>
      <c r="J445" s="223"/>
      <c r="K445" s="222"/>
      <c r="L445" s="222"/>
      <c r="M445" s="222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hidden="1" customHeight="1">
      <c r="A446" s="226"/>
      <c r="B446" s="222"/>
      <c r="C446" s="222"/>
      <c r="D446" s="222"/>
      <c r="E446" s="223"/>
      <c r="F446" s="32"/>
      <c r="G446" s="227"/>
      <c r="H446" s="227"/>
      <c r="I446" s="223"/>
      <c r="J446" s="223"/>
      <c r="K446" s="222"/>
      <c r="L446" s="222"/>
      <c r="M446" s="222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hidden="1" customHeight="1">
      <c r="A447" s="226"/>
      <c r="B447" s="222"/>
      <c r="C447" s="222"/>
      <c r="D447" s="222"/>
      <c r="E447" s="223"/>
      <c r="F447" s="32"/>
      <c r="G447" s="227"/>
      <c r="H447" s="227"/>
      <c r="I447" s="223"/>
      <c r="J447" s="223"/>
      <c r="K447" s="222"/>
      <c r="L447" s="222"/>
      <c r="M447" s="222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hidden="1" customHeight="1">
      <c r="A448" s="226"/>
      <c r="B448" s="222"/>
      <c r="C448" s="222"/>
      <c r="D448" s="222"/>
      <c r="E448" s="223"/>
      <c r="F448" s="32"/>
      <c r="G448" s="227"/>
      <c r="H448" s="227"/>
      <c r="I448" s="223"/>
      <c r="J448" s="223"/>
      <c r="K448" s="222"/>
      <c r="L448" s="222"/>
      <c r="M448" s="222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hidden="1" customHeight="1">
      <c r="A449" s="226"/>
      <c r="B449" s="222"/>
      <c r="C449" s="222"/>
      <c r="D449" s="222"/>
      <c r="E449" s="223"/>
      <c r="F449" s="32"/>
      <c r="G449" s="227"/>
      <c r="H449" s="227"/>
      <c r="I449" s="223"/>
      <c r="J449" s="223"/>
      <c r="K449" s="222"/>
      <c r="L449" s="222"/>
      <c r="M449" s="222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hidden="1" customHeight="1">
      <c r="A450" s="226"/>
      <c r="B450" s="222"/>
      <c r="C450" s="222"/>
      <c r="D450" s="222"/>
      <c r="E450" s="223"/>
      <c r="F450" s="32"/>
      <c r="G450" s="227"/>
      <c r="H450" s="227"/>
      <c r="I450" s="223"/>
      <c r="J450" s="223"/>
      <c r="K450" s="222"/>
      <c r="L450" s="222"/>
      <c r="M450" s="222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hidden="1" customHeight="1">
      <c r="A451" s="226"/>
      <c r="B451" s="222"/>
      <c r="C451" s="222"/>
      <c r="D451" s="222"/>
      <c r="E451" s="223"/>
      <c r="F451" s="32"/>
      <c r="G451" s="227"/>
      <c r="H451" s="227"/>
      <c r="I451" s="223"/>
      <c r="J451" s="223"/>
      <c r="K451" s="222"/>
      <c r="L451" s="222"/>
      <c r="M451" s="222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hidden="1" customHeight="1">
      <c r="A452" s="226"/>
      <c r="B452" s="222"/>
      <c r="C452" s="222"/>
      <c r="D452" s="222"/>
      <c r="E452" s="223"/>
      <c r="F452" s="32"/>
      <c r="G452" s="227"/>
      <c r="H452" s="227"/>
      <c r="I452" s="223"/>
      <c r="J452" s="223"/>
      <c r="K452" s="222"/>
      <c r="L452" s="222"/>
      <c r="M452" s="222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hidden="1" customHeight="1">
      <c r="A453" s="226"/>
      <c r="B453" s="222"/>
      <c r="C453" s="222"/>
      <c r="D453" s="222"/>
      <c r="E453" s="223"/>
      <c r="F453" s="32"/>
      <c r="G453" s="227"/>
      <c r="H453" s="227"/>
      <c r="I453" s="223"/>
      <c r="J453" s="223"/>
      <c r="K453" s="222"/>
      <c r="L453" s="222"/>
      <c r="M453" s="222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hidden="1" customHeight="1">
      <c r="A454" s="226"/>
      <c r="B454" s="222"/>
      <c r="C454" s="222"/>
      <c r="D454" s="222"/>
      <c r="E454" s="223"/>
      <c r="F454" s="32"/>
      <c r="G454" s="227"/>
      <c r="H454" s="227"/>
      <c r="I454" s="223"/>
      <c r="J454" s="223"/>
      <c r="K454" s="222"/>
      <c r="L454" s="222"/>
      <c r="M454" s="222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hidden="1" customHeight="1">
      <c r="A455" s="226"/>
      <c r="B455" s="222"/>
      <c r="C455" s="222"/>
      <c r="D455" s="222"/>
      <c r="E455" s="223"/>
      <c r="F455" s="32"/>
      <c r="G455" s="227"/>
      <c r="H455" s="227"/>
      <c r="I455" s="223"/>
      <c r="J455" s="223"/>
      <c r="K455" s="222"/>
      <c r="L455" s="222"/>
      <c r="M455" s="222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hidden="1" customHeight="1">
      <c r="A456" s="226"/>
      <c r="B456" s="222"/>
      <c r="C456" s="222"/>
      <c r="D456" s="222"/>
      <c r="E456" s="223"/>
      <c r="F456" s="32"/>
      <c r="G456" s="227"/>
      <c r="H456" s="227"/>
      <c r="I456" s="223"/>
      <c r="J456" s="223"/>
      <c r="K456" s="222"/>
      <c r="L456" s="222"/>
      <c r="M456" s="222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hidden="1" customHeight="1">
      <c r="A457" s="226"/>
      <c r="B457" s="222"/>
      <c r="C457" s="222"/>
      <c r="D457" s="222"/>
      <c r="E457" s="223"/>
      <c r="F457" s="32"/>
      <c r="G457" s="227"/>
      <c r="H457" s="227"/>
      <c r="I457" s="223"/>
      <c r="J457" s="223"/>
      <c r="K457" s="222"/>
      <c r="L457" s="222"/>
      <c r="M457" s="222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hidden="1" customHeight="1">
      <c r="A458" s="226"/>
      <c r="B458" s="222"/>
      <c r="C458" s="222"/>
      <c r="D458" s="222"/>
      <c r="E458" s="223"/>
      <c r="F458" s="32"/>
      <c r="G458" s="227"/>
      <c r="H458" s="227"/>
      <c r="I458" s="223"/>
      <c r="J458" s="223"/>
      <c r="K458" s="222"/>
      <c r="L458" s="222"/>
      <c r="M458" s="222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hidden="1" customHeight="1">
      <c r="A459" s="226"/>
      <c r="B459" s="222"/>
      <c r="C459" s="222"/>
      <c r="D459" s="222"/>
      <c r="E459" s="223"/>
      <c r="F459" s="32"/>
      <c r="G459" s="227"/>
      <c r="H459" s="227"/>
      <c r="I459" s="223"/>
      <c r="J459" s="223"/>
      <c r="K459" s="222"/>
      <c r="L459" s="222"/>
      <c r="M459" s="222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hidden="1" customHeight="1">
      <c r="A460" s="226"/>
      <c r="B460" s="222"/>
      <c r="C460" s="222"/>
      <c r="D460" s="222"/>
      <c r="E460" s="223"/>
      <c r="F460" s="32"/>
      <c r="G460" s="227"/>
      <c r="H460" s="227"/>
      <c r="I460" s="223"/>
      <c r="J460" s="223"/>
      <c r="K460" s="222"/>
      <c r="L460" s="222"/>
      <c r="M460" s="222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hidden="1" customHeight="1">
      <c r="A461" s="226"/>
      <c r="B461" s="222"/>
      <c r="C461" s="222"/>
      <c r="D461" s="222"/>
      <c r="E461" s="223"/>
      <c r="F461" s="32"/>
      <c r="G461" s="227"/>
      <c r="H461" s="227"/>
      <c r="I461" s="223"/>
      <c r="J461" s="223"/>
      <c r="K461" s="222"/>
      <c r="L461" s="222"/>
      <c r="M461" s="222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hidden="1" customHeight="1">
      <c r="A462" s="226"/>
      <c r="B462" s="222"/>
      <c r="C462" s="222"/>
      <c r="D462" s="222"/>
      <c r="E462" s="223"/>
      <c r="F462" s="32"/>
      <c r="G462" s="227"/>
      <c r="H462" s="227"/>
      <c r="I462" s="223"/>
      <c r="J462" s="223"/>
      <c r="K462" s="222"/>
      <c r="L462" s="222"/>
      <c r="M462" s="222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hidden="1" customHeight="1">
      <c r="A463" s="226"/>
      <c r="B463" s="222"/>
      <c r="C463" s="222"/>
      <c r="D463" s="222"/>
      <c r="E463" s="223"/>
      <c r="F463" s="32"/>
      <c r="G463" s="227"/>
      <c r="H463" s="227"/>
      <c r="I463" s="223"/>
      <c r="J463" s="223"/>
      <c r="K463" s="222"/>
      <c r="L463" s="222"/>
      <c r="M463" s="222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hidden="1" customHeight="1">
      <c r="A464" s="226"/>
      <c r="B464" s="222"/>
      <c r="C464" s="222"/>
      <c r="D464" s="222"/>
      <c r="E464" s="223"/>
      <c r="F464" s="32"/>
      <c r="G464" s="227"/>
      <c r="H464" s="227"/>
      <c r="I464" s="223"/>
      <c r="J464" s="223"/>
      <c r="K464" s="222"/>
      <c r="L464" s="222"/>
      <c r="M464" s="222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hidden="1" customHeight="1">
      <c r="A465" s="226"/>
      <c r="B465" s="222"/>
      <c r="C465" s="222"/>
      <c r="D465" s="222"/>
      <c r="E465" s="223"/>
      <c r="F465" s="32"/>
      <c r="G465" s="227"/>
      <c r="H465" s="227"/>
      <c r="I465" s="223"/>
      <c r="J465" s="223"/>
      <c r="K465" s="222"/>
      <c r="L465" s="222"/>
      <c r="M465" s="222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hidden="1" customHeight="1">
      <c r="A466" s="226"/>
      <c r="B466" s="222"/>
      <c r="C466" s="222"/>
      <c r="D466" s="222"/>
      <c r="E466" s="223"/>
      <c r="F466" s="32"/>
      <c r="G466" s="227"/>
      <c r="H466" s="227"/>
      <c r="I466" s="223"/>
      <c r="J466" s="223"/>
      <c r="K466" s="222"/>
      <c r="L466" s="222"/>
      <c r="M466" s="222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hidden="1" customHeight="1">
      <c r="A467" s="226"/>
      <c r="B467" s="222"/>
      <c r="C467" s="222"/>
      <c r="D467" s="222"/>
      <c r="E467" s="223"/>
      <c r="F467" s="32"/>
      <c r="G467" s="227"/>
      <c r="H467" s="227"/>
      <c r="I467" s="223"/>
      <c r="J467" s="223"/>
      <c r="K467" s="222"/>
      <c r="L467" s="222"/>
      <c r="M467" s="222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hidden="1" customHeight="1">
      <c r="A468" s="226"/>
      <c r="B468" s="222"/>
      <c r="C468" s="222"/>
      <c r="D468" s="222"/>
      <c r="E468" s="223"/>
      <c r="F468" s="32"/>
      <c r="G468" s="227"/>
      <c r="H468" s="227"/>
      <c r="I468" s="223"/>
      <c r="J468" s="223"/>
      <c r="K468" s="222"/>
      <c r="L468" s="222"/>
      <c r="M468" s="222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hidden="1" customHeight="1">
      <c r="A469" s="226"/>
      <c r="B469" s="222"/>
      <c r="C469" s="222"/>
      <c r="D469" s="222"/>
      <c r="E469" s="223"/>
      <c r="F469" s="32"/>
      <c r="G469" s="227"/>
      <c r="H469" s="227"/>
      <c r="I469" s="223"/>
      <c r="J469" s="223"/>
      <c r="K469" s="222"/>
      <c r="L469" s="222"/>
      <c r="M469" s="222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hidden="1" customHeight="1">
      <c r="A470" s="226"/>
      <c r="B470" s="222"/>
      <c r="C470" s="222"/>
      <c r="D470" s="222"/>
      <c r="E470" s="223"/>
      <c r="F470" s="32"/>
      <c r="G470" s="227"/>
      <c r="H470" s="227"/>
      <c r="I470" s="223"/>
      <c r="J470" s="223"/>
      <c r="K470" s="222"/>
      <c r="L470" s="222"/>
      <c r="M470" s="222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hidden="1" customHeight="1">
      <c r="A471" s="226"/>
      <c r="B471" s="222"/>
      <c r="C471" s="222"/>
      <c r="D471" s="222"/>
      <c r="E471" s="223"/>
      <c r="F471" s="32"/>
      <c r="G471" s="227"/>
      <c r="H471" s="227"/>
      <c r="I471" s="223"/>
      <c r="J471" s="223"/>
      <c r="K471" s="222"/>
      <c r="L471" s="222"/>
      <c r="M471" s="222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hidden="1" customHeight="1">
      <c r="A472" s="226"/>
      <c r="B472" s="222"/>
      <c r="C472" s="222"/>
      <c r="D472" s="222"/>
      <c r="E472" s="223"/>
      <c r="F472" s="32"/>
      <c r="G472" s="227"/>
      <c r="H472" s="227"/>
      <c r="I472" s="223"/>
      <c r="J472" s="223"/>
      <c r="K472" s="222"/>
      <c r="L472" s="222"/>
      <c r="M472" s="222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hidden="1" customHeight="1">
      <c r="A473" s="226"/>
      <c r="B473" s="222"/>
      <c r="C473" s="222"/>
      <c r="D473" s="222"/>
      <c r="E473" s="223"/>
      <c r="F473" s="32"/>
      <c r="G473" s="227"/>
      <c r="H473" s="227"/>
      <c r="I473" s="223"/>
      <c r="J473" s="223"/>
      <c r="K473" s="222"/>
      <c r="L473" s="222"/>
      <c r="M473" s="222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hidden="1" customHeight="1">
      <c r="A474" s="226"/>
      <c r="B474" s="222"/>
      <c r="C474" s="222"/>
      <c r="D474" s="222"/>
      <c r="E474" s="223"/>
      <c r="F474" s="32"/>
      <c r="G474" s="227"/>
      <c r="H474" s="227"/>
      <c r="I474" s="223"/>
      <c r="J474" s="223"/>
      <c r="K474" s="222"/>
      <c r="L474" s="222"/>
      <c r="M474" s="222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hidden="1" customHeight="1">
      <c r="A475" s="226"/>
      <c r="B475" s="222"/>
      <c r="C475" s="222"/>
      <c r="D475" s="222"/>
      <c r="E475" s="223"/>
      <c r="F475" s="32"/>
      <c r="G475" s="227"/>
      <c r="H475" s="227"/>
      <c r="I475" s="223"/>
      <c r="J475" s="223"/>
      <c r="K475" s="222"/>
      <c r="L475" s="222"/>
      <c r="M475" s="222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hidden="1" customHeight="1">
      <c r="A476" s="226"/>
      <c r="B476" s="222"/>
      <c r="C476" s="222"/>
      <c r="D476" s="222"/>
      <c r="E476" s="223"/>
      <c r="F476" s="32"/>
      <c r="G476" s="227"/>
      <c r="H476" s="227"/>
      <c r="I476" s="223"/>
      <c r="J476" s="223"/>
      <c r="K476" s="222"/>
      <c r="L476" s="222"/>
      <c r="M476" s="222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hidden="1" customHeight="1">
      <c r="A477" s="226"/>
      <c r="B477" s="222"/>
      <c r="C477" s="222"/>
      <c r="D477" s="222"/>
      <c r="E477" s="223"/>
      <c r="F477" s="32"/>
      <c r="G477" s="227"/>
      <c r="H477" s="227"/>
      <c r="I477" s="223"/>
      <c r="J477" s="223"/>
      <c r="K477" s="222"/>
      <c r="L477" s="222"/>
      <c r="M477" s="222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hidden="1" customHeight="1">
      <c r="A478" s="226"/>
      <c r="B478" s="222"/>
      <c r="C478" s="222"/>
      <c r="D478" s="222"/>
      <c r="E478" s="223"/>
      <c r="F478" s="32"/>
      <c r="G478" s="227"/>
      <c r="H478" s="227"/>
      <c r="I478" s="223"/>
      <c r="J478" s="223"/>
      <c r="K478" s="222"/>
      <c r="L478" s="222"/>
      <c r="M478" s="222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hidden="1" customHeight="1">
      <c r="A479" s="226"/>
      <c r="B479" s="222"/>
      <c r="C479" s="222"/>
      <c r="D479" s="222"/>
      <c r="E479" s="223"/>
      <c r="F479" s="32"/>
      <c r="G479" s="227"/>
      <c r="H479" s="227"/>
      <c r="I479" s="223"/>
      <c r="J479" s="223"/>
      <c r="K479" s="222"/>
      <c r="L479" s="222"/>
      <c r="M479" s="222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hidden="1" customHeight="1">
      <c r="A480" s="226"/>
      <c r="B480" s="222"/>
      <c r="C480" s="222"/>
      <c r="D480" s="222"/>
      <c r="E480" s="223"/>
      <c r="F480" s="32"/>
      <c r="G480" s="227"/>
      <c r="H480" s="227"/>
      <c r="I480" s="223"/>
      <c r="J480" s="223"/>
      <c r="K480" s="222"/>
      <c r="L480" s="222"/>
      <c r="M480" s="222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hidden="1" customHeight="1">
      <c r="A481" s="226"/>
      <c r="B481" s="222"/>
      <c r="C481" s="222"/>
      <c r="D481" s="222"/>
      <c r="E481" s="223"/>
      <c r="F481" s="32"/>
      <c r="G481" s="227"/>
      <c r="H481" s="227"/>
      <c r="I481" s="223"/>
      <c r="J481" s="223"/>
      <c r="K481" s="222"/>
      <c r="L481" s="222"/>
      <c r="M481" s="222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hidden="1" customHeight="1">
      <c r="A482" s="226"/>
      <c r="B482" s="222"/>
      <c r="C482" s="222"/>
      <c r="D482" s="222"/>
      <c r="E482" s="223"/>
      <c r="F482" s="32"/>
      <c r="G482" s="227"/>
      <c r="H482" s="227"/>
      <c r="I482" s="223"/>
      <c r="J482" s="223"/>
      <c r="K482" s="222"/>
      <c r="L482" s="222"/>
      <c r="M482" s="222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hidden="1" customHeight="1">
      <c r="A483" s="226"/>
      <c r="B483" s="222"/>
      <c r="C483" s="222"/>
      <c r="D483" s="222"/>
      <c r="E483" s="223"/>
      <c r="F483" s="32"/>
      <c r="G483" s="227"/>
      <c r="H483" s="227"/>
      <c r="I483" s="223"/>
      <c r="J483" s="223"/>
      <c r="K483" s="222"/>
      <c r="L483" s="222"/>
      <c r="M483" s="222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hidden="1" customHeight="1">
      <c r="A484" s="226"/>
      <c r="B484" s="222"/>
      <c r="C484" s="222"/>
      <c r="D484" s="222"/>
      <c r="E484" s="223"/>
      <c r="F484" s="32"/>
      <c r="G484" s="227"/>
      <c r="H484" s="227"/>
      <c r="I484" s="223"/>
      <c r="J484" s="223"/>
      <c r="K484" s="222"/>
      <c r="L484" s="222"/>
      <c r="M484" s="222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hidden="1" customHeight="1">
      <c r="A485" s="226"/>
      <c r="B485" s="222"/>
      <c r="C485" s="222"/>
      <c r="D485" s="222"/>
      <c r="E485" s="223"/>
      <c r="F485" s="32"/>
      <c r="G485" s="227"/>
      <c r="H485" s="227"/>
      <c r="I485" s="223"/>
      <c r="J485" s="223"/>
      <c r="K485" s="222"/>
      <c r="L485" s="222"/>
      <c r="M485" s="222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hidden="1" customHeight="1">
      <c r="A486" s="226"/>
      <c r="B486" s="222"/>
      <c r="C486" s="222"/>
      <c r="D486" s="222"/>
      <c r="E486" s="223"/>
      <c r="F486" s="32"/>
      <c r="G486" s="227"/>
      <c r="H486" s="227"/>
      <c r="I486" s="223"/>
      <c r="J486" s="223"/>
      <c r="K486" s="222"/>
      <c r="L486" s="222"/>
      <c r="M486" s="222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hidden="1" customHeight="1">
      <c r="A487" s="226"/>
      <c r="B487" s="222"/>
      <c r="C487" s="222"/>
      <c r="D487" s="222"/>
      <c r="E487" s="223"/>
      <c r="F487" s="32"/>
      <c r="G487" s="227"/>
      <c r="H487" s="227"/>
      <c r="I487" s="223"/>
      <c r="J487" s="223"/>
      <c r="K487" s="222"/>
      <c r="L487" s="222"/>
      <c r="M487" s="222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hidden="1" customHeight="1">
      <c r="A488" s="226"/>
      <c r="B488" s="222"/>
      <c r="C488" s="222"/>
      <c r="D488" s="222"/>
      <c r="E488" s="223"/>
      <c r="F488" s="32"/>
      <c r="G488" s="227"/>
      <c r="H488" s="227"/>
      <c r="I488" s="223"/>
      <c r="J488" s="223"/>
      <c r="K488" s="222"/>
      <c r="L488" s="222"/>
      <c r="M488" s="222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hidden="1" customHeight="1">
      <c r="A489" s="226"/>
      <c r="B489" s="222"/>
      <c r="C489" s="222"/>
      <c r="D489" s="222"/>
      <c r="E489" s="223"/>
      <c r="F489" s="32"/>
      <c r="G489" s="227"/>
      <c r="H489" s="227"/>
      <c r="I489" s="223"/>
      <c r="J489" s="223"/>
      <c r="K489" s="222"/>
      <c r="L489" s="222"/>
      <c r="M489" s="222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hidden="1" customHeight="1">
      <c r="A490" s="226"/>
      <c r="B490" s="222"/>
      <c r="C490" s="222"/>
      <c r="D490" s="222"/>
      <c r="E490" s="223"/>
      <c r="F490" s="32"/>
      <c r="G490" s="227"/>
      <c r="H490" s="227"/>
      <c r="I490" s="223"/>
      <c r="J490" s="223"/>
      <c r="K490" s="222"/>
      <c r="L490" s="222"/>
      <c r="M490" s="222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hidden="1" customHeight="1">
      <c r="A491" s="226"/>
      <c r="B491" s="222"/>
      <c r="C491" s="222"/>
      <c r="D491" s="222"/>
      <c r="E491" s="223"/>
      <c r="F491" s="32"/>
      <c r="G491" s="227"/>
      <c r="H491" s="227"/>
      <c r="I491" s="223"/>
      <c r="J491" s="223"/>
      <c r="K491" s="222"/>
      <c r="L491" s="222"/>
      <c r="M491" s="222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hidden="1" customHeight="1">
      <c r="A492" s="226"/>
      <c r="B492" s="222"/>
      <c r="C492" s="222"/>
      <c r="D492" s="222"/>
      <c r="E492" s="223"/>
      <c r="F492" s="32"/>
      <c r="G492" s="227"/>
      <c r="H492" s="227"/>
      <c r="I492" s="223"/>
      <c r="J492" s="223"/>
      <c r="K492" s="222"/>
      <c r="L492" s="222"/>
      <c r="M492" s="222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hidden="1" customHeight="1">
      <c r="A493" s="226"/>
      <c r="B493" s="222"/>
      <c r="C493" s="222"/>
      <c r="D493" s="222"/>
      <c r="E493" s="223"/>
      <c r="F493" s="32"/>
      <c r="G493" s="227"/>
      <c r="H493" s="227"/>
      <c r="I493" s="223"/>
      <c r="J493" s="223"/>
      <c r="K493" s="222"/>
      <c r="L493" s="222"/>
      <c r="M493" s="222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hidden="1" customHeight="1">
      <c r="A494" s="226"/>
      <c r="B494" s="222"/>
      <c r="C494" s="222"/>
      <c r="D494" s="222"/>
      <c r="E494" s="223"/>
      <c r="F494" s="32"/>
      <c r="G494" s="227"/>
      <c r="H494" s="227"/>
      <c r="I494" s="223"/>
      <c r="J494" s="223"/>
      <c r="K494" s="222"/>
      <c r="L494" s="222"/>
      <c r="M494" s="222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hidden="1" customHeight="1">
      <c r="A495" s="226"/>
      <c r="B495" s="222"/>
      <c r="C495" s="222"/>
      <c r="D495" s="222"/>
      <c r="E495" s="223"/>
      <c r="F495" s="32"/>
      <c r="G495" s="227"/>
      <c r="H495" s="227"/>
      <c r="I495" s="223"/>
      <c r="J495" s="223"/>
      <c r="K495" s="222"/>
      <c r="L495" s="222"/>
      <c r="M495" s="222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hidden="1" customHeight="1">
      <c r="A496" s="226"/>
      <c r="B496" s="222"/>
      <c r="C496" s="222"/>
      <c r="D496" s="222"/>
      <c r="E496" s="223"/>
      <c r="F496" s="32"/>
      <c r="G496" s="227"/>
      <c r="H496" s="227"/>
      <c r="I496" s="223"/>
      <c r="J496" s="223"/>
      <c r="K496" s="222"/>
      <c r="L496" s="222"/>
      <c r="M496" s="222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hidden="1" customHeight="1">
      <c r="A497" s="226"/>
      <c r="B497" s="222"/>
      <c r="C497" s="222"/>
      <c r="D497" s="222"/>
      <c r="E497" s="223"/>
      <c r="F497" s="32"/>
      <c r="G497" s="227"/>
      <c r="H497" s="227"/>
      <c r="I497" s="223"/>
      <c r="J497" s="223"/>
      <c r="K497" s="222"/>
      <c r="L497" s="222"/>
      <c r="M497" s="222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hidden="1" customHeight="1">
      <c r="A498" s="226"/>
      <c r="B498" s="222"/>
      <c r="C498" s="222"/>
      <c r="D498" s="222"/>
      <c r="E498" s="223"/>
      <c r="F498" s="32"/>
      <c r="G498" s="227"/>
      <c r="H498" s="227"/>
      <c r="I498" s="223"/>
      <c r="J498" s="223"/>
      <c r="K498" s="222"/>
      <c r="L498" s="222"/>
      <c r="M498" s="222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hidden="1" customHeight="1">
      <c r="A499" s="226"/>
      <c r="B499" s="222"/>
      <c r="C499" s="222"/>
      <c r="D499" s="222"/>
      <c r="E499" s="223"/>
      <c r="F499" s="32"/>
      <c r="G499" s="227"/>
      <c r="H499" s="227"/>
      <c r="I499" s="223"/>
      <c r="J499" s="223"/>
      <c r="K499" s="222"/>
      <c r="L499" s="222"/>
      <c r="M499" s="222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hidden="1" customHeight="1">
      <c r="A500" s="226"/>
      <c r="B500" s="222"/>
      <c r="C500" s="222"/>
      <c r="D500" s="222"/>
      <c r="E500" s="223"/>
      <c r="F500" s="32"/>
      <c r="G500" s="227"/>
      <c r="H500" s="227"/>
      <c r="I500" s="223"/>
      <c r="J500" s="223"/>
      <c r="K500" s="222"/>
      <c r="L500" s="222"/>
      <c r="M500" s="222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hidden="1" customHeight="1">
      <c r="A501" s="226"/>
      <c r="B501" s="222"/>
      <c r="C501" s="222"/>
      <c r="D501" s="222"/>
      <c r="E501" s="223"/>
      <c r="F501" s="32"/>
      <c r="G501" s="227"/>
      <c r="H501" s="227"/>
      <c r="I501" s="223"/>
      <c r="J501" s="223"/>
      <c r="K501" s="222"/>
      <c r="L501" s="222"/>
      <c r="M501" s="222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hidden="1" customHeight="1">
      <c r="A502" s="226"/>
      <c r="B502" s="222"/>
      <c r="C502" s="222"/>
      <c r="D502" s="222"/>
      <c r="E502" s="223"/>
      <c r="F502" s="32"/>
      <c r="G502" s="227"/>
      <c r="H502" s="227"/>
      <c r="I502" s="223"/>
      <c r="J502" s="223"/>
      <c r="K502" s="222"/>
      <c r="L502" s="222"/>
      <c r="M502" s="222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hidden="1" customHeight="1">
      <c r="A503" s="226"/>
      <c r="B503" s="222"/>
      <c r="C503" s="222"/>
      <c r="D503" s="222"/>
      <c r="E503" s="223"/>
      <c r="F503" s="32"/>
      <c r="G503" s="227"/>
      <c r="H503" s="227"/>
      <c r="I503" s="223"/>
      <c r="J503" s="223"/>
      <c r="K503" s="222"/>
      <c r="L503" s="222"/>
      <c r="M503" s="222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hidden="1" customHeight="1">
      <c r="A504" s="226"/>
      <c r="B504" s="222"/>
      <c r="C504" s="222"/>
      <c r="D504" s="222"/>
      <c r="E504" s="223"/>
      <c r="F504" s="32"/>
      <c r="G504" s="227"/>
      <c r="H504" s="227"/>
      <c r="I504" s="223"/>
      <c r="J504" s="223"/>
      <c r="K504" s="222"/>
      <c r="L504" s="222"/>
      <c r="M504" s="222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hidden="1" customHeight="1">
      <c r="A505" s="226"/>
      <c r="B505" s="222"/>
      <c r="C505" s="222"/>
      <c r="D505" s="222"/>
      <c r="E505" s="223"/>
      <c r="F505" s="32"/>
      <c r="G505" s="227"/>
      <c r="H505" s="227"/>
      <c r="I505" s="223"/>
      <c r="J505" s="223"/>
      <c r="K505" s="222"/>
      <c r="L505" s="222"/>
      <c r="M505" s="222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hidden="1" customHeight="1">
      <c r="A506" s="226"/>
      <c r="B506" s="222"/>
      <c r="C506" s="222"/>
      <c r="D506" s="222"/>
      <c r="E506" s="223"/>
      <c r="F506" s="32"/>
      <c r="G506" s="227"/>
      <c r="H506" s="227"/>
      <c r="I506" s="223"/>
      <c r="J506" s="223"/>
      <c r="K506" s="222"/>
      <c r="L506" s="222"/>
      <c r="M506" s="222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hidden="1" customHeight="1">
      <c r="A507" s="226"/>
      <c r="B507" s="222"/>
      <c r="C507" s="222"/>
      <c r="D507" s="222"/>
      <c r="E507" s="223"/>
      <c r="F507" s="32"/>
      <c r="G507" s="227"/>
      <c r="H507" s="227"/>
      <c r="I507" s="223"/>
      <c r="J507" s="223"/>
      <c r="K507" s="222"/>
      <c r="L507" s="222"/>
      <c r="M507" s="222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hidden="1" customHeight="1">
      <c r="A508" s="226"/>
      <c r="B508" s="222"/>
      <c r="C508" s="222"/>
      <c r="D508" s="222"/>
      <c r="E508" s="223"/>
      <c r="F508" s="32"/>
      <c r="G508" s="227"/>
      <c r="H508" s="227"/>
      <c r="I508" s="223"/>
      <c r="J508" s="223"/>
      <c r="K508" s="222"/>
      <c r="L508" s="222"/>
      <c r="M508" s="222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hidden="1" customHeight="1">
      <c r="A509" s="226"/>
      <c r="B509" s="222"/>
      <c r="C509" s="222"/>
      <c r="D509" s="222"/>
      <c r="E509" s="223"/>
      <c r="F509" s="32"/>
      <c r="G509" s="227"/>
      <c r="H509" s="227"/>
      <c r="I509" s="223"/>
      <c r="J509" s="223"/>
      <c r="K509" s="222"/>
      <c r="L509" s="222"/>
      <c r="M509" s="222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hidden="1" customHeight="1">
      <c r="A510" s="226"/>
      <c r="B510" s="222"/>
      <c r="C510" s="222"/>
      <c r="D510" s="222"/>
      <c r="E510" s="223"/>
      <c r="F510" s="32"/>
      <c r="G510" s="227"/>
      <c r="H510" s="227"/>
      <c r="I510" s="223"/>
      <c r="J510" s="223"/>
      <c r="K510" s="222"/>
      <c r="L510" s="222"/>
      <c r="M510" s="222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hidden="1" customHeight="1">
      <c r="A511" s="226"/>
      <c r="B511" s="222"/>
      <c r="C511" s="222"/>
      <c r="D511" s="222"/>
      <c r="E511" s="223"/>
      <c r="F511" s="32"/>
      <c r="G511" s="227"/>
      <c r="H511" s="227"/>
      <c r="I511" s="223"/>
      <c r="J511" s="223"/>
      <c r="K511" s="222"/>
      <c r="L511" s="222"/>
      <c r="M511" s="222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hidden="1" customHeight="1">
      <c r="A512" s="226"/>
      <c r="B512" s="222"/>
      <c r="C512" s="222"/>
      <c r="D512" s="222"/>
      <c r="E512" s="223"/>
      <c r="F512" s="32"/>
      <c r="G512" s="227"/>
      <c r="H512" s="227"/>
      <c r="I512" s="223"/>
      <c r="J512" s="223"/>
      <c r="K512" s="222"/>
      <c r="L512" s="222"/>
      <c r="M512" s="222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hidden="1" customHeight="1">
      <c r="A513" s="226"/>
      <c r="B513" s="222"/>
      <c r="C513" s="222"/>
      <c r="D513" s="222"/>
      <c r="E513" s="223"/>
      <c r="F513" s="32"/>
      <c r="G513" s="227"/>
      <c r="H513" s="227"/>
      <c r="I513" s="223"/>
      <c r="J513" s="223"/>
      <c r="K513" s="222"/>
      <c r="L513" s="222"/>
      <c r="M513" s="222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hidden="1" customHeight="1">
      <c r="A514" s="226"/>
      <c r="B514" s="222"/>
      <c r="C514" s="222"/>
      <c r="D514" s="222"/>
      <c r="E514" s="223"/>
      <c r="F514" s="32"/>
      <c r="G514" s="227"/>
      <c r="H514" s="227"/>
      <c r="I514" s="223"/>
      <c r="J514" s="223"/>
      <c r="K514" s="222"/>
      <c r="L514" s="222"/>
      <c r="M514" s="222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hidden="1" customHeight="1">
      <c r="A515" s="226"/>
      <c r="B515" s="222"/>
      <c r="C515" s="222"/>
      <c r="D515" s="222"/>
      <c r="E515" s="223"/>
      <c r="F515" s="32"/>
      <c r="G515" s="227"/>
      <c r="H515" s="227"/>
      <c r="I515" s="223"/>
      <c r="J515" s="223"/>
      <c r="K515" s="222"/>
      <c r="L515" s="222"/>
      <c r="M515" s="222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hidden="1" customHeight="1">
      <c r="A516" s="226"/>
      <c r="B516" s="222"/>
      <c r="C516" s="222"/>
      <c r="D516" s="222"/>
      <c r="E516" s="223"/>
      <c r="F516" s="32"/>
      <c r="G516" s="227"/>
      <c r="H516" s="227"/>
      <c r="I516" s="223"/>
      <c r="J516" s="223"/>
      <c r="K516" s="222"/>
      <c r="L516" s="222"/>
      <c r="M516" s="222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hidden="1" customHeight="1">
      <c r="A517" s="226"/>
      <c r="B517" s="222"/>
      <c r="C517" s="222"/>
      <c r="D517" s="222"/>
      <c r="E517" s="223"/>
      <c r="F517" s="32"/>
      <c r="G517" s="227"/>
      <c r="H517" s="227"/>
      <c r="I517" s="223"/>
      <c r="J517" s="223"/>
      <c r="K517" s="222"/>
      <c r="L517" s="222"/>
      <c r="M517" s="222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hidden="1" customHeight="1">
      <c r="A518" s="226"/>
      <c r="B518" s="222"/>
      <c r="C518" s="222"/>
      <c r="D518" s="222"/>
      <c r="E518" s="223"/>
      <c r="F518" s="32"/>
      <c r="G518" s="227"/>
      <c r="H518" s="227"/>
      <c r="I518" s="223"/>
      <c r="J518" s="223"/>
      <c r="K518" s="222"/>
      <c r="L518" s="222"/>
      <c r="M518" s="222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hidden="1" customHeight="1">
      <c r="A519" s="226"/>
      <c r="B519" s="222"/>
      <c r="C519" s="222"/>
      <c r="D519" s="222"/>
      <c r="E519" s="223"/>
      <c r="F519" s="32"/>
      <c r="G519" s="227"/>
      <c r="H519" s="227"/>
      <c r="I519" s="223"/>
      <c r="J519" s="223"/>
      <c r="K519" s="222"/>
      <c r="L519" s="222"/>
      <c r="M519" s="222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hidden="1" customHeight="1">
      <c r="A520" s="226"/>
      <c r="B520" s="222"/>
      <c r="C520" s="222"/>
      <c r="D520" s="222"/>
      <c r="E520" s="223"/>
      <c r="F520" s="32"/>
      <c r="G520" s="227"/>
      <c r="H520" s="227"/>
      <c r="I520" s="223"/>
      <c r="J520" s="223"/>
      <c r="K520" s="222"/>
      <c r="L520" s="222"/>
      <c r="M520" s="222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hidden="1" customHeight="1">
      <c r="A521" s="226"/>
      <c r="B521" s="222"/>
      <c r="C521" s="222"/>
      <c r="D521" s="222"/>
      <c r="E521" s="223"/>
      <c r="F521" s="32"/>
      <c r="G521" s="227"/>
      <c r="H521" s="227"/>
      <c r="I521" s="223"/>
      <c r="J521" s="223"/>
      <c r="K521" s="222"/>
      <c r="L521" s="222"/>
      <c r="M521" s="222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hidden="1" customHeight="1">
      <c r="A522" s="226"/>
      <c r="B522" s="222"/>
      <c r="C522" s="222"/>
      <c r="D522" s="222"/>
      <c r="E522" s="223"/>
      <c r="F522" s="32"/>
      <c r="G522" s="227"/>
      <c r="H522" s="227"/>
      <c r="I522" s="223"/>
      <c r="J522" s="223"/>
      <c r="K522" s="222"/>
      <c r="L522" s="222"/>
      <c r="M522" s="222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hidden="1" customHeight="1">
      <c r="A523" s="226"/>
      <c r="B523" s="222"/>
      <c r="C523" s="222"/>
      <c r="D523" s="222"/>
      <c r="E523" s="223"/>
      <c r="F523" s="32"/>
      <c r="G523" s="227"/>
      <c r="H523" s="227"/>
      <c r="I523" s="223"/>
      <c r="J523" s="223"/>
      <c r="K523" s="222"/>
      <c r="L523" s="222"/>
      <c r="M523" s="222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hidden="1" customHeight="1">
      <c r="A524" s="226"/>
      <c r="B524" s="222"/>
      <c r="C524" s="222"/>
      <c r="D524" s="222"/>
      <c r="E524" s="223"/>
      <c r="F524" s="32"/>
      <c r="G524" s="227"/>
      <c r="H524" s="227"/>
      <c r="I524" s="223"/>
      <c r="J524" s="223"/>
      <c r="K524" s="222"/>
      <c r="L524" s="222"/>
      <c r="M524" s="222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hidden="1" customHeight="1">
      <c r="A525" s="226"/>
      <c r="B525" s="222"/>
      <c r="C525" s="222"/>
      <c r="D525" s="222"/>
      <c r="E525" s="223"/>
      <c r="F525" s="32"/>
      <c r="G525" s="227"/>
      <c r="H525" s="227"/>
      <c r="I525" s="223"/>
      <c r="J525" s="223"/>
      <c r="K525" s="222"/>
      <c r="L525" s="222"/>
      <c r="M525" s="222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hidden="1" customHeight="1">
      <c r="A526" s="226"/>
      <c r="B526" s="222"/>
      <c r="C526" s="222"/>
      <c r="D526" s="222"/>
      <c r="E526" s="223"/>
      <c r="F526" s="32"/>
      <c r="G526" s="227"/>
      <c r="H526" s="227"/>
      <c r="I526" s="223"/>
      <c r="J526" s="223"/>
      <c r="K526" s="222"/>
      <c r="L526" s="222"/>
      <c r="M526" s="222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hidden="1" customHeight="1">
      <c r="A527" s="226"/>
      <c r="B527" s="222"/>
      <c r="C527" s="222"/>
      <c r="D527" s="222"/>
      <c r="E527" s="223"/>
      <c r="F527" s="32"/>
      <c r="G527" s="227"/>
      <c r="H527" s="227"/>
      <c r="I527" s="223"/>
      <c r="J527" s="223"/>
      <c r="K527" s="222"/>
      <c r="L527" s="222"/>
      <c r="M527" s="222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hidden="1" customHeight="1">
      <c r="A528" s="226"/>
      <c r="B528" s="222"/>
      <c r="C528" s="222"/>
      <c r="D528" s="222"/>
      <c r="E528" s="223"/>
      <c r="F528" s="32"/>
      <c r="G528" s="227"/>
      <c r="H528" s="227"/>
      <c r="I528" s="223"/>
      <c r="J528" s="223"/>
      <c r="K528" s="222"/>
      <c r="L528" s="222"/>
      <c r="M528" s="222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hidden="1" customHeight="1">
      <c r="A529" s="226"/>
      <c r="B529" s="222"/>
      <c r="C529" s="222"/>
      <c r="D529" s="222"/>
      <c r="E529" s="223"/>
      <c r="F529" s="32"/>
      <c r="G529" s="227"/>
      <c r="H529" s="227"/>
      <c r="I529" s="223"/>
      <c r="J529" s="223"/>
      <c r="K529" s="222"/>
      <c r="L529" s="222"/>
      <c r="M529" s="222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hidden="1" customHeight="1">
      <c r="A530" s="226"/>
      <c r="B530" s="222"/>
      <c r="C530" s="222"/>
      <c r="D530" s="222"/>
      <c r="E530" s="223"/>
      <c r="F530" s="32"/>
      <c r="G530" s="227"/>
      <c r="H530" s="227"/>
      <c r="I530" s="223"/>
      <c r="J530" s="223"/>
      <c r="K530" s="222"/>
      <c r="L530" s="222"/>
      <c r="M530" s="222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hidden="1" customHeight="1">
      <c r="A531" s="226"/>
      <c r="B531" s="222"/>
      <c r="C531" s="222"/>
      <c r="D531" s="222"/>
      <c r="E531" s="223"/>
      <c r="F531" s="32"/>
      <c r="G531" s="227"/>
      <c r="H531" s="227"/>
      <c r="I531" s="223"/>
      <c r="J531" s="223"/>
      <c r="K531" s="222"/>
      <c r="L531" s="222"/>
      <c r="M531" s="222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hidden="1" customHeight="1">
      <c r="A532" s="226"/>
      <c r="B532" s="222"/>
      <c r="C532" s="222"/>
      <c r="D532" s="222"/>
      <c r="E532" s="223"/>
      <c r="F532" s="32"/>
      <c r="G532" s="227"/>
      <c r="H532" s="227"/>
      <c r="I532" s="223"/>
      <c r="J532" s="223"/>
      <c r="K532" s="222"/>
      <c r="L532" s="222"/>
      <c r="M532" s="222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hidden="1" customHeight="1">
      <c r="A533" s="226"/>
      <c r="B533" s="222"/>
      <c r="C533" s="222"/>
      <c r="D533" s="222"/>
      <c r="E533" s="223"/>
      <c r="F533" s="32"/>
      <c r="G533" s="227"/>
      <c r="H533" s="227"/>
      <c r="I533" s="223"/>
      <c r="J533" s="223"/>
      <c r="K533" s="222"/>
      <c r="L533" s="222"/>
      <c r="M533" s="222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hidden="1" customHeight="1">
      <c r="A534" s="226"/>
      <c r="B534" s="222"/>
      <c r="C534" s="222"/>
      <c r="D534" s="222"/>
      <c r="E534" s="223"/>
      <c r="F534" s="32"/>
      <c r="G534" s="227"/>
      <c r="H534" s="227"/>
      <c r="I534" s="223"/>
      <c r="J534" s="223"/>
      <c r="K534" s="222"/>
      <c r="L534" s="222"/>
      <c r="M534" s="222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hidden="1" customHeight="1">
      <c r="A535" s="226"/>
      <c r="B535" s="222"/>
      <c r="C535" s="222"/>
      <c r="D535" s="222"/>
      <c r="E535" s="223"/>
      <c r="F535" s="32"/>
      <c r="G535" s="227"/>
      <c r="H535" s="227"/>
      <c r="I535" s="223"/>
      <c r="J535" s="223"/>
      <c r="K535" s="222"/>
      <c r="L535" s="222"/>
      <c r="M535" s="222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hidden="1" customHeight="1">
      <c r="A536" s="226"/>
      <c r="B536" s="222"/>
      <c r="C536" s="222"/>
      <c r="D536" s="222"/>
      <c r="E536" s="223"/>
      <c r="F536" s="32"/>
      <c r="G536" s="227"/>
      <c r="H536" s="227"/>
      <c r="I536" s="223"/>
      <c r="J536" s="223"/>
      <c r="K536" s="222"/>
      <c r="L536" s="222"/>
      <c r="M536" s="222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hidden="1" customHeight="1">
      <c r="A537" s="226"/>
      <c r="B537" s="222"/>
      <c r="C537" s="222"/>
      <c r="D537" s="222"/>
      <c r="E537" s="223"/>
      <c r="F537" s="32"/>
      <c r="G537" s="227"/>
      <c r="H537" s="227"/>
      <c r="I537" s="223"/>
      <c r="J537" s="223"/>
      <c r="K537" s="222"/>
      <c r="L537" s="222"/>
      <c r="M537" s="222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hidden="1" customHeight="1">
      <c r="A538" s="226"/>
      <c r="B538" s="222"/>
      <c r="C538" s="222"/>
      <c r="D538" s="222"/>
      <c r="E538" s="223"/>
      <c r="F538" s="32"/>
      <c r="G538" s="227"/>
      <c r="H538" s="227"/>
      <c r="I538" s="223"/>
      <c r="J538" s="223"/>
      <c r="K538" s="222"/>
      <c r="L538" s="222"/>
      <c r="M538" s="222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hidden="1" customHeight="1">
      <c r="A539" s="226"/>
      <c r="B539" s="222"/>
      <c r="C539" s="222"/>
      <c r="D539" s="222"/>
      <c r="E539" s="223"/>
      <c r="F539" s="32"/>
      <c r="G539" s="227"/>
      <c r="H539" s="227"/>
      <c r="I539" s="223"/>
      <c r="J539" s="223"/>
      <c r="K539" s="222"/>
      <c r="L539" s="222"/>
      <c r="M539" s="222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hidden="1" customHeight="1">
      <c r="A540" s="226"/>
      <c r="B540" s="222"/>
      <c r="C540" s="222"/>
      <c r="D540" s="222"/>
      <c r="E540" s="223"/>
      <c r="F540" s="32"/>
      <c r="G540" s="227"/>
      <c r="H540" s="227"/>
      <c r="I540" s="223"/>
      <c r="J540" s="223"/>
      <c r="K540" s="222"/>
      <c r="L540" s="222"/>
      <c r="M540" s="222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hidden="1" customHeight="1">
      <c r="A541" s="226"/>
      <c r="B541" s="222"/>
      <c r="C541" s="222"/>
      <c r="D541" s="222"/>
      <c r="E541" s="223"/>
      <c r="F541" s="32"/>
      <c r="G541" s="227"/>
      <c r="H541" s="227"/>
      <c r="I541" s="223"/>
      <c r="J541" s="223"/>
      <c r="K541" s="222"/>
      <c r="L541" s="222"/>
      <c r="M541" s="222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hidden="1" customHeight="1">
      <c r="A542" s="226"/>
      <c r="B542" s="222"/>
      <c r="C542" s="222"/>
      <c r="D542" s="222"/>
      <c r="E542" s="223"/>
      <c r="F542" s="32"/>
      <c r="G542" s="227"/>
      <c r="H542" s="227"/>
      <c r="I542" s="223"/>
      <c r="J542" s="223"/>
      <c r="K542" s="222"/>
      <c r="L542" s="222"/>
      <c r="M542" s="222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hidden="1" customHeight="1">
      <c r="A543" s="226"/>
      <c r="B543" s="222"/>
      <c r="C543" s="222"/>
      <c r="D543" s="222"/>
      <c r="E543" s="223"/>
      <c r="F543" s="32"/>
      <c r="G543" s="227"/>
      <c r="H543" s="227"/>
      <c r="I543" s="223"/>
      <c r="J543" s="223"/>
      <c r="K543" s="222"/>
      <c r="L543" s="222"/>
      <c r="M543" s="222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hidden="1" customHeight="1">
      <c r="A544" s="226"/>
      <c r="B544" s="222"/>
      <c r="C544" s="222"/>
      <c r="D544" s="222"/>
      <c r="E544" s="223"/>
      <c r="F544" s="32"/>
      <c r="G544" s="227"/>
      <c r="H544" s="227"/>
      <c r="I544" s="223"/>
      <c r="J544" s="223"/>
      <c r="K544" s="222"/>
      <c r="L544" s="222"/>
      <c r="M544" s="222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hidden="1" customHeight="1">
      <c r="A545" s="226"/>
      <c r="B545" s="222"/>
      <c r="C545" s="222"/>
      <c r="D545" s="222"/>
      <c r="E545" s="223"/>
      <c r="F545" s="32"/>
      <c r="G545" s="227"/>
      <c r="H545" s="227"/>
      <c r="I545" s="223"/>
      <c r="J545" s="223"/>
      <c r="K545" s="222"/>
      <c r="L545" s="222"/>
      <c r="M545" s="222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hidden="1" customHeight="1">
      <c r="A546" s="226"/>
      <c r="B546" s="222"/>
      <c r="C546" s="222"/>
      <c r="D546" s="222"/>
      <c r="E546" s="223"/>
      <c r="F546" s="32"/>
      <c r="G546" s="227"/>
      <c r="H546" s="227"/>
      <c r="I546" s="223"/>
      <c r="J546" s="223"/>
      <c r="K546" s="222"/>
      <c r="L546" s="222"/>
      <c r="M546" s="222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hidden="1" customHeight="1">
      <c r="A547" s="226"/>
      <c r="B547" s="222"/>
      <c r="C547" s="222"/>
      <c r="D547" s="222"/>
      <c r="E547" s="223"/>
      <c r="F547" s="32"/>
      <c r="G547" s="227"/>
      <c r="H547" s="227"/>
      <c r="I547" s="223"/>
      <c r="J547" s="223"/>
      <c r="K547" s="222"/>
      <c r="L547" s="222"/>
      <c r="M547" s="222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hidden="1" customHeight="1">
      <c r="A548" s="226"/>
      <c r="B548" s="222"/>
      <c r="C548" s="222"/>
      <c r="D548" s="222"/>
      <c r="E548" s="223"/>
      <c r="F548" s="32"/>
      <c r="G548" s="227"/>
      <c r="H548" s="227"/>
      <c r="I548" s="223"/>
      <c r="J548" s="223"/>
      <c r="K548" s="222"/>
      <c r="L548" s="222"/>
      <c r="M548" s="222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hidden="1" customHeight="1">
      <c r="A549" s="226"/>
      <c r="B549" s="222"/>
      <c r="C549" s="222"/>
      <c r="D549" s="222"/>
      <c r="E549" s="223"/>
      <c r="F549" s="32"/>
      <c r="G549" s="227"/>
      <c r="H549" s="227"/>
      <c r="I549" s="223"/>
      <c r="J549" s="223"/>
      <c r="K549" s="222"/>
      <c r="L549" s="222"/>
      <c r="M549" s="222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hidden="1" customHeight="1">
      <c r="A550" s="226"/>
      <c r="B550" s="222"/>
      <c r="C550" s="222"/>
      <c r="D550" s="222"/>
      <c r="E550" s="223"/>
      <c r="F550" s="32"/>
      <c r="G550" s="227"/>
      <c r="H550" s="227"/>
      <c r="I550" s="223"/>
      <c r="J550" s="223"/>
      <c r="K550" s="222"/>
      <c r="L550" s="222"/>
      <c r="M550" s="222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hidden="1" customHeight="1">
      <c r="A551" s="226"/>
      <c r="B551" s="222"/>
      <c r="C551" s="222"/>
      <c r="D551" s="222"/>
      <c r="E551" s="223"/>
      <c r="F551" s="32"/>
      <c r="G551" s="227"/>
      <c r="H551" s="227"/>
      <c r="I551" s="223"/>
      <c r="J551" s="223"/>
      <c r="K551" s="222"/>
      <c r="L551" s="222"/>
      <c r="M551" s="222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hidden="1" customHeight="1">
      <c r="A552" s="226"/>
      <c r="B552" s="222"/>
      <c r="C552" s="222"/>
      <c r="D552" s="222"/>
      <c r="E552" s="223"/>
      <c r="F552" s="32"/>
      <c r="G552" s="227"/>
      <c r="H552" s="227"/>
      <c r="I552" s="223"/>
      <c r="J552" s="223"/>
      <c r="K552" s="222"/>
      <c r="L552" s="222"/>
      <c r="M552" s="222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hidden="1" customHeight="1">
      <c r="A553" s="226"/>
      <c r="B553" s="222"/>
      <c r="C553" s="222"/>
      <c r="D553" s="222"/>
      <c r="E553" s="223"/>
      <c r="F553" s="32"/>
      <c r="G553" s="227"/>
      <c r="H553" s="227"/>
      <c r="I553" s="223"/>
      <c r="J553" s="223"/>
      <c r="K553" s="222"/>
      <c r="L553" s="222"/>
      <c r="M553" s="222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hidden="1" customHeight="1">
      <c r="A554" s="226"/>
      <c r="B554" s="222"/>
      <c r="C554" s="222"/>
      <c r="D554" s="222"/>
      <c r="E554" s="223"/>
      <c r="F554" s="32"/>
      <c r="G554" s="227"/>
      <c r="H554" s="227"/>
      <c r="I554" s="223"/>
      <c r="J554" s="223"/>
      <c r="K554" s="222"/>
      <c r="L554" s="222"/>
      <c r="M554" s="222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hidden="1" customHeight="1">
      <c r="A555" s="226"/>
      <c r="B555" s="222"/>
      <c r="C555" s="222"/>
      <c r="D555" s="222"/>
      <c r="E555" s="223"/>
      <c r="F555" s="32"/>
      <c r="G555" s="227"/>
      <c r="H555" s="227"/>
      <c r="I555" s="223"/>
      <c r="J555" s="223"/>
      <c r="K555" s="222"/>
      <c r="L555" s="222"/>
      <c r="M555" s="222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hidden="1" customHeight="1">
      <c r="A556" s="226"/>
      <c r="B556" s="222"/>
      <c r="C556" s="222"/>
      <c r="D556" s="222"/>
      <c r="E556" s="223"/>
      <c r="F556" s="32"/>
      <c r="G556" s="227"/>
      <c r="H556" s="227"/>
      <c r="I556" s="223"/>
      <c r="J556" s="223"/>
      <c r="K556" s="222"/>
      <c r="L556" s="222"/>
      <c r="M556" s="222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hidden="1" customHeight="1">
      <c r="A557" s="226"/>
      <c r="B557" s="222"/>
      <c r="C557" s="222"/>
      <c r="D557" s="222"/>
      <c r="E557" s="223"/>
      <c r="F557" s="32"/>
      <c r="G557" s="227"/>
      <c r="H557" s="227"/>
      <c r="I557" s="223"/>
      <c r="J557" s="223"/>
      <c r="K557" s="222"/>
      <c r="L557" s="222"/>
      <c r="M557" s="222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hidden="1" customHeight="1">
      <c r="A558" s="226"/>
      <c r="B558" s="222"/>
      <c r="C558" s="222"/>
      <c r="D558" s="222"/>
      <c r="E558" s="223"/>
      <c r="F558" s="32"/>
      <c r="G558" s="227"/>
      <c r="H558" s="227"/>
      <c r="I558" s="223"/>
      <c r="J558" s="223"/>
      <c r="K558" s="222"/>
      <c r="L558" s="222"/>
      <c r="M558" s="222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hidden="1" customHeight="1">
      <c r="A559" s="226"/>
      <c r="B559" s="222"/>
      <c r="C559" s="222"/>
      <c r="D559" s="222"/>
      <c r="E559" s="223"/>
      <c r="F559" s="32"/>
      <c r="G559" s="227"/>
      <c r="H559" s="227"/>
      <c r="I559" s="223"/>
      <c r="J559" s="223"/>
      <c r="K559" s="222"/>
      <c r="L559" s="222"/>
      <c r="M559" s="222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hidden="1" customHeight="1">
      <c r="A560" s="226"/>
      <c r="B560" s="222"/>
      <c r="C560" s="222"/>
      <c r="D560" s="222"/>
      <c r="E560" s="223"/>
      <c r="F560" s="32"/>
      <c r="G560" s="227"/>
      <c r="H560" s="227"/>
      <c r="I560" s="223"/>
      <c r="J560" s="223"/>
      <c r="K560" s="222"/>
      <c r="L560" s="222"/>
      <c r="M560" s="222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hidden="1" customHeight="1">
      <c r="A561" s="226"/>
      <c r="B561" s="222"/>
      <c r="C561" s="222"/>
      <c r="D561" s="222"/>
      <c r="E561" s="223"/>
      <c r="F561" s="32"/>
      <c r="G561" s="227"/>
      <c r="H561" s="227"/>
      <c r="I561" s="223"/>
      <c r="J561" s="223"/>
      <c r="K561" s="222"/>
      <c r="L561" s="222"/>
      <c r="M561" s="222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hidden="1" customHeight="1">
      <c r="A562" s="226"/>
      <c r="B562" s="222"/>
      <c r="C562" s="222"/>
      <c r="D562" s="222"/>
      <c r="E562" s="223"/>
      <c r="F562" s="32"/>
      <c r="G562" s="227"/>
      <c r="H562" s="227"/>
      <c r="I562" s="223"/>
      <c r="J562" s="223"/>
      <c r="K562" s="222"/>
      <c r="L562" s="222"/>
      <c r="M562" s="222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hidden="1" customHeight="1">
      <c r="A563" s="226"/>
      <c r="B563" s="222"/>
      <c r="C563" s="222"/>
      <c r="D563" s="222"/>
      <c r="E563" s="223"/>
      <c r="F563" s="32"/>
      <c r="G563" s="227"/>
      <c r="H563" s="227"/>
      <c r="I563" s="223"/>
      <c r="J563" s="223"/>
      <c r="K563" s="222"/>
      <c r="L563" s="222"/>
      <c r="M563" s="222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hidden="1" customHeight="1">
      <c r="A564" s="226"/>
      <c r="B564" s="222"/>
      <c r="C564" s="222"/>
      <c r="D564" s="222"/>
      <c r="E564" s="223"/>
      <c r="F564" s="32"/>
      <c r="G564" s="227"/>
      <c r="H564" s="227"/>
      <c r="I564" s="223"/>
      <c r="J564" s="223"/>
      <c r="K564" s="222"/>
      <c r="L564" s="222"/>
      <c r="M564" s="222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hidden="1" customHeight="1">
      <c r="A565" s="226"/>
      <c r="B565" s="222"/>
      <c r="C565" s="222"/>
      <c r="D565" s="222"/>
      <c r="E565" s="223"/>
      <c r="F565" s="32"/>
      <c r="G565" s="227"/>
      <c r="H565" s="227"/>
      <c r="I565" s="223"/>
      <c r="J565" s="223"/>
      <c r="K565" s="222"/>
      <c r="L565" s="222"/>
      <c r="M565" s="222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hidden="1" customHeight="1">
      <c r="A566" s="226"/>
      <c r="B566" s="222"/>
      <c r="C566" s="222"/>
      <c r="D566" s="222"/>
      <c r="E566" s="223"/>
      <c r="F566" s="32"/>
      <c r="G566" s="227"/>
      <c r="H566" s="227"/>
      <c r="I566" s="223"/>
      <c r="J566" s="223"/>
      <c r="K566" s="222"/>
      <c r="L566" s="222"/>
      <c r="M566" s="222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hidden="1" customHeight="1">
      <c r="A567" s="226"/>
      <c r="B567" s="222"/>
      <c r="C567" s="222"/>
      <c r="D567" s="222"/>
      <c r="E567" s="223"/>
      <c r="F567" s="32"/>
      <c r="G567" s="227"/>
      <c r="H567" s="227"/>
      <c r="I567" s="223"/>
      <c r="J567" s="223"/>
      <c r="K567" s="222"/>
      <c r="L567" s="222"/>
      <c r="M567" s="222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hidden="1" customHeight="1">
      <c r="A568" s="226"/>
      <c r="B568" s="222"/>
      <c r="C568" s="222"/>
      <c r="D568" s="222"/>
      <c r="E568" s="223"/>
      <c r="F568" s="32"/>
      <c r="G568" s="227"/>
      <c r="H568" s="227"/>
      <c r="I568" s="223"/>
      <c r="J568" s="223"/>
      <c r="K568" s="222"/>
      <c r="L568" s="222"/>
      <c r="M568" s="222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hidden="1" customHeight="1">
      <c r="A569" s="226"/>
      <c r="B569" s="222"/>
      <c r="C569" s="222"/>
      <c r="D569" s="222"/>
      <c r="E569" s="223"/>
      <c r="F569" s="32"/>
      <c r="G569" s="227"/>
      <c r="H569" s="227"/>
      <c r="I569" s="223"/>
      <c r="J569" s="223"/>
      <c r="K569" s="222"/>
      <c r="L569" s="222"/>
      <c r="M569" s="222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hidden="1" customHeight="1">
      <c r="A570" s="226"/>
      <c r="B570" s="222"/>
      <c r="C570" s="222"/>
      <c r="D570" s="222"/>
      <c r="E570" s="223"/>
      <c r="F570" s="32"/>
      <c r="G570" s="227"/>
      <c r="H570" s="227"/>
      <c r="I570" s="223"/>
      <c r="J570" s="223"/>
      <c r="K570" s="222"/>
      <c r="L570" s="222"/>
      <c r="M570" s="222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hidden="1" customHeight="1">
      <c r="A571" s="226"/>
      <c r="B571" s="222"/>
      <c r="C571" s="222"/>
      <c r="D571" s="222"/>
      <c r="E571" s="223"/>
      <c r="F571" s="32"/>
      <c r="G571" s="227"/>
      <c r="H571" s="227"/>
      <c r="I571" s="223"/>
      <c r="J571" s="223"/>
      <c r="K571" s="222"/>
      <c r="L571" s="222"/>
      <c r="M571" s="222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hidden="1" customHeight="1">
      <c r="A572" s="226"/>
      <c r="B572" s="222"/>
      <c r="C572" s="222"/>
      <c r="D572" s="222"/>
      <c r="E572" s="223"/>
      <c r="F572" s="32"/>
      <c r="G572" s="227"/>
      <c r="H572" s="227"/>
      <c r="I572" s="223"/>
      <c r="J572" s="223"/>
      <c r="K572" s="222"/>
      <c r="L572" s="222"/>
      <c r="M572" s="222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hidden="1" customHeight="1">
      <c r="A573" s="226"/>
      <c r="B573" s="222"/>
      <c r="C573" s="222"/>
      <c r="D573" s="222"/>
      <c r="E573" s="223"/>
      <c r="F573" s="32"/>
      <c r="G573" s="227"/>
      <c r="H573" s="227"/>
      <c r="I573" s="223"/>
      <c r="J573" s="223"/>
      <c r="K573" s="222"/>
      <c r="L573" s="222"/>
      <c r="M573" s="222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hidden="1" customHeight="1">
      <c r="A574" s="226"/>
      <c r="B574" s="222"/>
      <c r="C574" s="222"/>
      <c r="D574" s="222"/>
      <c r="E574" s="223"/>
      <c r="F574" s="32"/>
      <c r="G574" s="227"/>
      <c r="H574" s="227"/>
      <c r="I574" s="223"/>
      <c r="J574" s="223"/>
      <c r="K574" s="222"/>
      <c r="L574" s="222"/>
      <c r="M574" s="222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hidden="1" customHeight="1">
      <c r="A575" s="226"/>
      <c r="B575" s="222"/>
      <c r="C575" s="222"/>
      <c r="D575" s="222"/>
      <c r="E575" s="223"/>
      <c r="F575" s="223"/>
      <c r="G575" s="227"/>
      <c r="H575" s="224"/>
      <c r="I575" s="223"/>
      <c r="J575" s="223"/>
      <c r="K575" s="222"/>
      <c r="L575" s="222"/>
      <c r="M575" s="222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hidden="1" customHeight="1">
      <c r="A576" s="226"/>
      <c r="B576" s="222"/>
      <c r="C576" s="222"/>
      <c r="D576" s="222"/>
      <c r="E576" s="223"/>
      <c r="F576" s="32"/>
      <c r="G576" s="227"/>
      <c r="H576" s="224"/>
      <c r="I576" s="223"/>
      <c r="J576" s="223"/>
      <c r="K576" s="222"/>
      <c r="L576" s="222"/>
      <c r="M576" s="222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hidden="1" customHeight="1">
      <c r="A577" s="226"/>
      <c r="B577" s="222"/>
      <c r="C577" s="222"/>
      <c r="D577" s="222"/>
      <c r="E577" s="233"/>
      <c r="F577" s="233"/>
      <c r="G577" s="236"/>
      <c r="H577" s="224"/>
      <c r="I577" s="223"/>
      <c r="J577" s="223"/>
      <c r="K577" s="222"/>
      <c r="L577" s="222"/>
      <c r="M577" s="222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hidden="1" customHeight="1">
      <c r="A578" s="226"/>
      <c r="B578" s="222"/>
      <c r="C578" s="222"/>
      <c r="D578" s="222"/>
      <c r="E578" s="223"/>
      <c r="F578" s="32"/>
      <c r="G578" s="227"/>
      <c r="H578" s="224"/>
      <c r="I578" s="223"/>
      <c r="J578" s="223"/>
      <c r="K578" s="222"/>
      <c r="L578" s="222"/>
      <c r="M578" s="222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hidden="1" customHeight="1">
      <c r="A579" s="226"/>
      <c r="B579" s="222"/>
      <c r="C579" s="222"/>
      <c r="D579" s="222"/>
      <c r="E579" s="223"/>
      <c r="F579" s="223"/>
      <c r="G579" s="227"/>
      <c r="H579" s="224"/>
      <c r="I579" s="223"/>
      <c r="J579" s="223"/>
      <c r="K579" s="222"/>
      <c r="L579" s="222"/>
      <c r="M579" s="222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hidden="1" customHeight="1">
      <c r="A580" s="226"/>
      <c r="B580" s="222"/>
      <c r="C580" s="222"/>
      <c r="D580" s="222"/>
      <c r="E580" s="223"/>
      <c r="F580" s="32"/>
      <c r="G580" s="227"/>
      <c r="H580" s="224"/>
      <c r="I580" s="223"/>
      <c r="J580" s="223"/>
      <c r="K580" s="222"/>
      <c r="L580" s="222"/>
      <c r="M580" s="222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hidden="1" customHeight="1">
      <c r="A581" s="226"/>
      <c r="B581" s="222"/>
      <c r="C581" s="222"/>
      <c r="D581" s="222"/>
      <c r="E581" s="223"/>
      <c r="F581" s="32"/>
      <c r="G581" s="227"/>
      <c r="H581" s="224"/>
      <c r="I581" s="223"/>
      <c r="J581" s="223"/>
      <c r="K581" s="222"/>
      <c r="L581" s="222"/>
      <c r="M581" s="222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hidden="1" customHeight="1">
      <c r="A582" s="226"/>
      <c r="B582" s="222"/>
      <c r="C582" s="222"/>
      <c r="D582" s="222"/>
      <c r="E582" s="223"/>
      <c r="F582" s="223"/>
      <c r="G582" s="227"/>
      <c r="H582" s="224"/>
      <c r="I582" s="223"/>
      <c r="J582" s="223"/>
      <c r="K582" s="222"/>
      <c r="L582" s="222"/>
      <c r="M582" s="222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hidden="1" customHeight="1">
      <c r="A583" s="226"/>
      <c r="B583" s="222"/>
      <c r="C583" s="222"/>
      <c r="D583" s="222"/>
      <c r="E583" s="223"/>
      <c r="F583" s="32"/>
      <c r="G583" s="227"/>
      <c r="H583" s="224"/>
      <c r="I583" s="223"/>
      <c r="J583" s="223"/>
      <c r="K583" s="222"/>
      <c r="L583" s="222"/>
      <c r="M583" s="222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hidden="1" customHeight="1">
      <c r="A584" s="226"/>
      <c r="B584" s="222"/>
      <c r="C584" s="222"/>
      <c r="D584" s="222"/>
      <c r="E584" s="223"/>
      <c r="F584" s="32"/>
      <c r="G584" s="227"/>
      <c r="H584" s="227"/>
      <c r="I584" s="223"/>
      <c r="J584" s="223"/>
      <c r="K584" s="222"/>
      <c r="L584" s="222"/>
      <c r="M584" s="222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hidden="1" customHeight="1">
      <c r="A585" s="226"/>
      <c r="B585" s="222"/>
      <c r="C585" s="222"/>
      <c r="D585" s="222"/>
      <c r="E585" s="233"/>
      <c r="F585" s="233"/>
      <c r="G585" s="236"/>
      <c r="H585" s="224"/>
      <c r="I585" s="223"/>
      <c r="J585" s="223"/>
      <c r="K585" s="222"/>
      <c r="L585" s="222"/>
      <c r="M585" s="222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hidden="1" customHeight="1">
      <c r="A586" s="226"/>
      <c r="B586" s="222"/>
      <c r="C586" s="222"/>
      <c r="D586" s="222"/>
      <c r="E586" s="223"/>
      <c r="F586" s="223"/>
      <c r="G586" s="227"/>
      <c r="H586" s="224"/>
      <c r="I586" s="223"/>
      <c r="J586" s="223"/>
      <c r="K586" s="222"/>
      <c r="L586" s="222"/>
      <c r="M586" s="222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hidden="1" customHeight="1">
      <c r="A587" s="226"/>
      <c r="B587" s="222"/>
      <c r="C587" s="222"/>
      <c r="D587" s="222"/>
      <c r="E587" s="233"/>
      <c r="F587" s="233"/>
      <c r="G587" s="236"/>
      <c r="H587" s="224"/>
      <c r="I587" s="223"/>
      <c r="J587" s="223"/>
      <c r="K587" s="222"/>
      <c r="L587" s="222"/>
      <c r="M587" s="222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hidden="1" customHeight="1">
      <c r="A588" s="221"/>
      <c r="B588" s="222"/>
      <c r="C588" s="222"/>
      <c r="D588" s="222"/>
      <c r="E588" s="223"/>
      <c r="F588" s="222"/>
      <c r="G588" s="224"/>
      <c r="H588" s="224"/>
      <c r="I588" s="223"/>
      <c r="J588" s="223"/>
      <c r="K588" s="222"/>
      <c r="L588" s="222"/>
      <c r="M588" s="222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hidden="1" customHeight="1">
      <c r="A589" s="221"/>
      <c r="B589" s="222"/>
      <c r="C589" s="222"/>
      <c r="D589" s="222"/>
      <c r="E589" s="223"/>
      <c r="F589" s="222"/>
      <c r="G589" s="224"/>
      <c r="H589" s="224"/>
      <c r="I589" s="223"/>
      <c r="J589" s="223"/>
      <c r="K589" s="222"/>
      <c r="L589" s="222"/>
      <c r="M589" s="222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hidden="1" customHeight="1">
      <c r="A590" s="221"/>
      <c r="B590" s="222"/>
      <c r="C590" s="222"/>
      <c r="D590" s="222"/>
      <c r="E590" s="223"/>
      <c r="F590" s="222"/>
      <c r="G590" s="224"/>
      <c r="H590" s="224"/>
      <c r="I590" s="223"/>
      <c r="J590" s="223"/>
      <c r="K590" s="222"/>
      <c r="L590" s="222"/>
      <c r="M590" s="222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hidden="1" customHeight="1">
      <c r="A591" s="221"/>
      <c r="B591" s="222"/>
      <c r="C591" s="222"/>
      <c r="D591" s="222"/>
      <c r="E591" s="223"/>
      <c r="F591" s="222"/>
      <c r="G591" s="224"/>
      <c r="H591" s="224"/>
      <c r="I591" s="223"/>
      <c r="J591" s="223"/>
      <c r="K591" s="222"/>
      <c r="L591" s="222"/>
      <c r="M591" s="222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hidden="1" customHeight="1">
      <c r="A592" s="221"/>
      <c r="B592" s="222"/>
      <c r="C592" s="222"/>
      <c r="D592" s="222"/>
      <c r="E592" s="223"/>
      <c r="F592" s="222"/>
      <c r="G592" s="224"/>
      <c r="H592" s="224"/>
      <c r="I592" s="223"/>
      <c r="J592" s="223"/>
      <c r="K592" s="222"/>
      <c r="L592" s="222"/>
      <c r="M592" s="222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hidden="1" customHeight="1">
      <c r="A593" s="221"/>
      <c r="B593" s="222"/>
      <c r="C593" s="222"/>
      <c r="D593" s="222"/>
      <c r="E593" s="223"/>
      <c r="F593" s="222"/>
      <c r="G593" s="224"/>
      <c r="H593" s="224"/>
      <c r="I593" s="223"/>
      <c r="J593" s="223"/>
      <c r="K593" s="222"/>
      <c r="L593" s="222"/>
      <c r="M593" s="222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hidden="1" customHeight="1">
      <c r="A594" s="221"/>
      <c r="B594" s="222"/>
      <c r="C594" s="222"/>
      <c r="D594" s="222"/>
      <c r="E594" s="223"/>
      <c r="F594" s="222"/>
      <c r="G594" s="224"/>
      <c r="H594" s="224"/>
      <c r="I594" s="223"/>
      <c r="J594" s="223"/>
      <c r="K594" s="222"/>
      <c r="L594" s="222"/>
      <c r="M594" s="222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hidden="1" customHeight="1">
      <c r="A595" s="221"/>
      <c r="B595" s="222"/>
      <c r="C595" s="222"/>
      <c r="D595" s="222"/>
      <c r="E595" s="223"/>
      <c r="F595" s="223"/>
      <c r="G595" s="227"/>
      <c r="H595" s="224"/>
      <c r="I595" s="223"/>
      <c r="J595" s="223"/>
      <c r="K595" s="222"/>
      <c r="L595" s="222"/>
      <c r="M595" s="222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hidden="1" customHeight="1">
      <c r="A596" s="221"/>
      <c r="B596" s="222"/>
      <c r="C596" s="222"/>
      <c r="D596" s="222"/>
      <c r="E596" s="223"/>
      <c r="F596" s="223"/>
      <c r="G596" s="227"/>
      <c r="H596" s="224"/>
      <c r="I596" s="223"/>
      <c r="J596" s="223"/>
      <c r="K596" s="222"/>
      <c r="L596" s="222"/>
      <c r="M596" s="222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hidden="1" customHeight="1">
      <c r="A597" s="332"/>
      <c r="B597" s="333"/>
      <c r="C597" s="333"/>
      <c r="D597" s="333"/>
      <c r="E597" s="334"/>
      <c r="F597" s="334"/>
      <c r="G597" s="335"/>
      <c r="H597" s="336"/>
      <c r="I597" s="337"/>
      <c r="J597" s="337" t="s">
        <v>1152</v>
      </c>
      <c r="K597" s="333"/>
      <c r="L597" s="333"/>
      <c r="M597" s="333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  <c r="Z597" s="259"/>
    </row>
    <row r="598" ht="15.75" hidden="1" customHeight="1">
      <c r="A598" s="221"/>
      <c r="B598" s="222"/>
      <c r="C598" s="222"/>
      <c r="D598" s="222"/>
      <c r="E598" s="223"/>
      <c r="F598" s="32"/>
      <c r="G598" s="227"/>
      <c r="H598" s="227"/>
      <c r="I598" s="223"/>
      <c r="J598" s="223"/>
      <c r="K598" s="222"/>
      <c r="L598" s="222"/>
      <c r="M598" s="222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hidden="1" customHeight="1">
      <c r="A599" s="221"/>
      <c r="B599" s="222"/>
      <c r="C599" s="222"/>
      <c r="D599" s="222"/>
      <c r="E599" s="223"/>
      <c r="F599" s="222"/>
      <c r="G599" s="224"/>
      <c r="H599" s="224"/>
      <c r="I599" s="223"/>
      <c r="J599" s="223"/>
      <c r="K599" s="222"/>
      <c r="L599" s="222"/>
      <c r="M599" s="222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hidden="1" customHeight="1">
      <c r="A600" s="221"/>
      <c r="B600" s="222"/>
      <c r="C600" s="222"/>
      <c r="D600" s="222"/>
      <c r="E600" s="223"/>
      <c r="F600" s="32"/>
      <c r="G600" s="227"/>
      <c r="H600" s="227"/>
      <c r="I600" s="223"/>
      <c r="J600" s="223"/>
      <c r="K600" s="222"/>
      <c r="L600" s="222"/>
      <c r="M600" s="222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hidden="1" customHeight="1">
      <c r="A601" s="221"/>
      <c r="B601" s="222"/>
      <c r="C601" s="222"/>
      <c r="D601" s="222"/>
      <c r="E601" s="223"/>
      <c r="F601" s="32"/>
      <c r="G601" s="227"/>
      <c r="H601" s="227"/>
      <c r="I601" s="223"/>
      <c r="J601" s="223"/>
      <c r="K601" s="222"/>
      <c r="L601" s="222"/>
      <c r="M601" s="222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hidden="1" customHeight="1">
      <c r="A602" s="221"/>
      <c r="B602" s="222"/>
      <c r="C602" s="222"/>
      <c r="D602" s="222"/>
      <c r="E602" s="223"/>
      <c r="F602" s="222"/>
      <c r="G602" s="224"/>
      <c r="H602" s="224"/>
      <c r="I602" s="223"/>
      <c r="J602" s="223"/>
      <c r="K602" s="222"/>
      <c r="L602" s="222"/>
      <c r="M602" s="222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hidden="1" customHeight="1">
      <c r="A603" s="221"/>
      <c r="B603" s="222"/>
      <c r="C603" s="222"/>
      <c r="D603" s="222"/>
      <c r="E603" s="223"/>
      <c r="F603" s="222"/>
      <c r="G603" s="224"/>
      <c r="H603" s="224"/>
      <c r="I603" s="223"/>
      <c r="J603" s="223"/>
      <c r="K603" s="222"/>
      <c r="L603" s="222"/>
      <c r="M603" s="222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hidden="1" customHeight="1">
      <c r="A604" s="221"/>
      <c r="B604" s="222"/>
      <c r="C604" s="222"/>
      <c r="D604" s="222"/>
      <c r="E604" s="223"/>
      <c r="F604" s="32"/>
      <c r="G604" s="227"/>
      <c r="H604" s="227"/>
      <c r="I604" s="223"/>
      <c r="J604" s="223"/>
      <c r="K604" s="222"/>
      <c r="L604" s="222"/>
      <c r="M604" s="222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hidden="1" customHeight="1">
      <c r="A605" s="221"/>
      <c r="B605" s="222"/>
      <c r="C605" s="222"/>
      <c r="D605" s="222"/>
      <c r="E605" s="223"/>
      <c r="F605" s="222"/>
      <c r="G605" s="224"/>
      <c r="H605" s="224"/>
      <c r="I605" s="223"/>
      <c r="J605" s="223"/>
      <c r="K605" s="222"/>
      <c r="L605" s="222"/>
      <c r="M605" s="222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hidden="1" customHeight="1">
      <c r="A606" s="221"/>
      <c r="B606" s="222"/>
      <c r="C606" s="222"/>
      <c r="D606" s="222"/>
      <c r="E606" s="223"/>
      <c r="F606" s="32"/>
      <c r="G606" s="227"/>
      <c r="H606" s="227"/>
      <c r="I606" s="223"/>
      <c r="J606" s="223"/>
      <c r="K606" s="222"/>
      <c r="L606" s="222"/>
      <c r="M606" s="222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hidden="1" customHeight="1">
      <c r="A607" s="226"/>
      <c r="B607" s="222"/>
      <c r="C607" s="222"/>
      <c r="D607" s="222"/>
      <c r="E607" s="223"/>
      <c r="F607" s="222"/>
      <c r="G607" s="224"/>
      <c r="H607" s="224"/>
      <c r="I607" s="223"/>
      <c r="J607" s="223"/>
      <c r="K607" s="222"/>
      <c r="L607" s="222"/>
      <c r="M607" s="222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hidden="1" customHeight="1">
      <c r="A608" s="226"/>
      <c r="B608" s="222"/>
      <c r="C608" s="222"/>
      <c r="D608" s="222"/>
      <c r="E608" s="223"/>
      <c r="F608" s="32"/>
      <c r="G608" s="227"/>
      <c r="H608" s="227"/>
      <c r="I608" s="223"/>
      <c r="J608" s="223"/>
      <c r="K608" s="222"/>
      <c r="L608" s="222"/>
      <c r="M608" s="222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hidden="1" customHeight="1">
      <c r="A609" s="226"/>
      <c r="B609" s="222"/>
      <c r="C609" s="222"/>
      <c r="D609" s="222"/>
      <c r="E609" s="223"/>
      <c r="F609" s="32"/>
      <c r="G609" s="227"/>
      <c r="H609" s="227"/>
      <c r="I609" s="223"/>
      <c r="J609" s="223"/>
      <c r="K609" s="222"/>
      <c r="L609" s="222"/>
      <c r="M609" s="222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hidden="1" customHeight="1">
      <c r="A610" s="226"/>
      <c r="B610" s="222"/>
      <c r="C610" s="222"/>
      <c r="D610" s="222"/>
      <c r="E610" s="223"/>
      <c r="F610" s="32"/>
      <c r="G610" s="227"/>
      <c r="H610" s="227"/>
      <c r="I610" s="223"/>
      <c r="J610" s="223"/>
      <c r="K610" s="222"/>
      <c r="L610" s="222"/>
      <c r="M610" s="222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hidden="1" customHeight="1">
      <c r="A611" s="226"/>
      <c r="B611" s="222"/>
      <c r="C611" s="222"/>
      <c r="D611" s="222"/>
      <c r="E611" s="223"/>
      <c r="F611" s="223"/>
      <c r="G611" s="227"/>
      <c r="H611" s="224"/>
      <c r="I611" s="223"/>
      <c r="J611" s="223"/>
      <c r="K611" s="222"/>
      <c r="L611" s="222"/>
      <c r="M611" s="222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hidden="1" customHeight="1">
      <c r="A612" s="226"/>
      <c r="B612" s="222"/>
      <c r="C612" s="222"/>
      <c r="D612" s="222"/>
      <c r="E612" s="223"/>
      <c r="F612" s="222"/>
      <c r="G612" s="224"/>
      <c r="H612" s="224"/>
      <c r="I612" s="223"/>
      <c r="J612" s="223"/>
      <c r="K612" s="222"/>
      <c r="L612" s="222"/>
      <c r="M612" s="222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hidden="1" customHeight="1">
      <c r="A613" s="226"/>
      <c r="B613" s="222"/>
      <c r="C613" s="222"/>
      <c r="D613" s="222"/>
      <c r="E613" s="223"/>
      <c r="F613" s="32"/>
      <c r="G613" s="227"/>
      <c r="H613" s="227"/>
      <c r="I613" s="223"/>
      <c r="J613" s="223"/>
      <c r="K613" s="222"/>
      <c r="L613" s="222"/>
      <c r="M613" s="222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hidden="1" customHeight="1">
      <c r="A614" s="226"/>
      <c r="B614" s="222"/>
      <c r="C614" s="222"/>
      <c r="D614" s="222"/>
      <c r="E614" s="223"/>
      <c r="F614" s="32"/>
      <c r="G614" s="227"/>
      <c r="H614" s="227"/>
      <c r="I614" s="223"/>
      <c r="J614" s="223"/>
      <c r="K614" s="222"/>
      <c r="L614" s="222"/>
      <c r="M614" s="222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hidden="1" customHeight="1">
      <c r="A615" s="226"/>
      <c r="B615" s="222"/>
      <c r="C615" s="222"/>
      <c r="D615" s="222"/>
      <c r="E615" s="233"/>
      <c r="F615" s="233"/>
      <c r="G615" s="236"/>
      <c r="H615" s="224"/>
      <c r="I615" s="223"/>
      <c r="J615" s="223"/>
      <c r="K615" s="222"/>
      <c r="L615" s="222"/>
      <c r="M615" s="222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hidden="1" customHeight="1">
      <c r="A616" s="226"/>
      <c r="B616" s="222"/>
      <c r="C616" s="222"/>
      <c r="D616" s="222"/>
      <c r="E616" s="223"/>
      <c r="F616" s="223"/>
      <c r="G616" s="227"/>
      <c r="H616" s="224"/>
      <c r="I616" s="223"/>
      <c r="J616" s="223"/>
      <c r="K616" s="222"/>
      <c r="L616" s="222"/>
      <c r="M616" s="222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hidden="1" customHeight="1">
      <c r="A617" s="226"/>
      <c r="B617" s="222"/>
      <c r="C617" s="222"/>
      <c r="D617" s="222"/>
      <c r="E617" s="233"/>
      <c r="F617" s="233"/>
      <c r="G617" s="236"/>
      <c r="H617" s="224"/>
      <c r="I617" s="223"/>
      <c r="J617" s="223"/>
      <c r="K617" s="222"/>
      <c r="L617" s="222"/>
      <c r="M617" s="222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hidden="1" customHeight="1">
      <c r="A618" s="226"/>
      <c r="B618" s="222"/>
      <c r="C618" s="222"/>
      <c r="D618" s="222"/>
      <c r="E618" s="223"/>
      <c r="F618" s="223"/>
      <c r="G618" s="227"/>
      <c r="H618" s="224"/>
      <c r="I618" s="223"/>
      <c r="J618" s="223"/>
      <c r="K618" s="222"/>
      <c r="L618" s="222"/>
      <c r="M618" s="222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hidden="1" customHeight="1">
      <c r="A619" s="226"/>
      <c r="B619" s="222"/>
      <c r="C619" s="222"/>
      <c r="D619" s="222"/>
      <c r="E619" s="233"/>
      <c r="F619" s="233"/>
      <c r="G619" s="236"/>
      <c r="H619" s="224"/>
      <c r="I619" s="223"/>
      <c r="J619" s="223"/>
      <c r="K619" s="222"/>
      <c r="L619" s="222"/>
      <c r="M619" s="222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hidden="1" customHeight="1">
      <c r="A620" s="228"/>
      <c r="B620" s="222"/>
      <c r="C620" s="222"/>
      <c r="D620" s="222"/>
      <c r="E620" s="223"/>
      <c r="F620" s="32"/>
      <c r="G620" s="227"/>
      <c r="H620" s="227"/>
      <c r="I620" s="223"/>
      <c r="J620" s="223"/>
      <c r="K620" s="222"/>
      <c r="L620" s="222"/>
      <c r="M620" s="222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hidden="1" customHeight="1">
      <c r="A621" s="228"/>
      <c r="B621" s="222"/>
      <c r="C621" s="222"/>
      <c r="D621" s="222"/>
      <c r="E621" s="223"/>
      <c r="F621" s="222"/>
      <c r="G621" s="224"/>
      <c r="H621" s="224"/>
      <c r="I621" s="223"/>
      <c r="J621" s="223"/>
      <c r="K621" s="222"/>
      <c r="L621" s="222"/>
      <c r="M621" s="222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hidden="1" customHeight="1">
      <c r="A622" s="228"/>
      <c r="B622" s="222"/>
      <c r="C622" s="222"/>
      <c r="D622" s="222"/>
      <c r="E622" s="223"/>
      <c r="F622" s="32"/>
      <c r="G622" s="227"/>
      <c r="H622" s="227"/>
      <c r="I622" s="223"/>
      <c r="J622" s="223"/>
      <c r="K622" s="222"/>
      <c r="L622" s="222"/>
      <c r="M622" s="222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hidden="1" customHeight="1">
      <c r="A623" s="221"/>
      <c r="B623" s="222"/>
      <c r="C623" s="222"/>
      <c r="D623" s="222"/>
      <c r="E623" s="223"/>
      <c r="F623" s="222"/>
      <c r="G623" s="224"/>
      <c r="H623" s="224"/>
      <c r="I623" s="223"/>
      <c r="J623" s="223"/>
      <c r="K623" s="222"/>
      <c r="L623" s="222"/>
      <c r="M623" s="222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hidden="1" customHeight="1">
      <c r="A624" s="226"/>
      <c r="B624" s="222"/>
      <c r="C624" s="222"/>
      <c r="D624" s="222"/>
      <c r="E624" s="223"/>
      <c r="F624" s="32"/>
      <c r="G624" s="227"/>
      <c r="H624" s="227"/>
      <c r="I624" s="223"/>
      <c r="J624" s="223"/>
      <c r="K624" s="222"/>
      <c r="L624" s="222"/>
      <c r="M624" s="222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hidden="1" customHeight="1">
      <c r="A625" s="228"/>
      <c r="B625" s="222"/>
      <c r="C625" s="222"/>
      <c r="D625" s="222"/>
      <c r="E625" s="223"/>
      <c r="F625" s="32"/>
      <c r="G625" s="227"/>
      <c r="H625" s="227"/>
      <c r="I625" s="223"/>
      <c r="J625" s="223"/>
      <c r="K625" s="222"/>
      <c r="L625" s="222"/>
      <c r="M625" s="222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hidden="1" customHeight="1">
      <c r="A626" s="226"/>
      <c r="B626" s="222"/>
      <c r="C626" s="222"/>
      <c r="D626" s="222"/>
      <c r="E626" s="223"/>
      <c r="F626" s="223"/>
      <c r="G626" s="227"/>
      <c r="H626" s="224"/>
      <c r="I626" s="223"/>
      <c r="J626" s="223"/>
      <c r="K626" s="222"/>
      <c r="L626" s="222"/>
      <c r="M626" s="222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hidden="1" customHeight="1">
      <c r="A627" s="226"/>
      <c r="B627" s="222"/>
      <c r="C627" s="222"/>
      <c r="D627" s="222"/>
      <c r="E627" s="233"/>
      <c r="F627" s="233"/>
      <c r="G627" s="236"/>
      <c r="H627" s="224"/>
      <c r="I627" s="223"/>
      <c r="J627" s="223"/>
      <c r="K627" s="222"/>
      <c r="L627" s="222"/>
      <c r="M627" s="222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hidden="1" customHeight="1">
      <c r="A628" s="226"/>
      <c r="B628" s="222"/>
      <c r="C628" s="222"/>
      <c r="D628" s="222"/>
      <c r="E628" s="223"/>
      <c r="F628" s="223"/>
      <c r="G628" s="227"/>
      <c r="H628" s="224"/>
      <c r="I628" s="223"/>
      <c r="J628" s="223"/>
      <c r="K628" s="222"/>
      <c r="L628" s="222"/>
      <c r="M628" s="222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hidden="1" customHeight="1">
      <c r="A629" s="226"/>
      <c r="B629" s="222"/>
      <c r="C629" s="222"/>
      <c r="D629" s="222"/>
      <c r="E629" s="223"/>
      <c r="F629" s="223"/>
      <c r="G629" s="227"/>
      <c r="H629" s="224"/>
      <c r="I629" s="223"/>
      <c r="J629" s="223"/>
      <c r="K629" s="222"/>
      <c r="L629" s="222"/>
      <c r="M629" s="222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hidden="1" customHeight="1">
      <c r="A630" s="226"/>
      <c r="B630" s="222"/>
      <c r="C630" s="222"/>
      <c r="D630" s="222"/>
      <c r="E630" s="223"/>
      <c r="F630" s="223"/>
      <c r="G630" s="227"/>
      <c r="H630" s="224"/>
      <c r="I630" s="223"/>
      <c r="J630" s="223"/>
      <c r="K630" s="222"/>
      <c r="L630" s="222"/>
      <c r="M630" s="222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hidden="1" customHeight="1">
      <c r="A631" s="226"/>
      <c r="B631" s="222"/>
      <c r="C631" s="222"/>
      <c r="D631" s="222"/>
      <c r="E631" s="223"/>
      <c r="F631" s="32"/>
      <c r="G631" s="227"/>
      <c r="H631" s="224"/>
      <c r="I631" s="223"/>
      <c r="J631" s="223"/>
      <c r="K631" s="222"/>
      <c r="L631" s="222"/>
      <c r="M631" s="222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hidden="1" customHeight="1">
      <c r="A632" s="226"/>
      <c r="B632" s="222"/>
      <c r="C632" s="222"/>
      <c r="D632" s="222"/>
      <c r="E632" s="223"/>
      <c r="F632" s="223"/>
      <c r="G632" s="227"/>
      <c r="H632" s="224"/>
      <c r="I632" s="223"/>
      <c r="J632" s="223"/>
      <c r="K632" s="222"/>
      <c r="L632" s="222"/>
      <c r="M632" s="222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hidden="1" customHeight="1">
      <c r="A633" s="226"/>
      <c r="B633" s="222"/>
      <c r="C633" s="222"/>
      <c r="D633" s="222"/>
      <c r="E633" s="233"/>
      <c r="F633" s="233"/>
      <c r="G633" s="236"/>
      <c r="H633" s="224"/>
      <c r="I633" s="223"/>
      <c r="J633" s="223"/>
      <c r="K633" s="222"/>
      <c r="L633" s="222"/>
      <c r="M633" s="222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hidden="1" customHeight="1">
      <c r="A634" s="226"/>
      <c r="B634" s="222"/>
      <c r="C634" s="222"/>
      <c r="D634" s="222"/>
      <c r="E634" s="223"/>
      <c r="F634" s="223"/>
      <c r="G634" s="227"/>
      <c r="H634" s="224"/>
      <c r="I634" s="223"/>
      <c r="J634" s="223"/>
      <c r="K634" s="222"/>
      <c r="L634" s="222"/>
      <c r="M634" s="222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hidden="1" customHeight="1">
      <c r="A635" s="226"/>
      <c r="B635" s="222"/>
      <c r="C635" s="222"/>
      <c r="D635" s="222"/>
      <c r="E635" s="223"/>
      <c r="F635" s="223"/>
      <c r="G635" s="227"/>
      <c r="H635" s="224"/>
      <c r="I635" s="223"/>
      <c r="J635" s="223"/>
      <c r="K635" s="222"/>
      <c r="L635" s="222"/>
      <c r="M635" s="222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hidden="1" customHeight="1">
      <c r="A636" s="226"/>
      <c r="B636" s="222"/>
      <c r="C636" s="222"/>
      <c r="D636" s="222"/>
      <c r="E636" s="223"/>
      <c r="F636" s="223"/>
      <c r="G636" s="227"/>
      <c r="H636" s="224"/>
      <c r="I636" s="223"/>
      <c r="J636" s="223"/>
      <c r="K636" s="222"/>
      <c r="L636" s="222"/>
      <c r="M636" s="222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hidden="1" customHeight="1">
      <c r="A637" s="226"/>
      <c r="B637" s="222"/>
      <c r="C637" s="222"/>
      <c r="D637" s="222"/>
      <c r="E637" s="223"/>
      <c r="F637" s="223"/>
      <c r="G637" s="227"/>
      <c r="H637" s="224"/>
      <c r="I637" s="223"/>
      <c r="J637" s="223"/>
      <c r="K637" s="222"/>
      <c r="L637" s="222"/>
      <c r="M637" s="222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hidden="1" customHeight="1">
      <c r="A638" s="226"/>
      <c r="B638" s="222"/>
      <c r="C638" s="222"/>
      <c r="D638" s="222"/>
      <c r="E638" s="223"/>
      <c r="F638" s="223"/>
      <c r="G638" s="227"/>
      <c r="H638" s="224"/>
      <c r="I638" s="223"/>
      <c r="J638" s="223"/>
      <c r="K638" s="222"/>
      <c r="L638" s="222"/>
      <c r="M638" s="222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hidden="1" customHeight="1">
      <c r="A639" s="228"/>
      <c r="B639" s="222"/>
      <c r="C639" s="222"/>
      <c r="D639" s="222"/>
      <c r="E639" s="223"/>
      <c r="F639" s="32"/>
      <c r="G639" s="227"/>
      <c r="H639" s="227"/>
      <c r="I639" s="223"/>
      <c r="J639" s="223"/>
      <c r="K639" s="222"/>
      <c r="L639" s="222"/>
      <c r="M639" s="222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hidden="1" customHeight="1">
      <c r="A640" s="228"/>
      <c r="B640" s="222"/>
      <c r="C640" s="222"/>
      <c r="D640" s="222"/>
      <c r="E640" s="223"/>
      <c r="F640" s="32"/>
      <c r="G640" s="227"/>
      <c r="H640" s="227"/>
      <c r="I640" s="223"/>
      <c r="J640" s="223"/>
      <c r="K640" s="222"/>
      <c r="L640" s="222"/>
      <c r="M640" s="222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hidden="1" customHeight="1">
      <c r="A641" s="221"/>
      <c r="B641" s="222"/>
      <c r="C641" s="222"/>
      <c r="D641" s="222"/>
      <c r="E641" s="223"/>
      <c r="F641" s="223"/>
      <c r="G641" s="227"/>
      <c r="H641" s="224"/>
      <c r="I641" s="223"/>
      <c r="J641" s="223"/>
      <c r="K641" s="222"/>
      <c r="L641" s="222"/>
      <c r="M641" s="222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hidden="1" customHeight="1">
      <c r="A642" s="221"/>
      <c r="B642" s="222"/>
      <c r="C642" s="222"/>
      <c r="D642" s="222"/>
      <c r="E642" s="223"/>
      <c r="F642" s="222"/>
      <c r="G642" s="224"/>
      <c r="H642" s="224"/>
      <c r="I642" s="223"/>
      <c r="J642" s="223"/>
      <c r="K642" s="222"/>
      <c r="L642" s="222"/>
      <c r="M642" s="222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hidden="1" customHeight="1">
      <c r="A643" s="221"/>
      <c r="B643" s="222"/>
      <c r="C643" s="222"/>
      <c r="D643" s="222"/>
      <c r="E643" s="223"/>
      <c r="F643" s="222"/>
      <c r="G643" s="224"/>
      <c r="H643" s="224"/>
      <c r="I643" s="223"/>
      <c r="J643" s="223"/>
      <c r="K643" s="222"/>
      <c r="L643" s="222"/>
      <c r="M643" s="222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hidden="1" customHeight="1">
      <c r="A644" s="221"/>
      <c r="B644" s="222"/>
      <c r="C644" s="222"/>
      <c r="D644" s="222"/>
      <c r="E644" s="223"/>
      <c r="F644" s="222"/>
      <c r="G644" s="224"/>
      <c r="H644" s="224"/>
      <c r="I644" s="223"/>
      <c r="J644" s="223"/>
      <c r="K644" s="222"/>
      <c r="L644" s="222"/>
      <c r="M644" s="222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hidden="1" customHeight="1">
      <c r="A645" s="221"/>
      <c r="B645" s="222"/>
      <c r="C645" s="222"/>
      <c r="D645" s="222"/>
      <c r="E645" s="223"/>
      <c r="F645" s="222"/>
      <c r="G645" s="224"/>
      <c r="H645" s="224"/>
      <c r="I645" s="223"/>
      <c r="J645" s="223"/>
      <c r="K645" s="222"/>
      <c r="L645" s="222"/>
      <c r="M645" s="222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hidden="1" customHeight="1">
      <c r="A646" s="221"/>
      <c r="B646" s="222"/>
      <c r="C646" s="222"/>
      <c r="D646" s="222"/>
      <c r="E646" s="223"/>
      <c r="F646" s="222"/>
      <c r="G646" s="224"/>
      <c r="H646" s="224"/>
      <c r="I646" s="223"/>
      <c r="J646" s="223"/>
      <c r="K646" s="222"/>
      <c r="L646" s="222"/>
      <c r="M646" s="222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hidden="1" customHeight="1">
      <c r="A647" s="221"/>
      <c r="B647" s="222"/>
      <c r="C647" s="222"/>
      <c r="D647" s="222"/>
      <c r="E647" s="223"/>
      <c r="F647" s="222"/>
      <c r="G647" s="224"/>
      <c r="H647" s="224"/>
      <c r="I647" s="223"/>
      <c r="J647" s="223"/>
      <c r="K647" s="222"/>
      <c r="L647" s="222"/>
      <c r="M647" s="222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hidden="1" customHeight="1">
      <c r="A648" s="221"/>
      <c r="B648" s="222"/>
      <c r="C648" s="222"/>
      <c r="D648" s="222"/>
      <c r="E648" s="223"/>
      <c r="F648" s="222"/>
      <c r="G648" s="224"/>
      <c r="H648" s="224"/>
      <c r="I648" s="223"/>
      <c r="J648" s="223"/>
      <c r="K648" s="222"/>
      <c r="L648" s="222"/>
      <c r="M648" s="222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hidden="1" customHeight="1">
      <c r="A649" s="226"/>
      <c r="B649" s="222"/>
      <c r="C649" s="222"/>
      <c r="D649" s="222"/>
      <c r="E649" s="223"/>
      <c r="F649" s="32"/>
      <c r="G649" s="227"/>
      <c r="H649" s="227"/>
      <c r="I649" s="223"/>
      <c r="J649" s="223"/>
      <c r="K649" s="222"/>
      <c r="L649" s="222"/>
      <c r="M649" s="222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hidden="1" customHeight="1">
      <c r="A650" s="226"/>
      <c r="B650" s="222"/>
      <c r="C650" s="222"/>
      <c r="D650" s="222"/>
      <c r="E650" s="223"/>
      <c r="F650" s="32"/>
      <c r="G650" s="227"/>
      <c r="H650" s="227"/>
      <c r="I650" s="223"/>
      <c r="J650" s="223"/>
      <c r="K650" s="222"/>
      <c r="L650" s="222"/>
      <c r="M650" s="222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hidden="1" customHeight="1">
      <c r="A651" s="226"/>
      <c r="B651" s="222"/>
      <c r="C651" s="222"/>
      <c r="D651" s="222"/>
      <c r="E651" s="223"/>
      <c r="F651" s="32"/>
      <c r="G651" s="227"/>
      <c r="H651" s="227"/>
      <c r="I651" s="223"/>
      <c r="J651" s="223"/>
      <c r="K651" s="222"/>
      <c r="L651" s="222"/>
      <c r="M651" s="222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hidden="1" customHeight="1">
      <c r="A652" s="226"/>
      <c r="B652" s="222"/>
      <c r="C652" s="222"/>
      <c r="D652" s="222"/>
      <c r="E652" s="223"/>
      <c r="F652" s="32"/>
      <c r="G652" s="227"/>
      <c r="H652" s="227"/>
      <c r="I652" s="223"/>
      <c r="J652" s="223"/>
      <c r="K652" s="222"/>
      <c r="L652" s="222"/>
      <c r="M652" s="222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hidden="1" customHeight="1">
      <c r="A653" s="226"/>
      <c r="B653" s="222"/>
      <c r="C653" s="222"/>
      <c r="D653" s="222"/>
      <c r="E653" s="223"/>
      <c r="F653" s="32"/>
      <c r="G653" s="227"/>
      <c r="H653" s="227"/>
      <c r="I653" s="223"/>
      <c r="J653" s="223"/>
      <c r="K653" s="222"/>
      <c r="L653" s="222"/>
      <c r="M653" s="222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hidden="1" customHeight="1">
      <c r="A654" s="226"/>
      <c r="B654" s="222"/>
      <c r="C654" s="222"/>
      <c r="D654" s="222"/>
      <c r="E654" s="223"/>
      <c r="F654" s="32"/>
      <c r="G654" s="227"/>
      <c r="H654" s="227"/>
      <c r="I654" s="223"/>
      <c r="J654" s="223"/>
      <c r="K654" s="222"/>
      <c r="L654" s="222"/>
      <c r="M654" s="222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hidden="1" customHeight="1">
      <c r="A655" s="226"/>
      <c r="B655" s="222"/>
      <c r="C655" s="222"/>
      <c r="D655" s="222"/>
      <c r="E655" s="223"/>
      <c r="F655" s="32"/>
      <c r="G655" s="227"/>
      <c r="H655" s="227"/>
      <c r="I655" s="223"/>
      <c r="J655" s="223"/>
      <c r="K655" s="222"/>
      <c r="L655" s="222"/>
      <c r="M655" s="222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hidden="1" customHeight="1">
      <c r="A656" s="226"/>
      <c r="B656" s="222"/>
      <c r="C656" s="222"/>
      <c r="D656" s="222"/>
      <c r="E656" s="223"/>
      <c r="F656" s="32"/>
      <c r="G656" s="227"/>
      <c r="H656" s="227"/>
      <c r="I656" s="223"/>
      <c r="J656" s="223"/>
      <c r="K656" s="222"/>
      <c r="L656" s="222"/>
      <c r="M656" s="222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hidden="1" customHeight="1">
      <c r="A657" s="226"/>
      <c r="B657" s="222"/>
      <c r="C657" s="222"/>
      <c r="D657" s="222"/>
      <c r="E657" s="223"/>
      <c r="F657" s="32"/>
      <c r="G657" s="227"/>
      <c r="H657" s="227"/>
      <c r="I657" s="223"/>
      <c r="J657" s="223"/>
      <c r="K657" s="222"/>
      <c r="L657" s="222"/>
      <c r="M657" s="222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hidden="1" customHeight="1">
      <c r="A658" s="226"/>
      <c r="B658" s="222"/>
      <c r="C658" s="222"/>
      <c r="D658" s="222"/>
      <c r="E658" s="223"/>
      <c r="F658" s="32"/>
      <c r="G658" s="227"/>
      <c r="H658" s="227"/>
      <c r="I658" s="223"/>
      <c r="J658" s="223"/>
      <c r="K658" s="222"/>
      <c r="L658" s="222"/>
      <c r="M658" s="222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hidden="1" customHeight="1">
      <c r="A659" s="226"/>
      <c r="B659" s="222"/>
      <c r="C659" s="222"/>
      <c r="D659" s="222"/>
      <c r="E659" s="223"/>
      <c r="F659" s="32"/>
      <c r="G659" s="227"/>
      <c r="H659" s="227"/>
      <c r="I659" s="223"/>
      <c r="J659" s="223"/>
      <c r="K659" s="222"/>
      <c r="L659" s="222"/>
      <c r="M659" s="222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hidden="1" customHeight="1">
      <c r="A660" s="226"/>
      <c r="B660" s="222"/>
      <c r="C660" s="222"/>
      <c r="D660" s="222"/>
      <c r="E660" s="223"/>
      <c r="F660" s="32"/>
      <c r="G660" s="227"/>
      <c r="H660" s="227"/>
      <c r="I660" s="223"/>
      <c r="J660" s="223"/>
      <c r="K660" s="222"/>
      <c r="L660" s="222"/>
      <c r="M660" s="222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hidden="1" customHeight="1">
      <c r="A661" s="226"/>
      <c r="B661" s="222"/>
      <c r="C661" s="222"/>
      <c r="D661" s="222"/>
      <c r="E661" s="223"/>
      <c r="F661" s="32"/>
      <c r="G661" s="227"/>
      <c r="H661" s="227"/>
      <c r="I661" s="223"/>
      <c r="J661" s="223"/>
      <c r="K661" s="222"/>
      <c r="L661" s="222"/>
      <c r="M661" s="222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hidden="1" customHeight="1">
      <c r="A662" s="226"/>
      <c r="B662" s="222"/>
      <c r="C662" s="222"/>
      <c r="D662" s="222"/>
      <c r="E662" s="223"/>
      <c r="F662" s="32"/>
      <c r="G662" s="227"/>
      <c r="H662" s="227"/>
      <c r="I662" s="223"/>
      <c r="J662" s="223"/>
      <c r="K662" s="222"/>
      <c r="L662" s="222"/>
      <c r="M662" s="222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hidden="1" customHeight="1">
      <c r="A663" s="226"/>
      <c r="B663" s="222"/>
      <c r="C663" s="222"/>
      <c r="D663" s="222"/>
      <c r="E663" s="223"/>
      <c r="F663" s="32"/>
      <c r="G663" s="227"/>
      <c r="H663" s="227"/>
      <c r="I663" s="223"/>
      <c r="J663" s="223"/>
      <c r="K663" s="222"/>
      <c r="L663" s="222"/>
      <c r="M663" s="222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hidden="1" customHeight="1">
      <c r="A664" s="226"/>
      <c r="B664" s="222"/>
      <c r="C664" s="222"/>
      <c r="D664" s="222"/>
      <c r="E664" s="223"/>
      <c r="F664" s="32"/>
      <c r="G664" s="227"/>
      <c r="H664" s="227"/>
      <c r="I664" s="223"/>
      <c r="J664" s="223"/>
      <c r="K664" s="222"/>
      <c r="L664" s="222"/>
      <c r="M664" s="222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hidden="1" customHeight="1">
      <c r="A665" s="226"/>
      <c r="B665" s="222"/>
      <c r="C665" s="222"/>
      <c r="D665" s="222"/>
      <c r="E665" s="223"/>
      <c r="F665" s="32"/>
      <c r="G665" s="227"/>
      <c r="H665" s="227"/>
      <c r="I665" s="223"/>
      <c r="J665" s="223"/>
      <c r="K665" s="222"/>
      <c r="L665" s="222"/>
      <c r="M665" s="222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hidden="1" customHeight="1">
      <c r="A666" s="226"/>
      <c r="B666" s="222"/>
      <c r="C666" s="222"/>
      <c r="D666" s="222"/>
      <c r="E666" s="223"/>
      <c r="F666" s="32"/>
      <c r="G666" s="227"/>
      <c r="H666" s="227"/>
      <c r="I666" s="223"/>
      <c r="J666" s="223"/>
      <c r="K666" s="222"/>
      <c r="L666" s="222"/>
      <c r="M666" s="222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hidden="1" customHeight="1">
      <c r="A667" s="226"/>
      <c r="B667" s="222"/>
      <c r="C667" s="222"/>
      <c r="D667" s="222"/>
      <c r="E667" s="223"/>
      <c r="F667" s="32"/>
      <c r="G667" s="227"/>
      <c r="H667" s="227"/>
      <c r="I667" s="223"/>
      <c r="J667" s="223"/>
      <c r="K667" s="222"/>
      <c r="L667" s="222"/>
      <c r="M667" s="222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hidden="1" customHeight="1">
      <c r="A668" s="226"/>
      <c r="B668" s="222"/>
      <c r="C668" s="222"/>
      <c r="D668" s="222"/>
      <c r="E668" s="223"/>
      <c r="F668" s="32"/>
      <c r="G668" s="227"/>
      <c r="H668" s="227"/>
      <c r="I668" s="223"/>
      <c r="J668" s="223"/>
      <c r="K668" s="222"/>
      <c r="L668" s="222"/>
      <c r="M668" s="222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hidden="1" customHeight="1">
      <c r="A669" s="226"/>
      <c r="B669" s="222"/>
      <c r="C669" s="222"/>
      <c r="D669" s="222"/>
      <c r="E669" s="223"/>
      <c r="F669" s="32"/>
      <c r="G669" s="227"/>
      <c r="H669" s="227"/>
      <c r="I669" s="223"/>
      <c r="J669" s="223"/>
      <c r="K669" s="222"/>
      <c r="L669" s="222"/>
      <c r="M669" s="222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hidden="1" customHeight="1">
      <c r="A670" s="338"/>
      <c r="B670" s="222"/>
      <c r="C670" s="222"/>
      <c r="D670" s="222"/>
      <c r="E670" s="223"/>
      <c r="F670" s="32"/>
      <c r="G670" s="227"/>
      <c r="H670" s="224"/>
      <c r="I670" s="223"/>
      <c r="J670" s="223"/>
      <c r="K670" s="222"/>
      <c r="L670" s="222"/>
      <c r="M670" s="222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hidden="1" customHeight="1">
      <c r="A671" s="338"/>
      <c r="B671" s="222"/>
      <c r="C671" s="222"/>
      <c r="D671" s="222"/>
      <c r="E671" s="223"/>
      <c r="F671" s="223"/>
      <c r="G671" s="227"/>
      <c r="H671" s="224"/>
      <c r="I671" s="223"/>
      <c r="J671" s="223"/>
      <c r="K671" s="222"/>
      <c r="L671" s="222"/>
      <c r="M671" s="222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hidden="1" customHeight="1">
      <c r="A672" s="338"/>
      <c r="B672" s="222"/>
      <c r="C672" s="222"/>
      <c r="D672" s="222"/>
      <c r="E672" s="223"/>
      <c r="F672" s="223"/>
      <c r="G672" s="227"/>
      <c r="H672" s="224"/>
      <c r="I672" s="223"/>
      <c r="J672" s="223"/>
      <c r="K672" s="222"/>
      <c r="L672" s="222"/>
      <c r="M672" s="222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hidden="1" customHeight="1">
      <c r="A673" s="338"/>
      <c r="B673" s="222"/>
      <c r="C673" s="222"/>
      <c r="D673" s="222"/>
      <c r="E673" s="223"/>
      <c r="F673" s="223"/>
      <c r="G673" s="227"/>
      <c r="H673" s="224"/>
      <c r="I673" s="223"/>
      <c r="J673" s="223"/>
      <c r="K673" s="222"/>
      <c r="L673" s="222"/>
      <c r="M673" s="222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hidden="1" customHeight="1">
      <c r="A674" s="338"/>
      <c r="B674" s="222"/>
      <c r="C674" s="222"/>
      <c r="D674" s="222"/>
      <c r="E674" s="233"/>
      <c r="F674" s="233"/>
      <c r="G674" s="236"/>
      <c r="H674" s="224"/>
      <c r="I674" s="223"/>
      <c r="J674" s="223"/>
      <c r="K674" s="222"/>
      <c r="L674" s="222"/>
      <c r="M674" s="222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hidden="1" customHeight="1">
      <c r="A675" s="338"/>
      <c r="B675" s="222"/>
      <c r="C675" s="222"/>
      <c r="D675" s="222"/>
      <c r="E675" s="223"/>
      <c r="F675" s="32"/>
      <c r="G675" s="227"/>
      <c r="H675" s="227"/>
      <c r="I675" s="223"/>
      <c r="J675" s="223"/>
      <c r="K675" s="222"/>
      <c r="L675" s="222"/>
      <c r="M675" s="222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hidden="1" customHeight="1">
      <c r="A676" s="338"/>
      <c r="B676" s="222"/>
      <c r="C676" s="222"/>
      <c r="D676" s="222"/>
      <c r="E676" s="223"/>
      <c r="F676" s="223"/>
      <c r="G676" s="227"/>
      <c r="H676" s="224"/>
      <c r="I676" s="223"/>
      <c r="J676" s="223"/>
      <c r="K676" s="222"/>
      <c r="L676" s="222"/>
      <c r="M676" s="222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hidden="1" customHeight="1">
      <c r="A677" s="338"/>
      <c r="B677" s="222"/>
      <c r="C677" s="222"/>
      <c r="D677" s="222"/>
      <c r="E677" s="233"/>
      <c r="F677" s="233"/>
      <c r="G677" s="236"/>
      <c r="H677" s="224"/>
      <c r="I677" s="223"/>
      <c r="J677" s="223"/>
      <c r="K677" s="222"/>
      <c r="L677" s="222"/>
      <c r="M677" s="222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hidden="1" customHeight="1">
      <c r="A678" s="228"/>
      <c r="B678" s="222"/>
      <c r="C678" s="222"/>
      <c r="D678" s="222"/>
      <c r="E678" s="223"/>
      <c r="F678" s="222"/>
      <c r="G678" s="224"/>
      <c r="H678" s="224"/>
      <c r="I678" s="223"/>
      <c r="J678" s="223"/>
      <c r="K678" s="222"/>
      <c r="L678" s="222"/>
      <c r="M678" s="222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hidden="1" customHeight="1">
      <c r="A679" s="228"/>
      <c r="B679" s="222"/>
      <c r="C679" s="222"/>
      <c r="D679" s="222"/>
      <c r="E679" s="223"/>
      <c r="F679" s="32"/>
      <c r="G679" s="227"/>
      <c r="H679" s="227"/>
      <c r="I679" s="223"/>
      <c r="J679" s="223"/>
      <c r="K679" s="222"/>
      <c r="L679" s="222"/>
      <c r="M679" s="222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hidden="1" customHeight="1">
      <c r="A680" s="228"/>
      <c r="B680" s="222"/>
      <c r="C680" s="222"/>
      <c r="D680" s="222"/>
      <c r="E680" s="223"/>
      <c r="F680" s="223"/>
      <c r="G680" s="227"/>
      <c r="H680" s="224"/>
      <c r="I680" s="223"/>
      <c r="J680" s="223"/>
      <c r="K680" s="222"/>
      <c r="L680" s="222"/>
      <c r="M680" s="222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hidden="1" customHeight="1">
      <c r="A681" s="228"/>
      <c r="B681" s="222"/>
      <c r="C681" s="222"/>
      <c r="D681" s="222"/>
      <c r="E681" s="223"/>
      <c r="F681" s="32"/>
      <c r="G681" s="227"/>
      <c r="H681" s="227"/>
      <c r="I681" s="223"/>
      <c r="J681" s="223"/>
      <c r="K681" s="222"/>
      <c r="L681" s="222"/>
      <c r="M681" s="222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hidden="1" customHeight="1">
      <c r="A682" s="228"/>
      <c r="B682" s="222"/>
      <c r="C682" s="222"/>
      <c r="D682" s="222"/>
      <c r="E682" s="223"/>
      <c r="F682" s="223"/>
      <c r="G682" s="227"/>
      <c r="H682" s="224"/>
      <c r="I682" s="223"/>
      <c r="J682" s="223"/>
      <c r="K682" s="222"/>
      <c r="L682" s="222"/>
      <c r="M682" s="222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hidden="1" customHeight="1">
      <c r="A683" s="221"/>
      <c r="B683" s="222"/>
      <c r="C683" s="222"/>
      <c r="D683" s="222"/>
      <c r="E683" s="223"/>
      <c r="F683" s="222"/>
      <c r="G683" s="224"/>
      <c r="H683" s="224"/>
      <c r="I683" s="223"/>
      <c r="J683" s="223"/>
      <c r="K683" s="222"/>
      <c r="L683" s="222"/>
      <c r="M683" s="222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hidden="1" customHeight="1">
      <c r="A684" s="221"/>
      <c r="B684" s="222"/>
      <c r="C684" s="222"/>
      <c r="D684" s="222"/>
      <c r="E684" s="223"/>
      <c r="F684" s="222"/>
      <c r="G684" s="224"/>
      <c r="H684" s="224"/>
      <c r="I684" s="223"/>
      <c r="J684" s="223"/>
      <c r="K684" s="222"/>
      <c r="L684" s="222"/>
      <c r="M684" s="222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hidden="1" customHeight="1">
      <c r="A685" s="221"/>
      <c r="B685" s="222"/>
      <c r="C685" s="222"/>
      <c r="D685" s="222"/>
      <c r="E685" s="223"/>
      <c r="F685" s="222"/>
      <c r="G685" s="224"/>
      <c r="H685" s="224"/>
      <c r="I685" s="223"/>
      <c r="J685" s="223"/>
      <c r="K685" s="222"/>
      <c r="L685" s="222"/>
      <c r="M685" s="222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hidden="1" customHeight="1">
      <c r="A686" s="221"/>
      <c r="B686" s="222"/>
      <c r="C686" s="222"/>
      <c r="D686" s="222"/>
      <c r="E686" s="223"/>
      <c r="F686" s="223"/>
      <c r="G686" s="227"/>
      <c r="H686" s="224"/>
      <c r="I686" s="223"/>
      <c r="J686" s="223"/>
      <c r="K686" s="222"/>
      <c r="L686" s="222"/>
      <c r="M686" s="222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hidden="1" customHeight="1">
      <c r="A687" s="221"/>
      <c r="B687" s="222"/>
      <c r="C687" s="222"/>
      <c r="D687" s="222"/>
      <c r="E687" s="223"/>
      <c r="F687" s="222"/>
      <c r="G687" s="224"/>
      <c r="H687" s="224"/>
      <c r="I687" s="223"/>
      <c r="J687" s="223"/>
      <c r="K687" s="222"/>
      <c r="L687" s="222"/>
      <c r="M687" s="222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hidden="1" customHeight="1">
      <c r="A688" s="338"/>
      <c r="B688" s="222"/>
      <c r="C688" s="222"/>
      <c r="D688" s="222"/>
      <c r="E688" s="233"/>
      <c r="F688" s="233"/>
      <c r="G688" s="236"/>
      <c r="H688" s="224"/>
      <c r="I688" s="223"/>
      <c r="J688" s="223"/>
      <c r="K688" s="222"/>
      <c r="L688" s="222"/>
      <c r="M688" s="222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hidden="1" customHeight="1">
      <c r="A689" s="338"/>
      <c r="B689" s="222"/>
      <c r="C689" s="222"/>
      <c r="D689" s="222"/>
      <c r="E689" s="223"/>
      <c r="F689" s="222"/>
      <c r="G689" s="224"/>
      <c r="H689" s="224"/>
      <c r="I689" s="223"/>
      <c r="J689" s="223"/>
      <c r="K689" s="222"/>
      <c r="L689" s="222"/>
      <c r="M689" s="222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hidden="1" customHeight="1">
      <c r="A690" s="338"/>
      <c r="B690" s="222"/>
      <c r="C690" s="222"/>
      <c r="D690" s="222"/>
      <c r="E690" s="233"/>
      <c r="F690" s="233"/>
      <c r="G690" s="236"/>
      <c r="H690" s="224"/>
      <c r="I690" s="223"/>
      <c r="J690" s="223"/>
      <c r="K690" s="222"/>
      <c r="L690" s="222"/>
      <c r="M690" s="222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hidden="1" customHeight="1">
      <c r="A691" s="221"/>
      <c r="B691" s="222"/>
      <c r="C691" s="222"/>
      <c r="D691" s="222"/>
      <c r="E691" s="223"/>
      <c r="F691" s="222"/>
      <c r="G691" s="224"/>
      <c r="H691" s="224"/>
      <c r="I691" s="223"/>
      <c r="J691" s="223"/>
      <c r="K691" s="222"/>
      <c r="L691" s="222"/>
      <c r="M691" s="222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hidden="1" customHeight="1">
      <c r="A692" s="221"/>
      <c r="B692" s="222"/>
      <c r="C692" s="222"/>
      <c r="D692" s="222"/>
      <c r="E692" s="223"/>
      <c r="F692" s="222"/>
      <c r="G692" s="224"/>
      <c r="H692" s="224"/>
      <c r="I692" s="223"/>
      <c r="J692" s="223"/>
      <c r="K692" s="222"/>
      <c r="L692" s="222"/>
      <c r="M692" s="222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hidden="1" customHeight="1">
      <c r="A693" s="221"/>
      <c r="B693" s="222"/>
      <c r="C693" s="222"/>
      <c r="D693" s="222"/>
      <c r="E693" s="223"/>
      <c r="F693" s="222"/>
      <c r="G693" s="224"/>
      <c r="H693" s="224"/>
      <c r="I693" s="223"/>
      <c r="J693" s="223"/>
      <c r="K693" s="222"/>
      <c r="L693" s="222"/>
      <c r="M693" s="222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hidden="1" customHeight="1">
      <c r="A694" s="221"/>
      <c r="B694" s="222"/>
      <c r="C694" s="222"/>
      <c r="D694" s="222"/>
      <c r="E694" s="223"/>
      <c r="F694" s="222"/>
      <c r="G694" s="224"/>
      <c r="H694" s="224"/>
      <c r="I694" s="223"/>
      <c r="J694" s="223"/>
      <c r="K694" s="222"/>
      <c r="L694" s="222"/>
      <c r="M694" s="222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hidden="1" customHeight="1">
      <c r="A695" s="221"/>
      <c r="B695" s="222"/>
      <c r="C695" s="222"/>
      <c r="D695" s="222"/>
      <c r="E695" s="223"/>
      <c r="F695" s="222"/>
      <c r="G695" s="224"/>
      <c r="H695" s="224"/>
      <c r="I695" s="223"/>
      <c r="J695" s="223"/>
      <c r="K695" s="222"/>
      <c r="L695" s="222"/>
      <c r="M695" s="222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hidden="1" customHeight="1">
      <c r="A696" s="221"/>
      <c r="B696" s="222"/>
      <c r="C696" s="222"/>
      <c r="D696" s="222"/>
      <c r="E696" s="223"/>
      <c r="F696" s="222"/>
      <c r="G696" s="224"/>
      <c r="H696" s="224"/>
      <c r="I696" s="223"/>
      <c r="J696" s="223"/>
      <c r="K696" s="222"/>
      <c r="L696" s="222"/>
      <c r="M696" s="222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hidden="1" customHeight="1">
      <c r="A697" s="221"/>
      <c r="B697" s="222"/>
      <c r="C697" s="222"/>
      <c r="D697" s="222"/>
      <c r="E697" s="223"/>
      <c r="F697" s="222"/>
      <c r="G697" s="224"/>
      <c r="H697" s="224"/>
      <c r="I697" s="223"/>
      <c r="J697" s="223"/>
      <c r="K697" s="222"/>
      <c r="L697" s="222"/>
      <c r="M697" s="222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hidden="1" customHeight="1">
      <c r="A698" s="338"/>
      <c r="B698" s="222"/>
      <c r="C698" s="222"/>
      <c r="D698" s="222"/>
      <c r="E698" s="233"/>
      <c r="F698" s="233"/>
      <c r="G698" s="236"/>
      <c r="H698" s="227"/>
      <c r="I698" s="223"/>
      <c r="J698" s="223"/>
      <c r="K698" s="222"/>
      <c r="L698" s="222"/>
      <c r="M698" s="222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hidden="1" customHeight="1">
      <c r="A699" s="338"/>
      <c r="B699" s="222"/>
      <c r="C699" s="222"/>
      <c r="D699" s="222"/>
      <c r="E699" s="223"/>
      <c r="F699" s="223"/>
      <c r="G699" s="227"/>
      <c r="H699" s="227"/>
      <c r="I699" s="223"/>
      <c r="J699" s="223"/>
      <c r="K699" s="222"/>
      <c r="L699" s="222"/>
      <c r="M699" s="222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hidden="1" customHeight="1">
      <c r="A700" s="338"/>
      <c r="B700" s="222"/>
      <c r="C700" s="222"/>
      <c r="D700" s="222"/>
      <c r="E700" s="223"/>
      <c r="F700" s="223"/>
      <c r="G700" s="227"/>
      <c r="H700" s="227"/>
      <c r="I700" s="223"/>
      <c r="J700" s="223"/>
      <c r="K700" s="222"/>
      <c r="L700" s="222"/>
      <c r="M700" s="222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hidden="1" customHeight="1">
      <c r="A701" s="338"/>
      <c r="B701" s="222"/>
      <c r="C701" s="222"/>
      <c r="D701" s="222"/>
      <c r="E701" s="223"/>
      <c r="F701" s="223"/>
      <c r="G701" s="227"/>
      <c r="H701" s="227"/>
      <c r="I701" s="223"/>
      <c r="J701" s="223"/>
      <c r="K701" s="222"/>
      <c r="L701" s="222"/>
      <c r="M701" s="222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hidden="1" customHeight="1">
      <c r="A702" s="338"/>
      <c r="B702" s="222"/>
      <c r="C702" s="222"/>
      <c r="D702" s="222"/>
      <c r="E702" s="223"/>
      <c r="F702" s="223"/>
      <c r="G702" s="227"/>
      <c r="H702" s="227"/>
      <c r="I702" s="223"/>
      <c r="J702" s="223"/>
      <c r="K702" s="222"/>
      <c r="L702" s="222"/>
      <c r="M702" s="222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hidden="1" customHeight="1">
      <c r="A703" s="338"/>
      <c r="B703" s="222"/>
      <c r="C703" s="222"/>
      <c r="D703" s="222"/>
      <c r="E703" s="233"/>
      <c r="F703" s="233"/>
      <c r="G703" s="236"/>
      <c r="H703" s="227"/>
      <c r="I703" s="223"/>
      <c r="J703" s="223"/>
      <c r="K703" s="222"/>
      <c r="L703" s="222"/>
      <c r="M703" s="222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hidden="1" customHeight="1">
      <c r="A704" s="338"/>
      <c r="B704" s="222"/>
      <c r="C704" s="222"/>
      <c r="D704" s="222"/>
      <c r="E704" s="223"/>
      <c r="F704" s="32"/>
      <c r="G704" s="227"/>
      <c r="H704" s="227"/>
      <c r="I704" s="223"/>
      <c r="J704" s="223"/>
      <c r="K704" s="222"/>
      <c r="L704" s="222"/>
      <c r="M704" s="222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hidden="1" customHeight="1">
      <c r="A705" s="338"/>
      <c r="B705" s="222"/>
      <c r="C705" s="222"/>
      <c r="D705" s="222"/>
      <c r="E705" s="223"/>
      <c r="F705" s="32"/>
      <c r="G705" s="227"/>
      <c r="H705" s="227"/>
      <c r="I705" s="223"/>
      <c r="J705" s="223"/>
      <c r="K705" s="222"/>
      <c r="L705" s="222"/>
      <c r="M705" s="222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hidden="1" customHeight="1">
      <c r="A706" s="338"/>
      <c r="B706" s="222"/>
      <c r="C706" s="222"/>
      <c r="D706" s="222"/>
      <c r="E706" s="223"/>
      <c r="F706" s="223"/>
      <c r="G706" s="227"/>
      <c r="H706" s="227"/>
      <c r="I706" s="223"/>
      <c r="J706" s="223"/>
      <c r="K706" s="222"/>
      <c r="L706" s="222"/>
      <c r="M706" s="222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hidden="1" customHeight="1">
      <c r="A707" s="338"/>
      <c r="B707" s="222"/>
      <c r="C707" s="222"/>
      <c r="D707" s="222"/>
      <c r="E707" s="223"/>
      <c r="F707" s="32"/>
      <c r="G707" s="227"/>
      <c r="H707" s="227"/>
      <c r="I707" s="223"/>
      <c r="J707" s="223"/>
      <c r="K707" s="222"/>
      <c r="L707" s="222"/>
      <c r="M707" s="222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hidden="1" customHeight="1">
      <c r="A708" s="338"/>
      <c r="B708" s="222"/>
      <c r="C708" s="222"/>
      <c r="D708" s="222"/>
      <c r="E708" s="223"/>
      <c r="F708" s="32"/>
      <c r="G708" s="227"/>
      <c r="H708" s="227"/>
      <c r="I708" s="223"/>
      <c r="J708" s="223"/>
      <c r="K708" s="222"/>
      <c r="L708" s="222"/>
      <c r="M708" s="222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hidden="1" customHeight="1">
      <c r="A709" s="338"/>
      <c r="B709" s="222"/>
      <c r="C709" s="222"/>
      <c r="D709" s="222"/>
      <c r="E709" s="223"/>
      <c r="F709" s="223"/>
      <c r="G709" s="227"/>
      <c r="H709" s="227"/>
      <c r="I709" s="223"/>
      <c r="J709" s="223"/>
      <c r="K709" s="222"/>
      <c r="L709" s="222"/>
      <c r="M709" s="222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hidden="1" customHeight="1">
      <c r="A710" s="221"/>
      <c r="B710" s="222"/>
      <c r="C710" s="222"/>
      <c r="D710" s="222"/>
      <c r="E710" s="233"/>
      <c r="F710" s="233"/>
      <c r="G710" s="236"/>
      <c r="H710" s="224"/>
      <c r="I710" s="223"/>
      <c r="J710" s="223"/>
      <c r="K710" s="222"/>
      <c r="L710" s="222"/>
      <c r="M710" s="222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hidden="1" customHeight="1">
      <c r="A711" s="221"/>
      <c r="B711" s="222"/>
      <c r="C711" s="222"/>
      <c r="D711" s="222"/>
      <c r="E711" s="223"/>
      <c r="F711" s="223"/>
      <c r="G711" s="227"/>
      <c r="H711" s="224"/>
      <c r="I711" s="223"/>
      <c r="J711" s="223"/>
      <c r="K711" s="222"/>
      <c r="L711" s="222"/>
      <c r="M711" s="222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hidden="1" customHeight="1">
      <c r="A712" s="221"/>
      <c r="B712" s="222"/>
      <c r="C712" s="222"/>
      <c r="D712" s="222"/>
      <c r="E712" s="223"/>
      <c r="F712" s="223"/>
      <c r="G712" s="227"/>
      <c r="H712" s="224"/>
      <c r="I712" s="223"/>
      <c r="J712" s="223"/>
      <c r="K712" s="222"/>
      <c r="L712" s="222"/>
      <c r="M712" s="222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hidden="1" customHeight="1">
      <c r="A713" s="221"/>
      <c r="B713" s="222"/>
      <c r="C713" s="222"/>
      <c r="D713" s="222"/>
      <c r="E713" s="223"/>
      <c r="F713" s="223"/>
      <c r="G713" s="227"/>
      <c r="H713" s="224"/>
      <c r="I713" s="223"/>
      <c r="J713" s="223"/>
      <c r="K713" s="222"/>
      <c r="L713" s="222"/>
      <c r="M713" s="222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hidden="1" customHeight="1">
      <c r="A714" s="221"/>
      <c r="B714" s="222"/>
      <c r="C714" s="222"/>
      <c r="D714" s="222"/>
      <c r="E714" s="233"/>
      <c r="F714" s="233"/>
      <c r="G714" s="236"/>
      <c r="H714" s="224"/>
      <c r="I714" s="223"/>
      <c r="J714" s="223"/>
      <c r="K714" s="222"/>
      <c r="L714" s="222"/>
      <c r="M714" s="222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hidden="1" customHeight="1">
      <c r="A715" s="221"/>
      <c r="B715" s="222"/>
      <c r="C715" s="222"/>
      <c r="D715" s="222"/>
      <c r="E715" s="223"/>
      <c r="F715" s="223"/>
      <c r="G715" s="227"/>
      <c r="H715" s="224"/>
      <c r="I715" s="223"/>
      <c r="J715" s="223"/>
      <c r="K715" s="222"/>
      <c r="L715" s="222"/>
      <c r="M715" s="222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hidden="1" customHeight="1">
      <c r="A716" s="221"/>
      <c r="B716" s="222"/>
      <c r="C716" s="222"/>
      <c r="D716" s="222"/>
      <c r="E716" s="223"/>
      <c r="F716" s="223"/>
      <c r="G716" s="227"/>
      <c r="H716" s="224"/>
      <c r="I716" s="223"/>
      <c r="J716" s="223"/>
      <c r="K716" s="222"/>
      <c r="L716" s="222"/>
      <c r="M716" s="222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hidden="1" customHeight="1">
      <c r="A717" s="221"/>
      <c r="B717" s="222"/>
      <c r="C717" s="222"/>
      <c r="D717" s="222"/>
      <c r="E717" s="233"/>
      <c r="F717" s="233"/>
      <c r="G717" s="236"/>
      <c r="H717" s="224"/>
      <c r="I717" s="223"/>
      <c r="J717" s="223"/>
      <c r="K717" s="222"/>
      <c r="L717" s="222"/>
      <c r="M717" s="222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hidden="1" customHeight="1">
      <c r="A718" s="221"/>
      <c r="B718" s="222"/>
      <c r="C718" s="222"/>
      <c r="D718" s="222"/>
      <c r="E718" s="223"/>
      <c r="F718" s="223"/>
      <c r="G718" s="227"/>
      <c r="H718" s="224"/>
      <c r="I718" s="223"/>
      <c r="J718" s="223"/>
      <c r="K718" s="222"/>
      <c r="L718" s="222"/>
      <c r="M718" s="222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hidden="1" customHeight="1">
      <c r="A719" s="221"/>
      <c r="B719" s="222"/>
      <c r="C719" s="222"/>
      <c r="D719" s="222"/>
      <c r="E719" s="223"/>
      <c r="F719" s="223"/>
      <c r="G719" s="227"/>
      <c r="H719" s="224"/>
      <c r="I719" s="223"/>
      <c r="J719" s="223"/>
      <c r="K719" s="222"/>
      <c r="L719" s="222"/>
      <c r="M719" s="222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hidden="1" customHeight="1">
      <c r="A720" s="221"/>
      <c r="B720" s="222"/>
      <c r="C720" s="222"/>
      <c r="D720" s="222"/>
      <c r="E720" s="223"/>
      <c r="F720" s="223"/>
      <c r="G720" s="227"/>
      <c r="H720" s="224"/>
      <c r="I720" s="223"/>
      <c r="J720" s="223"/>
      <c r="K720" s="222"/>
      <c r="L720" s="222"/>
      <c r="M720" s="222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hidden="1" customHeight="1">
      <c r="A721" s="221"/>
      <c r="B721" s="222"/>
      <c r="C721" s="222"/>
      <c r="D721" s="222"/>
      <c r="E721" s="223"/>
      <c r="F721" s="223"/>
      <c r="G721" s="227"/>
      <c r="H721" s="224"/>
      <c r="I721" s="223"/>
      <c r="J721" s="223"/>
      <c r="K721" s="222"/>
      <c r="L721" s="222"/>
      <c r="M721" s="222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hidden="1" customHeight="1">
      <c r="A722" s="221"/>
      <c r="B722" s="222"/>
      <c r="C722" s="222"/>
      <c r="D722" s="222"/>
      <c r="E722" s="223"/>
      <c r="F722" s="223"/>
      <c r="G722" s="227"/>
      <c r="H722" s="224"/>
      <c r="I722" s="223"/>
      <c r="J722" s="223"/>
      <c r="K722" s="222"/>
      <c r="L722" s="222"/>
      <c r="M722" s="222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hidden="1" customHeight="1">
      <c r="A723" s="221"/>
      <c r="B723" s="222"/>
      <c r="C723" s="222"/>
      <c r="D723" s="222"/>
      <c r="E723" s="223"/>
      <c r="F723" s="223"/>
      <c r="G723" s="227"/>
      <c r="H723" s="224"/>
      <c r="I723" s="223"/>
      <c r="J723" s="223"/>
      <c r="K723" s="222"/>
      <c r="L723" s="222"/>
      <c r="M723" s="222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hidden="1" customHeight="1">
      <c r="A724" s="221"/>
      <c r="B724" s="222"/>
      <c r="C724" s="222"/>
      <c r="D724" s="222"/>
      <c r="E724" s="223"/>
      <c r="F724" s="223"/>
      <c r="G724" s="227"/>
      <c r="H724" s="224"/>
      <c r="I724" s="223"/>
      <c r="J724" s="223"/>
      <c r="K724" s="222"/>
      <c r="L724" s="222"/>
      <c r="M724" s="222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hidden="1" customHeight="1">
      <c r="A725" s="221"/>
      <c r="B725" s="222"/>
      <c r="C725" s="222"/>
      <c r="D725" s="222"/>
      <c r="E725" s="223"/>
      <c r="F725" s="223"/>
      <c r="G725" s="227"/>
      <c r="H725" s="224"/>
      <c r="I725" s="223"/>
      <c r="J725" s="223"/>
      <c r="K725" s="222"/>
      <c r="L725" s="222"/>
      <c r="M725" s="222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hidden="1" customHeight="1">
      <c r="A726" s="221"/>
      <c r="B726" s="222"/>
      <c r="C726" s="222"/>
      <c r="D726" s="222"/>
      <c r="E726" s="223"/>
      <c r="F726" s="223"/>
      <c r="G726" s="227"/>
      <c r="H726" s="224"/>
      <c r="I726" s="223"/>
      <c r="J726" s="223"/>
      <c r="K726" s="222"/>
      <c r="L726" s="222"/>
      <c r="M726" s="222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hidden="1" customHeight="1">
      <c r="A727" s="221"/>
      <c r="B727" s="222"/>
      <c r="C727" s="222"/>
      <c r="D727" s="222"/>
      <c r="E727" s="223"/>
      <c r="F727" s="223"/>
      <c r="G727" s="227"/>
      <c r="H727" s="224"/>
      <c r="I727" s="223"/>
      <c r="J727" s="223"/>
      <c r="K727" s="222"/>
      <c r="L727" s="222"/>
      <c r="M727" s="222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hidden="1" customHeight="1">
      <c r="A728" s="221"/>
      <c r="B728" s="222"/>
      <c r="C728" s="222"/>
      <c r="D728" s="222"/>
      <c r="E728" s="223"/>
      <c r="F728" s="223"/>
      <c r="G728" s="227"/>
      <c r="H728" s="224"/>
      <c r="I728" s="223"/>
      <c r="J728" s="223"/>
      <c r="K728" s="222"/>
      <c r="L728" s="222"/>
      <c r="M728" s="222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hidden="1" customHeight="1">
      <c r="A729" s="221"/>
      <c r="B729" s="222"/>
      <c r="C729" s="222"/>
      <c r="D729" s="222"/>
      <c r="E729" s="223"/>
      <c r="F729" s="223"/>
      <c r="G729" s="227"/>
      <c r="H729" s="224"/>
      <c r="I729" s="223"/>
      <c r="J729" s="223"/>
      <c r="K729" s="222"/>
      <c r="L729" s="222"/>
      <c r="M729" s="222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hidden="1" customHeight="1">
      <c r="A730" s="221"/>
      <c r="B730" s="222"/>
      <c r="C730" s="222"/>
      <c r="D730" s="222"/>
      <c r="E730" s="223"/>
      <c r="F730" s="223"/>
      <c r="G730" s="227"/>
      <c r="H730" s="224"/>
      <c r="I730" s="223"/>
      <c r="J730" s="223"/>
      <c r="K730" s="222"/>
      <c r="L730" s="222"/>
      <c r="M730" s="222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hidden="1" customHeight="1">
      <c r="A731" s="221"/>
      <c r="B731" s="222"/>
      <c r="C731" s="222"/>
      <c r="D731" s="222"/>
      <c r="E731" s="223"/>
      <c r="F731" s="223"/>
      <c r="G731" s="227"/>
      <c r="H731" s="224"/>
      <c r="I731" s="223"/>
      <c r="J731" s="223"/>
      <c r="K731" s="222"/>
      <c r="L731" s="222"/>
      <c r="M731" s="222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hidden="1" customHeight="1">
      <c r="A732" s="221"/>
      <c r="B732" s="222"/>
      <c r="C732" s="222"/>
      <c r="D732" s="222"/>
      <c r="E732" s="223"/>
      <c r="F732" s="223"/>
      <c r="G732" s="227"/>
      <c r="H732" s="224"/>
      <c r="I732" s="223"/>
      <c r="J732" s="223"/>
      <c r="K732" s="222"/>
      <c r="L732" s="222"/>
      <c r="M732" s="222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hidden="1" customHeight="1">
      <c r="A733" s="221"/>
      <c r="B733" s="222"/>
      <c r="C733" s="222"/>
      <c r="D733" s="222"/>
      <c r="E733" s="223"/>
      <c r="F733" s="223"/>
      <c r="G733" s="227"/>
      <c r="H733" s="224"/>
      <c r="I733" s="223"/>
      <c r="J733" s="223"/>
      <c r="K733" s="222"/>
      <c r="L733" s="222"/>
      <c r="M733" s="222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hidden="1" customHeight="1">
      <c r="A734" s="221"/>
      <c r="B734" s="222"/>
      <c r="C734" s="222"/>
      <c r="D734" s="222"/>
      <c r="E734" s="223"/>
      <c r="F734" s="223"/>
      <c r="G734" s="227"/>
      <c r="H734" s="224"/>
      <c r="I734" s="223"/>
      <c r="J734" s="223"/>
      <c r="K734" s="222"/>
      <c r="L734" s="222"/>
      <c r="M734" s="222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hidden="1" customHeight="1">
      <c r="A735" s="221"/>
      <c r="B735" s="222"/>
      <c r="C735" s="222"/>
      <c r="D735" s="222"/>
      <c r="E735" s="223"/>
      <c r="F735" s="223"/>
      <c r="G735" s="227"/>
      <c r="H735" s="224"/>
      <c r="I735" s="223"/>
      <c r="J735" s="223"/>
      <c r="K735" s="222"/>
      <c r="L735" s="222"/>
      <c r="M735" s="222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hidden="1" customHeight="1">
      <c r="A736" s="221"/>
      <c r="B736" s="222"/>
      <c r="C736" s="222"/>
      <c r="D736" s="222"/>
      <c r="E736" s="223"/>
      <c r="F736" s="223"/>
      <c r="G736" s="227"/>
      <c r="H736" s="224"/>
      <c r="I736" s="223"/>
      <c r="J736" s="223"/>
      <c r="K736" s="222"/>
      <c r="L736" s="222"/>
      <c r="M736" s="222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hidden="1" customHeight="1">
      <c r="A737" s="221"/>
      <c r="B737" s="222"/>
      <c r="C737" s="222"/>
      <c r="D737" s="222"/>
      <c r="E737" s="223"/>
      <c r="F737" s="223"/>
      <c r="G737" s="227"/>
      <c r="H737" s="224"/>
      <c r="I737" s="223"/>
      <c r="J737" s="223"/>
      <c r="K737" s="222"/>
      <c r="L737" s="222"/>
      <c r="M737" s="222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hidden="1" customHeight="1">
      <c r="A738" s="221"/>
      <c r="B738" s="222"/>
      <c r="C738" s="222"/>
      <c r="D738" s="222"/>
      <c r="E738" s="223"/>
      <c r="F738" s="223"/>
      <c r="G738" s="227"/>
      <c r="H738" s="224"/>
      <c r="I738" s="223"/>
      <c r="J738" s="223"/>
      <c r="K738" s="222"/>
      <c r="L738" s="222"/>
      <c r="M738" s="222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hidden="1" customHeight="1">
      <c r="A739" s="221"/>
      <c r="B739" s="222"/>
      <c r="C739" s="222"/>
      <c r="D739" s="222"/>
      <c r="E739" s="223"/>
      <c r="F739" s="223"/>
      <c r="G739" s="227"/>
      <c r="H739" s="224"/>
      <c r="I739" s="223"/>
      <c r="J739" s="223"/>
      <c r="K739" s="222"/>
      <c r="L739" s="222"/>
      <c r="M739" s="222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hidden="1" customHeight="1">
      <c r="A740" s="221"/>
      <c r="B740" s="222"/>
      <c r="C740" s="222"/>
      <c r="D740" s="222"/>
      <c r="E740" s="223"/>
      <c r="F740" s="223"/>
      <c r="G740" s="227"/>
      <c r="H740" s="224"/>
      <c r="I740" s="223"/>
      <c r="J740" s="223"/>
      <c r="K740" s="222"/>
      <c r="L740" s="222"/>
      <c r="M740" s="222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hidden="1" customHeight="1">
      <c r="A741" s="221"/>
      <c r="B741" s="222"/>
      <c r="C741" s="222"/>
      <c r="D741" s="222"/>
      <c r="E741" s="223"/>
      <c r="F741" s="223"/>
      <c r="G741" s="227"/>
      <c r="H741" s="224"/>
      <c r="I741" s="223"/>
      <c r="J741" s="223"/>
      <c r="K741" s="222"/>
      <c r="L741" s="222"/>
      <c r="M741" s="222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hidden="1" customHeight="1">
      <c r="A742" s="221"/>
      <c r="B742" s="222"/>
      <c r="C742" s="222"/>
      <c r="D742" s="222"/>
      <c r="E742" s="223"/>
      <c r="F742" s="223"/>
      <c r="G742" s="227"/>
      <c r="H742" s="224"/>
      <c r="I742" s="223"/>
      <c r="J742" s="223"/>
      <c r="K742" s="222"/>
      <c r="L742" s="222"/>
      <c r="M742" s="222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hidden="1" customHeight="1">
      <c r="A743" s="221"/>
      <c r="B743" s="222"/>
      <c r="C743" s="222"/>
      <c r="D743" s="222"/>
      <c r="E743" s="223"/>
      <c r="F743" s="223"/>
      <c r="G743" s="227"/>
      <c r="H743" s="224"/>
      <c r="I743" s="223"/>
      <c r="J743" s="223"/>
      <c r="K743" s="222"/>
      <c r="L743" s="222"/>
      <c r="M743" s="222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hidden="1" customHeight="1">
      <c r="A744" s="221"/>
      <c r="B744" s="222"/>
      <c r="C744" s="222"/>
      <c r="D744" s="222"/>
      <c r="E744" s="223"/>
      <c r="F744" s="223"/>
      <c r="G744" s="227"/>
      <c r="H744" s="224"/>
      <c r="I744" s="223"/>
      <c r="J744" s="223"/>
      <c r="K744" s="222"/>
      <c r="L744" s="222"/>
      <c r="M744" s="222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hidden="1" customHeight="1">
      <c r="A745" s="221"/>
      <c r="B745" s="222"/>
      <c r="C745" s="222"/>
      <c r="D745" s="222"/>
      <c r="E745" s="223"/>
      <c r="F745" s="223"/>
      <c r="G745" s="227"/>
      <c r="H745" s="224"/>
      <c r="I745" s="223"/>
      <c r="J745" s="223"/>
      <c r="K745" s="222"/>
      <c r="L745" s="222"/>
      <c r="M745" s="222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hidden="1" customHeight="1">
      <c r="A746" s="221"/>
      <c r="B746" s="222"/>
      <c r="C746" s="222"/>
      <c r="D746" s="222"/>
      <c r="E746" s="223"/>
      <c r="F746" s="223"/>
      <c r="G746" s="227"/>
      <c r="H746" s="224"/>
      <c r="I746" s="223"/>
      <c r="J746" s="223"/>
      <c r="K746" s="222"/>
      <c r="L746" s="222"/>
      <c r="M746" s="222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hidden="1" customHeight="1">
      <c r="A747" s="221"/>
      <c r="B747" s="222"/>
      <c r="C747" s="222"/>
      <c r="D747" s="222"/>
      <c r="E747" s="223"/>
      <c r="F747" s="223"/>
      <c r="G747" s="227"/>
      <c r="H747" s="224"/>
      <c r="I747" s="223"/>
      <c r="J747" s="223"/>
      <c r="K747" s="222"/>
      <c r="L747" s="222"/>
      <c r="M747" s="222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hidden="1" customHeight="1">
      <c r="A748" s="221"/>
      <c r="B748" s="222"/>
      <c r="C748" s="222"/>
      <c r="D748" s="222"/>
      <c r="E748" s="223"/>
      <c r="F748" s="223"/>
      <c r="G748" s="227"/>
      <c r="H748" s="224"/>
      <c r="I748" s="223"/>
      <c r="J748" s="223"/>
      <c r="K748" s="222"/>
      <c r="L748" s="222"/>
      <c r="M748" s="222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hidden="1" customHeight="1">
      <c r="A749" s="221"/>
      <c r="B749" s="222"/>
      <c r="C749" s="222"/>
      <c r="D749" s="222"/>
      <c r="E749" s="223"/>
      <c r="F749" s="223"/>
      <c r="G749" s="227"/>
      <c r="H749" s="224"/>
      <c r="I749" s="223"/>
      <c r="J749" s="223"/>
      <c r="K749" s="222"/>
      <c r="L749" s="222"/>
      <c r="M749" s="222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hidden="1" customHeight="1">
      <c r="A750" s="221"/>
      <c r="B750" s="222"/>
      <c r="C750" s="222"/>
      <c r="D750" s="222"/>
      <c r="E750" s="223"/>
      <c r="F750" s="223"/>
      <c r="G750" s="227"/>
      <c r="H750" s="224"/>
      <c r="I750" s="223"/>
      <c r="J750" s="223"/>
      <c r="K750" s="222"/>
      <c r="L750" s="222"/>
      <c r="M750" s="222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hidden="1" customHeight="1">
      <c r="A751" s="221"/>
      <c r="B751" s="222"/>
      <c r="C751" s="222"/>
      <c r="D751" s="222"/>
      <c r="E751" s="223"/>
      <c r="F751" s="223"/>
      <c r="G751" s="227"/>
      <c r="H751" s="224"/>
      <c r="I751" s="223"/>
      <c r="J751" s="223"/>
      <c r="K751" s="222"/>
      <c r="L751" s="222"/>
      <c r="M751" s="222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hidden="1" customHeight="1">
      <c r="A752" s="221"/>
      <c r="B752" s="222"/>
      <c r="C752" s="222"/>
      <c r="D752" s="222"/>
      <c r="E752" s="223"/>
      <c r="F752" s="223"/>
      <c r="G752" s="227"/>
      <c r="H752" s="224"/>
      <c r="I752" s="223"/>
      <c r="J752" s="223"/>
      <c r="K752" s="222"/>
      <c r="L752" s="222"/>
      <c r="M752" s="222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hidden="1" customHeight="1">
      <c r="A753" s="221"/>
      <c r="B753" s="222"/>
      <c r="C753" s="222"/>
      <c r="D753" s="222"/>
      <c r="E753" s="223"/>
      <c r="F753" s="223"/>
      <c r="G753" s="227"/>
      <c r="H753" s="224"/>
      <c r="I753" s="223"/>
      <c r="J753" s="223"/>
      <c r="K753" s="222"/>
      <c r="L753" s="222"/>
      <c r="M753" s="222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hidden="1" customHeight="1">
      <c r="A754" s="221"/>
      <c r="B754" s="222"/>
      <c r="C754" s="222"/>
      <c r="D754" s="222"/>
      <c r="E754" s="223"/>
      <c r="F754" s="223"/>
      <c r="G754" s="227"/>
      <c r="H754" s="224"/>
      <c r="I754" s="223"/>
      <c r="J754" s="223"/>
      <c r="K754" s="222"/>
      <c r="L754" s="222"/>
      <c r="M754" s="222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hidden="1" customHeight="1">
      <c r="A755" s="221"/>
      <c r="B755" s="222"/>
      <c r="C755" s="222"/>
      <c r="D755" s="222"/>
      <c r="E755" s="223"/>
      <c r="F755" s="223"/>
      <c r="G755" s="227"/>
      <c r="H755" s="224"/>
      <c r="I755" s="223"/>
      <c r="J755" s="223"/>
      <c r="K755" s="222"/>
      <c r="L755" s="222"/>
      <c r="M755" s="222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hidden="1" customHeight="1">
      <c r="A756" s="221"/>
      <c r="B756" s="222"/>
      <c r="C756" s="222"/>
      <c r="D756" s="222"/>
      <c r="E756" s="223"/>
      <c r="F756" s="223"/>
      <c r="G756" s="227"/>
      <c r="H756" s="224"/>
      <c r="I756" s="223"/>
      <c r="J756" s="223"/>
      <c r="K756" s="222"/>
      <c r="L756" s="222"/>
      <c r="M756" s="222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hidden="1" customHeight="1">
      <c r="A757" s="221"/>
      <c r="B757" s="222"/>
      <c r="C757" s="222"/>
      <c r="D757" s="222"/>
      <c r="E757" s="223"/>
      <c r="F757" s="223"/>
      <c r="G757" s="227"/>
      <c r="H757" s="224"/>
      <c r="I757" s="223"/>
      <c r="J757" s="223"/>
      <c r="K757" s="222"/>
      <c r="L757" s="222"/>
      <c r="M757" s="222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hidden="1" customHeight="1">
      <c r="A758" s="221"/>
      <c r="B758" s="222"/>
      <c r="C758" s="222"/>
      <c r="D758" s="222"/>
      <c r="E758" s="223"/>
      <c r="F758" s="223"/>
      <c r="G758" s="227"/>
      <c r="H758" s="224"/>
      <c r="I758" s="223"/>
      <c r="J758" s="223"/>
      <c r="K758" s="222"/>
      <c r="L758" s="222"/>
      <c r="M758" s="222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hidden="1" customHeight="1">
      <c r="A759" s="221"/>
      <c r="B759" s="222"/>
      <c r="C759" s="222"/>
      <c r="D759" s="222"/>
      <c r="E759" s="223"/>
      <c r="F759" s="223"/>
      <c r="G759" s="227"/>
      <c r="H759" s="224"/>
      <c r="I759" s="223"/>
      <c r="J759" s="223"/>
      <c r="K759" s="222"/>
      <c r="L759" s="222"/>
      <c r="M759" s="222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hidden="1" customHeight="1">
      <c r="A760" s="221"/>
      <c r="B760" s="222"/>
      <c r="C760" s="222"/>
      <c r="D760" s="222"/>
      <c r="E760" s="223"/>
      <c r="F760" s="223"/>
      <c r="G760" s="227"/>
      <c r="H760" s="224"/>
      <c r="I760" s="223"/>
      <c r="J760" s="223"/>
      <c r="K760" s="222"/>
      <c r="L760" s="222"/>
      <c r="M760" s="222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hidden="1" customHeight="1">
      <c r="A761" s="221"/>
      <c r="B761" s="222"/>
      <c r="C761" s="222"/>
      <c r="D761" s="222"/>
      <c r="E761" s="223"/>
      <c r="F761" s="223"/>
      <c r="G761" s="227"/>
      <c r="H761" s="224"/>
      <c r="I761" s="223"/>
      <c r="J761" s="223"/>
      <c r="K761" s="222"/>
      <c r="L761" s="222"/>
      <c r="M761" s="222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hidden="1" customHeight="1">
      <c r="A762" s="221"/>
      <c r="B762" s="222"/>
      <c r="C762" s="222"/>
      <c r="D762" s="222"/>
      <c r="E762" s="223"/>
      <c r="F762" s="223"/>
      <c r="G762" s="227"/>
      <c r="H762" s="224"/>
      <c r="I762" s="223"/>
      <c r="J762" s="223"/>
      <c r="K762" s="222"/>
      <c r="L762" s="222"/>
      <c r="M762" s="222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hidden="1" customHeight="1">
      <c r="A763" s="221"/>
      <c r="B763" s="222"/>
      <c r="C763" s="222"/>
      <c r="D763" s="222"/>
      <c r="E763" s="223"/>
      <c r="F763" s="223"/>
      <c r="G763" s="227"/>
      <c r="H763" s="224"/>
      <c r="I763" s="223"/>
      <c r="J763" s="223"/>
      <c r="K763" s="222"/>
      <c r="L763" s="222"/>
      <c r="M763" s="222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hidden="1" customHeight="1">
      <c r="A764" s="221"/>
      <c r="B764" s="222"/>
      <c r="C764" s="222"/>
      <c r="D764" s="222"/>
      <c r="E764" s="223"/>
      <c r="F764" s="223"/>
      <c r="G764" s="227"/>
      <c r="H764" s="224"/>
      <c r="I764" s="223"/>
      <c r="J764" s="223"/>
      <c r="K764" s="222"/>
      <c r="L764" s="222"/>
      <c r="M764" s="222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hidden="1" customHeight="1">
      <c r="A765" s="221"/>
      <c r="B765" s="222"/>
      <c r="C765" s="222"/>
      <c r="D765" s="222"/>
      <c r="E765" s="223"/>
      <c r="F765" s="223"/>
      <c r="G765" s="227"/>
      <c r="H765" s="224"/>
      <c r="I765" s="223"/>
      <c r="J765" s="223"/>
      <c r="K765" s="222"/>
      <c r="L765" s="222"/>
      <c r="M765" s="222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hidden="1" customHeight="1">
      <c r="A766" s="221"/>
      <c r="B766" s="222"/>
      <c r="C766" s="222"/>
      <c r="D766" s="222"/>
      <c r="E766" s="223"/>
      <c r="F766" s="223"/>
      <c r="G766" s="227"/>
      <c r="H766" s="224"/>
      <c r="I766" s="223"/>
      <c r="J766" s="223"/>
      <c r="K766" s="222"/>
      <c r="L766" s="222"/>
      <c r="M766" s="222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hidden="1" customHeight="1">
      <c r="A767" s="221"/>
      <c r="B767" s="222"/>
      <c r="C767" s="222"/>
      <c r="D767" s="222"/>
      <c r="E767" s="223"/>
      <c r="F767" s="223"/>
      <c r="G767" s="227"/>
      <c r="H767" s="224"/>
      <c r="I767" s="223"/>
      <c r="J767" s="223"/>
      <c r="K767" s="222"/>
      <c r="L767" s="222"/>
      <c r="M767" s="222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hidden="1" customHeight="1">
      <c r="A768" s="221"/>
      <c r="B768" s="222"/>
      <c r="C768" s="222"/>
      <c r="D768" s="222"/>
      <c r="E768" s="223"/>
      <c r="F768" s="223"/>
      <c r="G768" s="227"/>
      <c r="H768" s="224"/>
      <c r="I768" s="223"/>
      <c r="J768" s="223"/>
      <c r="K768" s="222"/>
      <c r="L768" s="222"/>
      <c r="M768" s="222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hidden="1" customHeight="1">
      <c r="A769" s="221"/>
      <c r="B769" s="222"/>
      <c r="C769" s="222"/>
      <c r="D769" s="222"/>
      <c r="E769" s="223"/>
      <c r="F769" s="223"/>
      <c r="G769" s="227"/>
      <c r="H769" s="224"/>
      <c r="I769" s="223"/>
      <c r="J769" s="223"/>
      <c r="K769" s="222"/>
      <c r="L769" s="222"/>
      <c r="M769" s="222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hidden="1" customHeight="1">
      <c r="A770" s="221"/>
      <c r="B770" s="222"/>
      <c r="C770" s="222"/>
      <c r="D770" s="222"/>
      <c r="E770" s="223"/>
      <c r="F770" s="223"/>
      <c r="G770" s="227"/>
      <c r="H770" s="224"/>
      <c r="I770" s="223"/>
      <c r="J770" s="223"/>
      <c r="K770" s="222"/>
      <c r="L770" s="222"/>
      <c r="M770" s="222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hidden="1" customHeight="1">
      <c r="A771" s="221"/>
      <c r="B771" s="222"/>
      <c r="C771" s="222"/>
      <c r="D771" s="222"/>
      <c r="E771" s="223"/>
      <c r="F771" s="223"/>
      <c r="G771" s="227"/>
      <c r="H771" s="224"/>
      <c r="I771" s="223"/>
      <c r="J771" s="223"/>
      <c r="K771" s="222"/>
      <c r="L771" s="222"/>
      <c r="M771" s="222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hidden="1" customHeight="1">
      <c r="A772" s="221"/>
      <c r="B772" s="222"/>
      <c r="C772" s="222"/>
      <c r="D772" s="222"/>
      <c r="E772" s="223"/>
      <c r="F772" s="223"/>
      <c r="G772" s="227"/>
      <c r="H772" s="224"/>
      <c r="I772" s="223"/>
      <c r="J772" s="223"/>
      <c r="K772" s="222"/>
      <c r="L772" s="222"/>
      <c r="M772" s="222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hidden="1" customHeight="1">
      <c r="A773" s="221"/>
      <c r="B773" s="222"/>
      <c r="C773" s="222"/>
      <c r="D773" s="222"/>
      <c r="E773" s="223"/>
      <c r="F773" s="223"/>
      <c r="G773" s="227"/>
      <c r="H773" s="224"/>
      <c r="I773" s="223"/>
      <c r="J773" s="223"/>
      <c r="K773" s="222"/>
      <c r="L773" s="222"/>
      <c r="M773" s="222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hidden="1" customHeight="1">
      <c r="A774" s="221"/>
      <c r="B774" s="222"/>
      <c r="C774" s="222"/>
      <c r="D774" s="222"/>
      <c r="E774" s="223"/>
      <c r="F774" s="223"/>
      <c r="G774" s="227"/>
      <c r="H774" s="224"/>
      <c r="I774" s="223"/>
      <c r="J774" s="223"/>
      <c r="K774" s="222"/>
      <c r="L774" s="222"/>
      <c r="M774" s="222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hidden="1" customHeight="1">
      <c r="A775" s="221"/>
      <c r="B775" s="222"/>
      <c r="C775" s="222"/>
      <c r="D775" s="222"/>
      <c r="E775" s="223"/>
      <c r="F775" s="223"/>
      <c r="G775" s="227"/>
      <c r="H775" s="224"/>
      <c r="I775" s="223"/>
      <c r="J775" s="223"/>
      <c r="K775" s="222"/>
      <c r="L775" s="222"/>
      <c r="M775" s="222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hidden="1" customHeight="1">
      <c r="A776" s="221"/>
      <c r="B776" s="222"/>
      <c r="C776" s="222"/>
      <c r="D776" s="222"/>
      <c r="E776" s="223"/>
      <c r="F776" s="223"/>
      <c r="G776" s="227"/>
      <c r="H776" s="224"/>
      <c r="I776" s="223"/>
      <c r="J776" s="223"/>
      <c r="K776" s="222"/>
      <c r="L776" s="222"/>
      <c r="M776" s="222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hidden="1" customHeight="1">
      <c r="A777" s="221"/>
      <c r="B777" s="222"/>
      <c r="C777" s="222"/>
      <c r="D777" s="222"/>
      <c r="E777" s="223"/>
      <c r="F777" s="223"/>
      <c r="G777" s="227"/>
      <c r="H777" s="224"/>
      <c r="I777" s="223"/>
      <c r="J777" s="223"/>
      <c r="K777" s="222"/>
      <c r="L777" s="222"/>
      <c r="M777" s="222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hidden="1" customHeight="1">
      <c r="A778" s="221"/>
      <c r="B778" s="222"/>
      <c r="C778" s="222"/>
      <c r="D778" s="222"/>
      <c r="E778" s="223"/>
      <c r="F778" s="223"/>
      <c r="G778" s="227"/>
      <c r="H778" s="224"/>
      <c r="I778" s="223"/>
      <c r="J778" s="223"/>
      <c r="K778" s="222"/>
      <c r="L778" s="222"/>
      <c r="M778" s="222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hidden="1" customHeight="1">
      <c r="A779" s="221"/>
      <c r="B779" s="222"/>
      <c r="C779" s="222"/>
      <c r="D779" s="222"/>
      <c r="E779" s="223"/>
      <c r="F779" s="223"/>
      <c r="G779" s="227"/>
      <c r="H779" s="224"/>
      <c r="I779" s="223"/>
      <c r="J779" s="223"/>
      <c r="K779" s="222"/>
      <c r="L779" s="222"/>
      <c r="M779" s="222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hidden="1" customHeight="1">
      <c r="A780" s="221"/>
      <c r="B780" s="222"/>
      <c r="C780" s="222"/>
      <c r="D780" s="222"/>
      <c r="E780" s="223"/>
      <c r="F780" s="223"/>
      <c r="G780" s="227"/>
      <c r="H780" s="224"/>
      <c r="I780" s="223"/>
      <c r="J780" s="223"/>
      <c r="K780" s="222"/>
      <c r="L780" s="222"/>
      <c r="M780" s="222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hidden="1" customHeight="1">
      <c r="A781" s="221"/>
      <c r="B781" s="222"/>
      <c r="C781" s="222"/>
      <c r="D781" s="222"/>
      <c r="E781" s="223"/>
      <c r="F781" s="223"/>
      <c r="G781" s="227"/>
      <c r="H781" s="224"/>
      <c r="I781" s="223"/>
      <c r="J781" s="223"/>
      <c r="K781" s="222"/>
      <c r="L781" s="222"/>
      <c r="M781" s="222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hidden="1" customHeight="1">
      <c r="A782" s="221"/>
      <c r="B782" s="222"/>
      <c r="C782" s="222"/>
      <c r="D782" s="222"/>
      <c r="E782" s="223"/>
      <c r="F782" s="223"/>
      <c r="G782" s="227"/>
      <c r="H782" s="224"/>
      <c r="I782" s="223"/>
      <c r="J782" s="223"/>
      <c r="K782" s="222"/>
      <c r="L782" s="222"/>
      <c r="M782" s="222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hidden="1" customHeight="1">
      <c r="A783" s="221"/>
      <c r="B783" s="222"/>
      <c r="C783" s="222"/>
      <c r="D783" s="222"/>
      <c r="E783" s="223"/>
      <c r="F783" s="223"/>
      <c r="G783" s="227"/>
      <c r="H783" s="224"/>
      <c r="I783" s="223"/>
      <c r="J783" s="223"/>
      <c r="K783" s="222"/>
      <c r="L783" s="222"/>
      <c r="M783" s="222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hidden="1" customHeight="1">
      <c r="A784" s="221"/>
      <c r="B784" s="222"/>
      <c r="C784" s="222"/>
      <c r="D784" s="222"/>
      <c r="E784" s="223"/>
      <c r="F784" s="223"/>
      <c r="G784" s="227"/>
      <c r="H784" s="224"/>
      <c r="I784" s="223"/>
      <c r="J784" s="223"/>
      <c r="K784" s="222"/>
      <c r="L784" s="222"/>
      <c r="M784" s="222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hidden="1" customHeight="1">
      <c r="A785" s="221"/>
      <c r="B785" s="222"/>
      <c r="C785" s="222"/>
      <c r="D785" s="222"/>
      <c r="E785" s="223"/>
      <c r="F785" s="223"/>
      <c r="G785" s="227"/>
      <c r="H785" s="224"/>
      <c r="I785" s="223"/>
      <c r="J785" s="223"/>
      <c r="K785" s="222"/>
      <c r="L785" s="222"/>
      <c r="M785" s="222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hidden="1" customHeight="1">
      <c r="A786" s="221"/>
      <c r="B786" s="222"/>
      <c r="C786" s="222"/>
      <c r="D786" s="222"/>
      <c r="E786" s="223"/>
      <c r="F786" s="223"/>
      <c r="G786" s="227"/>
      <c r="H786" s="224"/>
      <c r="I786" s="223"/>
      <c r="J786" s="223"/>
      <c r="K786" s="222"/>
      <c r="L786" s="222"/>
      <c r="M786" s="222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hidden="1" customHeight="1">
      <c r="A787" s="221"/>
      <c r="B787" s="222"/>
      <c r="C787" s="222"/>
      <c r="D787" s="222"/>
      <c r="E787" s="223"/>
      <c r="F787" s="223"/>
      <c r="G787" s="227"/>
      <c r="H787" s="224"/>
      <c r="I787" s="223"/>
      <c r="J787" s="223"/>
      <c r="K787" s="222"/>
      <c r="L787" s="222"/>
      <c r="M787" s="222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hidden="1" customHeight="1">
      <c r="A788" s="221"/>
      <c r="B788" s="222"/>
      <c r="C788" s="222"/>
      <c r="D788" s="222"/>
      <c r="E788" s="223"/>
      <c r="F788" s="223"/>
      <c r="G788" s="227"/>
      <c r="H788" s="224"/>
      <c r="I788" s="223"/>
      <c r="J788" s="223"/>
      <c r="K788" s="222"/>
      <c r="L788" s="222"/>
      <c r="M788" s="222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hidden="1" customHeight="1">
      <c r="A789" s="221"/>
      <c r="B789" s="222"/>
      <c r="C789" s="222"/>
      <c r="D789" s="222"/>
      <c r="E789" s="223"/>
      <c r="F789" s="223"/>
      <c r="G789" s="227"/>
      <c r="H789" s="224"/>
      <c r="I789" s="223"/>
      <c r="J789" s="223"/>
      <c r="K789" s="222"/>
      <c r="L789" s="222"/>
      <c r="M789" s="222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hidden="1" customHeight="1">
      <c r="A790" s="221"/>
      <c r="B790" s="222"/>
      <c r="C790" s="222"/>
      <c r="D790" s="222"/>
      <c r="E790" s="223"/>
      <c r="F790" s="223"/>
      <c r="G790" s="227"/>
      <c r="H790" s="224"/>
      <c r="I790" s="223"/>
      <c r="J790" s="223"/>
      <c r="K790" s="222"/>
      <c r="L790" s="222"/>
      <c r="M790" s="222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hidden="1" customHeight="1">
      <c r="A791" s="221"/>
      <c r="B791" s="222"/>
      <c r="C791" s="222"/>
      <c r="D791" s="222"/>
      <c r="E791" s="223"/>
      <c r="F791" s="223"/>
      <c r="G791" s="227"/>
      <c r="H791" s="224"/>
      <c r="I791" s="223"/>
      <c r="J791" s="223"/>
      <c r="K791" s="222"/>
      <c r="L791" s="222"/>
      <c r="M791" s="222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hidden="1" customHeight="1">
      <c r="A792" s="221"/>
      <c r="B792" s="222"/>
      <c r="C792" s="222"/>
      <c r="D792" s="222"/>
      <c r="E792" s="223"/>
      <c r="F792" s="223"/>
      <c r="G792" s="227"/>
      <c r="H792" s="224"/>
      <c r="I792" s="223"/>
      <c r="J792" s="223"/>
      <c r="K792" s="222"/>
      <c r="L792" s="222"/>
      <c r="M792" s="222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hidden="1" customHeight="1">
      <c r="A793" s="221"/>
      <c r="B793" s="222"/>
      <c r="C793" s="222"/>
      <c r="D793" s="222"/>
      <c r="E793" s="223"/>
      <c r="F793" s="223"/>
      <c r="G793" s="227"/>
      <c r="H793" s="224"/>
      <c r="I793" s="223"/>
      <c r="J793" s="223"/>
      <c r="K793" s="222"/>
      <c r="L793" s="222"/>
      <c r="M793" s="222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hidden="1" customHeight="1">
      <c r="A794" s="221"/>
      <c r="B794" s="222"/>
      <c r="C794" s="222"/>
      <c r="D794" s="222"/>
      <c r="E794" s="223"/>
      <c r="F794" s="223"/>
      <c r="G794" s="227"/>
      <c r="H794" s="224"/>
      <c r="I794" s="223"/>
      <c r="J794" s="223"/>
      <c r="K794" s="222"/>
      <c r="L794" s="222"/>
      <c r="M794" s="222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hidden="1" customHeight="1">
      <c r="A795" s="221"/>
      <c r="B795" s="222"/>
      <c r="C795" s="222"/>
      <c r="D795" s="222"/>
      <c r="E795" s="223"/>
      <c r="F795" s="223"/>
      <c r="G795" s="227"/>
      <c r="H795" s="224"/>
      <c r="I795" s="223"/>
      <c r="J795" s="223"/>
      <c r="K795" s="222"/>
      <c r="L795" s="222"/>
      <c r="M795" s="222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hidden="1" customHeight="1">
      <c r="A796" s="221"/>
      <c r="B796" s="222"/>
      <c r="C796" s="222"/>
      <c r="D796" s="222"/>
      <c r="E796" s="223"/>
      <c r="F796" s="223"/>
      <c r="G796" s="227"/>
      <c r="H796" s="224"/>
      <c r="I796" s="223"/>
      <c r="J796" s="223"/>
      <c r="K796" s="222"/>
      <c r="L796" s="222"/>
      <c r="M796" s="222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hidden="1" customHeight="1">
      <c r="A797" s="221"/>
      <c r="B797" s="222"/>
      <c r="C797" s="222"/>
      <c r="D797" s="222"/>
      <c r="E797" s="223"/>
      <c r="F797" s="223"/>
      <c r="G797" s="227"/>
      <c r="H797" s="224"/>
      <c r="I797" s="223"/>
      <c r="J797" s="223"/>
      <c r="K797" s="222"/>
      <c r="L797" s="222"/>
      <c r="M797" s="222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hidden="1" customHeight="1">
      <c r="A798" s="221"/>
      <c r="B798" s="222"/>
      <c r="C798" s="222"/>
      <c r="D798" s="222"/>
      <c r="E798" s="223"/>
      <c r="F798" s="223"/>
      <c r="G798" s="227"/>
      <c r="H798" s="224"/>
      <c r="I798" s="223"/>
      <c r="J798" s="223"/>
      <c r="K798" s="222"/>
      <c r="L798" s="222"/>
      <c r="M798" s="222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hidden="1" customHeight="1">
      <c r="A799" s="221"/>
      <c r="B799" s="222"/>
      <c r="C799" s="222"/>
      <c r="D799" s="222"/>
      <c r="E799" s="223"/>
      <c r="F799" s="223"/>
      <c r="G799" s="227"/>
      <c r="H799" s="224"/>
      <c r="I799" s="223"/>
      <c r="J799" s="223"/>
      <c r="K799" s="222"/>
      <c r="L799" s="222"/>
      <c r="M799" s="222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hidden="1" customHeight="1">
      <c r="A800" s="221"/>
      <c r="B800" s="222"/>
      <c r="C800" s="222"/>
      <c r="D800" s="222"/>
      <c r="E800" s="223"/>
      <c r="F800" s="223"/>
      <c r="G800" s="227"/>
      <c r="H800" s="224"/>
      <c r="I800" s="223"/>
      <c r="J800" s="223"/>
      <c r="K800" s="222"/>
      <c r="L800" s="222"/>
      <c r="M800" s="222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hidden="1" customHeight="1">
      <c r="A801" s="221"/>
      <c r="B801" s="222"/>
      <c r="C801" s="222"/>
      <c r="D801" s="222"/>
      <c r="E801" s="223"/>
      <c r="F801" s="223"/>
      <c r="G801" s="227"/>
      <c r="H801" s="224"/>
      <c r="I801" s="223"/>
      <c r="J801" s="223"/>
      <c r="K801" s="222"/>
      <c r="L801" s="222"/>
      <c r="M801" s="222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hidden="1" customHeight="1">
      <c r="A802" s="221"/>
      <c r="B802" s="222"/>
      <c r="C802" s="222"/>
      <c r="D802" s="222"/>
      <c r="E802" s="223"/>
      <c r="F802" s="223"/>
      <c r="G802" s="227"/>
      <c r="H802" s="224"/>
      <c r="I802" s="223"/>
      <c r="J802" s="223"/>
      <c r="K802" s="222"/>
      <c r="L802" s="222"/>
      <c r="M802" s="222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hidden="1" customHeight="1">
      <c r="A803" s="221"/>
      <c r="B803" s="222"/>
      <c r="C803" s="222"/>
      <c r="D803" s="222"/>
      <c r="E803" s="223"/>
      <c r="F803" s="223"/>
      <c r="G803" s="227"/>
      <c r="H803" s="224"/>
      <c r="I803" s="223"/>
      <c r="J803" s="223"/>
      <c r="K803" s="222"/>
      <c r="L803" s="222"/>
      <c r="M803" s="222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hidden="1" customHeight="1">
      <c r="A804" s="221"/>
      <c r="B804" s="222"/>
      <c r="C804" s="222"/>
      <c r="D804" s="222"/>
      <c r="E804" s="223"/>
      <c r="F804" s="223"/>
      <c r="G804" s="227"/>
      <c r="H804" s="224"/>
      <c r="I804" s="223"/>
      <c r="J804" s="223"/>
      <c r="K804" s="222"/>
      <c r="L804" s="222"/>
      <c r="M804" s="222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hidden="1" customHeight="1">
      <c r="A805" s="221"/>
      <c r="B805" s="222"/>
      <c r="C805" s="222"/>
      <c r="D805" s="222"/>
      <c r="E805" s="223"/>
      <c r="F805" s="223"/>
      <c r="G805" s="227"/>
      <c r="H805" s="224"/>
      <c r="I805" s="223"/>
      <c r="J805" s="223"/>
      <c r="K805" s="222"/>
      <c r="L805" s="222"/>
      <c r="M805" s="222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hidden="1" customHeight="1">
      <c r="A806" s="221"/>
      <c r="B806" s="222"/>
      <c r="C806" s="222"/>
      <c r="D806" s="222"/>
      <c r="E806" s="223"/>
      <c r="F806" s="223"/>
      <c r="G806" s="227"/>
      <c r="H806" s="224"/>
      <c r="I806" s="223"/>
      <c r="J806" s="223"/>
      <c r="K806" s="222"/>
      <c r="L806" s="222"/>
      <c r="M806" s="222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hidden="1" customHeight="1">
      <c r="A807" s="221"/>
      <c r="B807" s="222"/>
      <c r="C807" s="222"/>
      <c r="D807" s="222"/>
      <c r="E807" s="223"/>
      <c r="F807" s="223"/>
      <c r="G807" s="227"/>
      <c r="H807" s="224"/>
      <c r="I807" s="223"/>
      <c r="J807" s="223"/>
      <c r="K807" s="222"/>
      <c r="L807" s="222"/>
      <c r="M807" s="222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hidden="1" customHeight="1">
      <c r="A808" s="221"/>
      <c r="B808" s="222"/>
      <c r="C808" s="222"/>
      <c r="D808" s="222"/>
      <c r="E808" s="223"/>
      <c r="F808" s="223"/>
      <c r="G808" s="227"/>
      <c r="H808" s="224"/>
      <c r="I808" s="223"/>
      <c r="J808" s="223"/>
      <c r="K808" s="222"/>
      <c r="L808" s="222"/>
      <c r="M808" s="222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hidden="1" customHeight="1">
      <c r="A809" s="221"/>
      <c r="B809" s="222"/>
      <c r="C809" s="222"/>
      <c r="D809" s="222"/>
      <c r="E809" s="223"/>
      <c r="F809" s="223"/>
      <c r="G809" s="227"/>
      <c r="H809" s="224"/>
      <c r="I809" s="223"/>
      <c r="J809" s="223"/>
      <c r="K809" s="222"/>
      <c r="L809" s="222"/>
      <c r="M809" s="222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hidden="1" customHeight="1">
      <c r="A810" s="221"/>
      <c r="B810" s="222"/>
      <c r="C810" s="222"/>
      <c r="D810" s="222"/>
      <c r="E810" s="223"/>
      <c r="F810" s="223"/>
      <c r="G810" s="227"/>
      <c r="H810" s="224"/>
      <c r="I810" s="223"/>
      <c r="J810" s="223"/>
      <c r="K810" s="222"/>
      <c r="L810" s="222"/>
      <c r="M810" s="222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hidden="1" customHeight="1">
      <c r="A811" s="221"/>
      <c r="B811" s="222"/>
      <c r="C811" s="222"/>
      <c r="D811" s="222"/>
      <c r="E811" s="223"/>
      <c r="F811" s="223"/>
      <c r="G811" s="227"/>
      <c r="H811" s="224"/>
      <c r="I811" s="223"/>
      <c r="J811" s="223"/>
      <c r="K811" s="222"/>
      <c r="L811" s="222"/>
      <c r="M811" s="222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hidden="1" customHeight="1">
      <c r="A812" s="221"/>
      <c r="B812" s="222"/>
      <c r="C812" s="222"/>
      <c r="D812" s="222"/>
      <c r="E812" s="223"/>
      <c r="F812" s="223"/>
      <c r="G812" s="227"/>
      <c r="H812" s="224"/>
      <c r="I812" s="223"/>
      <c r="J812" s="223"/>
      <c r="K812" s="222"/>
      <c r="L812" s="222"/>
      <c r="M812" s="222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hidden="1" customHeight="1">
      <c r="A813" s="221"/>
      <c r="B813" s="222"/>
      <c r="C813" s="222"/>
      <c r="D813" s="222"/>
      <c r="E813" s="223"/>
      <c r="F813" s="223"/>
      <c r="G813" s="227"/>
      <c r="H813" s="224"/>
      <c r="I813" s="223"/>
      <c r="J813" s="223"/>
      <c r="K813" s="222"/>
      <c r="L813" s="222"/>
      <c r="M813" s="222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hidden="1" customHeight="1">
      <c r="A814" s="221"/>
      <c r="B814" s="222"/>
      <c r="C814" s="222"/>
      <c r="D814" s="222"/>
      <c r="E814" s="223"/>
      <c r="F814" s="223"/>
      <c r="G814" s="227"/>
      <c r="H814" s="224"/>
      <c r="I814" s="223"/>
      <c r="J814" s="223"/>
      <c r="K814" s="222"/>
      <c r="L814" s="222"/>
      <c r="M814" s="222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hidden="1" customHeight="1">
      <c r="A815" s="221"/>
      <c r="B815" s="222"/>
      <c r="C815" s="222"/>
      <c r="D815" s="222"/>
      <c r="E815" s="223"/>
      <c r="F815" s="223"/>
      <c r="G815" s="227"/>
      <c r="H815" s="224"/>
      <c r="I815" s="223"/>
      <c r="J815" s="223"/>
      <c r="K815" s="222"/>
      <c r="L815" s="222"/>
      <c r="M815" s="222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hidden="1" customHeight="1">
      <c r="A816" s="221"/>
      <c r="B816" s="222"/>
      <c r="C816" s="222"/>
      <c r="D816" s="222"/>
      <c r="E816" s="223"/>
      <c r="F816" s="223"/>
      <c r="G816" s="227"/>
      <c r="H816" s="224"/>
      <c r="I816" s="223"/>
      <c r="J816" s="223"/>
      <c r="K816" s="222"/>
      <c r="L816" s="222"/>
      <c r="M816" s="222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hidden="1" customHeight="1">
      <c r="A817" s="221"/>
      <c r="B817" s="222"/>
      <c r="C817" s="222"/>
      <c r="D817" s="222"/>
      <c r="E817" s="223"/>
      <c r="F817" s="223"/>
      <c r="G817" s="227"/>
      <c r="H817" s="224"/>
      <c r="I817" s="223"/>
      <c r="J817" s="223"/>
      <c r="K817" s="222"/>
      <c r="L817" s="222"/>
      <c r="M817" s="222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hidden="1" customHeight="1">
      <c r="A818" s="221"/>
      <c r="B818" s="222"/>
      <c r="C818" s="222"/>
      <c r="D818" s="222"/>
      <c r="E818" s="223"/>
      <c r="F818" s="223"/>
      <c r="G818" s="227"/>
      <c r="H818" s="224"/>
      <c r="I818" s="223"/>
      <c r="J818" s="223"/>
      <c r="K818" s="222"/>
      <c r="L818" s="222"/>
      <c r="M818" s="222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hidden="1" customHeight="1">
      <c r="A819" s="221"/>
      <c r="B819" s="222"/>
      <c r="C819" s="222"/>
      <c r="D819" s="222"/>
      <c r="E819" s="223"/>
      <c r="F819" s="223"/>
      <c r="G819" s="227"/>
      <c r="H819" s="224"/>
      <c r="I819" s="223"/>
      <c r="J819" s="223"/>
      <c r="K819" s="222"/>
      <c r="L819" s="222"/>
      <c r="M819" s="222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hidden="1" customHeight="1">
      <c r="A820" s="221"/>
      <c r="B820" s="222"/>
      <c r="C820" s="222"/>
      <c r="D820" s="222"/>
      <c r="E820" s="223"/>
      <c r="F820" s="223"/>
      <c r="G820" s="227"/>
      <c r="H820" s="224"/>
      <c r="I820" s="223"/>
      <c r="J820" s="223"/>
      <c r="K820" s="222"/>
      <c r="L820" s="222"/>
      <c r="M820" s="222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hidden="1" customHeight="1">
      <c r="A821" s="221"/>
      <c r="B821" s="222"/>
      <c r="C821" s="222"/>
      <c r="D821" s="222"/>
      <c r="E821" s="223"/>
      <c r="F821" s="223"/>
      <c r="G821" s="227"/>
      <c r="H821" s="224"/>
      <c r="I821" s="223"/>
      <c r="J821" s="223"/>
      <c r="K821" s="222"/>
      <c r="L821" s="222"/>
      <c r="M821" s="222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hidden="1" customHeight="1">
      <c r="A822" s="221"/>
      <c r="B822" s="222"/>
      <c r="C822" s="222"/>
      <c r="D822" s="222"/>
      <c r="E822" s="223"/>
      <c r="F822" s="223"/>
      <c r="G822" s="227"/>
      <c r="H822" s="224"/>
      <c r="I822" s="223"/>
      <c r="J822" s="223"/>
      <c r="K822" s="222"/>
      <c r="L822" s="222"/>
      <c r="M822" s="222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hidden="1" customHeight="1">
      <c r="A823" s="221"/>
      <c r="B823" s="222"/>
      <c r="C823" s="222"/>
      <c r="D823" s="222"/>
      <c r="E823" s="223"/>
      <c r="F823" s="223"/>
      <c r="G823" s="227"/>
      <c r="H823" s="224"/>
      <c r="I823" s="223"/>
      <c r="J823" s="223"/>
      <c r="K823" s="222"/>
      <c r="L823" s="222"/>
      <c r="M823" s="222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hidden="1" customHeight="1">
      <c r="A824" s="221"/>
      <c r="B824" s="222"/>
      <c r="C824" s="222"/>
      <c r="D824" s="222"/>
      <c r="E824" s="223"/>
      <c r="F824" s="223"/>
      <c r="G824" s="227"/>
      <c r="H824" s="224"/>
      <c r="I824" s="223"/>
      <c r="J824" s="223"/>
      <c r="K824" s="222"/>
      <c r="L824" s="222"/>
      <c r="M824" s="222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hidden="1" customHeight="1">
      <c r="A825" s="221"/>
      <c r="B825" s="222"/>
      <c r="C825" s="222"/>
      <c r="D825" s="222"/>
      <c r="E825" s="223"/>
      <c r="F825" s="223"/>
      <c r="G825" s="227"/>
      <c r="H825" s="224"/>
      <c r="I825" s="223"/>
      <c r="J825" s="223"/>
      <c r="K825" s="222"/>
      <c r="L825" s="222"/>
      <c r="M825" s="222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hidden="1" customHeight="1">
      <c r="A826" s="221"/>
      <c r="B826" s="222"/>
      <c r="C826" s="222"/>
      <c r="D826" s="222"/>
      <c r="E826" s="223"/>
      <c r="F826" s="223"/>
      <c r="G826" s="227"/>
      <c r="H826" s="224"/>
      <c r="I826" s="223"/>
      <c r="J826" s="223"/>
      <c r="K826" s="222"/>
      <c r="L826" s="222"/>
      <c r="M826" s="222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hidden="1" customHeight="1">
      <c r="A827" s="221"/>
      <c r="B827" s="222"/>
      <c r="C827" s="222"/>
      <c r="D827" s="222"/>
      <c r="E827" s="223"/>
      <c r="F827" s="223"/>
      <c r="G827" s="227"/>
      <c r="H827" s="224"/>
      <c r="I827" s="223"/>
      <c r="J827" s="223"/>
      <c r="K827" s="222"/>
      <c r="L827" s="222"/>
      <c r="M827" s="222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hidden="1" customHeight="1">
      <c r="A828" s="221"/>
      <c r="B828" s="222"/>
      <c r="C828" s="222"/>
      <c r="D828" s="222"/>
      <c r="E828" s="223"/>
      <c r="F828" s="223"/>
      <c r="G828" s="227"/>
      <c r="H828" s="224"/>
      <c r="I828" s="223"/>
      <c r="J828" s="223"/>
      <c r="K828" s="222"/>
      <c r="L828" s="222"/>
      <c r="M828" s="222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hidden="1" customHeight="1">
      <c r="A829" s="221"/>
      <c r="B829" s="222"/>
      <c r="C829" s="222"/>
      <c r="D829" s="222"/>
      <c r="E829" s="223"/>
      <c r="F829" s="223"/>
      <c r="G829" s="227"/>
      <c r="H829" s="224"/>
      <c r="I829" s="223"/>
      <c r="J829" s="223"/>
      <c r="K829" s="222"/>
      <c r="L829" s="222"/>
      <c r="M829" s="222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hidden="1" customHeight="1">
      <c r="A830" s="221"/>
      <c r="B830" s="222"/>
      <c r="C830" s="222"/>
      <c r="D830" s="222"/>
      <c r="E830" s="223"/>
      <c r="F830" s="223"/>
      <c r="G830" s="227"/>
      <c r="H830" s="224"/>
      <c r="I830" s="223"/>
      <c r="J830" s="223"/>
      <c r="K830" s="222"/>
      <c r="L830" s="222"/>
      <c r="M830" s="222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hidden="1" customHeight="1">
      <c r="A831" s="221"/>
      <c r="B831" s="222"/>
      <c r="C831" s="222"/>
      <c r="D831" s="222"/>
      <c r="E831" s="223"/>
      <c r="F831" s="223"/>
      <c r="G831" s="227"/>
      <c r="H831" s="224"/>
      <c r="I831" s="223"/>
      <c r="J831" s="223"/>
      <c r="K831" s="222"/>
      <c r="L831" s="222"/>
      <c r="M831" s="222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hidden="1" customHeight="1">
      <c r="A832" s="221"/>
      <c r="B832" s="222"/>
      <c r="C832" s="222"/>
      <c r="D832" s="222"/>
      <c r="E832" s="223"/>
      <c r="F832" s="223"/>
      <c r="G832" s="227"/>
      <c r="H832" s="224"/>
      <c r="I832" s="223"/>
      <c r="J832" s="223"/>
      <c r="K832" s="222"/>
      <c r="L832" s="222"/>
      <c r="M832" s="222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hidden="1" customHeight="1">
      <c r="A833" s="221"/>
      <c r="B833" s="222"/>
      <c r="C833" s="222"/>
      <c r="D833" s="222"/>
      <c r="E833" s="223"/>
      <c r="F833" s="223"/>
      <c r="G833" s="227"/>
      <c r="H833" s="224"/>
      <c r="I833" s="223"/>
      <c r="J833" s="223"/>
      <c r="K833" s="222"/>
      <c r="L833" s="222"/>
      <c r="M833" s="222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hidden="1" customHeight="1">
      <c r="A834" s="221"/>
      <c r="B834" s="222"/>
      <c r="C834" s="222"/>
      <c r="D834" s="222"/>
      <c r="E834" s="223"/>
      <c r="F834" s="223"/>
      <c r="G834" s="227"/>
      <c r="H834" s="224"/>
      <c r="I834" s="223"/>
      <c r="J834" s="223"/>
      <c r="K834" s="222"/>
      <c r="L834" s="222"/>
      <c r="M834" s="222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hidden="1" customHeight="1">
      <c r="A835" s="221"/>
      <c r="B835" s="222"/>
      <c r="C835" s="222"/>
      <c r="D835" s="222"/>
      <c r="E835" s="223"/>
      <c r="F835" s="223"/>
      <c r="G835" s="227"/>
      <c r="H835" s="224"/>
      <c r="I835" s="223"/>
      <c r="J835" s="223"/>
      <c r="K835" s="222"/>
      <c r="L835" s="222"/>
      <c r="M835" s="222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hidden="1" customHeight="1">
      <c r="A836" s="221"/>
      <c r="B836" s="222"/>
      <c r="C836" s="222"/>
      <c r="D836" s="222"/>
      <c r="E836" s="223"/>
      <c r="F836" s="223"/>
      <c r="G836" s="227"/>
      <c r="H836" s="224"/>
      <c r="I836" s="223"/>
      <c r="J836" s="223"/>
      <c r="K836" s="222"/>
      <c r="L836" s="222"/>
      <c r="M836" s="222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hidden="1" customHeight="1">
      <c r="A837" s="221"/>
      <c r="B837" s="222"/>
      <c r="C837" s="222"/>
      <c r="D837" s="222"/>
      <c r="E837" s="223"/>
      <c r="F837" s="223"/>
      <c r="G837" s="227"/>
      <c r="H837" s="224"/>
      <c r="I837" s="223"/>
      <c r="J837" s="223"/>
      <c r="K837" s="222"/>
      <c r="L837" s="222"/>
      <c r="M837" s="222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hidden="1" customHeight="1">
      <c r="A838" s="221"/>
      <c r="B838" s="222"/>
      <c r="C838" s="222"/>
      <c r="D838" s="222"/>
      <c r="E838" s="223"/>
      <c r="F838" s="223"/>
      <c r="G838" s="227"/>
      <c r="H838" s="224"/>
      <c r="I838" s="223"/>
      <c r="J838" s="223"/>
      <c r="K838" s="222"/>
      <c r="L838" s="222"/>
      <c r="M838" s="222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hidden="1" customHeight="1">
      <c r="A839" s="221"/>
      <c r="B839" s="222"/>
      <c r="C839" s="222"/>
      <c r="D839" s="222"/>
      <c r="E839" s="223"/>
      <c r="F839" s="223"/>
      <c r="G839" s="227"/>
      <c r="H839" s="224"/>
      <c r="I839" s="223"/>
      <c r="J839" s="223"/>
      <c r="K839" s="222"/>
      <c r="L839" s="222"/>
      <c r="M839" s="222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hidden="1" customHeight="1">
      <c r="A840" s="221"/>
      <c r="B840" s="222"/>
      <c r="C840" s="222"/>
      <c r="D840" s="222"/>
      <c r="E840" s="223"/>
      <c r="F840" s="32"/>
      <c r="G840" s="227"/>
      <c r="H840" s="227"/>
      <c r="I840" s="223"/>
      <c r="J840" s="223"/>
      <c r="K840" s="222"/>
      <c r="L840" s="222"/>
      <c r="M840" s="222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hidden="1" customHeight="1">
      <c r="A841" s="221"/>
      <c r="B841" s="222"/>
      <c r="C841" s="222"/>
      <c r="D841" s="222"/>
      <c r="E841" s="223"/>
      <c r="F841" s="223"/>
      <c r="G841" s="227"/>
      <c r="H841" s="224"/>
      <c r="I841" s="223"/>
      <c r="J841" s="223"/>
      <c r="K841" s="222"/>
      <c r="L841" s="222"/>
      <c r="M841" s="222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hidden="1" customHeight="1">
      <c r="A842" s="221"/>
      <c r="B842" s="222"/>
      <c r="C842" s="222"/>
      <c r="D842" s="222"/>
      <c r="E842" s="223"/>
      <c r="F842" s="223"/>
      <c r="G842" s="227"/>
      <c r="H842" s="224"/>
      <c r="I842" s="223"/>
      <c r="J842" s="223"/>
      <c r="K842" s="222"/>
      <c r="L842" s="222"/>
      <c r="M842" s="222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hidden="1" customHeight="1">
      <c r="A843" s="221"/>
      <c r="B843" s="222"/>
      <c r="C843" s="222"/>
      <c r="D843" s="222"/>
      <c r="E843" s="223"/>
      <c r="F843" s="223"/>
      <c r="G843" s="227"/>
      <c r="H843" s="224"/>
      <c r="I843" s="223"/>
      <c r="J843" s="223"/>
      <c r="K843" s="222"/>
      <c r="L843" s="222"/>
      <c r="M843" s="222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hidden="1" customHeight="1">
      <c r="A844" s="221"/>
      <c r="B844" s="222"/>
      <c r="C844" s="222"/>
      <c r="D844" s="222"/>
      <c r="E844" s="223"/>
      <c r="F844" s="223"/>
      <c r="G844" s="227"/>
      <c r="H844" s="224"/>
      <c r="I844" s="223"/>
      <c r="J844" s="223"/>
      <c r="K844" s="222"/>
      <c r="L844" s="222"/>
      <c r="M844" s="222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hidden="1" customHeight="1">
      <c r="A845" s="221"/>
      <c r="B845" s="222"/>
      <c r="C845" s="222"/>
      <c r="D845" s="222"/>
      <c r="E845" s="223"/>
      <c r="F845" s="223"/>
      <c r="G845" s="227"/>
      <c r="H845" s="224"/>
      <c r="I845" s="223"/>
      <c r="J845" s="223"/>
      <c r="K845" s="222"/>
      <c r="L845" s="222"/>
      <c r="M845" s="222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hidden="1" customHeight="1">
      <c r="A846" s="221"/>
      <c r="B846" s="222"/>
      <c r="C846" s="222"/>
      <c r="D846" s="222"/>
      <c r="E846" s="223"/>
      <c r="F846" s="223"/>
      <c r="G846" s="227"/>
      <c r="H846" s="224"/>
      <c r="I846" s="223"/>
      <c r="J846" s="223"/>
      <c r="K846" s="222"/>
      <c r="L846" s="222"/>
      <c r="M846" s="222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hidden="1" customHeight="1">
      <c r="A847" s="221"/>
      <c r="B847" s="222"/>
      <c r="C847" s="222"/>
      <c r="D847" s="222"/>
      <c r="E847" s="223"/>
      <c r="F847" s="223"/>
      <c r="G847" s="227"/>
      <c r="H847" s="224"/>
      <c r="I847" s="223"/>
      <c r="J847" s="223"/>
      <c r="K847" s="222"/>
      <c r="L847" s="222"/>
      <c r="M847" s="222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hidden="1" customHeight="1">
      <c r="A848" s="221"/>
      <c r="B848" s="222"/>
      <c r="C848" s="222"/>
      <c r="D848" s="222"/>
      <c r="E848" s="223"/>
      <c r="F848" s="223"/>
      <c r="G848" s="227"/>
      <c r="H848" s="224"/>
      <c r="I848" s="223"/>
      <c r="J848" s="223"/>
      <c r="K848" s="222"/>
      <c r="L848" s="222"/>
      <c r="M848" s="222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hidden="1" customHeight="1">
      <c r="A849" s="221"/>
      <c r="B849" s="222"/>
      <c r="C849" s="222"/>
      <c r="D849" s="222"/>
      <c r="E849" s="223"/>
      <c r="F849" s="223"/>
      <c r="G849" s="227"/>
      <c r="H849" s="224"/>
      <c r="I849" s="223"/>
      <c r="J849" s="223"/>
      <c r="K849" s="222"/>
      <c r="L849" s="222"/>
      <c r="M849" s="222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hidden="1" customHeight="1">
      <c r="A850" s="221"/>
      <c r="B850" s="222"/>
      <c r="C850" s="222"/>
      <c r="D850" s="222"/>
      <c r="E850" s="223"/>
      <c r="F850" s="223"/>
      <c r="G850" s="227"/>
      <c r="H850" s="224"/>
      <c r="I850" s="223"/>
      <c r="J850" s="223"/>
      <c r="K850" s="222"/>
      <c r="L850" s="222"/>
      <c r="M850" s="222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hidden="1" customHeight="1">
      <c r="A851" s="221"/>
      <c r="B851" s="222"/>
      <c r="C851" s="222"/>
      <c r="D851" s="222"/>
      <c r="E851" s="223"/>
      <c r="F851" s="223"/>
      <c r="G851" s="227"/>
      <c r="H851" s="224"/>
      <c r="I851" s="223"/>
      <c r="J851" s="223"/>
      <c r="K851" s="222"/>
      <c r="L851" s="222"/>
      <c r="M851" s="222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hidden="1" customHeight="1">
      <c r="A852" s="221"/>
      <c r="B852" s="222"/>
      <c r="C852" s="222"/>
      <c r="D852" s="222"/>
      <c r="E852" s="223"/>
      <c r="F852" s="223"/>
      <c r="G852" s="227"/>
      <c r="H852" s="227"/>
      <c r="I852" s="223"/>
      <c r="J852" s="223"/>
      <c r="K852" s="222"/>
      <c r="L852" s="222"/>
      <c r="M852" s="222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hidden="1" customHeight="1">
      <c r="A853" s="221"/>
      <c r="B853" s="222"/>
      <c r="C853" s="222"/>
      <c r="D853" s="222"/>
      <c r="E853" s="223"/>
      <c r="F853" s="223"/>
      <c r="G853" s="227"/>
      <c r="H853" s="227"/>
      <c r="I853" s="223"/>
      <c r="J853" s="223"/>
      <c r="K853" s="222"/>
      <c r="L853" s="222"/>
      <c r="M853" s="222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hidden="1" customHeight="1">
      <c r="A854" s="221"/>
      <c r="B854" s="222"/>
      <c r="C854" s="222"/>
      <c r="D854" s="222"/>
      <c r="E854" s="223"/>
      <c r="F854" s="32"/>
      <c r="G854" s="227"/>
      <c r="H854" s="227"/>
      <c r="I854" s="223"/>
      <c r="J854" s="223"/>
      <c r="K854" s="222"/>
      <c r="L854" s="222"/>
      <c r="M854" s="222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hidden="1" customHeight="1">
      <c r="A855" s="221"/>
      <c r="B855" s="222"/>
      <c r="C855" s="222"/>
      <c r="D855" s="222"/>
      <c r="E855" s="223"/>
      <c r="F855" s="32"/>
      <c r="G855" s="227"/>
      <c r="H855" s="227"/>
      <c r="I855" s="223"/>
      <c r="J855" s="223"/>
      <c r="K855" s="222"/>
      <c r="L855" s="222"/>
      <c r="M855" s="222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hidden="1" customHeight="1">
      <c r="A856" s="221"/>
      <c r="B856" s="222"/>
      <c r="C856" s="222"/>
      <c r="D856" s="222"/>
      <c r="E856" s="223"/>
      <c r="F856" s="32"/>
      <c r="G856" s="227"/>
      <c r="H856" s="227"/>
      <c r="I856" s="223"/>
      <c r="J856" s="223"/>
      <c r="K856" s="222"/>
      <c r="L856" s="222"/>
      <c r="M856" s="222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hidden="1" customHeight="1">
      <c r="A857" s="228"/>
      <c r="B857" s="222"/>
      <c r="C857" s="222"/>
      <c r="D857" s="222"/>
      <c r="E857" s="223"/>
      <c r="F857" s="32"/>
      <c r="G857" s="227"/>
      <c r="H857" s="227"/>
      <c r="I857" s="223"/>
      <c r="J857" s="223"/>
      <c r="K857" s="222"/>
      <c r="L857" s="222"/>
      <c r="M857" s="222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hidden="1" customHeight="1">
      <c r="A858" s="228"/>
      <c r="B858" s="222"/>
      <c r="C858" s="222"/>
      <c r="D858" s="222"/>
      <c r="E858" s="223"/>
      <c r="F858" s="32"/>
      <c r="G858" s="227"/>
      <c r="H858" s="227"/>
      <c r="I858" s="223"/>
      <c r="J858" s="223"/>
      <c r="K858" s="222"/>
      <c r="L858" s="222"/>
      <c r="M858" s="222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hidden="1" customHeight="1">
      <c r="A859" s="228"/>
      <c r="B859" s="222"/>
      <c r="C859" s="222"/>
      <c r="D859" s="222"/>
      <c r="E859" s="223"/>
      <c r="F859" s="32"/>
      <c r="G859" s="227"/>
      <c r="H859" s="227"/>
      <c r="I859" s="223"/>
      <c r="J859" s="223"/>
      <c r="K859" s="222"/>
      <c r="L859" s="222"/>
      <c r="M859" s="222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hidden="1" customHeight="1">
      <c r="A860" s="228"/>
      <c r="B860" s="222"/>
      <c r="C860" s="222"/>
      <c r="D860" s="222"/>
      <c r="E860" s="223"/>
      <c r="F860" s="32"/>
      <c r="G860" s="227"/>
      <c r="H860" s="227"/>
      <c r="I860" s="223"/>
      <c r="J860" s="223"/>
      <c r="K860" s="222"/>
      <c r="L860" s="222"/>
      <c r="M860" s="222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hidden="1" customHeight="1">
      <c r="A861" s="228"/>
      <c r="B861" s="222"/>
      <c r="C861" s="222"/>
      <c r="D861" s="222"/>
      <c r="E861" s="223"/>
      <c r="F861" s="32"/>
      <c r="G861" s="227"/>
      <c r="H861" s="227"/>
      <c r="I861" s="223"/>
      <c r="J861" s="223"/>
      <c r="K861" s="222"/>
      <c r="L861" s="222"/>
      <c r="M861" s="222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hidden="1" customHeight="1">
      <c r="A862" s="228"/>
      <c r="B862" s="222"/>
      <c r="C862" s="222"/>
      <c r="D862" s="222"/>
      <c r="E862" s="223"/>
      <c r="F862" s="32"/>
      <c r="G862" s="227"/>
      <c r="H862" s="227"/>
      <c r="I862" s="223"/>
      <c r="J862" s="223"/>
      <c r="K862" s="222"/>
      <c r="L862" s="222"/>
      <c r="M862" s="222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hidden="1" customHeight="1">
      <c r="A863" s="228"/>
      <c r="B863" s="222"/>
      <c r="C863" s="222"/>
      <c r="D863" s="222"/>
      <c r="E863" s="223"/>
      <c r="F863" s="32"/>
      <c r="G863" s="227"/>
      <c r="H863" s="227"/>
      <c r="I863" s="223"/>
      <c r="J863" s="223"/>
      <c r="K863" s="222"/>
      <c r="L863" s="222"/>
      <c r="M863" s="222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hidden="1" customHeight="1">
      <c r="A864" s="228"/>
      <c r="B864" s="222"/>
      <c r="C864" s="222"/>
      <c r="D864" s="222"/>
      <c r="E864" s="223"/>
      <c r="F864" s="32"/>
      <c r="G864" s="227"/>
      <c r="H864" s="227"/>
      <c r="I864" s="223"/>
      <c r="J864" s="223"/>
      <c r="K864" s="222"/>
      <c r="L864" s="222"/>
      <c r="M864" s="222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hidden="1" customHeight="1">
      <c r="A865" s="228"/>
      <c r="B865" s="222"/>
      <c r="C865" s="222"/>
      <c r="D865" s="222"/>
      <c r="E865" s="223"/>
      <c r="F865" s="32"/>
      <c r="G865" s="227"/>
      <c r="H865" s="227"/>
      <c r="I865" s="223"/>
      <c r="J865" s="223"/>
      <c r="K865" s="222"/>
      <c r="L865" s="222"/>
      <c r="M865" s="222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hidden="1" customHeight="1">
      <c r="A866" s="228"/>
      <c r="B866" s="222"/>
      <c r="C866" s="222"/>
      <c r="D866" s="222"/>
      <c r="E866" s="223"/>
      <c r="F866" s="32"/>
      <c r="G866" s="227"/>
      <c r="H866" s="227"/>
      <c r="I866" s="223"/>
      <c r="J866" s="223"/>
      <c r="K866" s="222"/>
      <c r="L866" s="222"/>
      <c r="M866" s="222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hidden="1" customHeight="1">
      <c r="A867" s="228"/>
      <c r="B867" s="222"/>
      <c r="C867" s="222"/>
      <c r="D867" s="222"/>
      <c r="E867" s="223"/>
      <c r="F867" s="32"/>
      <c r="G867" s="227"/>
      <c r="H867" s="227"/>
      <c r="I867" s="223"/>
      <c r="J867" s="223"/>
      <c r="K867" s="222"/>
      <c r="L867" s="222"/>
      <c r="M867" s="222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hidden="1" customHeight="1">
      <c r="A868" s="228"/>
      <c r="B868" s="222"/>
      <c r="C868" s="222"/>
      <c r="D868" s="222"/>
      <c r="E868" s="223"/>
      <c r="F868" s="222"/>
      <c r="G868" s="224"/>
      <c r="H868" s="224"/>
      <c r="I868" s="223"/>
      <c r="J868" s="223"/>
      <c r="K868" s="222"/>
      <c r="L868" s="222"/>
      <c r="M868" s="222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hidden="1" customHeight="1">
      <c r="A869" s="228"/>
      <c r="B869" s="222"/>
      <c r="C869" s="222"/>
      <c r="D869" s="222"/>
      <c r="E869" s="233"/>
      <c r="F869" s="233"/>
      <c r="G869" s="236"/>
      <c r="H869" s="224"/>
      <c r="I869" s="223"/>
      <c r="J869" s="223"/>
      <c r="K869" s="222"/>
      <c r="L869" s="222"/>
      <c r="M869" s="222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hidden="1" customHeight="1">
      <c r="A870" s="228"/>
      <c r="B870" s="222"/>
      <c r="C870" s="222"/>
      <c r="D870" s="222"/>
      <c r="E870" s="233"/>
      <c r="F870" s="233"/>
      <c r="G870" s="236"/>
      <c r="H870" s="224"/>
      <c r="I870" s="223"/>
      <c r="J870" s="223"/>
      <c r="K870" s="222"/>
      <c r="L870" s="222"/>
      <c r="M870" s="222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hidden="1" customHeight="1">
      <c r="A871" s="228"/>
      <c r="B871" s="222"/>
      <c r="C871" s="222"/>
      <c r="D871" s="222"/>
      <c r="E871" s="223"/>
      <c r="F871" s="223"/>
      <c r="G871" s="227"/>
      <c r="H871" s="224"/>
      <c r="I871" s="223"/>
      <c r="J871" s="223"/>
      <c r="K871" s="222"/>
      <c r="L871" s="222"/>
      <c r="M871" s="222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hidden="1" customHeight="1">
      <c r="A872" s="228"/>
      <c r="B872" s="222"/>
      <c r="C872" s="222"/>
      <c r="D872" s="222"/>
      <c r="E872" s="223"/>
      <c r="F872" s="222"/>
      <c r="G872" s="224"/>
      <c r="H872" s="224"/>
      <c r="I872" s="223"/>
      <c r="J872" s="223"/>
      <c r="K872" s="222"/>
      <c r="L872" s="222"/>
      <c r="M872" s="222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hidden="1" customHeight="1">
      <c r="A873" s="228"/>
      <c r="B873" s="222"/>
      <c r="C873" s="222"/>
      <c r="D873" s="222"/>
      <c r="E873" s="223"/>
      <c r="F873" s="222"/>
      <c r="G873" s="224"/>
      <c r="H873" s="224"/>
      <c r="I873" s="223"/>
      <c r="J873" s="223"/>
      <c r="K873" s="222"/>
      <c r="L873" s="222"/>
      <c r="M873" s="222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hidden="1" customHeight="1">
      <c r="A874" s="228"/>
      <c r="B874" s="222"/>
      <c r="C874" s="222"/>
      <c r="D874" s="222"/>
      <c r="E874" s="223"/>
      <c r="F874" s="222"/>
      <c r="G874" s="224"/>
      <c r="H874" s="224"/>
      <c r="I874" s="223"/>
      <c r="J874" s="223"/>
      <c r="K874" s="222"/>
      <c r="L874" s="222"/>
      <c r="M874" s="222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hidden="1" customHeight="1">
      <c r="A875" s="228"/>
      <c r="B875" s="222"/>
      <c r="C875" s="222"/>
      <c r="D875" s="222"/>
      <c r="E875" s="223"/>
      <c r="F875" s="222"/>
      <c r="G875" s="224"/>
      <c r="H875" s="224"/>
      <c r="I875" s="223"/>
      <c r="J875" s="223"/>
      <c r="K875" s="222"/>
      <c r="L875" s="222"/>
      <c r="M875" s="222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hidden="1" customHeight="1">
      <c r="A876" s="228"/>
      <c r="B876" s="222"/>
      <c r="C876" s="222"/>
      <c r="D876" s="222"/>
      <c r="E876" s="223"/>
      <c r="F876" s="222"/>
      <c r="G876" s="224"/>
      <c r="H876" s="224"/>
      <c r="I876" s="223"/>
      <c r="J876" s="223"/>
      <c r="K876" s="222"/>
      <c r="L876" s="222"/>
      <c r="M876" s="222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hidden="1" customHeight="1">
      <c r="A877" s="228"/>
      <c r="B877" s="222"/>
      <c r="C877" s="222"/>
      <c r="D877" s="222"/>
      <c r="E877" s="223"/>
      <c r="F877" s="222"/>
      <c r="G877" s="224"/>
      <c r="H877" s="224"/>
      <c r="I877" s="223"/>
      <c r="J877" s="223"/>
      <c r="K877" s="222"/>
      <c r="L877" s="222"/>
      <c r="M877" s="222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hidden="1" customHeight="1">
      <c r="A878" s="228"/>
      <c r="B878" s="222"/>
      <c r="C878" s="222"/>
      <c r="D878" s="222"/>
      <c r="E878" s="223"/>
      <c r="F878" s="222"/>
      <c r="G878" s="224"/>
      <c r="H878" s="224"/>
      <c r="I878" s="223"/>
      <c r="J878" s="223"/>
      <c r="K878" s="222"/>
      <c r="L878" s="222"/>
      <c r="M878" s="222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hidden="1" customHeight="1">
      <c r="A879" s="228"/>
      <c r="B879" s="222"/>
      <c r="C879" s="222"/>
      <c r="D879" s="222"/>
      <c r="E879" s="223"/>
      <c r="F879" s="222"/>
      <c r="G879" s="224"/>
      <c r="H879" s="224"/>
      <c r="I879" s="223"/>
      <c r="J879" s="223"/>
      <c r="K879" s="222"/>
      <c r="L879" s="222"/>
      <c r="M879" s="222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hidden="1" customHeight="1">
      <c r="A880" s="228"/>
      <c r="B880" s="222"/>
      <c r="C880" s="222"/>
      <c r="D880" s="222"/>
      <c r="E880" s="223"/>
      <c r="F880" s="222"/>
      <c r="G880" s="224"/>
      <c r="H880" s="224"/>
      <c r="I880" s="223"/>
      <c r="J880" s="223"/>
      <c r="K880" s="222"/>
      <c r="L880" s="222"/>
      <c r="M880" s="222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hidden="1" customHeight="1">
      <c r="A881" s="228"/>
      <c r="B881" s="222"/>
      <c r="C881" s="222"/>
      <c r="D881" s="222"/>
      <c r="E881" s="223"/>
      <c r="F881" s="222"/>
      <c r="G881" s="224"/>
      <c r="H881" s="224"/>
      <c r="I881" s="223"/>
      <c r="J881" s="223"/>
      <c r="K881" s="222"/>
      <c r="L881" s="222"/>
      <c r="M881" s="222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hidden="1" customHeight="1">
      <c r="A882" s="228"/>
      <c r="B882" s="222"/>
      <c r="C882" s="222"/>
      <c r="D882" s="222"/>
      <c r="E882" s="223"/>
      <c r="F882" s="223"/>
      <c r="G882" s="227"/>
      <c r="H882" s="224"/>
      <c r="I882" s="223"/>
      <c r="J882" s="223"/>
      <c r="K882" s="222"/>
      <c r="L882" s="222"/>
      <c r="M882" s="222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hidden="1" customHeight="1">
      <c r="A883" s="228"/>
      <c r="B883" s="222"/>
      <c r="C883" s="222"/>
      <c r="D883" s="222"/>
      <c r="E883" s="223"/>
      <c r="F883" s="223"/>
      <c r="G883" s="227"/>
      <c r="H883" s="224"/>
      <c r="I883" s="223"/>
      <c r="J883" s="223"/>
      <c r="K883" s="222"/>
      <c r="L883" s="222"/>
      <c r="M883" s="222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hidden="1" customHeight="1">
      <c r="A884" s="228"/>
      <c r="B884" s="222"/>
      <c r="C884" s="222"/>
      <c r="D884" s="222"/>
      <c r="E884" s="223"/>
      <c r="F884" s="223"/>
      <c r="G884" s="227"/>
      <c r="H884" s="224"/>
      <c r="I884" s="223"/>
      <c r="J884" s="223"/>
      <c r="K884" s="222"/>
      <c r="L884" s="222"/>
      <c r="M884" s="222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hidden="1" customHeight="1">
      <c r="A885" s="228"/>
      <c r="B885" s="222"/>
      <c r="C885" s="222"/>
      <c r="D885" s="222"/>
      <c r="E885" s="233"/>
      <c r="F885" s="233"/>
      <c r="G885" s="236"/>
      <c r="H885" s="224"/>
      <c r="I885" s="223"/>
      <c r="J885" s="223"/>
      <c r="K885" s="222"/>
      <c r="L885" s="222"/>
      <c r="M885" s="222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hidden="1" customHeight="1">
      <c r="A886" s="228"/>
      <c r="B886" s="222"/>
      <c r="C886" s="222"/>
      <c r="D886" s="222"/>
      <c r="E886" s="233"/>
      <c r="F886" s="233"/>
      <c r="G886" s="236"/>
      <c r="H886" s="224"/>
      <c r="I886" s="223"/>
      <c r="J886" s="223"/>
      <c r="K886" s="222"/>
      <c r="L886" s="222"/>
      <c r="M886" s="222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hidden="1" customHeight="1">
      <c r="A887" s="228"/>
      <c r="B887" s="222"/>
      <c r="C887" s="222"/>
      <c r="D887" s="222"/>
      <c r="E887" s="223"/>
      <c r="F887" s="32"/>
      <c r="G887" s="227"/>
      <c r="H887" s="227"/>
      <c r="I887" s="223"/>
      <c r="J887" s="223"/>
      <c r="K887" s="222"/>
      <c r="L887" s="222"/>
      <c r="M887" s="222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hidden="1" customHeight="1">
      <c r="A888" s="228"/>
      <c r="B888" s="222"/>
      <c r="C888" s="222"/>
      <c r="D888" s="222"/>
      <c r="E888" s="223"/>
      <c r="F888" s="32"/>
      <c r="G888" s="227"/>
      <c r="H888" s="227"/>
      <c r="I888" s="223"/>
      <c r="J888" s="223"/>
      <c r="K888" s="222"/>
      <c r="L888" s="222"/>
      <c r="M888" s="222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hidden="1" customHeight="1">
      <c r="A889" s="228"/>
      <c r="B889" s="222"/>
      <c r="C889" s="222"/>
      <c r="D889" s="222"/>
      <c r="E889" s="223"/>
      <c r="F889" s="32"/>
      <c r="G889" s="227"/>
      <c r="H889" s="227"/>
      <c r="I889" s="223"/>
      <c r="J889" s="223"/>
      <c r="K889" s="222"/>
      <c r="L889" s="222"/>
      <c r="M889" s="222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hidden="1" customHeight="1">
      <c r="A890" s="228"/>
      <c r="B890" s="222"/>
      <c r="C890" s="222"/>
      <c r="D890" s="222"/>
      <c r="E890" s="223"/>
      <c r="F890" s="32"/>
      <c r="G890" s="227"/>
      <c r="H890" s="227"/>
      <c r="I890" s="223"/>
      <c r="J890" s="223"/>
      <c r="K890" s="222"/>
      <c r="L890" s="222"/>
      <c r="M890" s="222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hidden="1" customHeight="1">
      <c r="A891" s="228"/>
      <c r="B891" s="222"/>
      <c r="C891" s="222"/>
      <c r="D891" s="222"/>
      <c r="E891" s="223"/>
      <c r="F891" s="32"/>
      <c r="G891" s="227"/>
      <c r="H891" s="227"/>
      <c r="I891" s="223"/>
      <c r="J891" s="223"/>
      <c r="K891" s="222"/>
      <c r="L891" s="222"/>
      <c r="M891" s="222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hidden="1" customHeight="1">
      <c r="A892" s="228"/>
      <c r="B892" s="222"/>
      <c r="C892" s="222"/>
      <c r="D892" s="222"/>
      <c r="E892" s="223"/>
      <c r="F892" s="222"/>
      <c r="G892" s="224"/>
      <c r="H892" s="224"/>
      <c r="I892" s="223"/>
      <c r="J892" s="223"/>
      <c r="K892" s="222"/>
      <c r="L892" s="222"/>
      <c r="M892" s="222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hidden="1" customHeight="1">
      <c r="A893" s="228"/>
      <c r="B893" s="222"/>
      <c r="C893" s="222"/>
      <c r="D893" s="222"/>
      <c r="E893" s="223"/>
      <c r="F893" s="222"/>
      <c r="G893" s="224"/>
      <c r="H893" s="224"/>
      <c r="I893" s="223"/>
      <c r="J893" s="223"/>
      <c r="K893" s="222"/>
      <c r="L893" s="222"/>
      <c r="M893" s="222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hidden="1" customHeight="1">
      <c r="A894" s="228"/>
      <c r="B894" s="222"/>
      <c r="C894" s="222"/>
      <c r="D894" s="222"/>
      <c r="E894" s="223"/>
      <c r="F894" s="222"/>
      <c r="G894" s="224"/>
      <c r="H894" s="224"/>
      <c r="I894" s="223"/>
      <c r="J894" s="223"/>
      <c r="K894" s="222"/>
      <c r="L894" s="222"/>
      <c r="M894" s="222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hidden="1" customHeight="1">
      <c r="A895" s="221"/>
      <c r="B895" s="222"/>
      <c r="C895" s="222"/>
      <c r="D895" s="222"/>
      <c r="E895" s="223"/>
      <c r="F895" s="222"/>
      <c r="G895" s="224"/>
      <c r="H895" s="224"/>
      <c r="I895" s="223"/>
      <c r="J895" s="223"/>
      <c r="K895" s="222"/>
      <c r="L895" s="222"/>
      <c r="M895" s="222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hidden="1" customHeight="1">
      <c r="A896" s="221"/>
      <c r="B896" s="222"/>
      <c r="C896" s="222"/>
      <c r="D896" s="222"/>
      <c r="E896" s="223"/>
      <c r="F896" s="222"/>
      <c r="G896" s="224"/>
      <c r="H896" s="224"/>
      <c r="I896" s="223"/>
      <c r="J896" s="223"/>
      <c r="K896" s="222"/>
      <c r="L896" s="222"/>
      <c r="M896" s="222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hidden="1" customHeight="1">
      <c r="A897" s="221"/>
      <c r="B897" s="222"/>
      <c r="C897" s="222"/>
      <c r="D897" s="222"/>
      <c r="E897" s="233"/>
      <c r="F897" s="233"/>
      <c r="G897" s="236"/>
      <c r="H897" s="224"/>
      <c r="I897" s="223"/>
      <c r="J897" s="223"/>
      <c r="K897" s="222"/>
      <c r="L897" s="222"/>
      <c r="M897" s="222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hidden="1" customHeight="1">
      <c r="A898" s="221"/>
      <c r="B898" s="222"/>
      <c r="C898" s="222"/>
      <c r="D898" s="222"/>
      <c r="E898" s="223"/>
      <c r="F898" s="223"/>
      <c r="G898" s="227"/>
      <c r="H898" s="224"/>
      <c r="I898" s="223"/>
      <c r="J898" s="223"/>
      <c r="K898" s="222"/>
      <c r="L898" s="222"/>
      <c r="M898" s="222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hidden="1" customHeight="1">
      <c r="A899" s="221"/>
      <c r="B899" s="222"/>
      <c r="C899" s="222"/>
      <c r="D899" s="222"/>
      <c r="E899" s="223"/>
      <c r="F899" s="223"/>
      <c r="G899" s="227"/>
      <c r="H899" s="224"/>
      <c r="I899" s="223"/>
      <c r="J899" s="223"/>
      <c r="K899" s="222"/>
      <c r="L899" s="222"/>
      <c r="M899" s="222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hidden="1" customHeight="1">
      <c r="A900" s="221"/>
      <c r="B900" s="222"/>
      <c r="C900" s="222"/>
      <c r="D900" s="222"/>
      <c r="E900" s="223"/>
      <c r="F900" s="222"/>
      <c r="G900" s="224"/>
      <c r="H900" s="224"/>
      <c r="I900" s="223"/>
      <c r="J900" s="223"/>
      <c r="K900" s="222"/>
      <c r="L900" s="222"/>
      <c r="M900" s="222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hidden="1" customHeight="1">
      <c r="A901" s="221"/>
      <c r="B901" s="222"/>
      <c r="C901" s="222"/>
      <c r="D901" s="222"/>
      <c r="E901" s="223"/>
      <c r="F901" s="222"/>
      <c r="G901" s="224"/>
      <c r="H901" s="224"/>
      <c r="I901" s="223"/>
      <c r="J901" s="223"/>
      <c r="K901" s="222"/>
      <c r="L901" s="222"/>
      <c r="M901" s="222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hidden="1" customHeight="1">
      <c r="A902" s="221"/>
      <c r="B902" s="222"/>
      <c r="C902" s="222"/>
      <c r="D902" s="222"/>
      <c r="E902" s="223"/>
      <c r="F902" s="222"/>
      <c r="G902" s="224"/>
      <c r="H902" s="224"/>
      <c r="I902" s="223"/>
      <c r="J902" s="223"/>
      <c r="K902" s="222"/>
      <c r="L902" s="222"/>
      <c r="M902" s="222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hidden="1" customHeight="1">
      <c r="A903" s="226"/>
      <c r="B903" s="222"/>
      <c r="C903" s="222"/>
      <c r="D903" s="222"/>
      <c r="E903" s="223"/>
      <c r="F903" s="223"/>
      <c r="G903" s="227"/>
      <c r="H903" s="224"/>
      <c r="I903" s="223"/>
      <c r="J903" s="223"/>
      <c r="K903" s="222"/>
      <c r="L903" s="222"/>
      <c r="M903" s="222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hidden="1" customHeight="1">
      <c r="A904" s="226"/>
      <c r="B904" s="222"/>
      <c r="C904" s="222"/>
      <c r="D904" s="222"/>
      <c r="E904" s="223"/>
      <c r="F904" s="223"/>
      <c r="G904" s="227"/>
      <c r="H904" s="224"/>
      <c r="I904" s="223"/>
      <c r="J904" s="223"/>
      <c r="K904" s="222"/>
      <c r="L904" s="222"/>
      <c r="M904" s="222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hidden="1" customHeight="1">
      <c r="A905" s="226"/>
      <c r="B905" s="222"/>
      <c r="C905" s="222"/>
      <c r="D905" s="222"/>
      <c r="E905" s="223"/>
      <c r="F905" s="223"/>
      <c r="G905" s="227"/>
      <c r="H905" s="224"/>
      <c r="I905" s="223"/>
      <c r="J905" s="223"/>
      <c r="K905" s="222"/>
      <c r="L905" s="222"/>
      <c r="M905" s="222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hidden="1" customHeight="1">
      <c r="A906" s="226"/>
      <c r="B906" s="222"/>
      <c r="C906" s="222"/>
      <c r="D906" s="222"/>
      <c r="E906" s="223"/>
      <c r="F906" s="223"/>
      <c r="G906" s="227"/>
      <c r="H906" s="224"/>
      <c r="I906" s="223"/>
      <c r="J906" s="223"/>
      <c r="K906" s="222"/>
      <c r="L906" s="222"/>
      <c r="M906" s="222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hidden="1" customHeight="1">
      <c r="A907" s="226"/>
      <c r="B907" s="222"/>
      <c r="C907" s="222"/>
      <c r="D907" s="222"/>
      <c r="E907" s="223"/>
      <c r="F907" s="223"/>
      <c r="G907" s="227"/>
      <c r="H907" s="224"/>
      <c r="I907" s="223"/>
      <c r="J907" s="223"/>
      <c r="K907" s="222"/>
      <c r="L907" s="222"/>
      <c r="M907" s="222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hidden="1" customHeight="1">
      <c r="A908" s="226"/>
      <c r="B908" s="222"/>
      <c r="C908" s="222"/>
      <c r="D908" s="222"/>
      <c r="E908" s="223"/>
      <c r="F908" s="223"/>
      <c r="G908" s="227"/>
      <c r="H908" s="224"/>
      <c r="I908" s="223"/>
      <c r="J908" s="223"/>
      <c r="K908" s="222"/>
      <c r="L908" s="222"/>
      <c r="M908" s="222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hidden="1" customHeight="1">
      <c r="A909" s="226"/>
      <c r="B909" s="222"/>
      <c r="C909" s="222"/>
      <c r="D909" s="222"/>
      <c r="E909" s="223"/>
      <c r="F909" s="223"/>
      <c r="G909" s="227"/>
      <c r="H909" s="224"/>
      <c r="I909" s="223"/>
      <c r="J909" s="223"/>
      <c r="K909" s="222"/>
      <c r="L909" s="222"/>
      <c r="M909" s="222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hidden="1" customHeight="1">
      <c r="A910" s="226"/>
      <c r="B910" s="222"/>
      <c r="C910" s="222"/>
      <c r="D910" s="222"/>
      <c r="E910" s="223"/>
      <c r="F910" s="223"/>
      <c r="G910" s="227"/>
      <c r="H910" s="224"/>
      <c r="I910" s="223"/>
      <c r="J910" s="223"/>
      <c r="K910" s="222"/>
      <c r="L910" s="222"/>
      <c r="M910" s="222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hidden="1" customHeight="1">
      <c r="A911" s="226"/>
      <c r="B911" s="222"/>
      <c r="C911" s="222"/>
      <c r="D911" s="222"/>
      <c r="E911" s="223"/>
      <c r="F911" s="223"/>
      <c r="G911" s="227"/>
      <c r="H911" s="224"/>
      <c r="I911" s="223"/>
      <c r="J911" s="223"/>
      <c r="K911" s="222"/>
      <c r="L911" s="222"/>
      <c r="M911" s="222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hidden="1" customHeight="1">
      <c r="A912" s="226"/>
      <c r="B912" s="222"/>
      <c r="C912" s="222"/>
      <c r="D912" s="222"/>
      <c r="E912" s="223"/>
      <c r="F912" s="223"/>
      <c r="G912" s="227"/>
      <c r="H912" s="224"/>
      <c r="I912" s="223"/>
      <c r="J912" s="223"/>
      <c r="K912" s="222"/>
      <c r="L912" s="222"/>
      <c r="M912" s="222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hidden="1" customHeight="1">
      <c r="A913" s="226"/>
      <c r="B913" s="222"/>
      <c r="C913" s="222"/>
      <c r="D913" s="222"/>
      <c r="E913" s="223"/>
      <c r="F913" s="32"/>
      <c r="G913" s="227"/>
      <c r="H913" s="224"/>
      <c r="I913" s="223"/>
      <c r="J913" s="223"/>
      <c r="K913" s="222"/>
      <c r="L913" s="222"/>
      <c r="M913" s="222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hidden="1" customHeight="1">
      <c r="A914" s="226"/>
      <c r="B914" s="222"/>
      <c r="C914" s="222"/>
      <c r="D914" s="222"/>
      <c r="E914" s="223"/>
      <c r="F914" s="32"/>
      <c r="G914" s="227"/>
      <c r="H914" s="224"/>
      <c r="I914" s="223"/>
      <c r="J914" s="223"/>
      <c r="K914" s="222"/>
      <c r="L914" s="222"/>
      <c r="M914" s="222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hidden="1" customHeight="1">
      <c r="A915" s="226"/>
      <c r="B915" s="222"/>
      <c r="C915" s="222"/>
      <c r="D915" s="222"/>
      <c r="E915" s="223"/>
      <c r="F915" s="32"/>
      <c r="G915" s="227"/>
      <c r="H915" s="224"/>
      <c r="I915" s="223"/>
      <c r="J915" s="223"/>
      <c r="K915" s="222"/>
      <c r="L915" s="222"/>
      <c r="M915" s="222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hidden="1" customHeight="1">
      <c r="A916" s="228"/>
      <c r="B916" s="222"/>
      <c r="C916" s="222"/>
      <c r="D916" s="222"/>
      <c r="E916" s="223"/>
      <c r="F916" s="32"/>
      <c r="G916" s="227"/>
      <c r="H916" s="224"/>
      <c r="I916" s="223"/>
      <c r="J916" s="223"/>
      <c r="K916" s="222"/>
      <c r="L916" s="222"/>
      <c r="M916" s="222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hidden="1" customHeight="1">
      <c r="A917" s="228"/>
      <c r="B917" s="222"/>
      <c r="C917" s="222"/>
      <c r="D917" s="222"/>
      <c r="E917" s="223"/>
      <c r="F917" s="32"/>
      <c r="G917" s="227"/>
      <c r="H917" s="224"/>
      <c r="I917" s="223"/>
      <c r="J917" s="223"/>
      <c r="K917" s="222"/>
      <c r="L917" s="222"/>
      <c r="M917" s="222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hidden="1" customHeight="1">
      <c r="A918" s="228"/>
      <c r="B918" s="222"/>
      <c r="C918" s="222"/>
      <c r="D918" s="222"/>
      <c r="E918" s="223"/>
      <c r="F918" s="32"/>
      <c r="G918" s="227"/>
      <c r="H918" s="224"/>
      <c r="I918" s="223"/>
      <c r="J918" s="223"/>
      <c r="K918" s="222"/>
      <c r="L918" s="222"/>
      <c r="M918" s="222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hidden="1" customHeight="1">
      <c r="A919" s="228"/>
      <c r="B919" s="222"/>
      <c r="C919" s="222"/>
      <c r="D919" s="222"/>
      <c r="E919" s="223"/>
      <c r="F919" s="32"/>
      <c r="G919" s="227"/>
      <c r="H919" s="224"/>
      <c r="I919" s="223"/>
      <c r="J919" s="223"/>
      <c r="K919" s="222"/>
      <c r="L919" s="222"/>
      <c r="M919" s="222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hidden="1" customHeight="1">
      <c r="A920" s="228"/>
      <c r="B920" s="222"/>
      <c r="C920" s="222"/>
      <c r="D920" s="222"/>
      <c r="E920" s="223"/>
      <c r="F920" s="32"/>
      <c r="G920" s="227"/>
      <c r="H920" s="224"/>
      <c r="I920" s="223"/>
      <c r="J920" s="223"/>
      <c r="K920" s="222"/>
      <c r="L920" s="222"/>
      <c r="M920" s="222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hidden="1" customHeight="1">
      <c r="A921" s="228"/>
      <c r="B921" s="222"/>
      <c r="C921" s="222"/>
      <c r="D921" s="222"/>
      <c r="E921" s="223"/>
      <c r="F921" s="32"/>
      <c r="G921" s="227"/>
      <c r="H921" s="224"/>
      <c r="I921" s="223"/>
      <c r="J921" s="223"/>
      <c r="K921" s="222"/>
      <c r="L921" s="222"/>
      <c r="M921" s="222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hidden="1" customHeight="1">
      <c r="A922" s="228"/>
      <c r="B922" s="222"/>
      <c r="C922" s="222"/>
      <c r="D922" s="222"/>
      <c r="E922" s="223"/>
      <c r="F922" s="32"/>
      <c r="G922" s="227"/>
      <c r="H922" s="227"/>
      <c r="I922" s="223"/>
      <c r="J922" s="223"/>
      <c r="K922" s="222"/>
      <c r="L922" s="222"/>
      <c r="M922" s="222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hidden="1" customHeight="1">
      <c r="A923" s="228"/>
      <c r="B923" s="222"/>
      <c r="C923" s="222"/>
      <c r="D923" s="222"/>
      <c r="E923" s="223"/>
      <c r="F923" s="32"/>
      <c r="G923" s="227"/>
      <c r="H923" s="227"/>
      <c r="I923" s="223"/>
      <c r="J923" s="223"/>
      <c r="K923" s="222"/>
      <c r="L923" s="222"/>
      <c r="M923" s="222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hidden="1" customHeight="1">
      <c r="A924" s="228"/>
      <c r="B924" s="222"/>
      <c r="C924" s="222"/>
      <c r="D924" s="222"/>
      <c r="E924" s="223"/>
      <c r="F924" s="222"/>
      <c r="G924" s="224"/>
      <c r="H924" s="224"/>
      <c r="I924" s="223"/>
      <c r="J924" s="223"/>
      <c r="K924" s="222"/>
      <c r="L924" s="222"/>
      <c r="M924" s="222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hidden="1" customHeight="1">
      <c r="A925" s="228"/>
      <c r="B925" s="222"/>
      <c r="C925" s="222"/>
      <c r="D925" s="222"/>
      <c r="E925" s="223"/>
      <c r="F925" s="222"/>
      <c r="G925" s="224"/>
      <c r="H925" s="224"/>
      <c r="I925" s="223"/>
      <c r="J925" s="223"/>
      <c r="K925" s="222"/>
      <c r="L925" s="222"/>
      <c r="M925" s="222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hidden="1" customHeight="1">
      <c r="A926" s="228"/>
      <c r="B926" s="222"/>
      <c r="C926" s="222"/>
      <c r="D926" s="222"/>
      <c r="E926" s="223"/>
      <c r="F926" s="222"/>
      <c r="G926" s="224"/>
      <c r="H926" s="224"/>
      <c r="I926" s="223"/>
      <c r="J926" s="223"/>
      <c r="K926" s="222"/>
      <c r="L926" s="222"/>
      <c r="M926" s="222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hidden="1" customHeight="1">
      <c r="A927" s="228"/>
      <c r="B927" s="222"/>
      <c r="C927" s="222"/>
      <c r="D927" s="222"/>
      <c r="E927" s="223"/>
      <c r="F927" s="32"/>
      <c r="G927" s="227"/>
      <c r="H927" s="227"/>
      <c r="I927" s="223"/>
      <c r="J927" s="223"/>
      <c r="K927" s="222"/>
      <c r="L927" s="222"/>
      <c r="M927" s="222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hidden="1" customHeight="1">
      <c r="A928" s="228"/>
      <c r="B928" s="222"/>
      <c r="C928" s="222"/>
      <c r="D928" s="222"/>
      <c r="E928" s="223"/>
      <c r="F928" s="32"/>
      <c r="G928" s="227"/>
      <c r="H928" s="227"/>
      <c r="I928" s="223"/>
      <c r="J928" s="223"/>
      <c r="K928" s="222"/>
      <c r="L928" s="222"/>
      <c r="M928" s="222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hidden="1" customHeight="1">
      <c r="A929" s="228"/>
      <c r="B929" s="222"/>
      <c r="C929" s="222"/>
      <c r="D929" s="222"/>
      <c r="E929" s="223"/>
      <c r="F929" s="222"/>
      <c r="G929" s="224"/>
      <c r="H929" s="224"/>
      <c r="I929" s="223"/>
      <c r="J929" s="223"/>
      <c r="K929" s="222"/>
      <c r="L929" s="222"/>
      <c r="M929" s="222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hidden="1" customHeight="1">
      <c r="A930" s="228"/>
      <c r="B930" s="222"/>
      <c r="C930" s="222"/>
      <c r="D930" s="222"/>
      <c r="E930" s="223"/>
      <c r="F930" s="32"/>
      <c r="G930" s="227"/>
      <c r="H930" s="227"/>
      <c r="I930" s="223"/>
      <c r="J930" s="223"/>
      <c r="K930" s="222"/>
      <c r="L930" s="222"/>
      <c r="M930" s="222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hidden="1" customHeight="1">
      <c r="A931" s="228"/>
      <c r="B931" s="222"/>
      <c r="C931" s="222"/>
      <c r="D931" s="222"/>
      <c r="E931" s="223"/>
      <c r="F931" s="32"/>
      <c r="G931" s="227"/>
      <c r="H931" s="227"/>
      <c r="I931" s="223"/>
      <c r="J931" s="223"/>
      <c r="K931" s="222"/>
      <c r="L931" s="222"/>
      <c r="M931" s="222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hidden="1" customHeight="1">
      <c r="A932" s="228"/>
      <c r="B932" s="222"/>
      <c r="C932" s="222"/>
      <c r="D932" s="222"/>
      <c r="E932" s="223"/>
      <c r="F932" s="32"/>
      <c r="G932" s="227"/>
      <c r="H932" s="227"/>
      <c r="I932" s="223"/>
      <c r="J932" s="223"/>
      <c r="K932" s="222"/>
      <c r="L932" s="222"/>
      <c r="M932" s="222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hidden="1" customHeight="1">
      <c r="A933" s="228"/>
      <c r="B933" s="222"/>
      <c r="C933" s="222"/>
      <c r="D933" s="222"/>
      <c r="E933" s="223"/>
      <c r="F933" s="222"/>
      <c r="G933" s="224"/>
      <c r="H933" s="224"/>
      <c r="I933" s="223"/>
      <c r="J933" s="223"/>
      <c r="K933" s="222"/>
      <c r="L933" s="222"/>
      <c r="M933" s="222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hidden="1" customHeight="1">
      <c r="A934" s="228"/>
      <c r="B934" s="222"/>
      <c r="C934" s="222"/>
      <c r="D934" s="222"/>
      <c r="E934" s="223"/>
      <c r="F934" s="32"/>
      <c r="G934" s="227"/>
      <c r="H934" s="227"/>
      <c r="I934" s="223"/>
      <c r="J934" s="223"/>
      <c r="K934" s="222"/>
      <c r="L934" s="222"/>
      <c r="M934" s="222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hidden="1" customHeight="1">
      <c r="A935" s="221"/>
      <c r="B935" s="222"/>
      <c r="C935" s="222"/>
      <c r="D935" s="222"/>
      <c r="E935" s="223"/>
      <c r="F935" s="222"/>
      <c r="G935" s="224"/>
      <c r="H935" s="224"/>
      <c r="I935" s="223"/>
      <c r="J935" s="223"/>
      <c r="K935" s="222"/>
      <c r="L935" s="222"/>
      <c r="M935" s="222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hidden="1" customHeight="1">
      <c r="A936" s="221"/>
      <c r="B936" s="222"/>
      <c r="C936" s="222"/>
      <c r="D936" s="222"/>
      <c r="E936" s="223"/>
      <c r="F936" s="222"/>
      <c r="G936" s="224"/>
      <c r="H936" s="224"/>
      <c r="I936" s="223"/>
      <c r="J936" s="223"/>
      <c r="K936" s="222"/>
      <c r="L936" s="222"/>
      <c r="M936" s="222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hidden="1" customHeight="1">
      <c r="A937" s="221"/>
      <c r="B937" s="222"/>
      <c r="C937" s="222"/>
      <c r="D937" s="222"/>
      <c r="E937" s="223"/>
      <c r="F937" s="223"/>
      <c r="G937" s="227"/>
      <c r="H937" s="224"/>
      <c r="I937" s="223"/>
      <c r="J937" s="223"/>
      <c r="K937" s="222"/>
      <c r="L937" s="222"/>
      <c r="M937" s="222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hidden="1" customHeight="1">
      <c r="A938" s="226"/>
      <c r="B938" s="222"/>
      <c r="C938" s="222"/>
      <c r="D938" s="222"/>
      <c r="E938" s="233"/>
      <c r="F938" s="233"/>
      <c r="G938" s="236"/>
      <c r="H938" s="224"/>
      <c r="I938" s="223"/>
      <c r="J938" s="223"/>
      <c r="K938" s="222"/>
      <c r="L938" s="222"/>
      <c r="M938" s="222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hidden="1" customHeight="1">
      <c r="A939" s="226"/>
      <c r="B939" s="222"/>
      <c r="C939" s="222"/>
      <c r="D939" s="222"/>
      <c r="E939" s="223"/>
      <c r="F939" s="223"/>
      <c r="G939" s="227"/>
      <c r="H939" s="224"/>
      <c r="I939" s="223"/>
      <c r="J939" s="223"/>
      <c r="K939" s="222"/>
      <c r="L939" s="222"/>
      <c r="M939" s="222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hidden="1" customHeight="1">
      <c r="A940" s="226"/>
      <c r="B940" s="222"/>
      <c r="C940" s="222"/>
      <c r="D940" s="222"/>
      <c r="E940" s="223"/>
      <c r="F940" s="223"/>
      <c r="G940" s="227"/>
      <c r="H940" s="224"/>
      <c r="I940" s="223"/>
      <c r="J940" s="223"/>
      <c r="K940" s="222"/>
      <c r="L940" s="222"/>
      <c r="M940" s="222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hidden="1" customHeight="1">
      <c r="A941" s="226"/>
      <c r="B941" s="222"/>
      <c r="C941" s="222"/>
      <c r="D941" s="222"/>
      <c r="E941" s="223"/>
      <c r="F941" s="223"/>
      <c r="G941" s="227"/>
      <c r="H941" s="224"/>
      <c r="I941" s="223"/>
      <c r="J941" s="223"/>
      <c r="K941" s="222"/>
      <c r="L941" s="222"/>
      <c r="M941" s="222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hidden="1" customHeight="1">
      <c r="A942" s="226"/>
      <c r="B942" s="222"/>
      <c r="C942" s="222"/>
      <c r="D942" s="222"/>
      <c r="E942" s="233"/>
      <c r="F942" s="233"/>
      <c r="G942" s="236"/>
      <c r="H942" s="224"/>
      <c r="I942" s="223"/>
      <c r="J942" s="223"/>
      <c r="K942" s="222"/>
      <c r="L942" s="222"/>
      <c r="M942" s="222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hidden="1" customHeight="1">
      <c r="A943" s="226"/>
      <c r="B943" s="222"/>
      <c r="C943" s="222"/>
      <c r="D943" s="222"/>
      <c r="E943" s="223"/>
      <c r="F943" s="223"/>
      <c r="G943" s="227"/>
      <c r="H943" s="224"/>
      <c r="I943" s="223"/>
      <c r="J943" s="223"/>
      <c r="K943" s="222"/>
      <c r="L943" s="222"/>
      <c r="M943" s="222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hidden="1" customHeight="1">
      <c r="A944" s="221"/>
      <c r="B944" s="222"/>
      <c r="C944" s="222"/>
      <c r="D944" s="222"/>
      <c r="E944" s="223"/>
      <c r="F944" s="222"/>
      <c r="G944" s="224"/>
      <c r="H944" s="224"/>
      <c r="I944" s="223"/>
      <c r="J944" s="223"/>
      <c r="K944" s="222"/>
      <c r="L944" s="222"/>
      <c r="M944" s="222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hidden="1" customHeight="1">
      <c r="A945" s="226"/>
      <c r="B945" s="222"/>
      <c r="C945" s="222"/>
      <c r="D945" s="222"/>
      <c r="E945" s="223"/>
      <c r="F945" s="32"/>
      <c r="G945" s="227"/>
      <c r="H945" s="224"/>
      <c r="I945" s="223"/>
      <c r="J945" s="223"/>
      <c r="K945" s="222"/>
      <c r="L945" s="222"/>
      <c r="M945" s="222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hidden="1" customHeight="1">
      <c r="A946" s="226"/>
      <c r="B946" s="222"/>
      <c r="C946" s="222"/>
      <c r="D946" s="222"/>
      <c r="E946" s="223"/>
      <c r="F946" s="223"/>
      <c r="G946" s="227"/>
      <c r="H946" s="224"/>
      <c r="I946" s="223"/>
      <c r="J946" s="223"/>
      <c r="K946" s="222"/>
      <c r="L946" s="222"/>
      <c r="M946" s="222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hidden="1" customHeight="1">
      <c r="A947" s="226"/>
      <c r="B947" s="222"/>
      <c r="C947" s="222"/>
      <c r="D947" s="222"/>
      <c r="E947" s="223"/>
      <c r="F947" s="32"/>
      <c r="G947" s="227"/>
      <c r="H947" s="224"/>
      <c r="I947" s="223"/>
      <c r="J947" s="223"/>
      <c r="K947" s="222"/>
      <c r="L947" s="222"/>
      <c r="M947" s="222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hidden="1" customHeight="1">
      <c r="A948" s="226"/>
      <c r="B948" s="222"/>
      <c r="C948" s="222"/>
      <c r="D948" s="222"/>
      <c r="E948" s="223"/>
      <c r="F948" s="223"/>
      <c r="G948" s="227"/>
      <c r="H948" s="224"/>
      <c r="I948" s="223"/>
      <c r="J948" s="223"/>
      <c r="K948" s="222"/>
      <c r="L948" s="222"/>
      <c r="M948" s="222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hidden="1" customHeight="1">
      <c r="A949" s="228"/>
      <c r="B949" s="222"/>
      <c r="C949" s="222"/>
      <c r="D949" s="222"/>
      <c r="E949" s="223"/>
      <c r="F949" s="32"/>
      <c r="G949" s="227"/>
      <c r="H949" s="224"/>
      <c r="I949" s="223"/>
      <c r="J949" s="223"/>
      <c r="K949" s="222"/>
      <c r="L949" s="222"/>
      <c r="M949" s="222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hidden="1" customHeight="1">
      <c r="A950" s="228"/>
      <c r="B950" s="222"/>
      <c r="C950" s="222"/>
      <c r="D950" s="222"/>
      <c r="E950" s="223"/>
      <c r="F950" s="32"/>
      <c r="G950" s="227"/>
      <c r="H950" s="227"/>
      <c r="I950" s="223"/>
      <c r="J950" s="223"/>
      <c r="K950" s="222"/>
      <c r="L950" s="222"/>
      <c r="M950" s="222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hidden="1" customHeight="1">
      <c r="A951" s="228"/>
      <c r="B951" s="222"/>
      <c r="C951" s="222"/>
      <c r="D951" s="222"/>
      <c r="E951" s="223"/>
      <c r="F951" s="32"/>
      <c r="G951" s="227"/>
      <c r="H951" s="224"/>
      <c r="I951" s="223"/>
      <c r="J951" s="223"/>
      <c r="K951" s="222"/>
      <c r="L951" s="222"/>
      <c r="M951" s="222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hidden="1" customHeight="1">
      <c r="A952" s="228"/>
      <c r="B952" s="222"/>
      <c r="C952" s="222"/>
      <c r="D952" s="222"/>
      <c r="E952" s="223"/>
      <c r="F952" s="32"/>
      <c r="G952" s="227"/>
      <c r="H952" s="227"/>
      <c r="I952" s="223"/>
      <c r="J952" s="223"/>
      <c r="K952" s="222"/>
      <c r="L952" s="222"/>
      <c r="M952" s="222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hidden="1" customHeight="1">
      <c r="A953" s="228"/>
      <c r="B953" s="222"/>
      <c r="C953" s="222"/>
      <c r="D953" s="222"/>
      <c r="E953" s="223"/>
      <c r="F953" s="32"/>
      <c r="G953" s="227"/>
      <c r="H953" s="227"/>
      <c r="I953" s="223"/>
      <c r="J953" s="223"/>
      <c r="K953" s="222"/>
      <c r="L953" s="222"/>
      <c r="M953" s="222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hidden="1" customHeight="1">
      <c r="A954" s="228"/>
      <c r="B954" s="222"/>
      <c r="C954" s="222"/>
      <c r="D954" s="222"/>
      <c r="E954" s="223"/>
      <c r="F954" s="32"/>
      <c r="G954" s="227"/>
      <c r="H954" s="227"/>
      <c r="I954" s="223"/>
      <c r="J954" s="223"/>
      <c r="K954" s="222"/>
      <c r="L954" s="222"/>
      <c r="M954" s="222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hidden="1" customHeight="1">
      <c r="A955" s="228"/>
      <c r="B955" s="222"/>
      <c r="C955" s="222"/>
      <c r="D955" s="222"/>
      <c r="E955" s="223"/>
      <c r="F955" s="222"/>
      <c r="G955" s="224"/>
      <c r="H955" s="224"/>
      <c r="I955" s="223"/>
      <c r="J955" s="223"/>
      <c r="K955" s="222"/>
      <c r="L955" s="222"/>
      <c r="M955" s="222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hidden="1" customHeight="1">
      <c r="A956" s="228"/>
      <c r="B956" s="222"/>
      <c r="C956" s="222"/>
      <c r="D956" s="222"/>
      <c r="E956" s="223"/>
      <c r="F956" s="32"/>
      <c r="G956" s="227"/>
      <c r="H956" s="227"/>
      <c r="I956" s="223"/>
      <c r="J956" s="223"/>
      <c r="K956" s="222"/>
      <c r="L956" s="222"/>
      <c r="M956" s="222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hidden="1" customHeight="1">
      <c r="A957" s="228"/>
      <c r="B957" s="222"/>
      <c r="C957" s="222"/>
      <c r="D957" s="222"/>
      <c r="E957" s="223"/>
      <c r="F957" s="32"/>
      <c r="G957" s="227"/>
      <c r="H957" s="227"/>
      <c r="I957" s="223"/>
      <c r="J957" s="223"/>
      <c r="K957" s="222"/>
      <c r="L957" s="222"/>
      <c r="M957" s="222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hidden="1" customHeight="1">
      <c r="A958" s="221"/>
      <c r="B958" s="222"/>
      <c r="C958" s="222"/>
      <c r="D958" s="222"/>
      <c r="E958" s="223"/>
      <c r="F958" s="222"/>
      <c r="G958" s="224"/>
      <c r="H958" s="224"/>
      <c r="I958" s="223"/>
      <c r="J958" s="223"/>
      <c r="K958" s="222"/>
      <c r="L958" s="222"/>
      <c r="M958" s="222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hidden="1" customHeight="1">
      <c r="A959" s="221"/>
      <c r="B959" s="222"/>
      <c r="C959" s="222"/>
      <c r="D959" s="222"/>
      <c r="E959" s="223"/>
      <c r="F959" s="222"/>
      <c r="G959" s="224"/>
      <c r="H959" s="224"/>
      <c r="I959" s="223"/>
      <c r="J959" s="223"/>
      <c r="K959" s="222"/>
      <c r="L959" s="222"/>
      <c r="M959" s="222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hidden="1" customHeight="1">
      <c r="A960" s="221"/>
      <c r="B960" s="222"/>
      <c r="C960" s="222"/>
      <c r="D960" s="222"/>
      <c r="E960" s="233"/>
      <c r="F960" s="233"/>
      <c r="G960" s="236"/>
      <c r="H960" s="224"/>
      <c r="I960" s="223"/>
      <c r="J960" s="223"/>
      <c r="K960" s="222"/>
      <c r="L960" s="222"/>
      <c r="M960" s="222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hidden="1" customHeight="1">
      <c r="A961" s="221"/>
      <c r="B961" s="222"/>
      <c r="C961" s="222"/>
      <c r="D961" s="222"/>
      <c r="E961" s="223"/>
      <c r="F961" s="223"/>
      <c r="G961" s="227"/>
      <c r="H961" s="224"/>
      <c r="I961" s="223"/>
      <c r="J961" s="223"/>
      <c r="K961" s="222"/>
      <c r="L961" s="222"/>
      <c r="M961" s="222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hidden="1" customHeight="1">
      <c r="A962" s="221"/>
      <c r="B962" s="222"/>
      <c r="C962" s="222"/>
      <c r="D962" s="222"/>
      <c r="E962" s="223"/>
      <c r="F962" s="222"/>
      <c r="G962" s="224"/>
      <c r="H962" s="224"/>
      <c r="I962" s="223"/>
      <c r="J962" s="223"/>
      <c r="K962" s="222"/>
      <c r="L962" s="222"/>
      <c r="M962" s="222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hidden="1" customHeight="1">
      <c r="A963" s="221"/>
      <c r="B963" s="222"/>
      <c r="C963" s="222"/>
      <c r="D963" s="222"/>
      <c r="E963" s="223"/>
      <c r="F963" s="223"/>
      <c r="G963" s="227"/>
      <c r="H963" s="224"/>
      <c r="I963" s="223"/>
      <c r="J963" s="223"/>
      <c r="K963" s="222"/>
      <c r="L963" s="222"/>
      <c r="M963" s="222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hidden="1" customHeight="1">
      <c r="A964" s="221"/>
      <c r="B964" s="222"/>
      <c r="C964" s="222"/>
      <c r="D964" s="222"/>
      <c r="E964" s="223"/>
      <c r="F964" s="222"/>
      <c r="G964" s="224"/>
      <c r="H964" s="224"/>
      <c r="I964" s="223"/>
      <c r="J964" s="223"/>
      <c r="K964" s="222"/>
      <c r="L964" s="222"/>
      <c r="M964" s="222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hidden="1" customHeight="1">
      <c r="A965" s="221"/>
      <c r="B965" s="222"/>
      <c r="C965" s="222"/>
      <c r="D965" s="222"/>
      <c r="E965" s="223"/>
      <c r="F965" s="222"/>
      <c r="G965" s="224"/>
      <c r="H965" s="224"/>
      <c r="I965" s="223"/>
      <c r="J965" s="223"/>
      <c r="K965" s="222"/>
      <c r="L965" s="222"/>
      <c r="M965" s="222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hidden="1" customHeight="1">
      <c r="A966" s="221"/>
      <c r="B966" s="222"/>
      <c r="C966" s="222"/>
      <c r="D966" s="222"/>
      <c r="E966" s="223"/>
      <c r="F966" s="222"/>
      <c r="G966" s="224"/>
      <c r="H966" s="224"/>
      <c r="I966" s="223"/>
      <c r="J966" s="223"/>
      <c r="K966" s="222"/>
      <c r="L966" s="222"/>
      <c r="M966" s="222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hidden="1" customHeight="1">
      <c r="A967" s="221"/>
      <c r="B967" s="222"/>
      <c r="C967" s="222"/>
      <c r="D967" s="222"/>
      <c r="E967" s="223"/>
      <c r="F967" s="32"/>
      <c r="G967" s="227"/>
      <c r="H967" s="227"/>
      <c r="I967" s="223"/>
      <c r="J967" s="223"/>
      <c r="K967" s="222"/>
      <c r="L967" s="222"/>
      <c r="M967" s="222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hidden="1" customHeight="1">
      <c r="A968" s="228"/>
      <c r="B968" s="222"/>
      <c r="C968" s="222"/>
      <c r="D968" s="222"/>
      <c r="E968" s="223"/>
      <c r="F968" s="32"/>
      <c r="G968" s="227"/>
      <c r="H968" s="227"/>
      <c r="I968" s="223"/>
      <c r="J968" s="223"/>
      <c r="K968" s="222"/>
      <c r="L968" s="222"/>
      <c r="M968" s="222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hidden="1" customHeight="1">
      <c r="A969" s="228"/>
      <c r="B969" s="222"/>
      <c r="C969" s="222"/>
      <c r="D969" s="222"/>
      <c r="E969" s="223"/>
      <c r="F969" s="32"/>
      <c r="G969" s="227"/>
      <c r="H969" s="227"/>
      <c r="I969" s="223"/>
      <c r="J969" s="223"/>
      <c r="K969" s="222"/>
      <c r="L969" s="222"/>
      <c r="M969" s="222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hidden="1" customHeight="1">
      <c r="A970" s="228"/>
      <c r="B970" s="222"/>
      <c r="C970" s="222"/>
      <c r="D970" s="222"/>
      <c r="E970" s="233"/>
      <c r="F970" s="233"/>
      <c r="G970" s="236"/>
      <c r="H970" s="224"/>
      <c r="I970" s="223"/>
      <c r="J970" s="223"/>
      <c r="K970" s="222"/>
      <c r="L970" s="222"/>
      <c r="M970" s="222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hidden="1" customHeight="1">
      <c r="A971" s="228"/>
      <c r="B971" s="222"/>
      <c r="C971" s="222"/>
      <c r="D971" s="222"/>
      <c r="E971" s="223"/>
      <c r="F971" s="222"/>
      <c r="G971" s="224"/>
      <c r="H971" s="224"/>
      <c r="I971" s="223"/>
      <c r="J971" s="223"/>
      <c r="K971" s="222"/>
      <c r="L971" s="222"/>
      <c r="M971" s="222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hidden="1" customHeight="1">
      <c r="A972" s="228"/>
      <c r="B972" s="222"/>
      <c r="C972" s="222"/>
      <c r="D972" s="222"/>
      <c r="E972" s="223"/>
      <c r="F972" s="32"/>
      <c r="G972" s="227"/>
      <c r="H972" s="227"/>
      <c r="I972" s="223"/>
      <c r="J972" s="223"/>
      <c r="K972" s="222"/>
      <c r="L972" s="222"/>
      <c r="M972" s="222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hidden="1" customHeight="1">
      <c r="A973" s="228"/>
      <c r="B973" s="222"/>
      <c r="C973" s="222"/>
      <c r="D973" s="222"/>
      <c r="E973" s="223"/>
      <c r="F973" s="222"/>
      <c r="G973" s="224"/>
      <c r="H973" s="224"/>
      <c r="I973" s="223"/>
      <c r="J973" s="223"/>
      <c r="K973" s="222"/>
      <c r="L973" s="222"/>
      <c r="M973" s="222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hidden="1" customHeight="1">
      <c r="A974" s="228"/>
      <c r="B974" s="222"/>
      <c r="C974" s="222"/>
      <c r="D974" s="222"/>
      <c r="E974" s="223"/>
      <c r="F974" s="32"/>
      <c r="G974" s="227"/>
      <c r="H974" s="227"/>
      <c r="I974" s="223"/>
      <c r="J974" s="223"/>
      <c r="K974" s="222"/>
      <c r="L974" s="222"/>
      <c r="M974" s="222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hidden="1" customHeight="1">
      <c r="A975" s="228"/>
      <c r="B975" s="222"/>
      <c r="C975" s="222"/>
      <c r="D975" s="222"/>
      <c r="E975" s="223"/>
      <c r="F975" s="32"/>
      <c r="G975" s="227"/>
      <c r="H975" s="227"/>
      <c r="I975" s="223"/>
      <c r="J975" s="223"/>
      <c r="K975" s="222"/>
      <c r="L975" s="222"/>
      <c r="M975" s="222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hidden="1" customHeight="1">
      <c r="A976" s="228"/>
      <c r="B976" s="222"/>
      <c r="C976" s="222"/>
      <c r="D976" s="222"/>
      <c r="E976" s="223"/>
      <c r="F976" s="32"/>
      <c r="G976" s="227"/>
      <c r="H976" s="227"/>
      <c r="I976" s="223"/>
      <c r="J976" s="223"/>
      <c r="K976" s="222"/>
      <c r="L976" s="222"/>
      <c r="M976" s="222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hidden="1" customHeight="1">
      <c r="A977" s="228"/>
      <c r="B977" s="222"/>
      <c r="C977" s="222"/>
      <c r="D977" s="222"/>
      <c r="E977" s="223"/>
      <c r="F977" s="32"/>
      <c r="G977" s="227"/>
      <c r="H977" s="227"/>
      <c r="I977" s="223"/>
      <c r="J977" s="223"/>
      <c r="K977" s="222"/>
      <c r="L977" s="222"/>
      <c r="M977" s="222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hidden="1" customHeight="1">
      <c r="A978" s="221"/>
      <c r="B978" s="222"/>
      <c r="C978" s="222"/>
      <c r="D978" s="222"/>
      <c r="E978" s="223"/>
      <c r="F978" s="222"/>
      <c r="G978" s="224"/>
      <c r="H978" s="224"/>
      <c r="I978" s="223"/>
      <c r="J978" s="223"/>
      <c r="K978" s="222"/>
      <c r="L978" s="222"/>
      <c r="M978" s="222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hidden="1" customHeight="1">
      <c r="A979" s="221"/>
      <c r="B979" s="222"/>
      <c r="C979" s="222"/>
      <c r="D979" s="222"/>
      <c r="E979" s="223"/>
      <c r="F979" s="222"/>
      <c r="G979" s="224"/>
      <c r="H979" s="224"/>
      <c r="I979" s="223"/>
      <c r="J979" s="223"/>
      <c r="K979" s="222"/>
      <c r="L979" s="222"/>
      <c r="M979" s="222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hidden="1" customHeight="1">
      <c r="A980" s="221"/>
      <c r="B980" s="222"/>
      <c r="C980" s="222"/>
      <c r="D980" s="222"/>
      <c r="E980" s="223"/>
      <c r="F980" s="222"/>
      <c r="G980" s="224"/>
      <c r="H980" s="224"/>
      <c r="I980" s="223"/>
      <c r="J980" s="223"/>
      <c r="K980" s="222"/>
      <c r="L980" s="222"/>
      <c r="M980" s="222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hidden="1" customHeight="1">
      <c r="A981" s="221"/>
      <c r="B981" s="222"/>
      <c r="C981" s="222"/>
      <c r="D981" s="222"/>
      <c r="E981" s="223"/>
      <c r="F981" s="222"/>
      <c r="G981" s="224"/>
      <c r="H981" s="224"/>
      <c r="I981" s="223"/>
      <c r="J981" s="223"/>
      <c r="K981" s="222"/>
      <c r="L981" s="222"/>
      <c r="M981" s="222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hidden="1" customHeight="1">
      <c r="A982" s="221"/>
      <c r="B982" s="222"/>
      <c r="C982" s="222"/>
      <c r="D982" s="222"/>
      <c r="E982" s="223"/>
      <c r="F982" s="222"/>
      <c r="G982" s="224"/>
      <c r="H982" s="224"/>
      <c r="I982" s="223"/>
      <c r="J982" s="223"/>
      <c r="K982" s="222"/>
      <c r="L982" s="222"/>
      <c r="M982" s="222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hidden="1" customHeight="1">
      <c r="A983" s="221"/>
      <c r="B983" s="222"/>
      <c r="C983" s="222"/>
      <c r="D983" s="222"/>
      <c r="E983" s="223"/>
      <c r="F983" s="222"/>
      <c r="G983" s="224"/>
      <c r="H983" s="224"/>
      <c r="I983" s="223"/>
      <c r="J983" s="223"/>
      <c r="K983" s="222"/>
      <c r="L983" s="222"/>
      <c r="M983" s="222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hidden="1" customHeight="1">
      <c r="A984" s="221"/>
      <c r="B984" s="222"/>
      <c r="C984" s="222"/>
      <c r="D984" s="222"/>
      <c r="E984" s="223"/>
      <c r="F984" s="222"/>
      <c r="G984" s="224"/>
      <c r="H984" s="224"/>
      <c r="I984" s="223"/>
      <c r="J984" s="223"/>
      <c r="K984" s="222"/>
      <c r="L984" s="222"/>
      <c r="M984" s="222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hidden="1" customHeight="1">
      <c r="A985" s="221"/>
      <c r="B985" s="222"/>
      <c r="C985" s="222"/>
      <c r="D985" s="222"/>
      <c r="E985" s="223"/>
      <c r="F985" s="222"/>
      <c r="G985" s="224"/>
      <c r="H985" s="224"/>
      <c r="I985" s="223"/>
      <c r="J985" s="223"/>
      <c r="K985" s="222"/>
      <c r="L985" s="222"/>
      <c r="M985" s="222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hidden="1" customHeight="1">
      <c r="A986" s="221"/>
      <c r="B986" s="222"/>
      <c r="C986" s="222"/>
      <c r="D986" s="222"/>
      <c r="E986" s="223"/>
      <c r="F986" s="222"/>
      <c r="G986" s="224"/>
      <c r="H986" s="224"/>
      <c r="I986" s="223"/>
      <c r="J986" s="223"/>
      <c r="K986" s="222"/>
      <c r="L986" s="222"/>
      <c r="M986" s="222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hidden="1" customHeight="1">
      <c r="A987" s="221"/>
      <c r="B987" s="222"/>
      <c r="C987" s="222"/>
      <c r="D987" s="222"/>
      <c r="E987" s="223"/>
      <c r="F987" s="222"/>
      <c r="G987" s="224"/>
      <c r="H987" s="224"/>
      <c r="I987" s="223"/>
      <c r="J987" s="223"/>
      <c r="K987" s="222"/>
      <c r="L987" s="222"/>
      <c r="M987" s="222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hidden="1" customHeight="1">
      <c r="A988" s="221"/>
      <c r="B988" s="222"/>
      <c r="C988" s="222"/>
      <c r="D988" s="222"/>
      <c r="E988" s="223"/>
      <c r="F988" s="222"/>
      <c r="G988" s="224"/>
      <c r="H988" s="224"/>
      <c r="I988" s="223"/>
      <c r="J988" s="223"/>
      <c r="K988" s="222"/>
      <c r="L988" s="222"/>
      <c r="M988" s="222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hidden="1" customHeight="1">
      <c r="A989" s="221"/>
      <c r="B989" s="222"/>
      <c r="C989" s="222"/>
      <c r="D989" s="222"/>
      <c r="E989" s="223"/>
      <c r="F989" s="222"/>
      <c r="G989" s="224"/>
      <c r="H989" s="224"/>
      <c r="I989" s="223"/>
      <c r="J989" s="223"/>
      <c r="K989" s="222"/>
      <c r="L989" s="222"/>
      <c r="M989" s="222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hidden="1" customHeight="1">
      <c r="A990" s="221"/>
      <c r="B990" s="222"/>
      <c r="C990" s="222"/>
      <c r="D990" s="222"/>
      <c r="E990" s="223"/>
      <c r="F990" s="222"/>
      <c r="G990" s="224"/>
      <c r="H990" s="224"/>
      <c r="I990" s="223"/>
      <c r="J990" s="223"/>
      <c r="K990" s="222"/>
      <c r="L990" s="222"/>
      <c r="M990" s="222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hidden="1" customHeight="1">
      <c r="A991" s="221"/>
      <c r="B991" s="222"/>
      <c r="C991" s="222"/>
      <c r="D991" s="222"/>
      <c r="E991" s="223"/>
      <c r="F991" s="222"/>
      <c r="G991" s="224"/>
      <c r="H991" s="224"/>
      <c r="I991" s="223"/>
      <c r="J991" s="223"/>
      <c r="K991" s="222"/>
      <c r="L991" s="222"/>
      <c r="M991" s="222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hidden="1" customHeight="1">
      <c r="A992" s="221"/>
      <c r="B992" s="222"/>
      <c r="C992" s="222"/>
      <c r="D992" s="222"/>
      <c r="E992" s="223"/>
      <c r="F992" s="222"/>
      <c r="G992" s="224"/>
      <c r="H992" s="224"/>
      <c r="I992" s="223"/>
      <c r="J992" s="223"/>
      <c r="K992" s="222"/>
      <c r="L992" s="222"/>
      <c r="M992" s="222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hidden="1" customHeight="1">
      <c r="A993" s="221"/>
      <c r="B993" s="222"/>
      <c r="C993" s="222"/>
      <c r="D993" s="222"/>
      <c r="E993" s="223"/>
      <c r="F993" s="223"/>
      <c r="G993" s="227"/>
      <c r="H993" s="224"/>
      <c r="I993" s="223"/>
      <c r="J993" s="223"/>
      <c r="K993" s="222"/>
      <c r="L993" s="222"/>
      <c r="M993" s="222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hidden="1" customHeight="1">
      <c r="A994" s="221"/>
      <c r="B994" s="222"/>
      <c r="C994" s="222"/>
      <c r="D994" s="222"/>
      <c r="E994" s="223"/>
      <c r="F994" s="223"/>
      <c r="G994" s="227"/>
      <c r="H994" s="224"/>
      <c r="I994" s="223"/>
      <c r="J994" s="223"/>
      <c r="K994" s="222"/>
      <c r="L994" s="222"/>
      <c r="M994" s="222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hidden="1" customHeight="1">
      <c r="A995" s="221"/>
      <c r="B995" s="222"/>
      <c r="C995" s="222"/>
      <c r="D995" s="222"/>
      <c r="E995" s="223"/>
      <c r="F995" s="222"/>
      <c r="G995" s="224"/>
      <c r="H995" s="224"/>
      <c r="I995" s="223"/>
      <c r="J995" s="223"/>
      <c r="K995" s="222"/>
      <c r="L995" s="222"/>
      <c r="M995" s="222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hidden="1" customHeight="1">
      <c r="A996" s="221"/>
      <c r="B996" s="222"/>
      <c r="C996" s="222"/>
      <c r="D996" s="222"/>
      <c r="E996" s="223"/>
      <c r="F996" s="222"/>
      <c r="G996" s="224"/>
      <c r="H996" s="224"/>
      <c r="I996" s="223"/>
      <c r="J996" s="223"/>
      <c r="K996" s="222"/>
      <c r="L996" s="222"/>
      <c r="M996" s="222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hidden="1" customHeight="1">
      <c r="A997" s="221"/>
      <c r="B997" s="222"/>
      <c r="C997" s="222"/>
      <c r="D997" s="222"/>
      <c r="E997" s="223"/>
      <c r="F997" s="222"/>
      <c r="G997" s="224"/>
      <c r="H997" s="224"/>
      <c r="I997" s="223"/>
      <c r="J997" s="223"/>
      <c r="K997" s="222"/>
      <c r="L997" s="222"/>
      <c r="M997" s="222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hidden="1" customHeight="1">
      <c r="A998" s="221"/>
      <c r="B998" s="222"/>
      <c r="C998" s="222"/>
      <c r="D998" s="222"/>
      <c r="E998" s="223"/>
      <c r="F998" s="223"/>
      <c r="G998" s="227"/>
      <c r="H998" s="224"/>
      <c r="I998" s="223"/>
      <c r="J998" s="223"/>
      <c r="K998" s="222"/>
      <c r="L998" s="222"/>
      <c r="M998" s="222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hidden="1" customHeight="1">
      <c r="A999" s="221"/>
      <c r="B999" s="222"/>
      <c r="C999" s="222"/>
      <c r="D999" s="222"/>
      <c r="E999" s="223"/>
      <c r="F999" s="223"/>
      <c r="G999" s="227"/>
      <c r="H999" s="224"/>
      <c r="I999" s="223"/>
      <c r="J999" s="223"/>
      <c r="K999" s="222"/>
      <c r="L999" s="222"/>
      <c r="M999" s="222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hidden="1" customHeight="1">
      <c r="A1000" s="221"/>
      <c r="B1000" s="222"/>
      <c r="C1000" s="222"/>
      <c r="D1000" s="222"/>
      <c r="E1000" s="223"/>
      <c r="F1000" s="223"/>
      <c r="G1000" s="227"/>
      <c r="H1000" s="224"/>
      <c r="I1000" s="223"/>
      <c r="J1000" s="223"/>
      <c r="K1000" s="222"/>
      <c r="L1000" s="222"/>
      <c r="M1000" s="222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ht="15.75" hidden="1" customHeight="1">
      <c r="A1001" s="226"/>
      <c r="B1001" s="222"/>
      <c r="C1001" s="222"/>
      <c r="D1001" s="222"/>
      <c r="E1001" s="233"/>
      <c r="F1001" s="233"/>
      <c r="G1001" s="236"/>
      <c r="H1001" s="224"/>
      <c r="I1001" s="223"/>
      <c r="J1001" s="223"/>
      <c r="K1001" s="222"/>
      <c r="L1001" s="222"/>
      <c r="M1001" s="222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 ht="15.75" hidden="1" customHeight="1">
      <c r="A1002" s="226"/>
      <c r="B1002" s="222"/>
      <c r="C1002" s="222"/>
      <c r="D1002" s="222"/>
      <c r="E1002" s="233"/>
      <c r="F1002" s="233"/>
      <c r="G1002" s="236"/>
      <c r="H1002" s="224"/>
      <c r="I1002" s="223"/>
      <c r="J1002" s="223"/>
      <c r="K1002" s="222"/>
      <c r="L1002" s="222"/>
      <c r="M1002" s="222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 ht="15.75" hidden="1" customHeight="1">
      <c r="A1003" s="226"/>
      <c r="B1003" s="222"/>
      <c r="C1003" s="222"/>
      <c r="D1003" s="222"/>
      <c r="E1003" s="223"/>
      <c r="F1003" s="223"/>
      <c r="G1003" s="227"/>
      <c r="H1003" s="224"/>
      <c r="I1003" s="223"/>
      <c r="J1003" s="223"/>
      <c r="K1003" s="222"/>
      <c r="L1003" s="222"/>
      <c r="M1003" s="222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 ht="15.75" hidden="1" customHeight="1">
      <c r="A1004" s="226"/>
      <c r="B1004" s="222"/>
      <c r="C1004" s="222"/>
      <c r="D1004" s="222"/>
      <c r="E1004" s="223"/>
      <c r="F1004" s="223"/>
      <c r="G1004" s="227"/>
      <c r="H1004" s="224"/>
      <c r="I1004" s="223"/>
      <c r="J1004" s="223"/>
      <c r="K1004" s="222"/>
      <c r="L1004" s="222"/>
      <c r="M1004" s="222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 ht="15.75" hidden="1" customHeight="1">
      <c r="A1005" s="226"/>
      <c r="B1005" s="222"/>
      <c r="C1005" s="222"/>
      <c r="D1005" s="222"/>
      <c r="E1005" s="223"/>
      <c r="F1005" s="223"/>
      <c r="G1005" s="227"/>
      <c r="H1005" s="224"/>
      <c r="I1005" s="223"/>
      <c r="J1005" s="223"/>
      <c r="K1005" s="222"/>
      <c r="L1005" s="222"/>
      <c r="M1005" s="222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 ht="15.75" hidden="1" customHeight="1">
      <c r="A1006" s="226"/>
      <c r="B1006" s="222"/>
      <c r="C1006" s="222"/>
      <c r="D1006" s="222"/>
      <c r="E1006" s="233"/>
      <c r="F1006" s="233"/>
      <c r="G1006" s="236"/>
      <c r="H1006" s="224"/>
      <c r="I1006" s="223"/>
      <c r="J1006" s="223"/>
      <c r="K1006" s="222"/>
      <c r="L1006" s="222"/>
      <c r="M1006" s="222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 ht="15.75" hidden="1" customHeight="1">
      <c r="A1007" s="338"/>
      <c r="B1007" s="222"/>
      <c r="C1007" s="222"/>
      <c r="D1007" s="222"/>
      <c r="E1007" s="233"/>
      <c r="F1007" s="233"/>
      <c r="G1007" s="236"/>
      <c r="H1007" s="224"/>
      <c r="I1007" s="223"/>
      <c r="J1007" s="223"/>
      <c r="K1007" s="222"/>
      <c r="L1007" s="222"/>
      <c r="M1007" s="222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 ht="15.75" hidden="1" customHeight="1">
      <c r="A1008" s="338"/>
      <c r="B1008" s="222"/>
      <c r="C1008" s="222"/>
      <c r="D1008" s="222"/>
      <c r="E1008" s="223"/>
      <c r="F1008" s="32"/>
      <c r="G1008" s="227"/>
      <c r="H1008" s="227"/>
      <c r="I1008" s="223"/>
      <c r="J1008" s="223"/>
      <c r="K1008" s="222"/>
      <c r="L1008" s="222"/>
      <c r="M1008" s="222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 ht="15.75" hidden="1" customHeight="1">
      <c r="A1009" s="338"/>
      <c r="B1009" s="222"/>
      <c r="C1009" s="222"/>
      <c r="D1009" s="222"/>
      <c r="E1009" s="233"/>
      <c r="F1009" s="233"/>
      <c r="G1009" s="236"/>
      <c r="H1009" s="224"/>
      <c r="I1009" s="223"/>
      <c r="J1009" s="223"/>
      <c r="K1009" s="222"/>
      <c r="L1009" s="222"/>
      <c r="M1009" s="222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 ht="15.75" hidden="1" customHeight="1">
      <c r="A1010" s="338"/>
      <c r="B1010" s="222"/>
      <c r="C1010" s="222"/>
      <c r="D1010" s="222"/>
      <c r="E1010" s="223"/>
      <c r="F1010" s="223"/>
      <c r="G1010" s="227"/>
      <c r="H1010" s="224"/>
      <c r="I1010" s="223"/>
      <c r="J1010" s="223"/>
      <c r="K1010" s="222"/>
      <c r="L1010" s="222"/>
      <c r="M1010" s="222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 ht="15.75" hidden="1" customHeight="1">
      <c r="A1011" s="338"/>
      <c r="B1011" s="222"/>
      <c r="C1011" s="222"/>
      <c r="D1011" s="222"/>
      <c r="E1011" s="233"/>
      <c r="F1011" s="233"/>
      <c r="G1011" s="236"/>
      <c r="H1011" s="224"/>
      <c r="I1011" s="223"/>
      <c r="J1011" s="223"/>
      <c r="K1011" s="222"/>
      <c r="L1011" s="222"/>
      <c r="M1011" s="222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 ht="15.75" hidden="1" customHeight="1">
      <c r="A1012" s="338"/>
      <c r="B1012" s="222"/>
      <c r="C1012" s="222"/>
      <c r="D1012" s="222"/>
      <c r="E1012" s="233"/>
      <c r="F1012" s="233"/>
      <c r="G1012" s="236"/>
      <c r="H1012" s="224"/>
      <c r="I1012" s="223"/>
      <c r="J1012" s="223"/>
      <c r="K1012" s="222"/>
      <c r="L1012" s="222"/>
      <c r="M1012" s="222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 ht="15.75" hidden="1" customHeight="1">
      <c r="A1013" s="338"/>
      <c r="B1013" s="222"/>
      <c r="C1013" s="222"/>
      <c r="D1013" s="222"/>
      <c r="E1013" s="223"/>
      <c r="F1013" s="32"/>
      <c r="G1013" s="227"/>
      <c r="H1013" s="227"/>
      <c r="I1013" s="223"/>
      <c r="J1013" s="223"/>
      <c r="K1013" s="222"/>
      <c r="L1013" s="222"/>
      <c r="M1013" s="222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 ht="15.75" hidden="1" customHeight="1">
      <c r="A1014" s="338"/>
      <c r="B1014" s="222"/>
      <c r="C1014" s="222"/>
      <c r="D1014" s="222"/>
      <c r="E1014" s="223"/>
      <c r="F1014" s="32"/>
      <c r="G1014" s="227"/>
      <c r="H1014" s="227"/>
      <c r="I1014" s="223"/>
      <c r="J1014" s="223"/>
      <c r="K1014" s="222"/>
      <c r="L1014" s="222"/>
      <c r="M1014" s="222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 ht="15.75" hidden="1" customHeight="1">
      <c r="A1015" s="221"/>
      <c r="B1015" s="222"/>
      <c r="C1015" s="222"/>
      <c r="D1015" s="222"/>
      <c r="E1015" s="223"/>
      <c r="F1015" s="223"/>
      <c r="G1015" s="227"/>
      <c r="H1015" s="224"/>
      <c r="I1015" s="223"/>
      <c r="J1015" s="223"/>
      <c r="K1015" s="222"/>
      <c r="L1015" s="222"/>
      <c r="M1015" s="222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 ht="15.75" hidden="1" customHeight="1">
      <c r="A1016" s="221"/>
      <c r="B1016" s="222"/>
      <c r="C1016" s="222"/>
      <c r="D1016" s="222"/>
      <c r="E1016" s="223"/>
      <c r="F1016" s="223"/>
      <c r="G1016" s="227"/>
      <c r="H1016" s="224"/>
      <c r="I1016" s="223"/>
      <c r="J1016" s="223"/>
      <c r="K1016" s="222"/>
      <c r="L1016" s="222"/>
      <c r="M1016" s="222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 ht="15.75" hidden="1" customHeight="1">
      <c r="A1017" s="221"/>
      <c r="B1017" s="222"/>
      <c r="C1017" s="222"/>
      <c r="D1017" s="222"/>
      <c r="E1017" s="223"/>
      <c r="F1017" s="223"/>
      <c r="G1017" s="227"/>
      <c r="H1017" s="224"/>
      <c r="I1017" s="223"/>
      <c r="J1017" s="223"/>
      <c r="K1017" s="222"/>
      <c r="L1017" s="222"/>
      <c r="M1017" s="222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 ht="15.75" hidden="1" customHeight="1">
      <c r="A1018" s="221"/>
      <c r="B1018" s="222"/>
      <c r="C1018" s="222"/>
      <c r="D1018" s="222"/>
      <c r="E1018" s="223"/>
      <c r="F1018" s="223"/>
      <c r="G1018" s="227"/>
      <c r="H1018" s="224"/>
      <c r="I1018" s="223"/>
      <c r="J1018" s="223"/>
      <c r="K1018" s="222"/>
      <c r="L1018" s="222"/>
      <c r="M1018" s="222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 ht="15.75" hidden="1" customHeight="1">
      <c r="A1019" s="221"/>
      <c r="B1019" s="222"/>
      <c r="C1019" s="222"/>
      <c r="D1019" s="222"/>
      <c r="E1019" s="223"/>
      <c r="F1019" s="223"/>
      <c r="G1019" s="227"/>
      <c r="H1019" s="224"/>
      <c r="I1019" s="223"/>
      <c r="J1019" s="223"/>
      <c r="K1019" s="222"/>
      <c r="L1019" s="222"/>
      <c r="M1019" s="222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 ht="15.75" hidden="1" customHeight="1">
      <c r="A1020" s="221"/>
      <c r="B1020" s="222"/>
      <c r="C1020" s="222"/>
      <c r="D1020" s="222"/>
      <c r="E1020" s="223"/>
      <c r="F1020" s="223"/>
      <c r="G1020" s="227"/>
      <c r="H1020" s="224"/>
      <c r="I1020" s="223"/>
      <c r="J1020" s="223"/>
      <c r="K1020" s="222"/>
      <c r="L1020" s="222"/>
      <c r="M1020" s="222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 ht="15.75" hidden="1" customHeight="1">
      <c r="A1021" s="221"/>
      <c r="B1021" s="222"/>
      <c r="C1021" s="222"/>
      <c r="D1021" s="222"/>
      <c r="E1021" s="223"/>
      <c r="F1021" s="222"/>
      <c r="G1021" s="224"/>
      <c r="H1021" s="224"/>
      <c r="I1021" s="223"/>
      <c r="J1021" s="223"/>
      <c r="K1021" s="222"/>
      <c r="L1021" s="222"/>
      <c r="M1021" s="222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 ht="15.75" hidden="1" customHeight="1">
      <c r="A1022" s="226"/>
      <c r="B1022" s="222"/>
      <c r="C1022" s="222"/>
      <c r="D1022" s="222"/>
      <c r="E1022" s="223"/>
      <c r="F1022" s="222"/>
      <c r="G1022" s="224"/>
      <c r="H1022" s="224"/>
      <c r="I1022" s="223"/>
      <c r="J1022" s="223"/>
      <c r="K1022" s="222"/>
      <c r="L1022" s="222"/>
      <c r="M1022" s="222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 ht="15.75" hidden="1" customHeight="1">
      <c r="A1023" s="226"/>
      <c r="B1023" s="222"/>
      <c r="C1023" s="222"/>
      <c r="D1023" s="222"/>
      <c r="E1023" s="223"/>
      <c r="F1023" s="223"/>
      <c r="G1023" s="227"/>
      <c r="H1023" s="224"/>
      <c r="I1023" s="223"/>
      <c r="J1023" s="223"/>
      <c r="K1023" s="222"/>
      <c r="L1023" s="222"/>
      <c r="M1023" s="222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 ht="15.75" hidden="1" customHeight="1">
      <c r="A1024" s="226"/>
      <c r="B1024" s="222"/>
      <c r="C1024" s="222"/>
      <c r="D1024" s="222"/>
      <c r="E1024" s="223"/>
      <c r="F1024" s="222"/>
      <c r="G1024" s="224"/>
      <c r="H1024" s="224"/>
      <c r="I1024" s="223"/>
      <c r="J1024" s="223"/>
      <c r="K1024" s="222"/>
      <c r="L1024" s="222"/>
      <c r="M1024" s="222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 ht="15.75" hidden="1" customHeight="1">
      <c r="A1025" s="226"/>
      <c r="B1025" s="222"/>
      <c r="C1025" s="222"/>
      <c r="D1025" s="222"/>
      <c r="E1025" s="223"/>
      <c r="F1025" s="222"/>
      <c r="G1025" s="224"/>
      <c r="H1025" s="224"/>
      <c r="I1025" s="223"/>
      <c r="J1025" s="223"/>
      <c r="K1025" s="222"/>
      <c r="L1025" s="222"/>
      <c r="M1025" s="222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 ht="15.75" hidden="1" customHeight="1">
      <c r="A1026" s="226"/>
      <c r="B1026" s="222"/>
      <c r="C1026" s="222"/>
      <c r="D1026" s="222"/>
      <c r="E1026" s="223"/>
      <c r="F1026" s="222"/>
      <c r="G1026" s="224"/>
      <c r="H1026" s="224"/>
      <c r="I1026" s="223"/>
      <c r="J1026" s="223"/>
      <c r="K1026" s="222"/>
      <c r="L1026" s="222"/>
      <c r="M1026" s="222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</row>
    <row r="1027" ht="15.75" hidden="1" customHeight="1">
      <c r="A1027" s="226"/>
      <c r="B1027" s="222"/>
      <c r="C1027" s="222"/>
      <c r="D1027" s="222"/>
      <c r="E1027" s="223"/>
      <c r="F1027" s="222"/>
      <c r="G1027" s="224"/>
      <c r="H1027" s="224"/>
      <c r="I1027" s="223"/>
      <c r="J1027" s="223"/>
      <c r="K1027" s="222"/>
      <c r="L1027" s="222"/>
      <c r="M1027" s="222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</row>
    <row r="1028" ht="15.75" hidden="1" customHeight="1">
      <c r="A1028" s="221"/>
      <c r="B1028" s="222"/>
      <c r="C1028" s="222"/>
      <c r="D1028" s="222"/>
      <c r="E1028" s="223"/>
      <c r="F1028" s="222"/>
      <c r="G1028" s="224"/>
      <c r="H1028" s="224"/>
      <c r="I1028" s="223"/>
      <c r="J1028" s="223"/>
      <c r="K1028" s="222"/>
      <c r="L1028" s="222"/>
      <c r="M1028" s="222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</row>
    <row r="1029" ht="15.75" hidden="1" customHeight="1">
      <c r="A1029" s="221"/>
      <c r="B1029" s="222"/>
      <c r="C1029" s="222"/>
      <c r="D1029" s="222"/>
      <c r="E1029" s="223"/>
      <c r="F1029" s="222"/>
      <c r="G1029" s="224"/>
      <c r="H1029" s="224"/>
      <c r="I1029" s="223"/>
      <c r="J1029" s="223"/>
      <c r="K1029" s="222"/>
      <c r="L1029" s="222"/>
      <c r="M1029" s="222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</row>
    <row r="1030" ht="15.75" hidden="1" customHeight="1">
      <c r="A1030" s="221"/>
      <c r="B1030" s="222"/>
      <c r="C1030" s="222"/>
      <c r="D1030" s="222"/>
      <c r="E1030" s="223"/>
      <c r="F1030" s="222"/>
      <c r="G1030" s="224"/>
      <c r="H1030" s="224"/>
      <c r="I1030" s="223"/>
      <c r="J1030" s="223"/>
      <c r="K1030" s="222"/>
      <c r="L1030" s="222"/>
      <c r="M1030" s="222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</row>
    <row r="1031" ht="15.75" hidden="1" customHeight="1">
      <c r="A1031" s="338"/>
      <c r="B1031" s="222"/>
      <c r="C1031" s="222"/>
      <c r="D1031" s="222"/>
      <c r="E1031" s="233"/>
      <c r="F1031" s="233"/>
      <c r="G1031" s="236"/>
      <c r="H1031" s="224"/>
      <c r="I1031" s="223"/>
      <c r="J1031" s="223"/>
      <c r="K1031" s="222"/>
      <c r="L1031" s="222"/>
      <c r="M1031" s="222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</row>
    <row r="1032" ht="15.75" hidden="1" customHeight="1">
      <c r="A1032" s="338"/>
      <c r="B1032" s="222"/>
      <c r="C1032" s="222"/>
      <c r="D1032" s="222"/>
      <c r="E1032" s="223"/>
      <c r="F1032" s="223"/>
      <c r="G1032" s="227"/>
      <c r="H1032" s="224"/>
      <c r="I1032" s="223"/>
      <c r="J1032" s="223"/>
      <c r="K1032" s="222"/>
      <c r="L1032" s="222"/>
      <c r="M1032" s="222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</row>
    <row r="1033" ht="15.75" hidden="1" customHeight="1">
      <c r="A1033" s="338"/>
      <c r="B1033" s="222"/>
      <c r="C1033" s="222"/>
      <c r="D1033" s="222"/>
      <c r="E1033" s="223"/>
      <c r="F1033" s="223"/>
      <c r="G1033" s="227"/>
      <c r="H1033" s="224"/>
      <c r="I1033" s="223"/>
      <c r="J1033" s="223"/>
      <c r="K1033" s="222"/>
      <c r="L1033" s="222"/>
      <c r="M1033" s="222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</row>
    <row r="1034" ht="15.75" hidden="1" customHeight="1">
      <c r="A1034" s="338"/>
      <c r="B1034" s="222"/>
      <c r="C1034" s="222"/>
      <c r="D1034" s="222"/>
      <c r="E1034" s="223"/>
      <c r="F1034" s="223"/>
      <c r="G1034" s="227"/>
      <c r="H1034" s="224"/>
      <c r="I1034" s="223"/>
      <c r="J1034" s="223"/>
      <c r="K1034" s="222"/>
      <c r="L1034" s="222"/>
      <c r="M1034" s="222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</row>
    <row r="1035" ht="15.75" hidden="1" customHeight="1">
      <c r="A1035" s="338"/>
      <c r="B1035" s="222"/>
      <c r="C1035" s="222"/>
      <c r="D1035" s="222"/>
      <c r="E1035" s="223"/>
      <c r="F1035" s="223"/>
      <c r="G1035" s="227"/>
      <c r="H1035" s="224"/>
      <c r="I1035" s="223"/>
      <c r="J1035" s="223"/>
      <c r="K1035" s="222"/>
      <c r="L1035" s="222"/>
      <c r="M1035" s="222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</row>
    <row r="1036" ht="15.75" hidden="1" customHeight="1">
      <c r="A1036" s="338"/>
      <c r="B1036" s="222"/>
      <c r="C1036" s="222"/>
      <c r="D1036" s="222"/>
      <c r="E1036" s="233"/>
      <c r="F1036" s="233"/>
      <c r="G1036" s="236"/>
      <c r="H1036" s="224"/>
      <c r="I1036" s="223"/>
      <c r="J1036" s="223"/>
      <c r="K1036" s="222"/>
      <c r="L1036" s="222"/>
      <c r="M1036" s="222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</row>
    <row r="1037" ht="15.75" hidden="1" customHeight="1">
      <c r="A1037" s="338"/>
      <c r="B1037" s="222"/>
      <c r="C1037" s="222"/>
      <c r="D1037" s="222"/>
      <c r="E1037" s="223"/>
      <c r="F1037" s="223"/>
      <c r="G1037" s="227"/>
      <c r="H1037" s="224"/>
      <c r="I1037" s="223"/>
      <c r="J1037" s="223"/>
      <c r="K1037" s="222"/>
      <c r="L1037" s="222"/>
      <c r="M1037" s="222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</row>
    <row r="1038" ht="15.75" hidden="1" customHeight="1">
      <c r="A1038" s="338"/>
      <c r="B1038" s="222"/>
      <c r="C1038" s="222"/>
      <c r="D1038" s="222"/>
      <c r="E1038" s="223"/>
      <c r="F1038" s="223"/>
      <c r="G1038" s="227"/>
      <c r="H1038" s="224"/>
      <c r="I1038" s="223"/>
      <c r="J1038" s="223"/>
      <c r="K1038" s="222"/>
      <c r="L1038" s="222"/>
      <c r="M1038" s="222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</row>
    <row r="1039" ht="15.75" hidden="1" customHeight="1">
      <c r="A1039" s="338"/>
      <c r="B1039" s="222"/>
      <c r="C1039" s="222"/>
      <c r="D1039" s="222"/>
      <c r="E1039" s="223"/>
      <c r="F1039" s="32"/>
      <c r="G1039" s="227"/>
      <c r="H1039" s="224"/>
      <c r="I1039" s="223"/>
      <c r="J1039" s="223"/>
      <c r="K1039" s="222"/>
      <c r="L1039" s="222"/>
      <c r="M1039" s="222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</row>
    <row r="1040" ht="15.75" hidden="1" customHeight="1">
      <c r="A1040" s="338"/>
      <c r="B1040" s="222"/>
      <c r="C1040" s="222"/>
      <c r="D1040" s="222"/>
      <c r="E1040" s="223"/>
      <c r="F1040" s="32"/>
      <c r="G1040" s="227"/>
      <c r="H1040" s="224"/>
      <c r="I1040" s="223"/>
      <c r="J1040" s="223"/>
      <c r="K1040" s="222"/>
      <c r="L1040" s="222"/>
      <c r="M1040" s="222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</row>
    <row r="1041" ht="15.75" hidden="1" customHeight="1">
      <c r="A1041" s="228"/>
      <c r="B1041" s="222"/>
      <c r="C1041" s="222"/>
      <c r="D1041" s="222"/>
      <c r="E1041" s="223"/>
      <c r="F1041" s="223"/>
      <c r="G1041" s="227"/>
      <c r="H1041" s="224"/>
      <c r="I1041" s="223"/>
      <c r="J1041" s="223"/>
      <c r="K1041" s="222"/>
      <c r="L1041" s="222"/>
      <c r="M1041" s="222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</row>
    <row r="1042" ht="15.75" hidden="1" customHeight="1">
      <c r="A1042" s="228"/>
      <c r="B1042" s="222"/>
      <c r="C1042" s="222"/>
      <c r="D1042" s="222"/>
      <c r="E1042" s="223"/>
      <c r="F1042" s="223"/>
      <c r="G1042" s="227"/>
      <c r="H1042" s="224"/>
      <c r="I1042" s="223"/>
      <c r="J1042" s="223"/>
      <c r="K1042" s="222"/>
      <c r="L1042" s="222"/>
      <c r="M1042" s="222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</row>
    <row r="1043" ht="15.75" hidden="1" customHeight="1">
      <c r="A1043" s="228"/>
      <c r="B1043" s="222"/>
      <c r="C1043" s="222"/>
      <c r="D1043" s="222"/>
      <c r="E1043" s="223"/>
      <c r="F1043" s="32"/>
      <c r="G1043" s="227"/>
      <c r="H1043" s="227"/>
      <c r="I1043" s="223"/>
      <c r="J1043" s="223"/>
      <c r="K1043" s="222"/>
      <c r="L1043" s="222"/>
      <c r="M1043" s="222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</row>
    <row r="1044" ht="15.75" hidden="1" customHeight="1">
      <c r="A1044" s="228"/>
      <c r="B1044" s="222"/>
      <c r="C1044" s="222"/>
      <c r="D1044" s="222"/>
      <c r="E1044" s="223"/>
      <c r="F1044" s="223"/>
      <c r="G1044" s="227"/>
      <c r="H1044" s="224"/>
      <c r="I1044" s="223"/>
      <c r="J1044" s="223"/>
      <c r="K1044" s="222"/>
      <c r="L1044" s="222"/>
      <c r="M1044" s="222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</row>
    <row r="1045" ht="15.75" hidden="1" customHeight="1">
      <c r="A1045" s="228"/>
      <c r="B1045" s="222"/>
      <c r="C1045" s="222"/>
      <c r="D1045" s="222"/>
      <c r="E1045" s="223"/>
      <c r="F1045" s="223"/>
      <c r="G1045" s="227"/>
      <c r="H1045" s="224"/>
      <c r="I1045" s="223"/>
      <c r="J1045" s="223"/>
      <c r="K1045" s="222"/>
      <c r="L1045" s="222"/>
      <c r="M1045" s="222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</row>
    <row r="1046" ht="15.75" hidden="1" customHeight="1">
      <c r="A1046" s="228"/>
      <c r="B1046" s="222"/>
      <c r="C1046" s="222"/>
      <c r="D1046" s="222"/>
      <c r="E1046" s="223"/>
      <c r="F1046" s="32"/>
      <c r="G1046" s="227"/>
      <c r="H1046" s="224"/>
      <c r="I1046" s="223"/>
      <c r="J1046" s="223"/>
      <c r="K1046" s="222"/>
      <c r="L1046" s="222"/>
      <c r="M1046" s="222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</row>
    <row r="1047" ht="15.75" hidden="1" customHeight="1">
      <c r="A1047" s="228"/>
      <c r="B1047" s="222"/>
      <c r="C1047" s="222"/>
      <c r="D1047" s="222"/>
      <c r="E1047" s="223"/>
      <c r="F1047" s="32"/>
      <c r="G1047" s="227"/>
      <c r="H1047" s="227"/>
      <c r="I1047" s="223"/>
      <c r="J1047" s="223"/>
      <c r="K1047" s="222"/>
      <c r="L1047" s="222"/>
      <c r="M1047" s="222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</row>
    <row r="1048" ht="15.75" hidden="1" customHeight="1">
      <c r="A1048" s="228"/>
      <c r="B1048" s="222"/>
      <c r="C1048" s="222"/>
      <c r="D1048" s="222"/>
      <c r="E1048" s="223"/>
      <c r="F1048" s="32"/>
      <c r="G1048" s="227"/>
      <c r="H1048" s="224"/>
      <c r="I1048" s="223"/>
      <c r="J1048" s="223"/>
      <c r="K1048" s="222"/>
      <c r="L1048" s="222"/>
      <c r="M1048" s="222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</row>
    <row r="1049" ht="15.75" hidden="1" customHeight="1">
      <c r="A1049" s="228"/>
      <c r="B1049" s="222"/>
      <c r="C1049" s="222"/>
      <c r="D1049" s="222"/>
      <c r="E1049" s="223"/>
      <c r="F1049" s="32"/>
      <c r="G1049" s="227"/>
      <c r="H1049" s="227"/>
      <c r="I1049" s="223"/>
      <c r="J1049" s="223"/>
      <c r="K1049" s="222"/>
      <c r="L1049" s="222"/>
      <c r="M1049" s="222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</row>
    <row r="1050" ht="15.75" hidden="1" customHeight="1">
      <c r="A1050" s="226"/>
      <c r="B1050" s="222"/>
      <c r="C1050" s="222"/>
      <c r="D1050" s="222"/>
      <c r="E1050" s="223"/>
      <c r="F1050" s="32"/>
      <c r="G1050" s="227"/>
      <c r="H1050" s="224"/>
      <c r="I1050" s="223"/>
      <c r="J1050" s="223"/>
      <c r="K1050" s="222"/>
      <c r="L1050" s="222"/>
      <c r="M1050" s="222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</row>
    <row r="1051" ht="15.75" hidden="1" customHeight="1">
      <c r="A1051" s="226"/>
      <c r="B1051" s="222"/>
      <c r="C1051" s="222"/>
      <c r="D1051" s="222"/>
      <c r="E1051" s="223"/>
      <c r="F1051" s="32"/>
      <c r="G1051" s="227"/>
      <c r="H1051" s="224"/>
      <c r="I1051" s="223"/>
      <c r="J1051" s="223"/>
      <c r="K1051" s="222"/>
      <c r="L1051" s="222"/>
      <c r="M1051" s="222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</row>
    <row r="1052" ht="15.75" hidden="1" customHeight="1">
      <c r="A1052" s="226"/>
      <c r="B1052" s="222"/>
      <c r="C1052" s="222"/>
      <c r="D1052" s="222"/>
      <c r="E1052" s="223"/>
      <c r="F1052" s="32"/>
      <c r="G1052" s="227"/>
      <c r="H1052" s="224"/>
      <c r="I1052" s="223"/>
      <c r="J1052" s="223"/>
      <c r="K1052" s="222"/>
      <c r="L1052" s="222"/>
      <c r="M1052" s="222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</row>
    <row r="1053" ht="15.75" hidden="1" customHeight="1">
      <c r="A1053" s="226"/>
      <c r="B1053" s="222"/>
      <c r="C1053" s="222"/>
      <c r="D1053" s="222"/>
      <c r="E1053" s="223"/>
      <c r="F1053" s="32"/>
      <c r="G1053" s="227"/>
      <c r="H1053" s="227"/>
      <c r="I1053" s="223"/>
      <c r="J1053" s="223"/>
      <c r="K1053" s="222"/>
      <c r="L1053" s="222"/>
      <c r="M1053" s="222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</row>
    <row r="1054" ht="15.75" hidden="1" customHeight="1">
      <c r="A1054" s="226"/>
      <c r="B1054" s="222"/>
      <c r="C1054" s="222"/>
      <c r="D1054" s="222"/>
      <c r="E1054" s="223"/>
      <c r="F1054" s="223"/>
      <c r="G1054" s="227"/>
      <c r="H1054" s="336"/>
      <c r="I1054" s="223"/>
      <c r="J1054" s="223"/>
      <c r="K1054" s="222"/>
      <c r="L1054" s="222"/>
      <c r="M1054" s="222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</row>
    <row r="1055" ht="15.75" hidden="1" customHeight="1">
      <c r="A1055" s="228"/>
      <c r="B1055" s="222"/>
      <c r="C1055" s="222"/>
      <c r="D1055" s="222"/>
      <c r="E1055" s="223"/>
      <c r="F1055" s="32"/>
      <c r="G1055" s="227"/>
      <c r="H1055" s="227"/>
      <c r="I1055" s="223"/>
      <c r="J1055" s="223"/>
      <c r="K1055" s="222"/>
      <c r="L1055" s="222"/>
      <c r="M1055" s="222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</row>
    <row r="1056" ht="15.75" hidden="1" customHeight="1">
      <c r="A1056" s="228"/>
      <c r="B1056" s="222"/>
      <c r="C1056" s="222"/>
      <c r="D1056" s="222"/>
      <c r="E1056" s="223"/>
      <c r="F1056" s="32"/>
      <c r="G1056" s="227"/>
      <c r="H1056" s="227"/>
      <c r="I1056" s="223"/>
      <c r="J1056" s="223"/>
      <c r="K1056" s="222"/>
      <c r="L1056" s="222"/>
      <c r="M1056" s="222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</row>
    <row r="1057" ht="15.75" hidden="1" customHeight="1">
      <c r="A1057" s="228"/>
      <c r="B1057" s="222"/>
      <c r="C1057" s="222"/>
      <c r="D1057" s="222"/>
      <c r="E1057" s="223"/>
      <c r="F1057" s="32"/>
      <c r="G1057" s="227"/>
      <c r="H1057" s="227"/>
      <c r="I1057" s="223"/>
      <c r="J1057" s="223"/>
      <c r="K1057" s="222"/>
      <c r="L1057" s="222"/>
      <c r="M1057" s="222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</row>
    <row r="1058" ht="15.75" hidden="1" customHeight="1">
      <c r="A1058" s="228"/>
      <c r="B1058" s="222"/>
      <c r="C1058" s="222"/>
      <c r="D1058" s="222"/>
      <c r="E1058" s="223"/>
      <c r="F1058" s="32"/>
      <c r="G1058" s="227"/>
      <c r="H1058" s="227"/>
      <c r="I1058" s="223"/>
      <c r="J1058" s="223"/>
      <c r="K1058" s="222"/>
      <c r="L1058" s="222"/>
      <c r="M1058" s="222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</row>
    <row r="1059" ht="15.75" hidden="1" customHeight="1">
      <c r="A1059" s="228"/>
      <c r="B1059" s="222"/>
      <c r="C1059" s="222"/>
      <c r="D1059" s="222"/>
      <c r="E1059" s="223"/>
      <c r="F1059" s="32"/>
      <c r="G1059" s="227"/>
      <c r="H1059" s="227"/>
      <c r="I1059" s="223"/>
      <c r="J1059" s="223"/>
      <c r="K1059" s="222"/>
      <c r="L1059" s="222"/>
      <c r="M1059" s="222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</row>
    <row r="1060" ht="15.75" hidden="1" customHeight="1">
      <c r="A1060" s="228"/>
      <c r="B1060" s="222"/>
      <c r="C1060" s="222"/>
      <c r="D1060" s="222"/>
      <c r="E1060" s="223"/>
      <c r="F1060" s="32"/>
      <c r="G1060" s="227"/>
      <c r="H1060" s="227"/>
      <c r="I1060" s="223"/>
      <c r="J1060" s="223"/>
      <c r="K1060" s="222"/>
      <c r="L1060" s="222"/>
      <c r="M1060" s="222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</row>
    <row r="1061" ht="15.75" hidden="1" customHeight="1">
      <c r="A1061" s="221"/>
      <c r="B1061" s="222"/>
      <c r="C1061" s="222"/>
      <c r="D1061" s="222"/>
      <c r="E1061" s="223"/>
      <c r="F1061" s="222"/>
      <c r="G1061" s="224"/>
      <c r="H1061" s="224"/>
      <c r="I1061" s="223"/>
      <c r="J1061" s="223"/>
      <c r="K1061" s="222"/>
      <c r="L1061" s="222"/>
      <c r="M1061" s="222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</row>
    <row r="1062" ht="15.75" hidden="1" customHeight="1">
      <c r="A1062" s="221"/>
      <c r="B1062" s="222"/>
      <c r="C1062" s="222"/>
      <c r="D1062" s="222"/>
      <c r="E1062" s="223"/>
      <c r="F1062" s="222"/>
      <c r="G1062" s="224"/>
      <c r="H1062" s="224"/>
      <c r="I1062" s="223"/>
      <c r="J1062" s="223"/>
      <c r="K1062" s="222"/>
      <c r="L1062" s="222"/>
      <c r="M1062" s="222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</row>
    <row r="1063" ht="15.75" hidden="1" customHeight="1">
      <c r="A1063" s="221"/>
      <c r="B1063" s="222"/>
      <c r="C1063" s="222"/>
      <c r="D1063" s="222"/>
      <c r="E1063" s="223"/>
      <c r="F1063" s="222"/>
      <c r="G1063" s="224"/>
      <c r="H1063" s="224"/>
      <c r="I1063" s="223"/>
      <c r="J1063" s="223"/>
      <c r="K1063" s="222"/>
      <c r="L1063" s="222"/>
      <c r="M1063" s="222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</row>
    <row r="1064" ht="15.75" hidden="1" customHeight="1">
      <c r="A1064" s="221"/>
      <c r="B1064" s="222"/>
      <c r="C1064" s="222"/>
      <c r="D1064" s="222"/>
      <c r="E1064" s="223"/>
      <c r="F1064" s="222"/>
      <c r="G1064" s="224"/>
      <c r="H1064" s="224"/>
      <c r="I1064" s="223"/>
      <c r="J1064" s="223"/>
      <c r="K1064" s="222"/>
      <c r="L1064" s="222"/>
      <c r="M1064" s="222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</row>
    <row r="1065" ht="15.75" hidden="1" customHeight="1">
      <c r="A1065" s="221"/>
      <c r="B1065" s="222"/>
      <c r="C1065" s="222"/>
      <c r="D1065" s="222"/>
      <c r="E1065" s="223"/>
      <c r="F1065" s="222"/>
      <c r="G1065" s="224"/>
      <c r="H1065" s="224"/>
      <c r="I1065" s="223"/>
      <c r="J1065" s="223"/>
      <c r="K1065" s="222"/>
      <c r="L1065" s="222"/>
      <c r="M1065" s="222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</row>
    <row r="1066" ht="15.75" hidden="1" customHeight="1">
      <c r="A1066" s="221"/>
      <c r="B1066" s="222"/>
      <c r="C1066" s="222"/>
      <c r="D1066" s="222"/>
      <c r="E1066" s="223"/>
      <c r="F1066" s="222"/>
      <c r="G1066" s="224"/>
      <c r="H1066" s="224"/>
      <c r="I1066" s="223"/>
      <c r="J1066" s="223"/>
      <c r="K1066" s="222"/>
      <c r="L1066" s="222"/>
      <c r="M1066" s="222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</row>
    <row r="1067" ht="15.75" hidden="1" customHeight="1">
      <c r="A1067" s="221"/>
      <c r="B1067" s="222"/>
      <c r="C1067" s="222"/>
      <c r="D1067" s="222"/>
      <c r="E1067" s="223"/>
      <c r="F1067" s="223"/>
      <c r="G1067" s="227"/>
      <c r="H1067" s="224"/>
      <c r="I1067" s="223"/>
      <c r="J1067" s="223"/>
      <c r="K1067" s="222"/>
      <c r="L1067" s="222"/>
      <c r="M1067" s="222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</row>
    <row r="1068" ht="15.75" hidden="1" customHeight="1">
      <c r="A1068" s="221"/>
      <c r="B1068" s="222"/>
      <c r="C1068" s="222"/>
      <c r="D1068" s="222"/>
      <c r="E1068" s="233"/>
      <c r="F1068" s="233"/>
      <c r="G1068" s="236"/>
      <c r="H1068" s="224"/>
      <c r="I1068" s="223"/>
      <c r="J1068" s="223"/>
      <c r="K1068" s="222"/>
      <c r="L1068" s="222"/>
      <c r="M1068" s="222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</row>
    <row r="1069" ht="15.75" hidden="1" customHeight="1">
      <c r="A1069" s="221"/>
      <c r="B1069" s="222"/>
      <c r="C1069" s="222"/>
      <c r="D1069" s="222"/>
      <c r="E1069" s="223"/>
      <c r="F1069" s="223"/>
      <c r="G1069" s="227"/>
      <c r="H1069" s="224"/>
      <c r="I1069" s="223"/>
      <c r="J1069" s="223"/>
      <c r="K1069" s="222"/>
      <c r="L1069" s="222"/>
      <c r="M1069" s="222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</row>
    <row r="1070" ht="15.75" hidden="1" customHeight="1">
      <c r="A1070" s="221"/>
      <c r="B1070" s="222"/>
      <c r="C1070" s="222"/>
      <c r="D1070" s="222"/>
      <c r="E1070" s="223"/>
      <c r="F1070" s="223"/>
      <c r="G1070" s="227"/>
      <c r="H1070" s="224"/>
      <c r="I1070" s="223"/>
      <c r="J1070" s="223"/>
      <c r="K1070" s="222"/>
      <c r="L1070" s="222"/>
      <c r="M1070" s="222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</row>
    <row r="1071" ht="15.75" hidden="1" customHeight="1">
      <c r="A1071" s="221"/>
      <c r="B1071" s="222"/>
      <c r="C1071" s="222"/>
      <c r="D1071" s="222"/>
      <c r="E1071" s="223"/>
      <c r="F1071" s="32"/>
      <c r="G1071" s="227"/>
      <c r="H1071" s="227"/>
      <c r="I1071" s="223"/>
      <c r="J1071" s="223"/>
      <c r="K1071" s="222"/>
      <c r="L1071" s="222"/>
      <c r="M1071" s="222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</row>
    <row r="1072" ht="15.75" hidden="1" customHeight="1">
      <c r="A1072" s="221"/>
      <c r="B1072" s="222"/>
      <c r="C1072" s="222"/>
      <c r="D1072" s="222"/>
      <c r="E1072" s="223"/>
      <c r="F1072" s="32"/>
      <c r="G1072" s="227"/>
      <c r="H1072" s="227"/>
      <c r="I1072" s="223"/>
      <c r="J1072" s="223"/>
      <c r="K1072" s="222"/>
      <c r="L1072" s="222"/>
      <c r="M1072" s="222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</row>
    <row r="1073" ht="15.75" hidden="1" customHeight="1">
      <c r="A1073" s="226"/>
      <c r="B1073" s="222"/>
      <c r="C1073" s="222"/>
      <c r="D1073" s="222"/>
      <c r="E1073" s="223"/>
      <c r="F1073" s="223"/>
      <c r="G1073" s="227"/>
      <c r="H1073" s="224"/>
      <c r="I1073" s="223"/>
      <c r="J1073" s="223"/>
      <c r="K1073" s="222"/>
      <c r="L1073" s="222"/>
      <c r="M1073" s="222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</row>
    <row r="1074" ht="15.75" hidden="1" customHeight="1">
      <c r="A1074" s="221"/>
      <c r="B1074" s="222"/>
      <c r="C1074" s="222"/>
      <c r="D1074" s="222"/>
      <c r="E1074" s="223"/>
      <c r="F1074" s="222"/>
      <c r="G1074" s="224"/>
      <c r="H1074" s="224"/>
      <c r="I1074" s="223"/>
      <c r="J1074" s="223"/>
      <c r="K1074" s="222"/>
      <c r="L1074" s="222"/>
      <c r="M1074" s="222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</row>
    <row r="1075" ht="15.75" hidden="1" customHeight="1">
      <c r="A1075" s="226"/>
      <c r="B1075" s="222"/>
      <c r="C1075" s="222"/>
      <c r="D1075" s="222"/>
      <c r="E1075" s="223"/>
      <c r="F1075" s="222"/>
      <c r="G1075" s="224"/>
      <c r="H1075" s="224"/>
      <c r="I1075" s="223"/>
      <c r="J1075" s="223"/>
      <c r="K1075" s="222"/>
      <c r="L1075" s="222"/>
      <c r="M1075" s="222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</row>
    <row r="1076" ht="15.75" hidden="1" customHeight="1">
      <c r="A1076" s="221"/>
      <c r="B1076" s="222"/>
      <c r="C1076" s="222"/>
      <c r="D1076" s="222"/>
      <c r="E1076" s="223"/>
      <c r="F1076" s="32"/>
      <c r="G1076" s="227"/>
      <c r="H1076" s="227"/>
      <c r="I1076" s="223"/>
      <c r="J1076" s="223"/>
      <c r="K1076" s="222"/>
      <c r="L1076" s="222"/>
      <c r="M1076" s="222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</row>
    <row r="1077" ht="15.75" hidden="1" customHeight="1">
      <c r="A1077" s="221"/>
      <c r="B1077" s="222"/>
      <c r="C1077" s="222"/>
      <c r="D1077" s="222"/>
      <c r="E1077" s="223"/>
      <c r="F1077" s="32"/>
      <c r="G1077" s="227"/>
      <c r="H1077" s="227"/>
      <c r="I1077" s="223"/>
      <c r="J1077" s="223"/>
      <c r="K1077" s="222"/>
      <c r="L1077" s="222"/>
      <c r="M1077" s="222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</row>
    <row r="1078" ht="15.75" hidden="1" customHeight="1">
      <c r="A1078" s="228"/>
      <c r="B1078" s="222"/>
      <c r="C1078" s="222"/>
      <c r="D1078" s="222"/>
      <c r="E1078" s="223"/>
      <c r="F1078" s="32"/>
      <c r="G1078" s="227"/>
      <c r="H1078" s="227"/>
      <c r="I1078" s="223"/>
      <c r="J1078" s="223"/>
      <c r="K1078" s="222"/>
      <c r="L1078" s="222"/>
      <c r="M1078" s="222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</row>
    <row r="1079" ht="15.75" hidden="1" customHeight="1">
      <c r="A1079" s="228"/>
      <c r="B1079" s="222"/>
      <c r="C1079" s="222"/>
      <c r="D1079" s="222"/>
      <c r="E1079" s="223"/>
      <c r="F1079" s="32"/>
      <c r="G1079" s="227"/>
      <c r="H1079" s="227"/>
      <c r="I1079" s="223"/>
      <c r="J1079" s="223"/>
      <c r="K1079" s="222"/>
      <c r="L1079" s="222"/>
      <c r="M1079" s="222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</row>
    <row r="1080" ht="15.75" hidden="1" customHeight="1">
      <c r="A1080" s="228"/>
      <c r="B1080" s="222"/>
      <c r="C1080" s="222"/>
      <c r="D1080" s="222"/>
      <c r="E1080" s="223"/>
      <c r="F1080" s="32"/>
      <c r="G1080" s="227"/>
      <c r="H1080" s="404"/>
      <c r="I1080" s="223"/>
      <c r="J1080" s="223"/>
      <c r="K1080" s="222"/>
      <c r="L1080" s="222"/>
      <c r="M1080" s="222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</row>
    <row r="1081" ht="15.75" hidden="1" customHeight="1">
      <c r="A1081" s="228"/>
      <c r="B1081" s="222"/>
      <c r="C1081" s="222"/>
      <c r="D1081" s="222"/>
      <c r="E1081" s="223"/>
      <c r="F1081" s="32"/>
      <c r="G1081" s="227"/>
      <c r="H1081" s="227"/>
      <c r="I1081" s="223"/>
      <c r="J1081" s="223"/>
      <c r="K1081" s="222"/>
      <c r="L1081" s="222"/>
      <c r="M1081" s="222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</row>
    <row r="1082" ht="15.75" hidden="1" customHeight="1">
      <c r="A1082" s="228"/>
      <c r="B1082" s="222"/>
      <c r="C1082" s="222"/>
      <c r="D1082" s="222"/>
      <c r="E1082" s="223"/>
      <c r="F1082" s="32"/>
      <c r="G1082" s="227"/>
      <c r="H1082" s="227"/>
      <c r="I1082" s="223"/>
      <c r="J1082" s="223"/>
      <c r="K1082" s="222"/>
      <c r="L1082" s="222"/>
      <c r="M1082" s="222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</row>
    <row r="1083" ht="15.75" hidden="1" customHeight="1">
      <c r="A1083" s="228"/>
      <c r="B1083" s="222"/>
      <c r="C1083" s="222"/>
      <c r="D1083" s="222"/>
      <c r="E1083" s="223"/>
      <c r="F1083" s="32"/>
      <c r="G1083" s="227"/>
      <c r="H1083" s="227"/>
      <c r="I1083" s="223"/>
      <c r="J1083" s="223"/>
      <c r="K1083" s="222"/>
      <c r="L1083" s="222"/>
      <c r="M1083" s="222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</row>
    <row r="1084" ht="15.75" hidden="1" customHeight="1">
      <c r="A1084" s="228"/>
      <c r="B1084" s="222"/>
      <c r="C1084" s="222"/>
      <c r="D1084" s="222"/>
      <c r="E1084" s="223"/>
      <c r="F1084" s="32"/>
      <c r="G1084" s="227"/>
      <c r="H1084" s="406"/>
      <c r="I1084" s="223"/>
      <c r="J1084" s="223"/>
      <c r="K1084" s="222"/>
      <c r="L1084" s="222"/>
      <c r="M1084" s="222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</row>
    <row r="1085" ht="15.75" hidden="1" customHeight="1">
      <c r="A1085" s="228"/>
      <c r="B1085" s="222"/>
      <c r="C1085" s="222"/>
      <c r="D1085" s="222"/>
      <c r="E1085" s="223"/>
      <c r="F1085" s="32"/>
      <c r="G1085" s="227"/>
      <c r="H1085" s="406"/>
      <c r="I1085" s="223"/>
      <c r="J1085" s="223"/>
      <c r="K1085" s="222"/>
      <c r="L1085" s="222"/>
      <c r="M1085" s="222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</row>
    <row r="1086" ht="15.75" hidden="1" customHeight="1">
      <c r="A1086" s="228"/>
      <c r="B1086" s="222"/>
      <c r="C1086" s="222"/>
      <c r="D1086" s="222"/>
      <c r="E1086" s="223"/>
      <c r="F1086" s="32"/>
      <c r="G1086" s="227"/>
      <c r="H1086" s="227"/>
      <c r="I1086" s="223"/>
      <c r="J1086" s="223"/>
      <c r="K1086" s="222"/>
      <c r="L1086" s="222"/>
      <c r="M1086" s="222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</row>
    <row r="1087" ht="15.75" hidden="1" customHeight="1">
      <c r="A1087" s="228"/>
      <c r="B1087" s="222"/>
      <c r="C1087" s="222"/>
      <c r="D1087" s="222"/>
      <c r="E1087" s="223"/>
      <c r="F1087" s="32"/>
      <c r="G1087" s="227"/>
      <c r="H1087" s="227"/>
      <c r="I1087" s="223"/>
      <c r="J1087" s="223"/>
      <c r="K1087" s="222"/>
      <c r="L1087" s="222"/>
      <c r="M1087" s="222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</row>
    <row r="1088" ht="15.75" hidden="1" customHeight="1">
      <c r="A1088" s="228"/>
      <c r="B1088" s="222"/>
      <c r="C1088" s="222"/>
      <c r="D1088" s="222"/>
      <c r="E1088" s="223"/>
      <c r="F1088" s="32"/>
      <c r="G1088" s="227"/>
      <c r="H1088" s="227"/>
      <c r="I1088" s="223"/>
      <c r="J1088" s="223"/>
      <c r="K1088" s="222"/>
      <c r="L1088" s="222"/>
      <c r="M1088" s="222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</row>
    <row r="1089" ht="15.75" hidden="1" customHeight="1">
      <c r="A1089" s="228"/>
      <c r="B1089" s="222"/>
      <c r="C1089" s="222"/>
      <c r="D1089" s="222"/>
      <c r="E1089" s="223"/>
      <c r="F1089" s="32"/>
      <c r="G1089" s="227"/>
      <c r="H1089" s="227"/>
      <c r="I1089" s="223"/>
      <c r="J1089" s="223"/>
      <c r="K1089" s="222"/>
      <c r="L1089" s="222"/>
      <c r="M1089" s="222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</row>
    <row r="1090" ht="15.75" hidden="1" customHeight="1">
      <c r="A1090" s="221"/>
      <c r="B1090" s="222"/>
      <c r="C1090" s="222"/>
      <c r="D1090" s="222"/>
      <c r="E1090" s="223"/>
      <c r="F1090" s="223"/>
      <c r="G1090" s="227"/>
      <c r="H1090" s="407"/>
      <c r="I1090" s="223"/>
      <c r="J1090" s="223"/>
      <c r="K1090" s="222"/>
      <c r="L1090" s="222"/>
      <c r="M1090" s="222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</row>
    <row r="1091" ht="15.75" hidden="1" customHeight="1">
      <c r="A1091" s="228"/>
      <c r="B1091" s="222"/>
      <c r="C1091" s="222"/>
      <c r="D1091" s="222"/>
      <c r="E1091" s="223"/>
      <c r="F1091" s="32"/>
      <c r="G1091" s="227"/>
      <c r="H1091" s="227"/>
      <c r="I1091" s="223"/>
      <c r="J1091" s="223"/>
      <c r="K1091" s="222"/>
      <c r="L1091" s="222"/>
      <c r="M1091" s="222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</row>
    <row r="1092" ht="15.75" hidden="1" customHeight="1">
      <c r="A1092" s="228"/>
      <c r="B1092" s="222"/>
      <c r="C1092" s="222"/>
      <c r="D1092" s="222"/>
      <c r="E1092" s="223"/>
      <c r="F1092" s="32"/>
      <c r="G1092" s="227"/>
      <c r="H1092" s="227"/>
      <c r="I1092" s="223"/>
      <c r="J1092" s="223"/>
      <c r="K1092" s="222"/>
      <c r="L1092" s="222"/>
      <c r="M1092" s="222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</row>
    <row r="1093" ht="15.75" hidden="1" customHeight="1">
      <c r="A1093" s="228"/>
      <c r="B1093" s="222"/>
      <c r="C1093" s="222"/>
      <c r="D1093" s="222"/>
      <c r="E1093" s="223"/>
      <c r="F1093" s="32"/>
      <c r="G1093" s="227"/>
      <c r="H1093" s="227"/>
      <c r="I1093" s="223"/>
      <c r="J1093" s="223"/>
      <c r="K1093" s="222"/>
      <c r="L1093" s="222"/>
      <c r="M1093" s="222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</row>
    <row r="1094" ht="15.75" hidden="1" customHeight="1">
      <c r="A1094" s="228"/>
      <c r="B1094" s="222"/>
      <c r="C1094" s="222"/>
      <c r="D1094" s="222"/>
      <c r="E1094" s="223"/>
      <c r="F1094" s="32"/>
      <c r="G1094" s="227"/>
      <c r="H1094" s="227"/>
      <c r="I1094" s="223"/>
      <c r="J1094" s="223"/>
      <c r="K1094" s="222"/>
      <c r="L1094" s="222"/>
      <c r="M1094" s="222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</row>
    <row r="1095" ht="15.75" hidden="1" customHeight="1">
      <c r="A1095" s="228"/>
      <c r="B1095" s="222"/>
      <c r="C1095" s="222"/>
      <c r="D1095" s="222"/>
      <c r="E1095" s="223"/>
      <c r="F1095" s="32"/>
      <c r="G1095" s="227"/>
      <c r="H1095" s="227"/>
      <c r="I1095" s="223"/>
      <c r="J1095" s="223"/>
      <c r="K1095" s="222"/>
      <c r="L1095" s="222"/>
      <c r="M1095" s="222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</row>
    <row r="1096" ht="15.75" hidden="1" customHeight="1">
      <c r="A1096" s="228"/>
      <c r="B1096" s="222"/>
      <c r="C1096" s="222"/>
      <c r="D1096" s="222"/>
      <c r="E1096" s="223"/>
      <c r="F1096" s="32"/>
      <c r="G1096" s="227"/>
      <c r="H1096" s="408"/>
      <c r="I1096" s="223"/>
      <c r="J1096" s="223"/>
      <c r="K1096" s="222"/>
      <c r="L1096" s="222"/>
      <c r="M1096" s="222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</row>
    <row r="1097" ht="15.75" hidden="1" customHeight="1">
      <c r="A1097" s="228"/>
      <c r="B1097" s="222"/>
      <c r="C1097" s="222"/>
      <c r="D1097" s="222"/>
      <c r="E1097" s="223"/>
      <c r="F1097" s="32"/>
      <c r="G1097" s="227"/>
      <c r="H1097" s="227"/>
      <c r="I1097" s="223"/>
      <c r="J1097" s="223"/>
      <c r="K1097" s="222"/>
      <c r="L1097" s="222"/>
      <c r="M1097" s="222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</row>
    <row r="1098" ht="15.75" hidden="1" customHeight="1">
      <c r="A1098" s="228"/>
      <c r="B1098" s="222"/>
      <c r="C1098" s="222"/>
      <c r="D1098" s="222"/>
      <c r="E1098" s="223"/>
      <c r="F1098" s="32"/>
      <c r="G1098" s="227"/>
      <c r="H1098" s="227"/>
      <c r="I1098" s="223"/>
      <c r="J1098" s="223" t="s">
        <v>1741</v>
      </c>
      <c r="K1098" s="222"/>
      <c r="L1098" s="222"/>
      <c r="M1098" s="222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</row>
    <row r="1099" ht="15.75" hidden="1" customHeight="1">
      <c r="A1099" s="228"/>
      <c r="B1099" s="222"/>
      <c r="C1099" s="222"/>
      <c r="D1099" s="222"/>
      <c r="E1099" s="223"/>
      <c r="F1099" s="32"/>
      <c r="G1099" s="227"/>
      <c r="H1099" s="227"/>
      <c r="I1099" s="223"/>
      <c r="J1099" s="223"/>
      <c r="K1099" s="222"/>
      <c r="L1099" s="222"/>
      <c r="M1099" s="222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</row>
    <row r="1100" ht="15.75" hidden="1" customHeight="1">
      <c r="A1100" s="228"/>
      <c r="B1100" s="222"/>
      <c r="C1100" s="222"/>
      <c r="D1100" s="222"/>
      <c r="E1100" s="223"/>
      <c r="F1100" s="32"/>
      <c r="G1100" s="227"/>
      <c r="H1100" s="227"/>
      <c r="I1100" s="223"/>
      <c r="J1100" s="223"/>
      <c r="K1100" s="222"/>
      <c r="L1100" s="222"/>
      <c r="M1100" s="222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</row>
    <row r="1101" ht="15.75" hidden="1" customHeight="1">
      <c r="A1101" s="228"/>
      <c r="B1101" s="222"/>
      <c r="C1101" s="222"/>
      <c r="D1101" s="222"/>
      <c r="E1101" s="223"/>
      <c r="F1101" s="32"/>
      <c r="G1101" s="227"/>
      <c r="H1101" s="227"/>
      <c r="I1101" s="223"/>
      <c r="J1101" s="223"/>
      <c r="K1101" s="222"/>
      <c r="L1101" s="222"/>
      <c r="M1101" s="222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</row>
    <row r="1102" ht="15.75" hidden="1" customHeight="1">
      <c r="A1102" s="228"/>
      <c r="B1102" s="222"/>
      <c r="C1102" s="222"/>
      <c r="D1102" s="222"/>
      <c r="E1102" s="223"/>
      <c r="F1102" s="32"/>
      <c r="G1102" s="227"/>
      <c r="H1102" s="227"/>
      <c r="I1102" s="223"/>
      <c r="J1102" s="223"/>
      <c r="K1102" s="222"/>
      <c r="L1102" s="222"/>
      <c r="M1102" s="222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</row>
    <row r="1103" ht="15.75" hidden="1" customHeight="1">
      <c r="A1103" s="228"/>
      <c r="B1103" s="222"/>
      <c r="C1103" s="222"/>
      <c r="D1103" s="222"/>
      <c r="E1103" s="223"/>
      <c r="F1103" s="32"/>
      <c r="G1103" s="227"/>
      <c r="H1103" s="227"/>
      <c r="I1103" s="223"/>
      <c r="J1103" s="223"/>
      <c r="K1103" s="222"/>
      <c r="L1103" s="222"/>
      <c r="M1103" s="222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</row>
    <row r="1104" ht="15.75" hidden="1" customHeight="1">
      <c r="A1104" s="228"/>
      <c r="B1104" s="222"/>
      <c r="C1104" s="222"/>
      <c r="D1104" s="222"/>
      <c r="E1104" s="223"/>
      <c r="F1104" s="32"/>
      <c r="G1104" s="227"/>
      <c r="H1104" s="227"/>
      <c r="I1104" s="223"/>
      <c r="J1104" s="223"/>
      <c r="K1104" s="222"/>
      <c r="L1104" s="222"/>
      <c r="M1104" s="222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</row>
    <row r="1105" ht="15.75" hidden="1" customHeight="1">
      <c r="A1105" s="228"/>
      <c r="B1105" s="222"/>
      <c r="C1105" s="222"/>
      <c r="D1105" s="222"/>
      <c r="E1105" s="223"/>
      <c r="F1105" s="32"/>
      <c r="G1105" s="227"/>
      <c r="H1105" s="227"/>
      <c r="I1105" s="223"/>
      <c r="J1105" s="223"/>
      <c r="K1105" s="222"/>
      <c r="L1105" s="222"/>
      <c r="M1105" s="222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</row>
    <row r="1106" ht="15.75" hidden="1" customHeight="1">
      <c r="A1106" s="228"/>
      <c r="B1106" s="222"/>
      <c r="C1106" s="222"/>
      <c r="D1106" s="222"/>
      <c r="E1106" s="223"/>
      <c r="F1106" s="32"/>
      <c r="G1106" s="227"/>
      <c r="H1106" s="227"/>
      <c r="I1106" s="223"/>
      <c r="J1106" s="223"/>
      <c r="K1106" s="222"/>
      <c r="L1106" s="222"/>
      <c r="M1106" s="222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</row>
    <row r="1107" ht="15.75" hidden="1" customHeight="1">
      <c r="A1107" s="228"/>
      <c r="B1107" s="222"/>
      <c r="C1107" s="222"/>
      <c r="D1107" s="222"/>
      <c r="E1107" s="223"/>
      <c r="F1107" s="32"/>
      <c r="G1107" s="227"/>
      <c r="H1107" s="227"/>
      <c r="I1107" s="223"/>
      <c r="J1107" s="223"/>
      <c r="K1107" s="222"/>
      <c r="L1107" s="222"/>
      <c r="M1107" s="222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</row>
    <row r="1108" ht="15.75" hidden="1" customHeight="1">
      <c r="A1108" s="228"/>
      <c r="B1108" s="222"/>
      <c r="C1108" s="222"/>
      <c r="D1108" s="222"/>
      <c r="E1108" s="223"/>
      <c r="F1108" s="32"/>
      <c r="G1108" s="227"/>
      <c r="H1108" s="227"/>
      <c r="I1108" s="223"/>
      <c r="J1108" s="223"/>
      <c r="K1108" s="222"/>
      <c r="L1108" s="222"/>
      <c r="M1108" s="222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</row>
    <row r="1109" ht="15.75" hidden="1" customHeight="1">
      <c r="A1109" s="228"/>
      <c r="B1109" s="222"/>
      <c r="C1109" s="222"/>
      <c r="D1109" s="222"/>
      <c r="E1109" s="223"/>
      <c r="F1109" s="32"/>
      <c r="G1109" s="227"/>
      <c r="H1109" s="227"/>
      <c r="I1109" s="223"/>
      <c r="J1109" s="223"/>
      <c r="K1109" s="222"/>
      <c r="L1109" s="222"/>
      <c r="M1109" s="222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</row>
    <row r="1110" ht="15.75" hidden="1" customHeight="1">
      <c r="A1110" s="228"/>
      <c r="B1110" s="222"/>
      <c r="C1110" s="222"/>
      <c r="D1110" s="222"/>
      <c r="E1110" s="223"/>
      <c r="F1110" s="32"/>
      <c r="G1110" s="227"/>
      <c r="H1110" s="227"/>
      <c r="I1110" s="223"/>
      <c r="J1110" s="223"/>
      <c r="K1110" s="222"/>
      <c r="L1110" s="222"/>
      <c r="M1110" s="222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</row>
    <row r="1111" ht="15.75" hidden="1" customHeight="1">
      <c r="A1111" s="228"/>
      <c r="B1111" s="222"/>
      <c r="C1111" s="222"/>
      <c r="D1111" s="222"/>
      <c r="E1111" s="223"/>
      <c r="F1111" s="32"/>
      <c r="G1111" s="227"/>
      <c r="H1111" s="227"/>
      <c r="I1111" s="223"/>
      <c r="J1111" s="223"/>
      <c r="K1111" s="222"/>
      <c r="L1111" s="222"/>
      <c r="M1111" s="222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</row>
    <row r="1112" ht="15.75" hidden="1" customHeight="1">
      <c r="A1112" s="228"/>
      <c r="B1112" s="222"/>
      <c r="C1112" s="222"/>
      <c r="D1112" s="222"/>
      <c r="E1112" s="223"/>
      <c r="F1112" s="32"/>
      <c r="G1112" s="227"/>
      <c r="H1112" s="227"/>
      <c r="I1112" s="223"/>
      <c r="J1112" s="223"/>
      <c r="K1112" s="222"/>
      <c r="L1112" s="222"/>
      <c r="M1112" s="222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</row>
    <row r="1113" ht="15.75" hidden="1" customHeight="1">
      <c r="A1113" s="228"/>
      <c r="B1113" s="222"/>
      <c r="C1113" s="222"/>
      <c r="D1113" s="222"/>
      <c r="E1113" s="223"/>
      <c r="F1113" s="32"/>
      <c r="G1113" s="227"/>
      <c r="H1113" s="227"/>
      <c r="I1113" s="223"/>
      <c r="J1113" s="223"/>
      <c r="K1113" s="222"/>
      <c r="L1113" s="222"/>
      <c r="M1113" s="222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</row>
    <row r="1114" ht="15.75" hidden="1" customHeight="1">
      <c r="A1114" s="228"/>
      <c r="B1114" s="222"/>
      <c r="C1114" s="222"/>
      <c r="D1114" s="222"/>
      <c r="E1114" s="223"/>
      <c r="F1114" s="32"/>
      <c r="G1114" s="227"/>
      <c r="H1114" s="227"/>
      <c r="I1114" s="223"/>
      <c r="J1114" s="223"/>
      <c r="K1114" s="222"/>
      <c r="L1114" s="222"/>
      <c r="M1114" s="222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</row>
    <row r="1115" ht="15.75" hidden="1" customHeight="1">
      <c r="A1115" s="228"/>
      <c r="B1115" s="222"/>
      <c r="C1115" s="222"/>
      <c r="D1115" s="222"/>
      <c r="E1115" s="223"/>
      <c r="F1115" s="32"/>
      <c r="G1115" s="227"/>
      <c r="H1115" s="227"/>
      <c r="I1115" s="223"/>
      <c r="J1115" s="223"/>
      <c r="K1115" s="222"/>
      <c r="L1115" s="222"/>
      <c r="M1115" s="222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</row>
    <row r="1116" ht="15.75" hidden="1" customHeight="1">
      <c r="A1116" s="228"/>
      <c r="B1116" s="222"/>
      <c r="C1116" s="222"/>
      <c r="D1116" s="222"/>
      <c r="E1116" s="223"/>
      <c r="F1116" s="32"/>
      <c r="G1116" s="227"/>
      <c r="H1116" s="227"/>
      <c r="I1116" s="223"/>
      <c r="J1116" s="223"/>
      <c r="K1116" s="222"/>
      <c r="L1116" s="222"/>
      <c r="M1116" s="222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</row>
    <row r="1117" ht="15.75" hidden="1" customHeight="1">
      <c r="A1117" s="228"/>
      <c r="B1117" s="222"/>
      <c r="C1117" s="222"/>
      <c r="D1117" s="222"/>
      <c r="E1117" s="223"/>
      <c r="F1117" s="32"/>
      <c r="G1117" s="227"/>
      <c r="H1117" s="227"/>
      <c r="I1117" s="223"/>
      <c r="J1117" s="223"/>
      <c r="K1117" s="222"/>
      <c r="L1117" s="222"/>
      <c r="M1117" s="222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</row>
    <row r="1118" ht="15.75" hidden="1" customHeight="1">
      <c r="A1118" s="228"/>
      <c r="B1118" s="222"/>
      <c r="C1118" s="222"/>
      <c r="D1118" s="222"/>
      <c r="E1118" s="223"/>
      <c r="F1118" s="32"/>
      <c r="G1118" s="227"/>
      <c r="H1118" s="227"/>
      <c r="I1118" s="223"/>
      <c r="J1118" s="223"/>
      <c r="K1118" s="222"/>
      <c r="L1118" s="222"/>
      <c r="M1118" s="222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</row>
    <row r="1119" ht="15.75" hidden="1" customHeight="1">
      <c r="A1119" s="228"/>
      <c r="B1119" s="222"/>
      <c r="C1119" s="222"/>
      <c r="D1119" s="222"/>
      <c r="E1119" s="223"/>
      <c r="F1119" s="32"/>
      <c r="G1119" s="227"/>
      <c r="H1119" s="227"/>
      <c r="I1119" s="223"/>
      <c r="J1119" s="223"/>
      <c r="K1119" s="222"/>
      <c r="L1119" s="222"/>
      <c r="M1119" s="222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</row>
    <row r="1120" ht="15.75" hidden="1" customHeight="1">
      <c r="A1120" s="228"/>
      <c r="B1120" s="222"/>
      <c r="C1120" s="222"/>
      <c r="D1120" s="222"/>
      <c r="E1120" s="223"/>
      <c r="F1120" s="32"/>
      <c r="G1120" s="227"/>
      <c r="H1120" s="227"/>
      <c r="I1120" s="223"/>
      <c r="J1120" s="223"/>
      <c r="K1120" s="222"/>
      <c r="L1120" s="222"/>
      <c r="M1120" s="222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</row>
    <row r="1121" ht="15.75" hidden="1" customHeight="1">
      <c r="A1121" s="228"/>
      <c r="B1121" s="222"/>
      <c r="C1121" s="222"/>
      <c r="D1121" s="222"/>
      <c r="E1121" s="223"/>
      <c r="F1121" s="32"/>
      <c r="G1121" s="227"/>
      <c r="H1121" s="227"/>
      <c r="I1121" s="223"/>
      <c r="J1121" s="223"/>
      <c r="K1121" s="222"/>
      <c r="L1121" s="222"/>
      <c r="M1121" s="222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</row>
    <row r="1122" ht="15.75" hidden="1" customHeight="1">
      <c r="A1122" s="228"/>
      <c r="B1122" s="222"/>
      <c r="C1122" s="222"/>
      <c r="D1122" s="222"/>
      <c r="E1122" s="223"/>
      <c r="F1122" s="32"/>
      <c r="G1122" s="227"/>
      <c r="H1122" s="227"/>
      <c r="I1122" s="223"/>
      <c r="J1122" s="223"/>
      <c r="K1122" s="222"/>
      <c r="L1122" s="222"/>
      <c r="M1122" s="222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</row>
    <row r="1123" ht="15.75" hidden="1" customHeight="1">
      <c r="A1123" s="228"/>
      <c r="B1123" s="222"/>
      <c r="C1123" s="222"/>
      <c r="D1123" s="222"/>
      <c r="E1123" s="223"/>
      <c r="F1123" s="32"/>
      <c r="G1123" s="227"/>
      <c r="H1123" s="227"/>
      <c r="I1123" s="223"/>
      <c r="J1123" s="223"/>
      <c r="K1123" s="222"/>
      <c r="L1123" s="222"/>
      <c r="M1123" s="222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</row>
    <row r="1124" ht="15.75" hidden="1" customHeight="1">
      <c r="A1124" s="228"/>
      <c r="B1124" s="222"/>
      <c r="C1124" s="222"/>
      <c r="D1124" s="222"/>
      <c r="E1124" s="223"/>
      <c r="F1124" s="32"/>
      <c r="G1124" s="227"/>
      <c r="H1124" s="227"/>
      <c r="I1124" s="223"/>
      <c r="J1124" s="223"/>
      <c r="K1124" s="222"/>
      <c r="L1124" s="222"/>
      <c r="M1124" s="222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</row>
    <row r="1125" ht="15.75" hidden="1" customHeight="1">
      <c r="A1125" s="228"/>
      <c r="B1125" s="222"/>
      <c r="C1125" s="222"/>
      <c r="D1125" s="222"/>
      <c r="E1125" s="223"/>
      <c r="F1125" s="32"/>
      <c r="G1125" s="227"/>
      <c r="H1125" s="227"/>
      <c r="I1125" s="223"/>
      <c r="J1125" s="223"/>
      <c r="K1125" s="222"/>
      <c r="L1125" s="222"/>
      <c r="M1125" s="222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</row>
    <row r="1126" ht="15.75" hidden="1" customHeight="1">
      <c r="A1126" s="228"/>
      <c r="B1126" s="222"/>
      <c r="C1126" s="222"/>
      <c r="D1126" s="222"/>
      <c r="E1126" s="223"/>
      <c r="F1126" s="32"/>
      <c r="G1126" s="227"/>
      <c r="H1126" s="227"/>
      <c r="I1126" s="223"/>
      <c r="J1126" s="223"/>
      <c r="K1126" s="222"/>
      <c r="L1126" s="222"/>
      <c r="M1126" s="222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</row>
    <row r="1127" ht="15.75" hidden="1" customHeight="1">
      <c r="A1127" s="228"/>
      <c r="B1127" s="222"/>
      <c r="C1127" s="222"/>
      <c r="D1127" s="222"/>
      <c r="E1127" s="223"/>
      <c r="F1127" s="32"/>
      <c r="G1127" s="227"/>
      <c r="H1127" s="227"/>
      <c r="I1127" s="223"/>
      <c r="J1127" s="223"/>
      <c r="K1127" s="222"/>
      <c r="L1127" s="222"/>
      <c r="M1127" s="222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</row>
    <row r="1128" ht="15.75" hidden="1" customHeight="1">
      <c r="A1128" s="228"/>
      <c r="B1128" s="222"/>
      <c r="C1128" s="222"/>
      <c r="D1128" s="222"/>
      <c r="E1128" s="223"/>
      <c r="F1128" s="32"/>
      <c r="G1128" s="227"/>
      <c r="H1128" s="227"/>
      <c r="I1128" s="223"/>
      <c r="J1128" s="223"/>
      <c r="K1128" s="222"/>
      <c r="L1128" s="222"/>
      <c r="M1128" s="222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</row>
    <row r="1129" ht="15.75" hidden="1" customHeight="1">
      <c r="A1129" s="228"/>
      <c r="B1129" s="222"/>
      <c r="C1129" s="222"/>
      <c r="D1129" s="222"/>
      <c r="E1129" s="223"/>
      <c r="F1129" s="32"/>
      <c r="G1129" s="227"/>
      <c r="H1129" s="227"/>
      <c r="I1129" s="223"/>
      <c r="J1129" s="223"/>
      <c r="K1129" s="222"/>
      <c r="L1129" s="222"/>
      <c r="M1129" s="222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</row>
    <row r="1130" ht="15.75" hidden="1" customHeight="1">
      <c r="A1130" s="228"/>
      <c r="B1130" s="222"/>
      <c r="C1130" s="222"/>
      <c r="D1130" s="222"/>
      <c r="E1130" s="223"/>
      <c r="F1130" s="32"/>
      <c r="G1130" s="227"/>
      <c r="H1130" s="227"/>
      <c r="I1130" s="223"/>
      <c r="J1130" s="223"/>
      <c r="K1130" s="222"/>
      <c r="L1130" s="222"/>
      <c r="M1130" s="222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</row>
    <row r="1131" ht="15.75" hidden="1" customHeight="1">
      <c r="A1131" s="228"/>
      <c r="B1131" s="222"/>
      <c r="C1131" s="222"/>
      <c r="D1131" s="222"/>
      <c r="E1131" s="223"/>
      <c r="F1131" s="32"/>
      <c r="G1131" s="227"/>
      <c r="H1131" s="227"/>
      <c r="I1131" s="223"/>
      <c r="J1131" s="223"/>
      <c r="K1131" s="222"/>
      <c r="L1131" s="222"/>
      <c r="M1131" s="222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</row>
    <row r="1132" ht="15.75" hidden="1" customHeight="1">
      <c r="A1132" s="228"/>
      <c r="B1132" s="222"/>
      <c r="C1132" s="222"/>
      <c r="D1132" s="222"/>
      <c r="E1132" s="223"/>
      <c r="F1132" s="32"/>
      <c r="G1132" s="32"/>
      <c r="H1132" s="224"/>
      <c r="I1132" s="223"/>
      <c r="J1132" s="223"/>
      <c r="K1132" s="222"/>
      <c r="L1132" s="222"/>
      <c r="M1132" s="222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</row>
    <row r="1133" ht="15.75" hidden="1" customHeight="1">
      <c r="A1133" s="228"/>
      <c r="B1133" s="222"/>
      <c r="C1133" s="222"/>
      <c r="D1133" s="222"/>
      <c r="E1133" s="223"/>
      <c r="F1133" s="32"/>
      <c r="G1133" s="32"/>
      <c r="H1133" s="224"/>
      <c r="I1133" s="223"/>
      <c r="J1133" s="223"/>
      <c r="K1133" s="222"/>
      <c r="L1133" s="222"/>
      <c r="M1133" s="222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</row>
    <row r="1134" ht="15.75" hidden="1" customHeight="1">
      <c r="A1134" s="228"/>
      <c r="B1134" s="222"/>
      <c r="C1134" s="222"/>
      <c r="D1134" s="222"/>
      <c r="E1134" s="223"/>
      <c r="F1134" s="32"/>
      <c r="G1134" s="32"/>
      <c r="H1134" s="224"/>
      <c r="I1134" s="223"/>
      <c r="J1134" s="223"/>
      <c r="K1134" s="222"/>
      <c r="L1134" s="222"/>
      <c r="M1134" s="222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</row>
    <row r="1135" ht="15.75" hidden="1" customHeight="1">
      <c r="A1135" s="228"/>
      <c r="B1135" s="222"/>
      <c r="C1135" s="222"/>
      <c r="D1135" s="222"/>
      <c r="E1135" s="223"/>
      <c r="F1135" s="32"/>
      <c r="G1135" s="32"/>
      <c r="H1135" s="224"/>
      <c r="I1135" s="223"/>
      <c r="J1135" s="223"/>
      <c r="K1135" s="222"/>
      <c r="L1135" s="222"/>
      <c r="M1135" s="222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</row>
    <row r="1136" ht="15.75" hidden="1" customHeight="1">
      <c r="A1136" s="228"/>
      <c r="B1136" s="222"/>
      <c r="C1136" s="222"/>
      <c r="D1136" s="222"/>
      <c r="E1136" s="223"/>
      <c r="F1136" s="32"/>
      <c r="G1136" s="32"/>
      <c r="H1136" s="224"/>
      <c r="I1136" s="223"/>
      <c r="J1136" s="223"/>
      <c r="K1136" s="222"/>
      <c r="L1136" s="222"/>
      <c r="M1136" s="222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</row>
    <row r="1137" ht="15.75" hidden="1" customHeight="1">
      <c r="A1137" s="228"/>
      <c r="B1137" s="222"/>
      <c r="C1137" s="222"/>
      <c r="D1137" s="222"/>
      <c r="E1137" s="223"/>
      <c r="F1137" s="32"/>
      <c r="G1137" s="32"/>
      <c r="H1137" s="224"/>
      <c r="I1137" s="223"/>
      <c r="J1137" s="223"/>
      <c r="K1137" s="222"/>
      <c r="L1137" s="222"/>
      <c r="M1137" s="222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</row>
    <row r="1138" ht="15.75" hidden="1" customHeight="1">
      <c r="A1138" s="228"/>
      <c r="B1138" s="222"/>
      <c r="C1138" s="222"/>
      <c r="D1138" s="222"/>
      <c r="E1138" s="223"/>
      <c r="F1138" s="32"/>
      <c r="G1138" s="32"/>
      <c r="H1138" s="224"/>
      <c r="I1138" s="223"/>
      <c r="J1138" s="223"/>
      <c r="K1138" s="222"/>
      <c r="L1138" s="222"/>
      <c r="M1138" s="222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</row>
    <row r="1139" ht="15.75" hidden="1" customHeight="1">
      <c r="A1139" s="228"/>
      <c r="B1139" s="222"/>
      <c r="C1139" s="222"/>
      <c r="D1139" s="222"/>
      <c r="E1139" s="223"/>
      <c r="F1139" s="32"/>
      <c r="G1139" s="32"/>
      <c r="H1139" s="224"/>
      <c r="I1139" s="223"/>
      <c r="J1139" s="223"/>
      <c r="K1139" s="222"/>
      <c r="L1139" s="222"/>
      <c r="M1139" s="222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</row>
    <row r="1140" ht="15.75" hidden="1" customHeight="1">
      <c r="A1140" s="228"/>
      <c r="B1140" s="222"/>
      <c r="C1140" s="222"/>
      <c r="D1140" s="222"/>
      <c r="E1140" s="223"/>
      <c r="F1140" s="32"/>
      <c r="G1140" s="32"/>
      <c r="H1140" s="224"/>
      <c r="I1140" s="223"/>
      <c r="J1140" s="223"/>
      <c r="K1140" s="222"/>
      <c r="L1140" s="222"/>
      <c r="M1140" s="222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</row>
    <row r="1141" ht="15.75" hidden="1" customHeight="1">
      <c r="A1141" s="228"/>
      <c r="B1141" s="222"/>
      <c r="C1141" s="222"/>
      <c r="D1141" s="222"/>
      <c r="E1141" s="223"/>
      <c r="F1141" s="32"/>
      <c r="G1141" s="32"/>
      <c r="H1141" s="224"/>
      <c r="I1141" s="223"/>
      <c r="J1141" s="223"/>
      <c r="K1141" s="222"/>
      <c r="L1141" s="222"/>
      <c r="M1141" s="222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</row>
    <row r="1142" ht="15.75" hidden="1" customHeight="1">
      <c r="A1142" s="228"/>
      <c r="B1142" s="222"/>
      <c r="C1142" s="222"/>
      <c r="D1142" s="222"/>
      <c r="E1142" s="223"/>
      <c r="F1142" s="32"/>
      <c r="G1142" s="32"/>
      <c r="H1142" s="224"/>
      <c r="I1142" s="223"/>
      <c r="J1142" s="223"/>
      <c r="K1142" s="222"/>
      <c r="L1142" s="222"/>
      <c r="M1142" s="222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</row>
    <row r="1143" ht="15.75" hidden="1" customHeight="1">
      <c r="A1143" s="228"/>
      <c r="B1143" s="222"/>
      <c r="C1143" s="222"/>
      <c r="D1143" s="222"/>
      <c r="E1143" s="223"/>
      <c r="F1143" s="32"/>
      <c r="G1143" s="32"/>
      <c r="H1143" s="224"/>
      <c r="I1143" s="223"/>
      <c r="J1143" s="223"/>
      <c r="K1143" s="222"/>
      <c r="L1143" s="222"/>
      <c r="M1143" s="222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</row>
    <row r="1144" ht="15.75" hidden="1" customHeight="1">
      <c r="A1144" s="228"/>
      <c r="B1144" s="222"/>
      <c r="C1144" s="222"/>
      <c r="D1144" s="222"/>
      <c r="E1144" s="223"/>
      <c r="F1144" s="32"/>
      <c r="G1144" s="32"/>
      <c r="H1144" s="224"/>
      <c r="I1144" s="223"/>
      <c r="J1144" s="223"/>
      <c r="K1144" s="222"/>
      <c r="L1144" s="222"/>
      <c r="M1144" s="222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</row>
    <row r="1145" ht="15.75" hidden="1" customHeight="1">
      <c r="A1145" s="228"/>
      <c r="B1145" s="222"/>
      <c r="C1145" s="222"/>
      <c r="D1145" s="222"/>
      <c r="E1145" s="223"/>
      <c r="F1145" s="32"/>
      <c r="G1145" s="32"/>
      <c r="H1145" s="224"/>
      <c r="I1145" s="223"/>
      <c r="J1145" s="223"/>
      <c r="K1145" s="222"/>
      <c r="L1145" s="222"/>
      <c r="M1145" s="222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</row>
    <row r="1146" ht="15.75" hidden="1" customHeight="1">
      <c r="A1146" s="228"/>
      <c r="B1146" s="222"/>
      <c r="C1146" s="222"/>
      <c r="D1146" s="222"/>
      <c r="E1146" s="223"/>
      <c r="F1146" s="32"/>
      <c r="G1146" s="32"/>
      <c r="H1146" s="224"/>
      <c r="I1146" s="223"/>
      <c r="J1146" s="223"/>
      <c r="K1146" s="222"/>
      <c r="L1146" s="222"/>
      <c r="M1146" s="222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</row>
    <row r="1147" ht="15.75" hidden="1" customHeight="1">
      <c r="A1147" s="228"/>
      <c r="B1147" s="222"/>
      <c r="C1147" s="222"/>
      <c r="D1147" s="222"/>
      <c r="E1147" s="223"/>
      <c r="F1147" s="32"/>
      <c r="G1147" s="32"/>
      <c r="H1147" s="224"/>
      <c r="I1147" s="223"/>
      <c r="J1147" s="223"/>
      <c r="K1147" s="222"/>
      <c r="L1147" s="222"/>
      <c r="M1147" s="222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</row>
    <row r="1148" ht="15.75" hidden="1" customHeight="1">
      <c r="A1148" s="228"/>
      <c r="B1148" s="222"/>
      <c r="C1148" s="222"/>
      <c r="D1148" s="222"/>
      <c r="E1148" s="223"/>
      <c r="F1148" s="32"/>
      <c r="G1148" s="32"/>
      <c r="H1148" s="224"/>
      <c r="I1148" s="223"/>
      <c r="J1148" s="223"/>
      <c r="K1148" s="222"/>
      <c r="L1148" s="222"/>
      <c r="M1148" s="222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</row>
    <row r="1149" ht="15.75" hidden="1" customHeight="1">
      <c r="A1149" s="228"/>
      <c r="B1149" s="222"/>
      <c r="C1149" s="222"/>
      <c r="D1149" s="222"/>
      <c r="E1149" s="223"/>
      <c r="F1149" s="32"/>
      <c r="G1149" s="32"/>
      <c r="H1149" s="224"/>
      <c r="I1149" s="223"/>
      <c r="J1149" s="223"/>
      <c r="K1149" s="222"/>
      <c r="L1149" s="222"/>
      <c r="M1149" s="222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</row>
    <row r="1150" ht="15.75" hidden="1" customHeight="1">
      <c r="A1150" s="228"/>
      <c r="B1150" s="222"/>
      <c r="C1150" s="222"/>
      <c r="D1150" s="222"/>
      <c r="E1150" s="223"/>
      <c r="F1150" s="32"/>
      <c r="G1150" s="32"/>
      <c r="H1150" s="224"/>
      <c r="I1150" s="223"/>
      <c r="J1150" s="223"/>
      <c r="K1150" s="222"/>
      <c r="L1150" s="222"/>
      <c r="M1150" s="222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</row>
    <row r="1151" ht="15.75" hidden="1" customHeight="1">
      <c r="A1151" s="228"/>
      <c r="B1151" s="222"/>
      <c r="C1151" s="222"/>
      <c r="D1151" s="222"/>
      <c r="E1151" s="223"/>
      <c r="F1151" s="32"/>
      <c r="G1151" s="32"/>
      <c r="H1151" s="224"/>
      <c r="I1151" s="223"/>
      <c r="J1151" s="223"/>
      <c r="K1151" s="222"/>
      <c r="L1151" s="222"/>
      <c r="M1151" s="222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</row>
    <row r="1152" ht="15.75" hidden="1" customHeight="1">
      <c r="A1152" s="228"/>
      <c r="B1152" s="222"/>
      <c r="C1152" s="222"/>
      <c r="D1152" s="222"/>
      <c r="E1152" s="223"/>
      <c r="F1152" s="32"/>
      <c r="G1152" s="32"/>
      <c r="H1152" s="224"/>
      <c r="I1152" s="223"/>
      <c r="J1152" s="223"/>
      <c r="K1152" s="222"/>
      <c r="L1152" s="222"/>
      <c r="M1152" s="222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</row>
    <row r="1153" ht="15.75" hidden="1" customHeight="1">
      <c r="A1153" s="228"/>
      <c r="B1153" s="222"/>
      <c r="C1153" s="222"/>
      <c r="D1153" s="222"/>
      <c r="E1153" s="223"/>
      <c r="F1153" s="32"/>
      <c r="G1153" s="32"/>
      <c r="H1153" s="224"/>
      <c r="I1153" s="223"/>
      <c r="J1153" s="223"/>
      <c r="K1153" s="222"/>
      <c r="L1153" s="222"/>
      <c r="M1153" s="222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</row>
    <row r="1154" ht="15.75" hidden="1" customHeight="1">
      <c r="A1154" s="228"/>
      <c r="B1154" s="222"/>
      <c r="C1154" s="222"/>
      <c r="D1154" s="222"/>
      <c r="E1154" s="223"/>
      <c r="F1154" s="32"/>
      <c r="G1154" s="32"/>
      <c r="H1154" s="224"/>
      <c r="I1154" s="223"/>
      <c r="J1154" s="223"/>
      <c r="K1154" s="222"/>
      <c r="L1154" s="222"/>
      <c r="M1154" s="222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</row>
    <row r="1155" ht="15.75" hidden="1" customHeight="1">
      <c r="A1155" s="228"/>
      <c r="B1155" s="222"/>
      <c r="C1155" s="222"/>
      <c r="D1155" s="222"/>
      <c r="E1155" s="223"/>
      <c r="F1155" s="32"/>
      <c r="G1155" s="32"/>
      <c r="H1155" s="224"/>
      <c r="I1155" s="223"/>
      <c r="J1155" s="223"/>
      <c r="K1155" s="222"/>
      <c r="L1155" s="222"/>
      <c r="M1155" s="222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</row>
    <row r="1156" ht="15.75" hidden="1" customHeight="1">
      <c r="A1156" s="228"/>
      <c r="B1156" s="222"/>
      <c r="C1156" s="222"/>
      <c r="D1156" s="222"/>
      <c r="E1156" s="223"/>
      <c r="F1156" s="32"/>
      <c r="G1156" s="32"/>
      <c r="H1156" s="224"/>
      <c r="I1156" s="223"/>
      <c r="J1156" s="223"/>
      <c r="K1156" s="222"/>
      <c r="L1156" s="222"/>
      <c r="M1156" s="222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</row>
    <row r="1157" ht="15.75" hidden="1" customHeight="1">
      <c r="A1157" s="228"/>
      <c r="B1157" s="222"/>
      <c r="C1157" s="222"/>
      <c r="D1157" s="222"/>
      <c r="E1157" s="223"/>
      <c r="F1157" s="32"/>
      <c r="G1157" s="32"/>
      <c r="H1157" s="224"/>
      <c r="I1157" s="223"/>
      <c r="J1157" s="223"/>
      <c r="K1157" s="222"/>
      <c r="L1157" s="222"/>
      <c r="M1157" s="222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</row>
    <row r="1158" ht="15.75" hidden="1" customHeight="1">
      <c r="A1158" s="228"/>
      <c r="B1158" s="222"/>
      <c r="C1158" s="222"/>
      <c r="D1158" s="222"/>
      <c r="E1158" s="223"/>
      <c r="F1158" s="32"/>
      <c r="G1158" s="32"/>
      <c r="H1158" s="224"/>
      <c r="I1158" s="223"/>
      <c r="J1158" s="223"/>
      <c r="K1158" s="222"/>
      <c r="L1158" s="222"/>
      <c r="M1158" s="222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</row>
    <row r="1159" ht="15.75" hidden="1" customHeight="1">
      <c r="A1159" s="228"/>
      <c r="B1159" s="222"/>
      <c r="C1159" s="222"/>
      <c r="D1159" s="222"/>
      <c r="E1159" s="223"/>
      <c r="F1159" s="32"/>
      <c r="G1159" s="32"/>
      <c r="H1159" s="224"/>
      <c r="I1159" s="223"/>
      <c r="J1159" s="223"/>
      <c r="K1159" s="222"/>
      <c r="L1159" s="222"/>
      <c r="M1159" s="222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</row>
    <row r="1160" ht="15.75" hidden="1" customHeight="1">
      <c r="A1160" s="228"/>
      <c r="B1160" s="222"/>
      <c r="C1160" s="222"/>
      <c r="D1160" s="222"/>
      <c r="E1160" s="223"/>
      <c r="F1160" s="32"/>
      <c r="G1160" s="32"/>
      <c r="H1160" s="224"/>
      <c r="I1160" s="223"/>
      <c r="J1160" s="223"/>
      <c r="K1160" s="222"/>
      <c r="L1160" s="222"/>
      <c r="M1160" s="222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</row>
    <row r="1161" ht="15.75" hidden="1" customHeight="1">
      <c r="A1161" s="228"/>
      <c r="B1161" s="222"/>
      <c r="C1161" s="222"/>
      <c r="D1161" s="222"/>
      <c r="E1161" s="223"/>
      <c r="F1161" s="32"/>
      <c r="G1161" s="32"/>
      <c r="H1161" s="224"/>
      <c r="I1161" s="223"/>
      <c r="J1161" s="223"/>
      <c r="K1161" s="222"/>
      <c r="L1161" s="222"/>
      <c r="M1161" s="222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</row>
    <row r="1162" ht="15.75" hidden="1" customHeight="1">
      <c r="A1162" s="228"/>
      <c r="B1162" s="222"/>
      <c r="C1162" s="222"/>
      <c r="D1162" s="222"/>
      <c r="E1162" s="223"/>
      <c r="F1162" s="32"/>
      <c r="G1162" s="32"/>
      <c r="H1162" s="224"/>
      <c r="I1162" s="223"/>
      <c r="J1162" s="223"/>
      <c r="K1162" s="222"/>
      <c r="L1162" s="222"/>
      <c r="M1162" s="222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</row>
    <row r="1163" ht="15.75" hidden="1" customHeight="1">
      <c r="A1163" s="228"/>
      <c r="B1163" s="222"/>
      <c r="C1163" s="222"/>
      <c r="D1163" s="222"/>
      <c r="E1163" s="223"/>
      <c r="F1163" s="32"/>
      <c r="G1163" s="32"/>
      <c r="H1163" s="224"/>
      <c r="I1163" s="223"/>
      <c r="J1163" s="223"/>
      <c r="K1163" s="222"/>
      <c r="L1163" s="222"/>
      <c r="M1163" s="222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</row>
    <row r="1164" ht="15.75" hidden="1" customHeight="1">
      <c r="A1164" s="228"/>
      <c r="B1164" s="222"/>
      <c r="C1164" s="222"/>
      <c r="D1164" s="222"/>
      <c r="E1164" s="223"/>
      <c r="F1164" s="32"/>
      <c r="G1164" s="32"/>
      <c r="H1164" s="224"/>
      <c r="I1164" s="223"/>
      <c r="J1164" s="223"/>
      <c r="K1164" s="222"/>
      <c r="L1164" s="222"/>
      <c r="M1164" s="222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</row>
    <row r="1165" ht="15.75" hidden="1" customHeight="1">
      <c r="A1165" s="228"/>
      <c r="B1165" s="222"/>
      <c r="C1165" s="222"/>
      <c r="D1165" s="222"/>
      <c r="E1165" s="223"/>
      <c r="F1165" s="32"/>
      <c r="G1165" s="32"/>
      <c r="H1165" s="224"/>
      <c r="I1165" s="223"/>
      <c r="J1165" s="223"/>
      <c r="K1165" s="222"/>
      <c r="L1165" s="222"/>
      <c r="M1165" s="222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</row>
    <row r="1166" ht="15.75" hidden="1" customHeight="1">
      <c r="A1166" s="228"/>
      <c r="B1166" s="222"/>
      <c r="C1166" s="222"/>
      <c r="D1166" s="222"/>
      <c r="E1166" s="223"/>
      <c r="F1166" s="32"/>
      <c r="G1166" s="32"/>
      <c r="H1166" s="224"/>
      <c r="I1166" s="223"/>
      <c r="J1166" s="223"/>
      <c r="K1166" s="222"/>
      <c r="L1166" s="222"/>
      <c r="M1166" s="222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</row>
    <row r="1167" ht="15.75" hidden="1" customHeight="1">
      <c r="A1167" s="228"/>
      <c r="B1167" s="222"/>
      <c r="C1167" s="222"/>
      <c r="D1167" s="222"/>
      <c r="E1167" s="223"/>
      <c r="F1167" s="32"/>
      <c r="G1167" s="32"/>
      <c r="H1167" s="224"/>
      <c r="I1167" s="223"/>
      <c r="J1167" s="223"/>
      <c r="K1167" s="222"/>
      <c r="L1167" s="222"/>
      <c r="M1167" s="222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</row>
    <row r="1168" ht="15.75" hidden="1" customHeight="1">
      <c r="A1168" s="228"/>
      <c r="B1168" s="222"/>
      <c r="C1168" s="222"/>
      <c r="D1168" s="222"/>
      <c r="E1168" s="223"/>
      <c r="F1168" s="32"/>
      <c r="G1168" s="32"/>
      <c r="H1168" s="224"/>
      <c r="I1168" s="223"/>
      <c r="J1168" s="223"/>
      <c r="K1168" s="222"/>
      <c r="L1168" s="222"/>
      <c r="M1168" s="222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</row>
    <row r="1169" ht="15.75" hidden="1" customHeight="1">
      <c r="A1169" s="228"/>
      <c r="B1169" s="222"/>
      <c r="C1169" s="222"/>
      <c r="D1169" s="222"/>
      <c r="E1169" s="223"/>
      <c r="F1169" s="32"/>
      <c r="G1169" s="32"/>
      <c r="H1169" s="224"/>
      <c r="I1169" s="223"/>
      <c r="J1169" s="223"/>
      <c r="K1169" s="222"/>
      <c r="L1169" s="222"/>
      <c r="M1169" s="222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</row>
    <row r="1170" ht="15.75" hidden="1" customHeight="1">
      <c r="A1170" s="228"/>
      <c r="B1170" s="222"/>
      <c r="C1170" s="222"/>
      <c r="D1170" s="222"/>
      <c r="E1170" s="223"/>
      <c r="F1170" s="32"/>
      <c r="G1170" s="32"/>
      <c r="H1170" s="224"/>
      <c r="I1170" s="223"/>
      <c r="J1170" s="223"/>
      <c r="K1170" s="222"/>
      <c r="L1170" s="222"/>
      <c r="M1170" s="222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</row>
    <row r="1171" ht="15.75" hidden="1" customHeight="1">
      <c r="A1171" s="228"/>
      <c r="B1171" s="222"/>
      <c r="C1171" s="222"/>
      <c r="D1171" s="222"/>
      <c r="E1171" s="223"/>
      <c r="F1171" s="32"/>
      <c r="G1171" s="32"/>
      <c r="H1171" s="224"/>
      <c r="I1171" s="223"/>
      <c r="J1171" s="223"/>
      <c r="K1171" s="222"/>
      <c r="L1171" s="222"/>
      <c r="M1171" s="222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</row>
    <row r="1172" ht="15.75" hidden="1" customHeight="1">
      <c r="A1172" s="275"/>
      <c r="B1172" s="194"/>
      <c r="C1172" s="194"/>
      <c r="D1172" s="194"/>
      <c r="E1172" s="223"/>
      <c r="F1172" s="27"/>
      <c r="G1172" s="27"/>
      <c r="H1172" s="187"/>
      <c r="I1172" s="74"/>
      <c r="J1172" s="74"/>
      <c r="K1172" s="194"/>
      <c r="L1172" s="194"/>
      <c r="M1172" s="194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</row>
  </sheetData>
  <autoFilter ref="$A$1:$Z$1172">
    <filterColumn colId="4">
      <filters>
        <filter val="Animares"/>
      </filters>
    </filterColumn>
  </autoFilter>
  <conditionalFormatting sqref="I2:J117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2:E1172">
      <formula1>'Lista 2'!$C$2:$C$100</formula1>
    </dataValidation>
    <dataValidation type="custom" allowBlank="1" showDropDown="1" showErrorMessage="1" sqref="A14:A15 A38:A39 A41:A47 A49 A57:A58 A60 A62 A64 A67:A69 A460:A466 A535:A543 A623 A683:A687 A691:A697 A807:A813 A876:A879 A895:A902 A944 A958:A967 A978:A991 A1015:A1021 A1028:A1030 A1061:A1072 A1074 A1076:A1077 A1090">
      <formula1>OR(NOT(ISERROR(DATEVALUE(A14))), AND(ISNUMBER(A14), LEFT(CELL("format", A14))="D"))</formula1>
    </dataValidation>
    <dataValidation type="list" allowBlank="1" showErrorMessage="1" sqref="I2:I1172">
      <formula1>'Lista 2'!$B$2:$B$999</formula1>
    </dataValidation>
  </dataValidation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9.63"/>
    <col customWidth="1" min="3" max="6" width="12.63"/>
    <col customWidth="1" min="8" max="10" width="12.63"/>
    <col customWidth="1" min="13" max="14" width="12.63"/>
    <col customWidth="1" min="18" max="18" width="12.63"/>
    <col customWidth="1" min="20" max="20" width="12.63"/>
    <col customWidth="1" min="24" max="24" width="12.63"/>
    <col customWidth="1" hidden="1" min="26" max="26" width="12.63"/>
  </cols>
  <sheetData>
    <row r="1">
      <c r="A1" s="74" t="s">
        <v>1153</v>
      </c>
      <c r="B1" s="74" t="s">
        <v>1154</v>
      </c>
      <c r="C1" s="74" t="s">
        <v>479</v>
      </c>
      <c r="D1" s="74" t="s">
        <v>1155</v>
      </c>
      <c r="E1" s="74" t="s">
        <v>1156</v>
      </c>
      <c r="F1" s="74" t="s">
        <v>1157</v>
      </c>
      <c r="G1" s="74" t="s">
        <v>480</v>
      </c>
      <c r="H1" s="74" t="s">
        <v>1158</v>
      </c>
      <c r="I1" s="74" t="s">
        <v>1159</v>
      </c>
      <c r="J1" s="74" t="s">
        <v>1160</v>
      </c>
      <c r="K1" s="74" t="s">
        <v>1161</v>
      </c>
      <c r="L1" s="74" t="s">
        <v>1162</v>
      </c>
      <c r="M1" s="74" t="s">
        <v>1163</v>
      </c>
      <c r="N1" s="74" t="s">
        <v>1164</v>
      </c>
      <c r="O1" s="74"/>
      <c r="P1" s="74" t="s">
        <v>225</v>
      </c>
      <c r="Q1" s="74" t="s">
        <v>1165</v>
      </c>
      <c r="R1" s="339" t="s">
        <v>1166</v>
      </c>
      <c r="S1" s="339" t="s">
        <v>1167</v>
      </c>
      <c r="T1" s="74" t="s">
        <v>1168</v>
      </c>
      <c r="U1" s="74" t="s">
        <v>1169</v>
      </c>
      <c r="V1" s="74" t="s">
        <v>226</v>
      </c>
      <c r="W1" s="74" t="s">
        <v>1170</v>
      </c>
      <c r="X1" s="74" t="s">
        <v>1171</v>
      </c>
      <c r="Y1" s="74" t="s">
        <v>1172</v>
      </c>
      <c r="Z1" s="74" t="s">
        <v>1173</v>
      </c>
      <c r="AA1" s="74" t="s">
        <v>1174</v>
      </c>
    </row>
    <row r="2" hidden="1">
      <c r="A2" s="340" t="s">
        <v>1175</v>
      </c>
      <c r="B2" s="191" t="s">
        <v>1176</v>
      </c>
      <c r="C2" s="341">
        <v>46153.0</v>
      </c>
      <c r="D2" s="194">
        <v>11.0</v>
      </c>
      <c r="E2" s="194">
        <v>5.0</v>
      </c>
      <c r="F2" s="194">
        <v>2026.0</v>
      </c>
      <c r="G2" s="341">
        <v>46154.0</v>
      </c>
      <c r="H2" s="194">
        <v>12.0</v>
      </c>
      <c r="I2" s="194">
        <v>5.0</v>
      </c>
      <c r="J2" s="194">
        <v>2026.0</v>
      </c>
      <c r="K2" s="74" t="s">
        <v>51</v>
      </c>
      <c r="L2" s="74" t="s">
        <v>1177</v>
      </c>
      <c r="M2" s="194">
        <v>1.0</v>
      </c>
      <c r="N2" s="194">
        <v>1.0</v>
      </c>
      <c r="O2" s="194"/>
      <c r="P2" s="194">
        <v>2.0</v>
      </c>
      <c r="Q2" s="341">
        <v>46153.0</v>
      </c>
      <c r="R2" s="185">
        <v>11.0</v>
      </c>
      <c r="S2" s="185">
        <v>5.0</v>
      </c>
      <c r="T2" s="194">
        <v>2026.0</v>
      </c>
      <c r="U2" s="74" t="s">
        <v>245</v>
      </c>
      <c r="V2" s="342">
        <v>37.9233</v>
      </c>
      <c r="W2" s="341">
        <v>46153.0</v>
      </c>
      <c r="X2" s="185">
        <v>11.0</v>
      </c>
      <c r="Y2" s="185">
        <v>5.0</v>
      </c>
      <c r="Z2" s="194">
        <v>2026.0</v>
      </c>
      <c r="AA2" s="74" t="s">
        <v>2</v>
      </c>
    </row>
    <row r="3" hidden="1">
      <c r="A3" s="340" t="s">
        <v>1178</v>
      </c>
      <c r="B3" s="191" t="s">
        <v>1179</v>
      </c>
      <c r="C3" s="341">
        <v>46147.0</v>
      </c>
      <c r="D3" s="194">
        <v>5.0</v>
      </c>
      <c r="E3" s="194">
        <v>5.0</v>
      </c>
      <c r="F3" s="194">
        <v>2026.0</v>
      </c>
      <c r="G3" s="341">
        <v>46149.0</v>
      </c>
      <c r="H3" s="194">
        <v>7.0</v>
      </c>
      <c r="I3" s="194">
        <v>5.0</v>
      </c>
      <c r="J3" s="194">
        <v>2026.0</v>
      </c>
      <c r="K3" s="74" t="s">
        <v>51</v>
      </c>
      <c r="L3" s="74" t="s">
        <v>1177</v>
      </c>
      <c r="M3" s="194">
        <v>1.0</v>
      </c>
      <c r="N3" s="194">
        <v>2.0</v>
      </c>
      <c r="O3" s="194"/>
      <c r="P3" s="194">
        <v>4.0</v>
      </c>
      <c r="Q3" s="341">
        <v>46147.0</v>
      </c>
      <c r="R3" s="185">
        <v>5.0</v>
      </c>
      <c r="S3" s="185">
        <v>5.0</v>
      </c>
      <c r="T3" s="194">
        <v>2026.0</v>
      </c>
      <c r="U3" s="74" t="s">
        <v>262</v>
      </c>
      <c r="V3" s="342">
        <v>79.21755999999999</v>
      </c>
      <c r="W3" s="341">
        <v>46147.0</v>
      </c>
      <c r="X3" s="185">
        <v>5.0</v>
      </c>
      <c r="Y3" s="185">
        <v>5.0</v>
      </c>
      <c r="Z3" s="194">
        <v>2026.0</v>
      </c>
      <c r="AA3" s="74" t="s">
        <v>2</v>
      </c>
    </row>
    <row r="4" hidden="1">
      <c r="A4" s="340" t="s">
        <v>1180</v>
      </c>
      <c r="B4" s="191" t="s">
        <v>1181</v>
      </c>
      <c r="C4" s="341">
        <v>46153.0</v>
      </c>
      <c r="D4" s="194">
        <v>11.0</v>
      </c>
      <c r="E4" s="194">
        <v>5.0</v>
      </c>
      <c r="F4" s="194">
        <v>2026.0</v>
      </c>
      <c r="G4" s="341">
        <v>46156.0</v>
      </c>
      <c r="H4" s="194">
        <v>14.0</v>
      </c>
      <c r="I4" s="194">
        <v>5.0</v>
      </c>
      <c r="J4" s="194">
        <v>2026.0</v>
      </c>
      <c r="K4" s="74" t="s">
        <v>51</v>
      </c>
      <c r="L4" s="74" t="s">
        <v>1177</v>
      </c>
      <c r="M4" s="194">
        <v>1.0</v>
      </c>
      <c r="N4" s="194">
        <v>3.0</v>
      </c>
      <c r="O4" s="74"/>
      <c r="P4" s="74"/>
      <c r="Q4" s="341">
        <v>46153.0</v>
      </c>
      <c r="R4" s="185">
        <v>11.0</v>
      </c>
      <c r="S4" s="185">
        <v>5.0</v>
      </c>
      <c r="T4" s="194">
        <v>2026.0</v>
      </c>
      <c r="U4" s="74" t="s">
        <v>2</v>
      </c>
      <c r="V4" s="342">
        <v>118.82634</v>
      </c>
      <c r="W4" s="341">
        <v>46153.0</v>
      </c>
      <c r="X4" s="185">
        <v>11.0</v>
      </c>
      <c r="Y4" s="185">
        <v>5.0</v>
      </c>
      <c r="Z4" s="194">
        <v>2026.0</v>
      </c>
      <c r="AA4" s="74" t="s">
        <v>2</v>
      </c>
    </row>
    <row r="5" hidden="1">
      <c r="A5" s="340" t="s">
        <v>1182</v>
      </c>
      <c r="B5" s="191" t="s">
        <v>1183</v>
      </c>
      <c r="C5" s="343">
        <v>46170.0</v>
      </c>
      <c r="D5" s="194">
        <v>28.0</v>
      </c>
      <c r="E5" s="194">
        <v>5.0</v>
      </c>
      <c r="F5" s="194">
        <v>2026.0</v>
      </c>
      <c r="G5" s="343">
        <v>46172.0</v>
      </c>
      <c r="H5" s="194">
        <v>30.0</v>
      </c>
      <c r="I5" s="194">
        <v>5.0</v>
      </c>
      <c r="J5" s="194">
        <v>2026.0</v>
      </c>
      <c r="K5" s="74" t="s">
        <v>51</v>
      </c>
      <c r="L5" s="74" t="s">
        <v>1177</v>
      </c>
      <c r="M5" s="74">
        <v>7.0</v>
      </c>
      <c r="N5" s="74">
        <v>2.0</v>
      </c>
      <c r="O5" s="74"/>
      <c r="P5" s="74">
        <v>28.0</v>
      </c>
      <c r="Q5" s="344">
        <v>46170.0</v>
      </c>
      <c r="R5" s="185">
        <v>28.0</v>
      </c>
      <c r="S5" s="185">
        <v>5.0</v>
      </c>
      <c r="T5" s="194">
        <v>2026.0</v>
      </c>
      <c r="U5" s="74" t="s">
        <v>245</v>
      </c>
      <c r="V5" s="345">
        <v>436.83427900000004</v>
      </c>
      <c r="W5" s="344">
        <v>46170.0</v>
      </c>
      <c r="X5" s="185">
        <v>28.0</v>
      </c>
      <c r="Y5" s="185">
        <v>5.0</v>
      </c>
      <c r="Z5" s="194">
        <v>2026.0</v>
      </c>
      <c r="AA5" s="74" t="s">
        <v>2</v>
      </c>
    </row>
    <row r="6" hidden="1">
      <c r="A6" s="340" t="s">
        <v>1184</v>
      </c>
      <c r="B6" s="191" t="s">
        <v>1185</v>
      </c>
      <c r="C6" s="341">
        <v>46163.0</v>
      </c>
      <c r="D6" s="194">
        <v>21.0</v>
      </c>
      <c r="E6" s="194">
        <v>5.0</v>
      </c>
      <c r="F6" s="194">
        <v>2026.0</v>
      </c>
      <c r="G6" s="341">
        <v>46164.0</v>
      </c>
      <c r="H6" s="194">
        <v>22.0</v>
      </c>
      <c r="I6" s="194">
        <v>5.0</v>
      </c>
      <c r="J6" s="194">
        <v>2026.0</v>
      </c>
      <c r="K6" s="74" t="s">
        <v>51</v>
      </c>
      <c r="L6" s="74" t="s">
        <v>1177</v>
      </c>
      <c r="M6" s="194">
        <v>1.0</v>
      </c>
      <c r="N6" s="194">
        <v>1.0</v>
      </c>
      <c r="O6" s="194"/>
      <c r="P6" s="194">
        <v>2.0</v>
      </c>
      <c r="Q6" s="341">
        <v>46163.0</v>
      </c>
      <c r="R6" s="185">
        <v>21.0</v>
      </c>
      <c r="S6" s="185">
        <v>5.0</v>
      </c>
      <c r="T6" s="194">
        <v>2026.0</v>
      </c>
      <c r="U6" s="74" t="s">
        <v>2</v>
      </c>
      <c r="V6" s="342">
        <v>37.9233</v>
      </c>
      <c r="W6" s="341">
        <v>46163.0</v>
      </c>
      <c r="X6" s="185">
        <v>21.0</v>
      </c>
      <c r="Y6" s="185">
        <v>5.0</v>
      </c>
      <c r="Z6" s="194">
        <v>2026.0</v>
      </c>
      <c r="AA6" s="74" t="s">
        <v>2</v>
      </c>
    </row>
    <row r="7" hidden="1">
      <c r="A7" s="340" t="s">
        <v>1186</v>
      </c>
      <c r="B7" s="191" t="s">
        <v>1187</v>
      </c>
      <c r="C7" s="341">
        <v>46165.0</v>
      </c>
      <c r="D7" s="194">
        <v>23.0</v>
      </c>
      <c r="E7" s="194">
        <v>5.0</v>
      </c>
      <c r="F7" s="194">
        <v>2026.0</v>
      </c>
      <c r="G7" s="341">
        <v>46166.0</v>
      </c>
      <c r="H7" s="194">
        <v>24.0</v>
      </c>
      <c r="I7" s="194">
        <v>5.0</v>
      </c>
      <c r="J7" s="194">
        <v>2026.0</v>
      </c>
      <c r="K7" s="74" t="s">
        <v>51</v>
      </c>
      <c r="L7" s="74" t="s">
        <v>1177</v>
      </c>
      <c r="M7" s="194">
        <v>1.0</v>
      </c>
      <c r="N7" s="194">
        <v>1.0</v>
      </c>
      <c r="O7" s="74"/>
      <c r="P7" s="74"/>
      <c r="Q7" s="341">
        <v>46165.0</v>
      </c>
      <c r="R7" s="185">
        <v>23.0</v>
      </c>
      <c r="S7" s="185">
        <v>5.0</v>
      </c>
      <c r="T7" s="194">
        <v>2026.0</v>
      </c>
      <c r="U7" s="74" t="s">
        <v>2</v>
      </c>
      <c r="V7" s="342">
        <v>37.9233</v>
      </c>
      <c r="W7" s="341">
        <v>46165.0</v>
      </c>
      <c r="X7" s="185">
        <v>23.0</v>
      </c>
      <c r="Y7" s="185">
        <v>5.0</v>
      </c>
      <c r="Z7" s="194">
        <v>2026.0</v>
      </c>
      <c r="AA7" s="74" t="s">
        <v>2</v>
      </c>
    </row>
    <row r="8" hidden="1">
      <c r="A8" s="340" t="s">
        <v>1188</v>
      </c>
      <c r="B8" s="191" t="s">
        <v>1189</v>
      </c>
      <c r="C8" s="341">
        <v>46149.0</v>
      </c>
      <c r="D8" s="194">
        <v>7.0</v>
      </c>
      <c r="E8" s="194">
        <v>5.0</v>
      </c>
      <c r="F8" s="194">
        <v>2026.0</v>
      </c>
      <c r="G8" s="341">
        <v>46150.0</v>
      </c>
      <c r="H8" s="194">
        <v>8.0</v>
      </c>
      <c r="I8" s="194">
        <v>5.0</v>
      </c>
      <c r="J8" s="194">
        <v>2026.0</v>
      </c>
      <c r="K8" s="74" t="s">
        <v>51</v>
      </c>
      <c r="L8" s="74" t="s">
        <v>1177</v>
      </c>
      <c r="M8" s="194">
        <v>1.0</v>
      </c>
      <c r="N8" s="194">
        <v>1.0</v>
      </c>
      <c r="O8" s="74"/>
      <c r="P8" s="74"/>
      <c r="Q8" s="341">
        <v>46149.0</v>
      </c>
      <c r="R8" s="185">
        <v>7.0</v>
      </c>
      <c r="S8" s="185">
        <v>5.0</v>
      </c>
      <c r="T8" s="194">
        <v>2026.0</v>
      </c>
      <c r="U8" s="74" t="s">
        <v>2</v>
      </c>
      <c r="V8" s="342">
        <v>43.82248</v>
      </c>
      <c r="W8" s="341">
        <v>46149.0</v>
      </c>
      <c r="X8" s="185">
        <v>7.0</v>
      </c>
      <c r="Y8" s="185">
        <v>5.0</v>
      </c>
      <c r="Z8" s="194">
        <v>2026.0</v>
      </c>
      <c r="AA8" s="74" t="s">
        <v>2</v>
      </c>
    </row>
    <row r="9" hidden="1">
      <c r="A9" s="340" t="s">
        <v>1190</v>
      </c>
      <c r="B9" s="191" t="s">
        <v>1191</v>
      </c>
      <c r="C9" s="341">
        <v>46146.0</v>
      </c>
      <c r="D9" s="194">
        <v>4.0</v>
      </c>
      <c r="E9" s="194">
        <v>5.0</v>
      </c>
      <c r="F9" s="194">
        <v>2026.0</v>
      </c>
      <c r="G9" s="341">
        <v>46150.0</v>
      </c>
      <c r="H9" s="194">
        <v>8.0</v>
      </c>
      <c r="I9" s="194">
        <v>5.0</v>
      </c>
      <c r="J9" s="194">
        <v>2026.0</v>
      </c>
      <c r="K9" s="74" t="s">
        <v>51</v>
      </c>
      <c r="L9" s="74" t="s">
        <v>1177</v>
      </c>
      <c r="M9" s="194">
        <v>1.0</v>
      </c>
      <c r="N9" s="194">
        <v>4.0</v>
      </c>
      <c r="O9" s="194"/>
      <c r="P9" s="194">
        <v>8.0</v>
      </c>
      <c r="Q9" s="341">
        <v>46147.0</v>
      </c>
      <c r="R9" s="185">
        <v>5.0</v>
      </c>
      <c r="S9" s="185">
        <v>5.0</v>
      </c>
      <c r="T9" s="194">
        <v>2026.0</v>
      </c>
      <c r="U9" s="74" t="s">
        <v>245</v>
      </c>
      <c r="V9" s="342">
        <v>151.6932</v>
      </c>
      <c r="W9" s="341">
        <v>46147.0</v>
      </c>
      <c r="X9" s="185">
        <v>5.0</v>
      </c>
      <c r="Y9" s="185">
        <v>5.0</v>
      </c>
      <c r="Z9" s="194">
        <v>2026.0</v>
      </c>
      <c r="AA9" s="74" t="s">
        <v>2</v>
      </c>
    </row>
    <row r="10" hidden="1">
      <c r="A10" s="340" t="s">
        <v>1192</v>
      </c>
      <c r="B10" s="191" t="s">
        <v>1193</v>
      </c>
      <c r="C10" s="341">
        <v>46160.0</v>
      </c>
      <c r="D10" s="194">
        <v>18.0</v>
      </c>
      <c r="E10" s="194">
        <v>5.0</v>
      </c>
      <c r="F10" s="194">
        <v>2026.0</v>
      </c>
      <c r="G10" s="341">
        <v>46163.0</v>
      </c>
      <c r="H10" s="194">
        <v>21.0</v>
      </c>
      <c r="I10" s="194">
        <v>5.0</v>
      </c>
      <c r="J10" s="194">
        <v>2026.0</v>
      </c>
      <c r="K10" s="74" t="s">
        <v>51</v>
      </c>
      <c r="L10" s="74" t="s">
        <v>1177</v>
      </c>
      <c r="M10" s="194">
        <v>1.0</v>
      </c>
      <c r="N10" s="194">
        <v>3.0</v>
      </c>
      <c r="O10" s="194"/>
      <c r="P10" s="194">
        <v>6.0</v>
      </c>
      <c r="Q10" s="341">
        <v>46160.0</v>
      </c>
      <c r="R10" s="185">
        <v>18.0</v>
      </c>
      <c r="S10" s="185">
        <v>5.0</v>
      </c>
      <c r="T10" s="194">
        <v>2026.0</v>
      </c>
      <c r="U10" s="74" t="s">
        <v>245</v>
      </c>
      <c r="V10" s="342">
        <v>113.7699</v>
      </c>
      <c r="W10" s="341">
        <v>46160.0</v>
      </c>
      <c r="X10" s="185">
        <v>18.0</v>
      </c>
      <c r="Y10" s="185">
        <v>5.0</v>
      </c>
      <c r="Z10" s="194">
        <v>2026.0</v>
      </c>
      <c r="AA10" s="74" t="s">
        <v>2</v>
      </c>
    </row>
    <row r="11" hidden="1">
      <c r="A11" s="340" t="s">
        <v>1194</v>
      </c>
      <c r="B11" s="191" t="s">
        <v>1195</v>
      </c>
      <c r="C11" s="341">
        <v>46149.0</v>
      </c>
      <c r="D11" s="194">
        <v>7.0</v>
      </c>
      <c r="E11" s="194">
        <v>5.0</v>
      </c>
      <c r="F11" s="194">
        <v>2026.0</v>
      </c>
      <c r="G11" s="341">
        <v>46150.0</v>
      </c>
      <c r="H11" s="194">
        <v>8.0</v>
      </c>
      <c r="I11" s="194">
        <v>5.0</v>
      </c>
      <c r="J11" s="194">
        <v>2026.0</v>
      </c>
      <c r="K11" s="74" t="s">
        <v>51</v>
      </c>
      <c r="L11" s="74" t="s">
        <v>1177</v>
      </c>
      <c r="M11" s="194">
        <v>1.0</v>
      </c>
      <c r="N11" s="194">
        <v>1.0</v>
      </c>
      <c r="O11" s="74"/>
      <c r="P11" s="74"/>
      <c r="Q11" s="341">
        <v>46149.0</v>
      </c>
      <c r="R11" s="185">
        <v>7.0</v>
      </c>
      <c r="S11" s="185">
        <v>5.0</v>
      </c>
      <c r="T11" s="194">
        <v>2026.0</v>
      </c>
      <c r="U11" s="74" t="s">
        <v>2</v>
      </c>
      <c r="V11" s="342">
        <v>39.608779999999996</v>
      </c>
      <c r="W11" s="341">
        <v>46149.0</v>
      </c>
      <c r="X11" s="185">
        <v>7.0</v>
      </c>
      <c r="Y11" s="185">
        <v>5.0</v>
      </c>
      <c r="Z11" s="194">
        <v>2026.0</v>
      </c>
      <c r="AA11" s="74" t="s">
        <v>2</v>
      </c>
    </row>
    <row r="12" hidden="1">
      <c r="A12" s="340" t="s">
        <v>1196</v>
      </c>
      <c r="B12" s="191" t="s">
        <v>1197</v>
      </c>
      <c r="C12" s="341">
        <v>46156.0</v>
      </c>
      <c r="D12" s="194">
        <v>14.0</v>
      </c>
      <c r="E12" s="194">
        <v>5.0</v>
      </c>
      <c r="F12" s="194">
        <v>2026.0</v>
      </c>
      <c r="G12" s="341">
        <v>46157.0</v>
      </c>
      <c r="H12" s="194">
        <v>15.0</v>
      </c>
      <c r="I12" s="194">
        <v>5.0</v>
      </c>
      <c r="J12" s="194">
        <v>2026.0</v>
      </c>
      <c r="K12" s="74" t="s">
        <v>51</v>
      </c>
      <c r="L12" s="74" t="s">
        <v>1177</v>
      </c>
      <c r="M12" s="194">
        <v>1.0</v>
      </c>
      <c r="N12" s="194">
        <v>1.0</v>
      </c>
      <c r="O12" s="194"/>
      <c r="P12" s="194">
        <v>2.0</v>
      </c>
      <c r="Q12" s="341">
        <v>46156.0</v>
      </c>
      <c r="R12" s="185">
        <v>14.0</v>
      </c>
      <c r="S12" s="185">
        <v>5.0</v>
      </c>
      <c r="T12" s="194">
        <v>2026.0</v>
      </c>
      <c r="U12" s="74" t="s">
        <v>245</v>
      </c>
      <c r="V12" s="342">
        <v>37.9233</v>
      </c>
      <c r="W12" s="341">
        <v>46156.0</v>
      </c>
      <c r="X12" s="185">
        <v>14.0</v>
      </c>
      <c r="Y12" s="185">
        <v>5.0</v>
      </c>
      <c r="Z12" s="194">
        <v>2026.0</v>
      </c>
      <c r="AA12" s="74" t="s">
        <v>2</v>
      </c>
    </row>
    <row r="13" hidden="1">
      <c r="A13" s="340" t="s">
        <v>1198</v>
      </c>
      <c r="B13" s="191" t="s">
        <v>1199</v>
      </c>
      <c r="C13" s="341">
        <v>46152.0</v>
      </c>
      <c r="D13" s="194">
        <v>10.0</v>
      </c>
      <c r="E13" s="194">
        <v>5.0</v>
      </c>
      <c r="F13" s="194">
        <v>2026.0</v>
      </c>
      <c r="G13" s="341">
        <v>46153.0</v>
      </c>
      <c r="H13" s="194">
        <v>11.0</v>
      </c>
      <c r="I13" s="194">
        <v>5.0</v>
      </c>
      <c r="J13" s="194">
        <v>2026.0</v>
      </c>
      <c r="K13" s="74" t="s">
        <v>51</v>
      </c>
      <c r="L13" s="74" t="s">
        <v>1177</v>
      </c>
      <c r="M13" s="194">
        <v>1.0</v>
      </c>
      <c r="N13" s="194">
        <v>1.0</v>
      </c>
      <c r="O13" s="194"/>
      <c r="P13" s="194">
        <v>2.0</v>
      </c>
      <c r="Q13" s="341">
        <v>46152.0</v>
      </c>
      <c r="R13" s="185">
        <v>10.0</v>
      </c>
      <c r="S13" s="185">
        <v>5.0</v>
      </c>
      <c r="T13" s="194">
        <v>2026.0</v>
      </c>
      <c r="U13" s="74" t="s">
        <v>245</v>
      </c>
      <c r="V13" s="342">
        <v>37.9233</v>
      </c>
      <c r="W13" s="341">
        <v>46152.0</v>
      </c>
      <c r="X13" s="185">
        <v>10.0</v>
      </c>
      <c r="Y13" s="185">
        <v>5.0</v>
      </c>
      <c r="Z13" s="194">
        <v>2026.0</v>
      </c>
      <c r="AA13" s="74" t="s">
        <v>2</v>
      </c>
    </row>
    <row r="14" hidden="1">
      <c r="A14" s="340" t="s">
        <v>1200</v>
      </c>
      <c r="B14" s="191" t="s">
        <v>1201</v>
      </c>
      <c r="C14" s="341">
        <v>46163.0</v>
      </c>
      <c r="D14" s="194">
        <v>21.0</v>
      </c>
      <c r="E14" s="194">
        <v>5.0</v>
      </c>
      <c r="F14" s="194">
        <v>2026.0</v>
      </c>
      <c r="G14" s="341">
        <v>46165.0</v>
      </c>
      <c r="H14" s="194">
        <v>23.0</v>
      </c>
      <c r="I14" s="194">
        <v>5.0</v>
      </c>
      <c r="J14" s="194">
        <v>2026.0</v>
      </c>
      <c r="K14" s="74" t="s">
        <v>51</v>
      </c>
      <c r="L14" s="74" t="s">
        <v>1177</v>
      </c>
      <c r="M14" s="194">
        <v>1.0</v>
      </c>
      <c r="N14" s="194">
        <v>2.0</v>
      </c>
      <c r="O14" s="194"/>
      <c r="P14" s="194">
        <v>16.0</v>
      </c>
      <c r="Q14" s="341">
        <v>46163.0</v>
      </c>
      <c r="R14" s="185">
        <v>21.0</v>
      </c>
      <c r="S14" s="185">
        <v>5.0</v>
      </c>
      <c r="T14" s="194">
        <v>2026.0</v>
      </c>
      <c r="U14" s="74" t="s">
        <v>2</v>
      </c>
      <c r="V14" s="342">
        <v>75.8466</v>
      </c>
      <c r="W14" s="341">
        <v>46163.0</v>
      </c>
      <c r="X14" s="185">
        <v>21.0</v>
      </c>
      <c r="Y14" s="185">
        <v>5.0</v>
      </c>
      <c r="Z14" s="194">
        <v>2026.0</v>
      </c>
      <c r="AA14" s="74" t="s">
        <v>2</v>
      </c>
    </row>
    <row r="15" hidden="1">
      <c r="A15" s="340" t="s">
        <v>1202</v>
      </c>
      <c r="B15" s="191" t="s">
        <v>1203</v>
      </c>
      <c r="C15" s="341">
        <v>46166.0</v>
      </c>
      <c r="D15" s="194">
        <v>24.0</v>
      </c>
      <c r="E15" s="194">
        <v>5.0</v>
      </c>
      <c r="F15" s="194">
        <v>2026.0</v>
      </c>
      <c r="G15" s="341">
        <v>46167.0</v>
      </c>
      <c r="H15" s="194">
        <v>25.0</v>
      </c>
      <c r="I15" s="194">
        <v>5.0</v>
      </c>
      <c r="J15" s="194">
        <v>2026.0</v>
      </c>
      <c r="K15" s="74" t="s">
        <v>51</v>
      </c>
      <c r="L15" s="74" t="s">
        <v>1177</v>
      </c>
      <c r="M15" s="194">
        <v>1.0</v>
      </c>
      <c r="N15" s="194">
        <v>1.0</v>
      </c>
      <c r="O15" s="74"/>
      <c r="P15" s="74"/>
      <c r="Q15" s="341">
        <v>46167.0</v>
      </c>
      <c r="R15" s="185">
        <v>25.0</v>
      </c>
      <c r="S15" s="185">
        <v>5.0</v>
      </c>
      <c r="T15" s="194">
        <v>2026.0</v>
      </c>
      <c r="U15" s="74" t="s">
        <v>2</v>
      </c>
      <c r="V15" s="342">
        <v>37.9233</v>
      </c>
      <c r="W15" s="341">
        <v>46167.0</v>
      </c>
      <c r="X15" s="185">
        <v>25.0</v>
      </c>
      <c r="Y15" s="185">
        <v>5.0</v>
      </c>
      <c r="Z15" s="194">
        <v>2026.0</v>
      </c>
      <c r="AA15" s="74" t="s">
        <v>2</v>
      </c>
    </row>
    <row r="16" hidden="1">
      <c r="A16" s="340" t="s">
        <v>1204</v>
      </c>
      <c r="B16" s="191" t="s">
        <v>1205</v>
      </c>
      <c r="C16" s="341">
        <v>46145.0</v>
      </c>
      <c r="D16" s="194">
        <v>3.0</v>
      </c>
      <c r="E16" s="194">
        <v>5.0</v>
      </c>
      <c r="F16" s="194">
        <v>2026.0</v>
      </c>
      <c r="G16" s="341">
        <v>46148.0</v>
      </c>
      <c r="H16" s="194">
        <v>6.0</v>
      </c>
      <c r="I16" s="194">
        <v>5.0</v>
      </c>
      <c r="J16" s="194">
        <v>2026.0</v>
      </c>
      <c r="K16" s="74" t="s">
        <v>51</v>
      </c>
      <c r="L16" s="74" t="s">
        <v>1177</v>
      </c>
      <c r="M16" s="194">
        <v>1.0</v>
      </c>
      <c r="N16" s="194">
        <v>3.0</v>
      </c>
      <c r="O16" s="74"/>
      <c r="P16" s="74"/>
      <c r="Q16" s="341">
        <v>46145.0</v>
      </c>
      <c r="R16" s="185">
        <v>3.0</v>
      </c>
      <c r="S16" s="185">
        <v>5.0</v>
      </c>
      <c r="T16" s="194">
        <v>2026.0</v>
      </c>
      <c r="U16" s="74" t="s">
        <v>2</v>
      </c>
      <c r="V16" s="342">
        <v>118.82634</v>
      </c>
      <c r="W16" s="341">
        <v>46145.0</v>
      </c>
      <c r="X16" s="185">
        <v>3.0</v>
      </c>
      <c r="Y16" s="185">
        <v>5.0</v>
      </c>
      <c r="Z16" s="194">
        <v>2026.0</v>
      </c>
      <c r="AA16" s="74" t="s">
        <v>2</v>
      </c>
    </row>
    <row r="17" hidden="1">
      <c r="A17" s="340" t="s">
        <v>1206</v>
      </c>
      <c r="B17" s="191" t="s">
        <v>1207</v>
      </c>
      <c r="C17" s="341">
        <v>46145.0</v>
      </c>
      <c r="D17" s="194">
        <v>3.0</v>
      </c>
      <c r="E17" s="194">
        <v>5.0</v>
      </c>
      <c r="F17" s="194">
        <v>2026.0</v>
      </c>
      <c r="G17" s="341">
        <v>46147.0</v>
      </c>
      <c r="H17" s="194">
        <v>5.0</v>
      </c>
      <c r="I17" s="194">
        <v>5.0</v>
      </c>
      <c r="J17" s="194">
        <v>2026.0</v>
      </c>
      <c r="K17" s="74" t="s">
        <v>51</v>
      </c>
      <c r="L17" s="74" t="s">
        <v>1177</v>
      </c>
      <c r="M17" s="194">
        <v>1.0</v>
      </c>
      <c r="N17" s="194">
        <v>2.0</v>
      </c>
      <c r="O17" s="194"/>
      <c r="P17" s="194">
        <v>4.0</v>
      </c>
      <c r="Q17" s="341">
        <v>46145.0</v>
      </c>
      <c r="R17" s="185">
        <v>3.0</v>
      </c>
      <c r="S17" s="185">
        <v>5.0</v>
      </c>
      <c r="T17" s="194">
        <v>2026.0</v>
      </c>
      <c r="U17" s="74" t="s">
        <v>245</v>
      </c>
      <c r="V17" s="342">
        <v>75.8466</v>
      </c>
      <c r="W17" s="341">
        <v>46145.0</v>
      </c>
      <c r="X17" s="185">
        <v>3.0</v>
      </c>
      <c r="Y17" s="185">
        <v>5.0</v>
      </c>
      <c r="Z17" s="194">
        <v>2026.0</v>
      </c>
      <c r="AA17" s="74" t="s">
        <v>2</v>
      </c>
    </row>
    <row r="18" hidden="1">
      <c r="A18" s="340" t="s">
        <v>1208</v>
      </c>
      <c r="B18" s="191" t="s">
        <v>1209</v>
      </c>
      <c r="C18" s="341">
        <v>46167.0</v>
      </c>
      <c r="D18" s="194">
        <v>25.0</v>
      </c>
      <c r="E18" s="194">
        <v>5.0</v>
      </c>
      <c r="F18" s="194">
        <v>2026.0</v>
      </c>
      <c r="G18" s="341">
        <v>46171.0</v>
      </c>
      <c r="H18" s="194">
        <v>29.0</v>
      </c>
      <c r="I18" s="194">
        <v>5.0</v>
      </c>
      <c r="J18" s="194">
        <v>2026.0</v>
      </c>
      <c r="K18" s="74" t="s">
        <v>51</v>
      </c>
      <c r="L18" s="74" t="s">
        <v>1177</v>
      </c>
      <c r="M18" s="194">
        <v>1.0</v>
      </c>
      <c r="N18" s="194">
        <v>4.0</v>
      </c>
      <c r="O18" s="194"/>
      <c r="P18" s="194">
        <v>8.0</v>
      </c>
      <c r="Q18" s="341">
        <v>46167.0</v>
      </c>
      <c r="R18" s="185">
        <v>25.0</v>
      </c>
      <c r="S18" s="185">
        <v>5.0</v>
      </c>
      <c r="T18" s="194">
        <v>2026.0</v>
      </c>
      <c r="U18" s="74" t="s">
        <v>2</v>
      </c>
      <c r="V18" s="342">
        <v>151.6932</v>
      </c>
      <c r="W18" s="341">
        <v>46167.0</v>
      </c>
      <c r="X18" s="185">
        <v>25.0</v>
      </c>
      <c r="Y18" s="185">
        <v>5.0</v>
      </c>
      <c r="Z18" s="194">
        <v>2026.0</v>
      </c>
      <c r="AA18" s="74" t="s">
        <v>2</v>
      </c>
    </row>
    <row r="19" hidden="1">
      <c r="A19" s="340" t="s">
        <v>1210</v>
      </c>
      <c r="B19" s="191" t="s">
        <v>1211</v>
      </c>
      <c r="C19" s="341">
        <v>46167.0</v>
      </c>
      <c r="D19" s="194">
        <v>25.0</v>
      </c>
      <c r="E19" s="194">
        <v>5.0</v>
      </c>
      <c r="F19" s="194">
        <v>2026.0</v>
      </c>
      <c r="G19" s="341">
        <v>46170.0</v>
      </c>
      <c r="H19" s="194">
        <v>28.0</v>
      </c>
      <c r="I19" s="194">
        <v>5.0</v>
      </c>
      <c r="J19" s="194">
        <v>2026.0</v>
      </c>
      <c r="K19" s="74" t="s">
        <v>51</v>
      </c>
      <c r="L19" s="74" t="s">
        <v>1177</v>
      </c>
      <c r="M19" s="194">
        <v>1.0</v>
      </c>
      <c r="N19" s="194">
        <v>3.0</v>
      </c>
      <c r="O19" s="194"/>
      <c r="P19" s="194">
        <v>6.0</v>
      </c>
      <c r="Q19" s="341">
        <v>46167.0</v>
      </c>
      <c r="R19" s="185">
        <v>25.0</v>
      </c>
      <c r="S19" s="185">
        <v>5.0</v>
      </c>
      <c r="T19" s="194">
        <v>2026.0</v>
      </c>
      <c r="U19" s="74" t="s">
        <v>245</v>
      </c>
      <c r="V19" s="342">
        <v>113.7699</v>
      </c>
      <c r="W19" s="341">
        <v>46167.0</v>
      </c>
      <c r="X19" s="185">
        <v>25.0</v>
      </c>
      <c r="Y19" s="185">
        <v>5.0</v>
      </c>
      <c r="Z19" s="194">
        <v>2026.0</v>
      </c>
      <c r="AA19" s="74" t="s">
        <v>2</v>
      </c>
    </row>
    <row r="20" hidden="1">
      <c r="A20" s="340" t="s">
        <v>1212</v>
      </c>
      <c r="B20" s="191" t="s">
        <v>1213</v>
      </c>
      <c r="C20" s="341">
        <v>46143.0</v>
      </c>
      <c r="D20" s="194">
        <v>1.0</v>
      </c>
      <c r="E20" s="194">
        <v>5.0</v>
      </c>
      <c r="F20" s="194">
        <v>2026.0</v>
      </c>
      <c r="G20" s="341">
        <v>46144.0</v>
      </c>
      <c r="H20" s="194">
        <v>2.0</v>
      </c>
      <c r="I20" s="194">
        <v>5.0</v>
      </c>
      <c r="J20" s="194">
        <v>2026.0</v>
      </c>
      <c r="K20" s="74" t="s">
        <v>51</v>
      </c>
      <c r="L20" s="74" t="s">
        <v>1177</v>
      </c>
      <c r="M20" s="194">
        <v>1.0</v>
      </c>
      <c r="N20" s="194">
        <v>1.0</v>
      </c>
      <c r="O20" s="74"/>
      <c r="P20" s="74"/>
      <c r="Q20" s="341">
        <v>46144.0</v>
      </c>
      <c r="R20" s="185">
        <v>2.0</v>
      </c>
      <c r="S20" s="185">
        <v>5.0</v>
      </c>
      <c r="T20" s="194">
        <v>2026.0</v>
      </c>
      <c r="U20" s="74" t="s">
        <v>2</v>
      </c>
      <c r="V20" s="342">
        <v>37.9233</v>
      </c>
      <c r="W20" s="341">
        <v>46144.0</v>
      </c>
      <c r="X20" s="185">
        <v>2.0</v>
      </c>
      <c r="Y20" s="185">
        <v>5.0</v>
      </c>
      <c r="Z20" s="194">
        <v>2026.0</v>
      </c>
      <c r="AA20" s="74" t="s">
        <v>2</v>
      </c>
    </row>
    <row r="21" ht="15.75" hidden="1" customHeight="1">
      <c r="A21" s="340" t="s">
        <v>1214</v>
      </c>
      <c r="B21" s="191" t="s">
        <v>1215</v>
      </c>
      <c r="C21" s="341">
        <v>46151.0</v>
      </c>
      <c r="D21" s="194">
        <v>9.0</v>
      </c>
      <c r="E21" s="194">
        <v>5.0</v>
      </c>
      <c r="F21" s="194">
        <v>2026.0</v>
      </c>
      <c r="G21" s="341">
        <v>46153.0</v>
      </c>
      <c r="H21" s="194">
        <v>11.0</v>
      </c>
      <c r="I21" s="194">
        <v>5.0</v>
      </c>
      <c r="J21" s="194">
        <v>2026.0</v>
      </c>
      <c r="K21" s="74" t="s">
        <v>51</v>
      </c>
      <c r="L21" s="74" t="s">
        <v>1177</v>
      </c>
      <c r="M21" s="194">
        <v>1.0</v>
      </c>
      <c r="N21" s="194">
        <v>2.0</v>
      </c>
      <c r="O21" s="194"/>
      <c r="P21" s="194">
        <v>4.0</v>
      </c>
      <c r="Q21" s="341">
        <v>46151.0</v>
      </c>
      <c r="R21" s="185">
        <v>9.0</v>
      </c>
      <c r="S21" s="185">
        <v>5.0</v>
      </c>
      <c r="T21" s="194">
        <v>2026.0</v>
      </c>
      <c r="U21" s="74" t="s">
        <v>245</v>
      </c>
      <c r="V21" s="342">
        <v>75.8466</v>
      </c>
      <c r="W21" s="341">
        <v>46151.0</v>
      </c>
      <c r="X21" s="185">
        <v>9.0</v>
      </c>
      <c r="Y21" s="185">
        <v>5.0</v>
      </c>
      <c r="Z21" s="194">
        <v>2026.0</v>
      </c>
      <c r="AA21" s="74" t="s">
        <v>2</v>
      </c>
    </row>
    <row r="22" ht="15.75" hidden="1" customHeight="1">
      <c r="A22" s="340" t="s">
        <v>1216</v>
      </c>
      <c r="B22" s="191" t="s">
        <v>1217</v>
      </c>
      <c r="C22" s="341">
        <v>46148.0</v>
      </c>
      <c r="D22" s="194">
        <v>6.0</v>
      </c>
      <c r="E22" s="194">
        <v>5.0</v>
      </c>
      <c r="F22" s="194">
        <v>2026.0</v>
      </c>
      <c r="G22" s="341">
        <v>46149.0</v>
      </c>
      <c r="H22" s="194">
        <v>7.0</v>
      </c>
      <c r="I22" s="194">
        <v>5.0</v>
      </c>
      <c r="J22" s="194">
        <v>2026.0</v>
      </c>
      <c r="K22" s="74" t="s">
        <v>51</v>
      </c>
      <c r="L22" s="74" t="s">
        <v>1177</v>
      </c>
      <c r="M22" s="194">
        <v>1.0</v>
      </c>
      <c r="N22" s="194">
        <v>1.0</v>
      </c>
      <c r="O22" s="194"/>
      <c r="P22" s="194">
        <v>2.0</v>
      </c>
      <c r="Q22" s="341">
        <v>46148.0</v>
      </c>
      <c r="R22" s="185">
        <v>6.0</v>
      </c>
      <c r="S22" s="185">
        <v>5.0</v>
      </c>
      <c r="T22" s="194">
        <v>2026.0</v>
      </c>
      <c r="U22" s="74" t="s">
        <v>245</v>
      </c>
      <c r="V22" s="342">
        <v>37.9233</v>
      </c>
      <c r="W22" s="341">
        <v>46148.0</v>
      </c>
      <c r="X22" s="185">
        <v>6.0</v>
      </c>
      <c r="Y22" s="185">
        <v>5.0</v>
      </c>
      <c r="Z22" s="194">
        <v>2026.0</v>
      </c>
      <c r="AA22" s="74" t="s">
        <v>2</v>
      </c>
    </row>
    <row r="23" ht="15.75" hidden="1" customHeight="1">
      <c r="A23" s="340" t="s">
        <v>1218</v>
      </c>
      <c r="B23" s="191" t="s">
        <v>1219</v>
      </c>
      <c r="C23" s="341">
        <v>46151.0</v>
      </c>
      <c r="D23" s="194">
        <v>9.0</v>
      </c>
      <c r="E23" s="194">
        <v>5.0</v>
      </c>
      <c r="F23" s="194">
        <v>2026.0</v>
      </c>
      <c r="G23" s="341">
        <v>46152.0</v>
      </c>
      <c r="H23" s="194">
        <v>10.0</v>
      </c>
      <c r="I23" s="194">
        <v>5.0</v>
      </c>
      <c r="J23" s="194">
        <v>2026.0</v>
      </c>
      <c r="K23" s="74" t="s">
        <v>51</v>
      </c>
      <c r="L23" s="74" t="s">
        <v>1177</v>
      </c>
      <c r="M23" s="194">
        <v>1.0</v>
      </c>
      <c r="N23" s="194">
        <v>1.0</v>
      </c>
      <c r="O23" s="74"/>
      <c r="P23" s="74"/>
      <c r="Q23" s="341">
        <v>46151.0</v>
      </c>
      <c r="R23" s="185">
        <v>9.0</v>
      </c>
      <c r="S23" s="185">
        <v>5.0</v>
      </c>
      <c r="T23" s="194">
        <v>2026.0</v>
      </c>
      <c r="U23" s="74" t="s">
        <v>2</v>
      </c>
      <c r="V23" s="342">
        <v>46.3507</v>
      </c>
      <c r="W23" s="341">
        <v>46151.0</v>
      </c>
      <c r="X23" s="185">
        <v>9.0</v>
      </c>
      <c r="Y23" s="185">
        <v>5.0</v>
      </c>
      <c r="Z23" s="194">
        <v>2026.0</v>
      </c>
      <c r="AA23" s="74" t="s">
        <v>2</v>
      </c>
    </row>
    <row r="24" ht="15.75" hidden="1" customHeight="1">
      <c r="A24" s="340" t="s">
        <v>1220</v>
      </c>
      <c r="B24" s="191" t="s">
        <v>1221</v>
      </c>
      <c r="C24" s="341">
        <v>46153.0</v>
      </c>
      <c r="D24" s="194">
        <v>11.0</v>
      </c>
      <c r="E24" s="194">
        <v>5.0</v>
      </c>
      <c r="F24" s="194">
        <v>2026.0</v>
      </c>
      <c r="G24" s="341">
        <v>46154.0</v>
      </c>
      <c r="H24" s="194">
        <v>12.0</v>
      </c>
      <c r="I24" s="194">
        <v>5.0</v>
      </c>
      <c r="J24" s="194">
        <v>2026.0</v>
      </c>
      <c r="K24" s="74" t="s">
        <v>51</v>
      </c>
      <c r="L24" s="74" t="s">
        <v>1177</v>
      </c>
      <c r="M24" s="194">
        <v>1.0</v>
      </c>
      <c r="N24" s="194">
        <v>1.0</v>
      </c>
      <c r="O24" s="74"/>
      <c r="P24" s="74"/>
      <c r="Q24" s="341">
        <v>46153.0</v>
      </c>
      <c r="R24" s="185">
        <v>11.0</v>
      </c>
      <c r="S24" s="185">
        <v>5.0</v>
      </c>
      <c r="T24" s="194">
        <v>2026.0</v>
      </c>
      <c r="U24" s="74" t="s">
        <v>2</v>
      </c>
      <c r="V24" s="342">
        <v>35.39508</v>
      </c>
      <c r="W24" s="341">
        <v>46153.0</v>
      </c>
      <c r="X24" s="185">
        <v>11.0</v>
      </c>
      <c r="Y24" s="185">
        <v>5.0</v>
      </c>
      <c r="Z24" s="194">
        <v>2026.0</v>
      </c>
      <c r="AA24" s="74" t="s">
        <v>2</v>
      </c>
    </row>
    <row r="25" ht="15.75" hidden="1" customHeight="1">
      <c r="A25" s="340" t="s">
        <v>1222</v>
      </c>
      <c r="B25" s="191" t="s">
        <v>1223</v>
      </c>
      <c r="C25" s="341">
        <v>46152.0</v>
      </c>
      <c r="D25" s="194">
        <v>10.0</v>
      </c>
      <c r="E25" s="194">
        <v>5.0</v>
      </c>
      <c r="F25" s="194">
        <v>2026.0</v>
      </c>
      <c r="G25" s="341">
        <v>46156.0</v>
      </c>
      <c r="H25" s="194">
        <v>14.0</v>
      </c>
      <c r="I25" s="194">
        <v>5.0</v>
      </c>
      <c r="J25" s="194">
        <v>2026.0</v>
      </c>
      <c r="K25" s="74" t="s">
        <v>51</v>
      </c>
      <c r="L25" s="74" t="s">
        <v>1177</v>
      </c>
      <c r="M25" s="194">
        <v>1.0</v>
      </c>
      <c r="N25" s="194">
        <v>4.0</v>
      </c>
      <c r="O25" s="194"/>
      <c r="P25" s="194">
        <v>8.0</v>
      </c>
      <c r="Q25" s="341">
        <v>46152.0</v>
      </c>
      <c r="R25" s="185">
        <v>10.0</v>
      </c>
      <c r="S25" s="185">
        <v>5.0</v>
      </c>
      <c r="T25" s="194">
        <v>2026.0</v>
      </c>
      <c r="U25" s="74" t="s">
        <v>245</v>
      </c>
      <c r="V25" s="342">
        <v>151.6932</v>
      </c>
      <c r="W25" s="341">
        <v>46152.0</v>
      </c>
      <c r="X25" s="185">
        <v>10.0</v>
      </c>
      <c r="Y25" s="185">
        <v>5.0</v>
      </c>
      <c r="Z25" s="194">
        <v>2026.0</v>
      </c>
      <c r="AA25" s="74" t="s">
        <v>2</v>
      </c>
    </row>
    <row r="26" ht="15.75" hidden="1" customHeight="1">
      <c r="A26" s="340" t="s">
        <v>1224</v>
      </c>
      <c r="B26" s="191" t="s">
        <v>1225</v>
      </c>
      <c r="C26" s="341">
        <v>46167.0</v>
      </c>
      <c r="D26" s="194">
        <v>25.0</v>
      </c>
      <c r="E26" s="194">
        <v>5.0</v>
      </c>
      <c r="F26" s="194">
        <v>2026.0</v>
      </c>
      <c r="G26" s="341">
        <v>46168.0</v>
      </c>
      <c r="H26" s="194">
        <v>26.0</v>
      </c>
      <c r="I26" s="194">
        <v>5.0</v>
      </c>
      <c r="J26" s="194">
        <v>2026.0</v>
      </c>
      <c r="K26" s="74" t="s">
        <v>51</v>
      </c>
      <c r="L26" s="74" t="s">
        <v>1177</v>
      </c>
      <c r="M26" s="194">
        <v>1.0</v>
      </c>
      <c r="N26" s="194">
        <v>1.0</v>
      </c>
      <c r="O26" s="194"/>
      <c r="P26" s="194">
        <v>4.0</v>
      </c>
      <c r="Q26" s="341">
        <v>46167.0</v>
      </c>
      <c r="R26" s="185">
        <v>25.0</v>
      </c>
      <c r="S26" s="185">
        <v>5.0</v>
      </c>
      <c r="T26" s="194">
        <v>2026.0</v>
      </c>
      <c r="U26" s="74" t="s">
        <v>2</v>
      </c>
      <c r="V26" s="342">
        <v>39.608779999999996</v>
      </c>
      <c r="W26" s="341">
        <v>46167.0</v>
      </c>
      <c r="X26" s="185">
        <v>25.0</v>
      </c>
      <c r="Y26" s="185">
        <v>5.0</v>
      </c>
      <c r="Z26" s="194">
        <v>2026.0</v>
      </c>
      <c r="AA26" s="74" t="s">
        <v>2</v>
      </c>
    </row>
    <row r="27" ht="15.75" hidden="1" customHeight="1">
      <c r="A27" s="340" t="s">
        <v>1226</v>
      </c>
      <c r="B27" s="191" t="s">
        <v>1227</v>
      </c>
      <c r="C27" s="341">
        <v>46147.0</v>
      </c>
      <c r="D27" s="194">
        <v>5.0</v>
      </c>
      <c r="E27" s="194">
        <v>5.0</v>
      </c>
      <c r="F27" s="194">
        <v>2026.0</v>
      </c>
      <c r="G27" s="341">
        <v>46149.0</v>
      </c>
      <c r="H27" s="194">
        <v>7.0</v>
      </c>
      <c r="I27" s="194">
        <v>5.0</v>
      </c>
      <c r="J27" s="194">
        <v>2026.0</v>
      </c>
      <c r="K27" s="74" t="s">
        <v>51</v>
      </c>
      <c r="L27" s="74" t="s">
        <v>1177</v>
      </c>
      <c r="M27" s="194">
        <v>1.0</v>
      </c>
      <c r="N27" s="194">
        <v>2.0</v>
      </c>
      <c r="O27" s="74"/>
      <c r="P27" s="74"/>
      <c r="Q27" s="341">
        <v>46147.0</v>
      </c>
      <c r="R27" s="185">
        <v>5.0</v>
      </c>
      <c r="S27" s="185">
        <v>5.0</v>
      </c>
      <c r="T27" s="194">
        <v>2026.0</v>
      </c>
      <c r="U27" s="74" t="s">
        <v>2</v>
      </c>
      <c r="V27" s="342">
        <v>75.8466</v>
      </c>
      <c r="W27" s="341">
        <v>46147.0</v>
      </c>
      <c r="X27" s="185">
        <v>5.0</v>
      </c>
      <c r="Y27" s="185">
        <v>5.0</v>
      </c>
      <c r="Z27" s="194">
        <v>2026.0</v>
      </c>
      <c r="AA27" s="74" t="s">
        <v>2</v>
      </c>
    </row>
    <row r="28" ht="15.75" hidden="1" customHeight="1">
      <c r="A28" s="340" t="s">
        <v>1228</v>
      </c>
      <c r="B28" s="191" t="s">
        <v>1229</v>
      </c>
      <c r="C28" s="341">
        <v>46156.0</v>
      </c>
      <c r="D28" s="194">
        <v>14.0</v>
      </c>
      <c r="E28" s="194">
        <v>5.0</v>
      </c>
      <c r="F28" s="194">
        <v>2026.0</v>
      </c>
      <c r="G28" s="341">
        <v>46158.0</v>
      </c>
      <c r="H28" s="194">
        <v>16.0</v>
      </c>
      <c r="I28" s="194">
        <v>5.0</v>
      </c>
      <c r="J28" s="194">
        <v>2026.0</v>
      </c>
      <c r="K28" s="74" t="s">
        <v>51</v>
      </c>
      <c r="L28" s="74" t="s">
        <v>1177</v>
      </c>
      <c r="M28" s="194">
        <v>1.0</v>
      </c>
      <c r="N28" s="194">
        <v>2.0</v>
      </c>
      <c r="O28" s="194"/>
      <c r="P28" s="194">
        <v>4.0</v>
      </c>
      <c r="Q28" s="341">
        <v>46156.0</v>
      </c>
      <c r="R28" s="185">
        <v>14.0</v>
      </c>
      <c r="S28" s="185">
        <v>5.0</v>
      </c>
      <c r="T28" s="194">
        <v>2026.0</v>
      </c>
      <c r="U28" s="74" t="s">
        <v>2</v>
      </c>
      <c r="V28" s="342">
        <v>67.4192</v>
      </c>
      <c r="W28" s="341">
        <v>46156.0</v>
      </c>
      <c r="X28" s="185">
        <v>14.0</v>
      </c>
      <c r="Y28" s="185">
        <v>5.0</v>
      </c>
      <c r="Z28" s="194">
        <v>2026.0</v>
      </c>
      <c r="AA28" s="74" t="s">
        <v>2</v>
      </c>
    </row>
    <row r="29" ht="15.75" hidden="1" customHeight="1">
      <c r="A29" s="340" t="s">
        <v>1230</v>
      </c>
      <c r="B29" s="191" t="s">
        <v>1231</v>
      </c>
      <c r="C29" s="341">
        <v>46161.0</v>
      </c>
      <c r="D29" s="194">
        <v>19.0</v>
      </c>
      <c r="E29" s="194">
        <v>5.0</v>
      </c>
      <c r="F29" s="194">
        <v>2026.0</v>
      </c>
      <c r="G29" s="341">
        <v>46165.0</v>
      </c>
      <c r="H29" s="194">
        <v>23.0</v>
      </c>
      <c r="I29" s="194">
        <v>5.0</v>
      </c>
      <c r="J29" s="194">
        <v>2026.0</v>
      </c>
      <c r="K29" s="74" t="s">
        <v>51</v>
      </c>
      <c r="L29" s="74" t="s">
        <v>1177</v>
      </c>
      <c r="M29" s="194">
        <v>1.0</v>
      </c>
      <c r="N29" s="194">
        <v>4.0</v>
      </c>
      <c r="O29" s="194"/>
      <c r="P29" s="194">
        <v>8.0</v>
      </c>
      <c r="Q29" s="341">
        <v>46164.0</v>
      </c>
      <c r="R29" s="185">
        <v>22.0</v>
      </c>
      <c r="S29" s="185">
        <v>5.0</v>
      </c>
      <c r="T29" s="194">
        <v>2026.0</v>
      </c>
      <c r="U29" s="74" t="s">
        <v>2</v>
      </c>
      <c r="V29" s="342">
        <v>151.6932</v>
      </c>
      <c r="W29" s="341">
        <v>46164.0</v>
      </c>
      <c r="X29" s="185">
        <v>22.0</v>
      </c>
      <c r="Y29" s="185">
        <v>5.0</v>
      </c>
      <c r="Z29" s="194">
        <v>2026.0</v>
      </c>
      <c r="AA29" s="74" t="s">
        <v>2</v>
      </c>
    </row>
    <row r="30" ht="15.75" hidden="1" customHeight="1">
      <c r="A30" s="340" t="s">
        <v>1232</v>
      </c>
      <c r="B30" s="191" t="s">
        <v>1233</v>
      </c>
      <c r="C30" s="341">
        <v>46143.0</v>
      </c>
      <c r="D30" s="194">
        <v>1.0</v>
      </c>
      <c r="E30" s="194">
        <v>5.0</v>
      </c>
      <c r="F30" s="194">
        <v>2026.0</v>
      </c>
      <c r="G30" s="341">
        <v>46146.0</v>
      </c>
      <c r="H30" s="194">
        <v>4.0</v>
      </c>
      <c r="I30" s="194">
        <v>5.0</v>
      </c>
      <c r="J30" s="194">
        <v>2026.0</v>
      </c>
      <c r="K30" s="74" t="s">
        <v>51</v>
      </c>
      <c r="L30" s="74" t="s">
        <v>1177</v>
      </c>
      <c r="M30" s="194">
        <v>1.0</v>
      </c>
      <c r="N30" s="194">
        <v>3.0</v>
      </c>
      <c r="O30" s="74"/>
      <c r="P30" s="74"/>
      <c r="Q30" s="194">
        <v>33047.0</v>
      </c>
      <c r="R30" s="185">
        <v>1.0</v>
      </c>
      <c r="S30" s="185">
        <v>5.0</v>
      </c>
      <c r="T30" s="194">
        <v>2026.0</v>
      </c>
      <c r="U30" s="74" t="s">
        <v>2</v>
      </c>
      <c r="V30" s="342">
        <v>118.82634</v>
      </c>
      <c r="W30" s="194">
        <v>33047.0</v>
      </c>
      <c r="X30" s="185">
        <v>1.0</v>
      </c>
      <c r="Y30" s="185">
        <v>5.0</v>
      </c>
      <c r="Z30" s="194">
        <v>2026.0</v>
      </c>
      <c r="AA30" s="74" t="s">
        <v>2</v>
      </c>
    </row>
    <row r="31" ht="15.75" hidden="1" customHeight="1">
      <c r="A31" s="340" t="s">
        <v>1234</v>
      </c>
      <c r="B31" s="191" t="s">
        <v>1235</v>
      </c>
      <c r="C31" s="341">
        <v>46144.0</v>
      </c>
      <c r="D31" s="194">
        <v>2.0</v>
      </c>
      <c r="E31" s="194">
        <v>5.0</v>
      </c>
      <c r="F31" s="194">
        <v>2026.0</v>
      </c>
      <c r="G31" s="341">
        <v>46145.0</v>
      </c>
      <c r="H31" s="194">
        <v>3.0</v>
      </c>
      <c r="I31" s="194">
        <v>5.0</v>
      </c>
      <c r="J31" s="194">
        <v>2026.0</v>
      </c>
      <c r="K31" s="74" t="s">
        <v>51</v>
      </c>
      <c r="L31" s="74" t="s">
        <v>1177</v>
      </c>
      <c r="M31" s="194">
        <v>1.0</v>
      </c>
      <c r="N31" s="194">
        <v>1.0</v>
      </c>
      <c r="O31" s="74"/>
      <c r="P31" s="74"/>
      <c r="Q31" s="341">
        <v>46144.0</v>
      </c>
      <c r="R31" s="185">
        <v>2.0</v>
      </c>
      <c r="S31" s="185">
        <v>5.0</v>
      </c>
      <c r="T31" s="194">
        <v>2026.0</v>
      </c>
      <c r="U31" s="74" t="s">
        <v>2</v>
      </c>
      <c r="V31" s="342">
        <v>37.9233</v>
      </c>
      <c r="W31" s="341">
        <v>46144.0</v>
      </c>
      <c r="X31" s="185">
        <v>2.0</v>
      </c>
      <c r="Y31" s="185">
        <v>5.0</v>
      </c>
      <c r="Z31" s="194">
        <v>2026.0</v>
      </c>
      <c r="AA31" s="74" t="s">
        <v>2</v>
      </c>
    </row>
    <row r="32" ht="15.75" hidden="1" customHeight="1">
      <c r="A32" s="340" t="s">
        <v>1234</v>
      </c>
      <c r="B32" s="191" t="s">
        <v>1236</v>
      </c>
      <c r="C32" s="341">
        <v>46143.0</v>
      </c>
      <c r="D32" s="194">
        <v>1.0</v>
      </c>
      <c r="E32" s="194">
        <v>5.0</v>
      </c>
      <c r="F32" s="194">
        <v>2026.0</v>
      </c>
      <c r="G32" s="341">
        <v>46144.0</v>
      </c>
      <c r="H32" s="194">
        <v>2.0</v>
      </c>
      <c r="I32" s="194">
        <v>5.0</v>
      </c>
      <c r="J32" s="194">
        <v>2026.0</v>
      </c>
      <c r="K32" s="74" t="s">
        <v>51</v>
      </c>
      <c r="L32" s="74" t="s">
        <v>1177</v>
      </c>
      <c r="M32" s="194">
        <v>1.0</v>
      </c>
      <c r="N32" s="194">
        <v>1.0</v>
      </c>
      <c r="O32" s="74"/>
      <c r="P32" s="74"/>
      <c r="Q32" s="341">
        <v>46143.0</v>
      </c>
      <c r="R32" s="185">
        <v>1.0</v>
      </c>
      <c r="S32" s="185">
        <v>5.0</v>
      </c>
      <c r="T32" s="194">
        <v>2026.0</v>
      </c>
      <c r="U32" s="74" t="s">
        <v>2</v>
      </c>
      <c r="V32" s="342">
        <v>39.608779999999996</v>
      </c>
      <c r="W32" s="341">
        <v>46143.0</v>
      </c>
      <c r="X32" s="185">
        <v>1.0</v>
      </c>
      <c r="Y32" s="185">
        <v>5.0</v>
      </c>
      <c r="Z32" s="194">
        <v>2026.0</v>
      </c>
      <c r="AA32" s="74" t="s">
        <v>2</v>
      </c>
    </row>
    <row r="33" ht="15.75" hidden="1" customHeight="1">
      <c r="A33" s="340" t="s">
        <v>1237</v>
      </c>
      <c r="B33" s="191" t="s">
        <v>1238</v>
      </c>
      <c r="C33" s="341">
        <v>46158.0</v>
      </c>
      <c r="D33" s="194">
        <v>16.0</v>
      </c>
      <c r="E33" s="194">
        <v>5.0</v>
      </c>
      <c r="F33" s="194">
        <v>2026.0</v>
      </c>
      <c r="G33" s="341">
        <v>46160.0</v>
      </c>
      <c r="H33" s="194">
        <v>18.0</v>
      </c>
      <c r="I33" s="194">
        <v>5.0</v>
      </c>
      <c r="J33" s="194">
        <v>2026.0</v>
      </c>
      <c r="K33" s="74" t="s">
        <v>51</v>
      </c>
      <c r="L33" s="74" t="s">
        <v>1177</v>
      </c>
      <c r="M33" s="194">
        <v>1.0</v>
      </c>
      <c r="N33" s="194">
        <v>2.0</v>
      </c>
      <c r="O33" s="194"/>
      <c r="P33" s="194">
        <v>4.0</v>
      </c>
      <c r="Q33" s="341">
        <v>46158.0</v>
      </c>
      <c r="R33" s="185">
        <v>16.0</v>
      </c>
      <c r="S33" s="185">
        <v>5.0</v>
      </c>
      <c r="T33" s="194">
        <v>2026.0</v>
      </c>
      <c r="U33" s="74" t="s">
        <v>2</v>
      </c>
      <c r="V33" s="342">
        <v>75.00386</v>
      </c>
      <c r="W33" s="341">
        <v>46158.0</v>
      </c>
      <c r="X33" s="185">
        <v>16.0</v>
      </c>
      <c r="Y33" s="185">
        <v>5.0</v>
      </c>
      <c r="Z33" s="194">
        <v>2026.0</v>
      </c>
      <c r="AA33" s="74" t="s">
        <v>2</v>
      </c>
    </row>
    <row r="34" ht="15.75" hidden="1" customHeight="1">
      <c r="A34" s="340" t="s">
        <v>1239</v>
      </c>
      <c r="B34" s="191" t="s">
        <v>1240</v>
      </c>
      <c r="C34" s="341">
        <v>46160.0</v>
      </c>
      <c r="D34" s="194">
        <v>18.0</v>
      </c>
      <c r="E34" s="194">
        <v>5.0</v>
      </c>
      <c r="F34" s="194">
        <v>2026.0</v>
      </c>
      <c r="G34" s="341">
        <v>46164.0</v>
      </c>
      <c r="H34" s="194">
        <v>22.0</v>
      </c>
      <c r="I34" s="194">
        <v>5.0</v>
      </c>
      <c r="J34" s="194">
        <v>2026.0</v>
      </c>
      <c r="K34" s="74" t="s">
        <v>51</v>
      </c>
      <c r="L34" s="74" t="s">
        <v>1177</v>
      </c>
      <c r="M34" s="194">
        <v>1.0</v>
      </c>
      <c r="N34" s="194">
        <v>4.0</v>
      </c>
      <c r="O34" s="74"/>
      <c r="P34" s="74"/>
      <c r="Q34" s="341">
        <v>46160.0</v>
      </c>
      <c r="R34" s="185">
        <v>18.0</v>
      </c>
      <c r="S34" s="185">
        <v>5.0</v>
      </c>
      <c r="T34" s="194">
        <v>2026.0</v>
      </c>
      <c r="U34" s="74" t="s">
        <v>2</v>
      </c>
      <c r="V34" s="342">
        <v>151.6932</v>
      </c>
      <c r="W34" s="341">
        <v>46160.0</v>
      </c>
      <c r="X34" s="185">
        <v>18.0</v>
      </c>
      <c r="Y34" s="185">
        <v>5.0</v>
      </c>
      <c r="Z34" s="194">
        <v>2026.0</v>
      </c>
      <c r="AA34" s="74" t="s">
        <v>2</v>
      </c>
    </row>
    <row r="35" ht="15.75" hidden="1" customHeight="1">
      <c r="A35" s="340" t="s">
        <v>1241</v>
      </c>
      <c r="B35" s="191" t="s">
        <v>1242</v>
      </c>
      <c r="C35" s="341">
        <v>46144.0</v>
      </c>
      <c r="D35" s="194">
        <v>2.0</v>
      </c>
      <c r="E35" s="194">
        <v>5.0</v>
      </c>
      <c r="F35" s="194">
        <v>2026.0</v>
      </c>
      <c r="G35" s="341">
        <v>46145.0</v>
      </c>
      <c r="H35" s="194">
        <v>3.0</v>
      </c>
      <c r="I35" s="194">
        <v>5.0</v>
      </c>
      <c r="J35" s="194">
        <v>2026.0</v>
      </c>
      <c r="K35" s="74" t="s">
        <v>51</v>
      </c>
      <c r="L35" s="74" t="s">
        <v>1177</v>
      </c>
      <c r="M35" s="194">
        <v>1.0</v>
      </c>
      <c r="N35" s="194">
        <v>1.0</v>
      </c>
      <c r="O35" s="194"/>
      <c r="P35" s="194">
        <v>4.0</v>
      </c>
      <c r="Q35" s="341">
        <v>46144.0</v>
      </c>
      <c r="R35" s="185">
        <v>2.0</v>
      </c>
      <c r="S35" s="185">
        <v>5.0</v>
      </c>
      <c r="T35" s="194">
        <v>2026.0</v>
      </c>
      <c r="U35" s="74" t="s">
        <v>245</v>
      </c>
      <c r="V35" s="342">
        <v>75.8466</v>
      </c>
      <c r="W35" s="341">
        <v>46144.0</v>
      </c>
      <c r="X35" s="185">
        <v>2.0</v>
      </c>
      <c r="Y35" s="185">
        <v>5.0</v>
      </c>
      <c r="Z35" s="194">
        <v>2026.0</v>
      </c>
      <c r="AA35" s="74" t="s">
        <v>2</v>
      </c>
    </row>
    <row r="36" ht="15.75" hidden="1" customHeight="1">
      <c r="A36" s="340" t="s">
        <v>1243</v>
      </c>
      <c r="B36" s="191" t="s">
        <v>1244</v>
      </c>
      <c r="C36" s="341">
        <v>46146.0</v>
      </c>
      <c r="D36" s="194">
        <v>4.0</v>
      </c>
      <c r="E36" s="194">
        <v>5.0</v>
      </c>
      <c r="F36" s="194">
        <v>2026.0</v>
      </c>
      <c r="G36" s="341">
        <v>46149.0</v>
      </c>
      <c r="H36" s="194">
        <v>7.0</v>
      </c>
      <c r="I36" s="194">
        <v>5.0</v>
      </c>
      <c r="J36" s="194">
        <v>2026.0</v>
      </c>
      <c r="K36" s="74" t="s">
        <v>51</v>
      </c>
      <c r="L36" s="74" t="s">
        <v>1177</v>
      </c>
      <c r="M36" s="194">
        <v>1.0</v>
      </c>
      <c r="N36" s="194">
        <v>3.0</v>
      </c>
      <c r="O36" s="194"/>
      <c r="P36" s="194">
        <v>8.0</v>
      </c>
      <c r="Q36" s="341">
        <v>46146.0</v>
      </c>
      <c r="R36" s="185">
        <v>4.0</v>
      </c>
      <c r="S36" s="185">
        <v>5.0</v>
      </c>
      <c r="T36" s="194">
        <v>2026.0</v>
      </c>
      <c r="U36" s="74" t="s">
        <v>245</v>
      </c>
      <c r="V36" s="342">
        <v>151.6932</v>
      </c>
      <c r="W36" s="341">
        <v>46146.0</v>
      </c>
      <c r="X36" s="185">
        <v>4.0</v>
      </c>
      <c r="Y36" s="185">
        <v>5.0</v>
      </c>
      <c r="Z36" s="194">
        <v>2026.0</v>
      </c>
      <c r="AA36" s="74" t="s">
        <v>2</v>
      </c>
    </row>
    <row r="37" ht="15.75" hidden="1" customHeight="1">
      <c r="A37" s="340" t="s">
        <v>1245</v>
      </c>
      <c r="B37" s="191" t="s">
        <v>1246</v>
      </c>
      <c r="C37" s="341">
        <v>46147.0</v>
      </c>
      <c r="D37" s="194">
        <v>5.0</v>
      </c>
      <c r="E37" s="194">
        <v>5.0</v>
      </c>
      <c r="F37" s="194">
        <v>2026.0</v>
      </c>
      <c r="G37" s="341">
        <v>46148.0</v>
      </c>
      <c r="H37" s="194">
        <v>6.0</v>
      </c>
      <c r="I37" s="194">
        <v>5.0</v>
      </c>
      <c r="J37" s="194">
        <v>2026.0</v>
      </c>
      <c r="K37" s="74" t="s">
        <v>51</v>
      </c>
      <c r="L37" s="74" t="s">
        <v>1177</v>
      </c>
      <c r="M37" s="194">
        <v>1.0</v>
      </c>
      <c r="N37" s="194">
        <v>1.0</v>
      </c>
      <c r="O37" s="194"/>
      <c r="P37" s="194">
        <v>2.0</v>
      </c>
      <c r="Q37" s="341">
        <v>46147.0</v>
      </c>
      <c r="R37" s="185">
        <v>5.0</v>
      </c>
      <c r="S37" s="185">
        <v>5.0</v>
      </c>
      <c r="T37" s="194">
        <v>2026.0</v>
      </c>
      <c r="U37" s="74" t="s">
        <v>245</v>
      </c>
      <c r="V37" s="342">
        <v>37.9233</v>
      </c>
      <c r="W37" s="341">
        <v>46147.0</v>
      </c>
      <c r="X37" s="185">
        <v>5.0</v>
      </c>
      <c r="Y37" s="185">
        <v>5.0</v>
      </c>
      <c r="Z37" s="194">
        <v>2026.0</v>
      </c>
      <c r="AA37" s="74" t="s">
        <v>2</v>
      </c>
    </row>
    <row r="38" ht="15.75" hidden="1" customHeight="1">
      <c r="A38" s="340" t="s">
        <v>1247</v>
      </c>
      <c r="B38" s="191" t="s">
        <v>1248</v>
      </c>
      <c r="C38" s="341">
        <v>46164.0</v>
      </c>
      <c r="D38" s="194">
        <v>22.0</v>
      </c>
      <c r="E38" s="194">
        <v>5.0</v>
      </c>
      <c r="F38" s="194">
        <v>2026.0</v>
      </c>
      <c r="G38" s="341">
        <v>46166.0</v>
      </c>
      <c r="H38" s="194">
        <v>24.0</v>
      </c>
      <c r="I38" s="194">
        <v>5.0</v>
      </c>
      <c r="J38" s="194">
        <v>2026.0</v>
      </c>
      <c r="K38" s="74" t="s">
        <v>51</v>
      </c>
      <c r="L38" s="74" t="s">
        <v>1177</v>
      </c>
      <c r="M38" s="194">
        <v>1.0</v>
      </c>
      <c r="N38" s="194">
        <v>2.0</v>
      </c>
      <c r="O38" s="194"/>
      <c r="P38" s="194">
        <v>4.0</v>
      </c>
      <c r="Q38" s="341">
        <v>46164.0</v>
      </c>
      <c r="R38" s="185">
        <v>22.0</v>
      </c>
      <c r="S38" s="185">
        <v>5.0</v>
      </c>
      <c r="T38" s="194">
        <v>2026.0</v>
      </c>
      <c r="U38" s="74" t="s">
        <v>2</v>
      </c>
      <c r="V38" s="342">
        <v>80.0603</v>
      </c>
      <c r="W38" s="341">
        <v>46164.0</v>
      </c>
      <c r="X38" s="185">
        <v>22.0</v>
      </c>
      <c r="Y38" s="185">
        <v>5.0</v>
      </c>
      <c r="Z38" s="194">
        <v>2026.0</v>
      </c>
      <c r="AA38" s="74" t="s">
        <v>2</v>
      </c>
    </row>
    <row r="39" ht="15.75" hidden="1" customHeight="1">
      <c r="A39" s="340" t="s">
        <v>1249</v>
      </c>
      <c r="B39" s="191" t="s">
        <v>1250</v>
      </c>
      <c r="C39" s="341">
        <v>46145.0</v>
      </c>
      <c r="D39" s="194">
        <v>3.0</v>
      </c>
      <c r="E39" s="194">
        <v>5.0</v>
      </c>
      <c r="F39" s="194">
        <v>2026.0</v>
      </c>
      <c r="G39" s="341">
        <v>46147.0</v>
      </c>
      <c r="H39" s="194">
        <v>5.0</v>
      </c>
      <c r="I39" s="194">
        <v>5.0</v>
      </c>
      <c r="J39" s="194">
        <v>2026.0</v>
      </c>
      <c r="K39" s="74" t="s">
        <v>51</v>
      </c>
      <c r="L39" s="74" t="s">
        <v>1177</v>
      </c>
      <c r="M39" s="194">
        <v>1.0</v>
      </c>
      <c r="N39" s="194">
        <v>2.0</v>
      </c>
      <c r="O39" s="74"/>
      <c r="P39" s="74"/>
      <c r="Q39" s="341">
        <v>46145.0</v>
      </c>
      <c r="R39" s="185">
        <v>3.0</v>
      </c>
      <c r="S39" s="185">
        <v>5.0</v>
      </c>
      <c r="T39" s="194">
        <v>2026.0</v>
      </c>
      <c r="U39" s="74" t="s">
        <v>2</v>
      </c>
      <c r="V39" s="342">
        <v>79.21755999999999</v>
      </c>
      <c r="W39" s="341">
        <v>46145.0</v>
      </c>
      <c r="X39" s="185">
        <v>3.0</v>
      </c>
      <c r="Y39" s="185">
        <v>5.0</v>
      </c>
      <c r="Z39" s="194">
        <v>2026.0</v>
      </c>
      <c r="AA39" s="74" t="s">
        <v>2</v>
      </c>
    </row>
    <row r="40" ht="15.75" hidden="1" customHeight="1">
      <c r="A40" s="340" t="s">
        <v>1251</v>
      </c>
      <c r="B40" s="191" t="s">
        <v>1252</v>
      </c>
      <c r="C40" s="341">
        <v>46154.0</v>
      </c>
      <c r="D40" s="194">
        <v>12.0</v>
      </c>
      <c r="E40" s="194">
        <v>5.0</v>
      </c>
      <c r="F40" s="194">
        <v>2026.0</v>
      </c>
      <c r="G40" s="341">
        <v>46156.0</v>
      </c>
      <c r="H40" s="194">
        <v>14.0</v>
      </c>
      <c r="I40" s="194">
        <v>5.0</v>
      </c>
      <c r="J40" s="194">
        <v>2026.0</v>
      </c>
      <c r="K40" s="74" t="s">
        <v>51</v>
      </c>
      <c r="L40" s="74" t="s">
        <v>1177</v>
      </c>
      <c r="M40" s="194">
        <v>1.0</v>
      </c>
      <c r="N40" s="194">
        <v>2.0</v>
      </c>
      <c r="O40" s="74"/>
      <c r="P40" s="74"/>
      <c r="Q40" s="341">
        <v>46154.0</v>
      </c>
      <c r="R40" s="185">
        <v>12.0</v>
      </c>
      <c r="S40" s="185">
        <v>5.0</v>
      </c>
      <c r="T40" s="194">
        <v>2026.0</v>
      </c>
      <c r="U40" s="74" t="s">
        <v>2</v>
      </c>
      <c r="V40" s="342">
        <v>79.21755999999999</v>
      </c>
      <c r="W40" s="341">
        <v>46154.0</v>
      </c>
      <c r="X40" s="185">
        <v>12.0</v>
      </c>
      <c r="Y40" s="185">
        <v>5.0</v>
      </c>
      <c r="Z40" s="194">
        <v>2026.0</v>
      </c>
      <c r="AA40" s="74" t="s">
        <v>2</v>
      </c>
    </row>
    <row r="41" ht="15.75" hidden="1" customHeight="1">
      <c r="A41" s="340" t="s">
        <v>1253</v>
      </c>
      <c r="B41" s="191" t="s">
        <v>1254</v>
      </c>
      <c r="C41" s="341">
        <v>46165.0</v>
      </c>
      <c r="D41" s="194">
        <v>23.0</v>
      </c>
      <c r="E41" s="194">
        <v>5.0</v>
      </c>
      <c r="F41" s="194">
        <v>2026.0</v>
      </c>
      <c r="G41" s="341">
        <v>46167.0</v>
      </c>
      <c r="H41" s="194">
        <v>25.0</v>
      </c>
      <c r="I41" s="194">
        <v>5.0</v>
      </c>
      <c r="J41" s="194">
        <v>2026.0</v>
      </c>
      <c r="K41" s="74" t="s">
        <v>51</v>
      </c>
      <c r="L41" s="74" t="s">
        <v>1177</v>
      </c>
      <c r="M41" s="194">
        <v>1.0</v>
      </c>
      <c r="N41" s="194">
        <v>2.0</v>
      </c>
      <c r="O41" s="194"/>
      <c r="P41" s="194">
        <v>4.0</v>
      </c>
      <c r="Q41" s="341">
        <v>46167.0</v>
      </c>
      <c r="R41" s="185">
        <v>25.0</v>
      </c>
      <c r="S41" s="185">
        <v>5.0</v>
      </c>
      <c r="T41" s="194">
        <v>2026.0</v>
      </c>
      <c r="U41" s="74" t="s">
        <v>245</v>
      </c>
      <c r="V41" s="342">
        <v>75.8466</v>
      </c>
      <c r="W41" s="341">
        <v>46167.0</v>
      </c>
      <c r="X41" s="185">
        <v>25.0</v>
      </c>
      <c r="Y41" s="185">
        <v>5.0</v>
      </c>
      <c r="Z41" s="194">
        <v>2026.0</v>
      </c>
      <c r="AA41" s="74" t="s">
        <v>2</v>
      </c>
    </row>
    <row r="42" ht="15.75" hidden="1" customHeight="1">
      <c r="A42" s="340" t="s">
        <v>1255</v>
      </c>
      <c r="B42" s="191" t="s">
        <v>1256</v>
      </c>
      <c r="C42" s="341">
        <v>46162.0</v>
      </c>
      <c r="D42" s="194">
        <v>20.0</v>
      </c>
      <c r="E42" s="194">
        <v>5.0</v>
      </c>
      <c r="F42" s="194">
        <v>2026.0</v>
      </c>
      <c r="G42" s="341">
        <v>46163.0</v>
      </c>
      <c r="H42" s="194">
        <v>21.0</v>
      </c>
      <c r="I42" s="194">
        <v>5.0</v>
      </c>
      <c r="J42" s="194">
        <v>2026.0</v>
      </c>
      <c r="K42" s="74" t="s">
        <v>51</v>
      </c>
      <c r="L42" s="74" t="s">
        <v>1177</v>
      </c>
      <c r="M42" s="194">
        <v>1.0</v>
      </c>
      <c r="N42" s="194">
        <v>1.0</v>
      </c>
      <c r="O42" s="194"/>
      <c r="P42" s="194">
        <v>2.0</v>
      </c>
      <c r="Q42" s="341">
        <v>46162.0</v>
      </c>
      <c r="R42" s="185">
        <v>20.0</v>
      </c>
      <c r="S42" s="185">
        <v>5.0</v>
      </c>
      <c r="T42" s="194">
        <v>2026.0</v>
      </c>
      <c r="U42" s="74" t="s">
        <v>245</v>
      </c>
      <c r="V42" s="342">
        <v>37.9233</v>
      </c>
      <c r="W42" s="341">
        <v>46162.0</v>
      </c>
      <c r="X42" s="185">
        <v>20.0</v>
      </c>
      <c r="Y42" s="185">
        <v>5.0</v>
      </c>
      <c r="Z42" s="194">
        <v>2026.0</v>
      </c>
      <c r="AA42" s="74" t="s">
        <v>2</v>
      </c>
    </row>
    <row r="43" ht="15.75" hidden="1" customHeight="1">
      <c r="A43" s="340" t="s">
        <v>1257</v>
      </c>
      <c r="B43" s="191" t="s">
        <v>1258</v>
      </c>
      <c r="C43" s="341">
        <v>46159.0</v>
      </c>
      <c r="D43" s="194">
        <v>17.0</v>
      </c>
      <c r="E43" s="194">
        <v>5.0</v>
      </c>
      <c r="F43" s="194">
        <v>2026.0</v>
      </c>
      <c r="G43" s="341">
        <v>46163.0</v>
      </c>
      <c r="H43" s="194">
        <v>21.0</v>
      </c>
      <c r="I43" s="194">
        <v>5.0</v>
      </c>
      <c r="J43" s="194">
        <v>2026.0</v>
      </c>
      <c r="K43" s="74" t="s">
        <v>51</v>
      </c>
      <c r="L43" s="74" t="s">
        <v>1177</v>
      </c>
      <c r="M43" s="194">
        <v>1.0</v>
      </c>
      <c r="N43" s="194">
        <v>4.0</v>
      </c>
      <c r="O43" s="194"/>
      <c r="P43" s="194">
        <v>8.0</v>
      </c>
      <c r="Q43" s="341">
        <v>46159.0</v>
      </c>
      <c r="R43" s="185">
        <v>17.0</v>
      </c>
      <c r="S43" s="185">
        <v>5.0</v>
      </c>
      <c r="T43" s="194">
        <v>2026.0</v>
      </c>
      <c r="U43" s="74" t="s">
        <v>245</v>
      </c>
      <c r="V43" s="342">
        <v>151.6932</v>
      </c>
      <c r="W43" s="341">
        <v>46159.0</v>
      </c>
      <c r="X43" s="185">
        <v>17.0</v>
      </c>
      <c r="Y43" s="185">
        <v>5.0</v>
      </c>
      <c r="Z43" s="194">
        <v>2026.0</v>
      </c>
      <c r="AA43" s="74" t="s">
        <v>2</v>
      </c>
    </row>
    <row r="44" ht="15.75" hidden="1" customHeight="1">
      <c r="A44" s="340" t="s">
        <v>1259</v>
      </c>
      <c r="B44" s="191" t="s">
        <v>1260</v>
      </c>
      <c r="C44" s="341">
        <v>46156.0</v>
      </c>
      <c r="D44" s="194">
        <v>14.0</v>
      </c>
      <c r="E44" s="194">
        <v>5.0</v>
      </c>
      <c r="F44" s="194">
        <v>2026.0</v>
      </c>
      <c r="G44" s="341">
        <v>46159.0</v>
      </c>
      <c r="H44" s="194">
        <v>17.0</v>
      </c>
      <c r="I44" s="194">
        <v>5.0</v>
      </c>
      <c r="J44" s="194">
        <v>2026.0</v>
      </c>
      <c r="K44" s="74" t="s">
        <v>51</v>
      </c>
      <c r="L44" s="74" t="s">
        <v>1177</v>
      </c>
      <c r="M44" s="194">
        <v>1.0</v>
      </c>
      <c r="N44" s="194">
        <v>3.0</v>
      </c>
      <c r="O44" s="194"/>
      <c r="P44" s="194">
        <v>6.0</v>
      </c>
      <c r="Q44" s="341">
        <v>46156.0</v>
      </c>
      <c r="R44" s="185">
        <v>14.0</v>
      </c>
      <c r="S44" s="185">
        <v>5.0</v>
      </c>
      <c r="T44" s="194">
        <v>2026.0</v>
      </c>
      <c r="U44" s="74" t="s">
        <v>245</v>
      </c>
      <c r="V44" s="342">
        <v>113.7699</v>
      </c>
      <c r="W44" s="341">
        <v>46156.0</v>
      </c>
      <c r="X44" s="185">
        <v>14.0</v>
      </c>
      <c r="Y44" s="185">
        <v>5.0</v>
      </c>
      <c r="Z44" s="194">
        <v>2026.0</v>
      </c>
      <c r="AA44" s="74" t="s">
        <v>2</v>
      </c>
    </row>
    <row r="45" ht="15.75" hidden="1" customHeight="1">
      <c r="A45" s="340" t="s">
        <v>1261</v>
      </c>
      <c r="B45" s="191" t="s">
        <v>1262</v>
      </c>
      <c r="C45" s="341">
        <v>46150.0</v>
      </c>
      <c r="D45" s="194">
        <v>8.0</v>
      </c>
      <c r="E45" s="194">
        <v>5.0</v>
      </c>
      <c r="F45" s="194">
        <v>2026.0</v>
      </c>
      <c r="G45" s="341">
        <v>46151.0</v>
      </c>
      <c r="H45" s="194">
        <v>9.0</v>
      </c>
      <c r="I45" s="194">
        <v>5.0</v>
      </c>
      <c r="J45" s="194">
        <v>2026.0</v>
      </c>
      <c r="K45" s="74" t="s">
        <v>51</v>
      </c>
      <c r="L45" s="74" t="s">
        <v>1177</v>
      </c>
      <c r="M45" s="194">
        <v>1.0</v>
      </c>
      <c r="N45" s="194">
        <v>1.0</v>
      </c>
      <c r="O45" s="194"/>
      <c r="P45" s="194">
        <v>2.0</v>
      </c>
      <c r="Q45" s="341">
        <v>46150.0</v>
      </c>
      <c r="R45" s="185">
        <v>8.0</v>
      </c>
      <c r="S45" s="185">
        <v>5.0</v>
      </c>
      <c r="T45" s="194">
        <v>2026.0</v>
      </c>
      <c r="U45" s="74" t="s">
        <v>245</v>
      </c>
      <c r="V45" s="342">
        <v>37.9233</v>
      </c>
      <c r="W45" s="341">
        <v>46150.0</v>
      </c>
      <c r="X45" s="185">
        <v>8.0</v>
      </c>
      <c r="Y45" s="185">
        <v>5.0</v>
      </c>
      <c r="Z45" s="194">
        <v>2026.0</v>
      </c>
      <c r="AA45" s="74" t="s">
        <v>2</v>
      </c>
    </row>
    <row r="46" ht="15.75" hidden="1" customHeight="1">
      <c r="A46" s="340" t="s">
        <v>1263</v>
      </c>
      <c r="B46" s="191" t="s">
        <v>1264</v>
      </c>
      <c r="C46" s="341">
        <v>46154.0</v>
      </c>
      <c r="D46" s="194">
        <v>12.0</v>
      </c>
      <c r="E46" s="194">
        <v>5.0</v>
      </c>
      <c r="F46" s="194">
        <v>2026.0</v>
      </c>
      <c r="G46" s="341">
        <v>46160.0</v>
      </c>
      <c r="H46" s="194">
        <v>18.0</v>
      </c>
      <c r="I46" s="194">
        <v>5.0</v>
      </c>
      <c r="J46" s="194">
        <v>2026.0</v>
      </c>
      <c r="K46" s="74" t="s">
        <v>51</v>
      </c>
      <c r="L46" s="74" t="s">
        <v>1177</v>
      </c>
      <c r="M46" s="194">
        <v>1.0</v>
      </c>
      <c r="N46" s="194">
        <v>6.0</v>
      </c>
      <c r="O46" s="74"/>
      <c r="P46" s="74">
        <v>12.0</v>
      </c>
      <c r="Q46" s="341">
        <v>46154.0</v>
      </c>
      <c r="R46" s="185">
        <v>12.0</v>
      </c>
      <c r="S46" s="185">
        <v>5.0</v>
      </c>
      <c r="T46" s="194">
        <v>2026.0</v>
      </c>
      <c r="U46" s="74" t="s">
        <v>245</v>
      </c>
      <c r="V46" s="342">
        <v>216.5926074</v>
      </c>
      <c r="W46" s="341">
        <v>46154.0</v>
      </c>
      <c r="X46" s="185">
        <v>12.0</v>
      </c>
      <c r="Y46" s="185">
        <v>5.0</v>
      </c>
      <c r="Z46" s="194">
        <v>2026.0</v>
      </c>
      <c r="AA46" s="74" t="s">
        <v>2</v>
      </c>
    </row>
    <row r="47" ht="15.75" hidden="1" customHeight="1">
      <c r="A47" s="340" t="s">
        <v>1265</v>
      </c>
      <c r="B47" s="191" t="s">
        <v>1266</v>
      </c>
      <c r="C47" s="341">
        <v>46144.0</v>
      </c>
      <c r="D47" s="194">
        <v>2.0</v>
      </c>
      <c r="E47" s="194">
        <v>5.0</v>
      </c>
      <c r="F47" s="194">
        <v>2026.0</v>
      </c>
      <c r="G47" s="341">
        <v>46145.0</v>
      </c>
      <c r="H47" s="194">
        <v>3.0</v>
      </c>
      <c r="I47" s="194">
        <v>5.0</v>
      </c>
      <c r="J47" s="194">
        <v>2026.0</v>
      </c>
      <c r="K47" s="74" t="s">
        <v>51</v>
      </c>
      <c r="L47" s="74" t="s">
        <v>1177</v>
      </c>
      <c r="M47" s="194">
        <v>1.0</v>
      </c>
      <c r="N47" s="194">
        <v>1.0</v>
      </c>
      <c r="O47" s="194"/>
      <c r="P47" s="194">
        <v>2.0</v>
      </c>
      <c r="Q47" s="341">
        <v>46144.0</v>
      </c>
      <c r="R47" s="185">
        <v>2.0</v>
      </c>
      <c r="S47" s="185">
        <v>5.0</v>
      </c>
      <c r="T47" s="194">
        <v>2026.0</v>
      </c>
      <c r="U47" s="74" t="s">
        <v>245</v>
      </c>
      <c r="V47" s="342">
        <v>37.9233</v>
      </c>
      <c r="W47" s="341">
        <v>46144.0</v>
      </c>
      <c r="X47" s="185">
        <v>2.0</v>
      </c>
      <c r="Y47" s="185">
        <v>5.0</v>
      </c>
      <c r="Z47" s="194">
        <v>2026.0</v>
      </c>
      <c r="AA47" s="74" t="s">
        <v>2</v>
      </c>
    </row>
    <row r="48" ht="15.75" hidden="1" customHeight="1">
      <c r="A48" s="340" t="s">
        <v>1267</v>
      </c>
      <c r="B48" s="191" t="s">
        <v>1268</v>
      </c>
      <c r="C48" s="341">
        <v>46147.0</v>
      </c>
      <c r="D48" s="194">
        <v>5.0</v>
      </c>
      <c r="E48" s="194">
        <v>5.0</v>
      </c>
      <c r="F48" s="194">
        <v>2026.0</v>
      </c>
      <c r="G48" s="341">
        <v>46150.0</v>
      </c>
      <c r="H48" s="194">
        <v>8.0</v>
      </c>
      <c r="I48" s="194">
        <v>5.0</v>
      </c>
      <c r="J48" s="194">
        <v>2026.0</v>
      </c>
      <c r="K48" s="74" t="s">
        <v>51</v>
      </c>
      <c r="L48" s="74" t="s">
        <v>1177</v>
      </c>
      <c r="M48" s="194">
        <v>1.0</v>
      </c>
      <c r="N48" s="194">
        <v>3.0</v>
      </c>
      <c r="O48" s="194"/>
      <c r="P48" s="194">
        <v>4.0</v>
      </c>
      <c r="Q48" s="341">
        <v>46147.0</v>
      </c>
      <c r="R48" s="185">
        <v>5.0</v>
      </c>
      <c r="S48" s="185">
        <v>5.0</v>
      </c>
      <c r="T48" s="194">
        <v>2026.0</v>
      </c>
      <c r="U48" s="74" t="s">
        <v>2</v>
      </c>
      <c r="V48" s="342">
        <v>115.45537999999999</v>
      </c>
      <c r="W48" s="341">
        <v>46147.0</v>
      </c>
      <c r="X48" s="185">
        <v>5.0</v>
      </c>
      <c r="Y48" s="185">
        <v>5.0</v>
      </c>
      <c r="Z48" s="194">
        <v>2026.0</v>
      </c>
      <c r="AA48" s="74" t="s">
        <v>2</v>
      </c>
    </row>
    <row r="49" ht="15.75" hidden="1" customHeight="1">
      <c r="A49" s="340" t="s">
        <v>1269</v>
      </c>
      <c r="B49" s="191" t="s">
        <v>1270</v>
      </c>
      <c r="C49" s="341">
        <v>46158.0</v>
      </c>
      <c r="D49" s="194">
        <v>16.0</v>
      </c>
      <c r="E49" s="194">
        <v>5.0</v>
      </c>
      <c r="F49" s="194">
        <v>2026.0</v>
      </c>
      <c r="G49" s="341">
        <v>46159.0</v>
      </c>
      <c r="H49" s="194">
        <v>17.0</v>
      </c>
      <c r="I49" s="194">
        <v>5.0</v>
      </c>
      <c r="J49" s="194">
        <v>2026.0</v>
      </c>
      <c r="K49" s="74" t="s">
        <v>51</v>
      </c>
      <c r="L49" s="74" t="s">
        <v>1177</v>
      </c>
      <c r="M49" s="194">
        <v>1.0</v>
      </c>
      <c r="N49" s="194">
        <v>1.0</v>
      </c>
      <c r="O49" s="74"/>
      <c r="P49" s="74"/>
      <c r="Q49" s="341">
        <v>46159.0</v>
      </c>
      <c r="R49" s="185">
        <v>17.0</v>
      </c>
      <c r="S49" s="185">
        <v>5.0</v>
      </c>
      <c r="T49" s="194">
        <v>2026.0</v>
      </c>
      <c r="U49" s="74" t="s">
        <v>2</v>
      </c>
      <c r="V49" s="342">
        <v>31.18138</v>
      </c>
      <c r="W49" s="341">
        <v>46159.0</v>
      </c>
      <c r="X49" s="185">
        <v>17.0</v>
      </c>
      <c r="Y49" s="185">
        <v>5.0</v>
      </c>
      <c r="Z49" s="194">
        <v>2026.0</v>
      </c>
      <c r="AA49" s="74" t="s">
        <v>2</v>
      </c>
    </row>
    <row r="50" ht="15.75" hidden="1" customHeight="1">
      <c r="A50" s="340" t="s">
        <v>1271</v>
      </c>
      <c r="B50" s="191" t="s">
        <v>1272</v>
      </c>
      <c r="C50" s="341">
        <v>46171.0</v>
      </c>
      <c r="D50" s="194">
        <v>29.0</v>
      </c>
      <c r="E50" s="194">
        <v>5.0</v>
      </c>
      <c r="F50" s="194">
        <v>2026.0</v>
      </c>
      <c r="G50" s="341">
        <v>46175.0</v>
      </c>
      <c r="H50" s="194">
        <v>2.0</v>
      </c>
      <c r="I50" s="194">
        <v>6.0</v>
      </c>
      <c r="J50" s="194">
        <v>2026.0</v>
      </c>
      <c r="K50" s="74" t="s">
        <v>51</v>
      </c>
      <c r="L50" s="74" t="s">
        <v>1273</v>
      </c>
      <c r="M50" s="194">
        <v>1.0</v>
      </c>
      <c r="N50" s="194">
        <v>4.0</v>
      </c>
      <c r="O50" s="74"/>
      <c r="P50" s="74"/>
      <c r="Q50" s="341">
        <v>46166.0</v>
      </c>
      <c r="R50" s="185">
        <v>24.0</v>
      </c>
      <c r="S50" s="185">
        <v>5.0</v>
      </c>
      <c r="T50" s="194">
        <v>2026.0</v>
      </c>
      <c r="U50" s="74" t="s">
        <v>2</v>
      </c>
      <c r="V50" s="342">
        <v>32.0409748</v>
      </c>
      <c r="W50" s="341">
        <v>46166.0</v>
      </c>
      <c r="X50" s="185">
        <v>24.0</v>
      </c>
      <c r="Y50" s="185">
        <v>5.0</v>
      </c>
      <c r="Z50" s="194">
        <v>2026.0</v>
      </c>
      <c r="AA50" s="74" t="s">
        <v>2</v>
      </c>
    </row>
    <row r="51" ht="15.75" hidden="1" customHeight="1">
      <c r="A51" s="340" t="s">
        <v>1274</v>
      </c>
      <c r="B51" s="191" t="s">
        <v>1275</v>
      </c>
      <c r="C51" s="341">
        <v>46168.0</v>
      </c>
      <c r="D51" s="194">
        <v>26.0</v>
      </c>
      <c r="E51" s="194">
        <v>5.0</v>
      </c>
      <c r="F51" s="194">
        <v>2026.0</v>
      </c>
      <c r="G51" s="341">
        <v>46169.0</v>
      </c>
      <c r="H51" s="194">
        <v>27.0</v>
      </c>
      <c r="I51" s="194">
        <v>5.0</v>
      </c>
      <c r="J51" s="194">
        <v>2026.0</v>
      </c>
      <c r="K51" s="74" t="s">
        <v>51</v>
      </c>
      <c r="L51" s="74" t="s">
        <v>1177</v>
      </c>
      <c r="M51" s="194">
        <v>1.0</v>
      </c>
      <c r="N51" s="194">
        <v>1.0</v>
      </c>
      <c r="O51" s="194"/>
      <c r="P51" s="194">
        <v>2.0</v>
      </c>
      <c r="Q51" s="344">
        <v>46174.0</v>
      </c>
      <c r="R51" s="194">
        <v>1.0</v>
      </c>
      <c r="S51" s="194">
        <v>6.0</v>
      </c>
      <c r="T51" s="194">
        <v>2026.0</v>
      </c>
      <c r="U51" s="74" t="s">
        <v>2</v>
      </c>
      <c r="V51" s="194">
        <v>47.0</v>
      </c>
      <c r="W51" s="344">
        <v>46174.0</v>
      </c>
      <c r="X51" s="194">
        <v>1.0</v>
      </c>
      <c r="Y51" s="194">
        <v>6.0</v>
      </c>
      <c r="Z51" s="194">
        <v>2026.0</v>
      </c>
      <c r="AA51" s="74" t="s">
        <v>2</v>
      </c>
    </row>
    <row r="52" ht="15.75" hidden="1" customHeight="1">
      <c r="A52" s="340" t="s">
        <v>1276</v>
      </c>
      <c r="B52" s="191" t="s">
        <v>1277</v>
      </c>
      <c r="C52" s="343">
        <v>46170.0</v>
      </c>
      <c r="D52" s="194">
        <v>28.0</v>
      </c>
      <c r="E52" s="194">
        <v>5.0</v>
      </c>
      <c r="F52" s="194">
        <v>2026.0</v>
      </c>
      <c r="G52" s="343">
        <v>46174.0</v>
      </c>
      <c r="H52" s="194">
        <v>1.0</v>
      </c>
      <c r="I52" s="194">
        <v>6.0</v>
      </c>
      <c r="J52" s="194">
        <v>2026.0</v>
      </c>
      <c r="K52" s="74" t="s">
        <v>51</v>
      </c>
      <c r="L52" s="74" t="s">
        <v>1177</v>
      </c>
      <c r="M52" s="74">
        <v>1.0</v>
      </c>
      <c r="N52" s="74">
        <v>4.0</v>
      </c>
      <c r="O52" s="74"/>
      <c r="P52" s="74">
        <v>8.0</v>
      </c>
      <c r="Q52" s="344">
        <v>46174.0</v>
      </c>
      <c r="R52" s="185">
        <v>1.0</v>
      </c>
      <c r="S52" s="185">
        <v>6.0</v>
      </c>
      <c r="T52" s="194">
        <v>2026.0</v>
      </c>
      <c r="U52" s="74" t="s">
        <v>2</v>
      </c>
      <c r="V52" s="74">
        <v>152.1</v>
      </c>
      <c r="W52" s="344">
        <v>46174.0</v>
      </c>
      <c r="X52" s="185">
        <v>1.0</v>
      </c>
      <c r="Y52" s="185">
        <v>6.0</v>
      </c>
      <c r="Z52" s="194">
        <v>2026.0</v>
      </c>
      <c r="AA52" s="74" t="s">
        <v>2</v>
      </c>
    </row>
    <row r="53" ht="15.75" hidden="1" customHeight="1">
      <c r="A53" s="340" t="s">
        <v>1278</v>
      </c>
      <c r="B53" s="191" t="s">
        <v>1279</v>
      </c>
      <c r="C53" s="341">
        <v>46168.0</v>
      </c>
      <c r="D53" s="194">
        <v>26.0</v>
      </c>
      <c r="E53" s="194">
        <v>5.0</v>
      </c>
      <c r="F53" s="194">
        <v>2026.0</v>
      </c>
      <c r="G53" s="341">
        <v>46171.0</v>
      </c>
      <c r="H53" s="194">
        <v>29.0</v>
      </c>
      <c r="I53" s="194">
        <v>5.0</v>
      </c>
      <c r="J53" s="194">
        <v>2026.0</v>
      </c>
      <c r="K53" s="74" t="s">
        <v>51</v>
      </c>
      <c r="L53" s="74" t="s">
        <v>1177</v>
      </c>
      <c r="M53" s="194">
        <v>1.0</v>
      </c>
      <c r="N53" s="194">
        <v>3.0</v>
      </c>
      <c r="O53" s="194"/>
      <c r="P53" s="194">
        <v>6.0</v>
      </c>
      <c r="Q53" s="344">
        <v>46174.0</v>
      </c>
      <c r="R53" s="194">
        <v>1.0</v>
      </c>
      <c r="S53" s="194">
        <v>6.0</v>
      </c>
      <c r="T53" s="194">
        <v>2026.0</v>
      </c>
      <c r="U53" s="74" t="s">
        <v>2</v>
      </c>
      <c r="V53" s="194">
        <v>141.0</v>
      </c>
      <c r="W53" s="344">
        <v>46174.0</v>
      </c>
      <c r="X53" s="194">
        <v>1.0</v>
      </c>
      <c r="Y53" s="194">
        <v>6.0</v>
      </c>
      <c r="Z53" s="194">
        <v>2026.0</v>
      </c>
      <c r="AA53" s="74" t="s">
        <v>2</v>
      </c>
    </row>
    <row r="54" ht="15.75" hidden="1" customHeight="1">
      <c r="A54" s="340" t="s">
        <v>1280</v>
      </c>
      <c r="B54" s="191" t="s">
        <v>1281</v>
      </c>
      <c r="C54" s="341">
        <v>46168.0</v>
      </c>
      <c r="D54" s="194">
        <v>26.0</v>
      </c>
      <c r="E54" s="194">
        <v>5.0</v>
      </c>
      <c r="F54" s="194">
        <v>2026.0</v>
      </c>
      <c r="G54" s="341">
        <v>46170.0</v>
      </c>
      <c r="H54" s="194">
        <v>28.0</v>
      </c>
      <c r="I54" s="194">
        <v>5.0</v>
      </c>
      <c r="J54" s="194">
        <v>2026.0</v>
      </c>
      <c r="K54" s="74" t="s">
        <v>51</v>
      </c>
      <c r="L54" s="74" t="s">
        <v>1177</v>
      </c>
      <c r="M54" s="194">
        <v>1.0</v>
      </c>
      <c r="N54" s="194">
        <v>2.0</v>
      </c>
      <c r="O54" s="194"/>
      <c r="P54" s="194">
        <v>4.0</v>
      </c>
      <c r="Q54" s="344">
        <v>46174.0</v>
      </c>
      <c r="R54" s="194">
        <v>1.0</v>
      </c>
      <c r="S54" s="194">
        <v>6.0</v>
      </c>
      <c r="T54" s="194">
        <v>2026.0</v>
      </c>
      <c r="U54" s="74" t="s">
        <v>2</v>
      </c>
      <c r="V54" s="194">
        <v>90.0</v>
      </c>
      <c r="W54" s="344">
        <v>46174.0</v>
      </c>
      <c r="X54" s="194">
        <v>1.0</v>
      </c>
      <c r="Y54" s="194">
        <v>6.0</v>
      </c>
      <c r="Z54" s="194">
        <v>2026.0</v>
      </c>
      <c r="AA54" s="74" t="s">
        <v>2</v>
      </c>
    </row>
    <row r="55" ht="15.75" hidden="1" customHeight="1">
      <c r="A55" s="340" t="s">
        <v>1282</v>
      </c>
      <c r="B55" s="191" t="s">
        <v>1283</v>
      </c>
      <c r="C55" s="341">
        <v>46169.0</v>
      </c>
      <c r="D55" s="194">
        <v>27.0</v>
      </c>
      <c r="E55" s="194">
        <v>5.0</v>
      </c>
      <c r="F55" s="194">
        <v>2026.0</v>
      </c>
      <c r="G55" s="341">
        <v>46173.0</v>
      </c>
      <c r="H55" s="194">
        <v>31.0</v>
      </c>
      <c r="I55" s="194">
        <v>5.0</v>
      </c>
      <c r="J55" s="194">
        <v>2026.0</v>
      </c>
      <c r="K55" s="74" t="s">
        <v>51</v>
      </c>
      <c r="L55" s="74" t="s">
        <v>1177</v>
      </c>
      <c r="M55" s="194">
        <v>1.0</v>
      </c>
      <c r="N55" s="194">
        <v>4.0</v>
      </c>
      <c r="O55" s="74"/>
      <c r="P55" s="74"/>
      <c r="Q55" s="344">
        <v>46174.0</v>
      </c>
      <c r="R55" s="194">
        <v>1.0</v>
      </c>
      <c r="S55" s="194">
        <v>6.0</v>
      </c>
      <c r="T55" s="194">
        <v>2026.0</v>
      </c>
      <c r="U55" s="74" t="s">
        <v>2</v>
      </c>
      <c r="V55" s="194">
        <v>180.0</v>
      </c>
      <c r="W55" s="344">
        <v>46174.0</v>
      </c>
      <c r="X55" s="194">
        <v>1.0</v>
      </c>
      <c r="Y55" s="194">
        <v>6.0</v>
      </c>
      <c r="Z55" s="194">
        <v>2026.0</v>
      </c>
      <c r="AA55" s="74" t="s">
        <v>2</v>
      </c>
    </row>
    <row r="56" ht="15.75" hidden="1" customHeight="1">
      <c r="A56" s="340" t="s">
        <v>1284</v>
      </c>
      <c r="B56" s="191" t="s">
        <v>1285</v>
      </c>
      <c r="C56" s="343">
        <v>46170.0</v>
      </c>
      <c r="D56" s="194">
        <v>28.0</v>
      </c>
      <c r="E56" s="194">
        <v>5.0</v>
      </c>
      <c r="F56" s="194">
        <v>2026.0</v>
      </c>
      <c r="G56" s="343">
        <v>46171.0</v>
      </c>
      <c r="H56" s="194">
        <v>29.0</v>
      </c>
      <c r="I56" s="194">
        <v>5.0</v>
      </c>
      <c r="J56" s="194">
        <v>2026.0</v>
      </c>
      <c r="K56" s="74" t="s">
        <v>51</v>
      </c>
      <c r="L56" s="74" t="s">
        <v>1177</v>
      </c>
      <c r="M56" s="74">
        <v>1.0</v>
      </c>
      <c r="N56" s="74">
        <v>1.0</v>
      </c>
      <c r="O56" s="74"/>
      <c r="P56" s="74">
        <v>2.0</v>
      </c>
      <c r="Q56" s="344">
        <v>46174.0</v>
      </c>
      <c r="R56" s="185">
        <v>1.0</v>
      </c>
      <c r="S56" s="185">
        <v>6.0</v>
      </c>
      <c r="T56" s="194">
        <v>2026.0</v>
      </c>
      <c r="U56" s="74" t="s">
        <v>245</v>
      </c>
      <c r="V56" s="74">
        <v>36.02</v>
      </c>
      <c r="W56" s="344">
        <v>46174.0</v>
      </c>
      <c r="X56" s="185">
        <v>1.0</v>
      </c>
      <c r="Y56" s="185">
        <v>6.0</v>
      </c>
      <c r="Z56" s="194">
        <v>2026.0</v>
      </c>
      <c r="AA56" s="74" t="s">
        <v>2</v>
      </c>
    </row>
    <row r="57" ht="15.75" hidden="1" customHeight="1">
      <c r="A57" s="340" t="s">
        <v>1286</v>
      </c>
      <c r="B57" s="191" t="s">
        <v>1287</v>
      </c>
      <c r="C57" s="341">
        <v>46168.0</v>
      </c>
      <c r="D57" s="194">
        <v>26.0</v>
      </c>
      <c r="E57" s="194">
        <v>5.0</v>
      </c>
      <c r="F57" s="194">
        <v>2026.0</v>
      </c>
      <c r="G57" s="341">
        <v>46170.0</v>
      </c>
      <c r="H57" s="194">
        <v>28.0</v>
      </c>
      <c r="I57" s="194">
        <v>5.0</v>
      </c>
      <c r="J57" s="194">
        <v>2026.0</v>
      </c>
      <c r="K57" s="74" t="s">
        <v>51</v>
      </c>
      <c r="L57" s="74" t="s">
        <v>1177</v>
      </c>
      <c r="M57" s="194">
        <v>1.0</v>
      </c>
      <c r="N57" s="194">
        <v>2.0</v>
      </c>
      <c r="O57" s="194"/>
      <c r="P57" s="194">
        <v>8.0</v>
      </c>
      <c r="Q57" s="341">
        <v>46169.0</v>
      </c>
      <c r="R57" s="185">
        <v>27.0</v>
      </c>
      <c r="S57" s="185">
        <v>5.0</v>
      </c>
      <c r="T57" s="194">
        <v>2026.0</v>
      </c>
      <c r="U57" s="74" t="s">
        <v>245</v>
      </c>
      <c r="V57" s="194">
        <v>180.0</v>
      </c>
      <c r="W57" s="344">
        <v>46174.0</v>
      </c>
      <c r="X57" s="194">
        <v>1.0</v>
      </c>
      <c r="Y57" s="194">
        <v>6.0</v>
      </c>
      <c r="Z57" s="194">
        <v>2026.0</v>
      </c>
      <c r="AA57" s="74" t="s">
        <v>2</v>
      </c>
    </row>
    <row r="58" ht="15.75" hidden="1" customHeight="1">
      <c r="A58" s="340" t="s">
        <v>1288</v>
      </c>
      <c r="B58" s="191" t="s">
        <v>1289</v>
      </c>
      <c r="C58" s="341">
        <v>46169.0</v>
      </c>
      <c r="D58" s="194">
        <v>27.0</v>
      </c>
      <c r="E58" s="194">
        <v>5.0</v>
      </c>
      <c r="F58" s="194">
        <v>2026.0</v>
      </c>
      <c r="G58" s="341">
        <v>46171.0</v>
      </c>
      <c r="H58" s="194">
        <v>29.0</v>
      </c>
      <c r="I58" s="194">
        <v>5.0</v>
      </c>
      <c r="J58" s="194">
        <v>2026.0</v>
      </c>
      <c r="K58" s="74" t="s">
        <v>51</v>
      </c>
      <c r="L58" s="74" t="s">
        <v>1177</v>
      </c>
      <c r="M58" s="194">
        <v>1.0</v>
      </c>
      <c r="N58" s="194">
        <v>2.0</v>
      </c>
      <c r="O58" s="194"/>
      <c r="P58" s="194">
        <v>4.0</v>
      </c>
      <c r="Q58" s="344">
        <v>46174.0</v>
      </c>
      <c r="R58" s="194">
        <v>1.0</v>
      </c>
      <c r="S58" s="194">
        <v>6.0</v>
      </c>
      <c r="T58" s="194">
        <v>2026.0</v>
      </c>
      <c r="U58" s="74" t="s">
        <v>2</v>
      </c>
      <c r="V58" s="194">
        <v>94.0</v>
      </c>
      <c r="W58" s="344">
        <v>46174.0</v>
      </c>
      <c r="X58" s="194">
        <v>1.0</v>
      </c>
      <c r="Y58" s="194">
        <v>6.0</v>
      </c>
      <c r="Z58" s="194">
        <v>2026.0</v>
      </c>
      <c r="AA58" s="74" t="s">
        <v>2</v>
      </c>
    </row>
    <row r="59" ht="15.75" hidden="1" customHeight="1">
      <c r="A59" s="349" t="s">
        <v>1290</v>
      </c>
      <c r="B59" s="191" t="s">
        <v>1291</v>
      </c>
      <c r="C59" s="343">
        <v>46171.0</v>
      </c>
      <c r="D59" s="194">
        <v>29.0</v>
      </c>
      <c r="E59" s="194">
        <v>5.0</v>
      </c>
      <c r="F59" s="194">
        <v>2026.0</v>
      </c>
      <c r="G59" s="343">
        <v>46174.0</v>
      </c>
      <c r="H59" s="194">
        <v>1.0</v>
      </c>
      <c r="I59" s="194">
        <v>6.0</v>
      </c>
      <c r="J59" s="194">
        <v>2026.0</v>
      </c>
      <c r="K59" s="74" t="s">
        <v>51</v>
      </c>
      <c r="L59" s="74" t="s">
        <v>1177</v>
      </c>
      <c r="M59" s="74">
        <v>1.0</v>
      </c>
      <c r="N59" s="74">
        <v>3.0</v>
      </c>
      <c r="O59" s="74"/>
      <c r="P59" s="74">
        <v>6.0</v>
      </c>
      <c r="Q59" s="344">
        <v>46174.0</v>
      </c>
      <c r="R59" s="185">
        <v>1.0</v>
      </c>
      <c r="S59" s="185">
        <v>6.0</v>
      </c>
      <c r="T59" s="194">
        <v>2026.0</v>
      </c>
      <c r="U59" s="74" t="s">
        <v>2</v>
      </c>
      <c r="V59" s="74">
        <v>88.7299999999999</v>
      </c>
      <c r="W59" s="344">
        <v>46174.0</v>
      </c>
      <c r="X59" s="185">
        <v>1.0</v>
      </c>
      <c r="Y59" s="185">
        <v>6.0</v>
      </c>
      <c r="Z59" s="194">
        <v>2026.0</v>
      </c>
      <c r="AA59" s="74" t="s">
        <v>2</v>
      </c>
    </row>
    <row r="60" ht="15.75" hidden="1" customHeight="1">
      <c r="A60" s="340" t="s">
        <v>1292</v>
      </c>
      <c r="B60" s="191" t="s">
        <v>1293</v>
      </c>
      <c r="C60" s="343">
        <v>46189.0</v>
      </c>
      <c r="D60" s="194">
        <v>16.0</v>
      </c>
      <c r="E60" s="194">
        <v>6.0</v>
      </c>
      <c r="F60" s="194">
        <v>2026.0</v>
      </c>
      <c r="G60" s="343">
        <v>46192.0</v>
      </c>
      <c r="H60" s="194">
        <v>19.0</v>
      </c>
      <c r="I60" s="194">
        <v>6.0</v>
      </c>
      <c r="J60" s="194">
        <v>2026.0</v>
      </c>
      <c r="K60" s="74" t="s">
        <v>51</v>
      </c>
      <c r="L60" s="74" t="s">
        <v>1177</v>
      </c>
      <c r="M60" s="74">
        <v>1.0</v>
      </c>
      <c r="N60" s="74">
        <v>3.0</v>
      </c>
      <c r="O60" s="74"/>
      <c r="P60" s="74">
        <v>6.0</v>
      </c>
      <c r="Q60" s="344">
        <v>46174.0</v>
      </c>
      <c r="R60" s="185">
        <v>1.0</v>
      </c>
      <c r="S60" s="185">
        <v>6.0</v>
      </c>
      <c r="T60" s="194">
        <v>2026.0</v>
      </c>
      <c r="U60" s="74" t="s">
        <v>2</v>
      </c>
      <c r="V60" s="74">
        <v>114.07</v>
      </c>
      <c r="W60" s="344">
        <v>46174.0</v>
      </c>
      <c r="X60" s="194">
        <v>1.0</v>
      </c>
      <c r="Y60" s="194">
        <v>6.0</v>
      </c>
      <c r="Z60" s="194">
        <v>2026.0</v>
      </c>
      <c r="AA60" s="74" t="s">
        <v>2</v>
      </c>
    </row>
    <row r="61" ht="15.75" hidden="1" customHeight="1">
      <c r="A61" s="340" t="s">
        <v>1294</v>
      </c>
      <c r="B61" s="191" t="s">
        <v>1295</v>
      </c>
      <c r="C61" s="343">
        <v>46187.0</v>
      </c>
      <c r="D61" s="194">
        <v>14.0</v>
      </c>
      <c r="E61" s="194">
        <v>6.0</v>
      </c>
      <c r="F61" s="194">
        <v>2026.0</v>
      </c>
      <c r="G61" s="343">
        <v>46191.0</v>
      </c>
      <c r="H61" s="194">
        <v>18.0</v>
      </c>
      <c r="I61" s="194">
        <v>6.0</v>
      </c>
      <c r="J61" s="194">
        <v>2026.0</v>
      </c>
      <c r="K61" s="74" t="s">
        <v>51</v>
      </c>
      <c r="L61" s="74" t="s">
        <v>1177</v>
      </c>
      <c r="M61" s="74">
        <v>1.0</v>
      </c>
      <c r="N61" s="74">
        <v>4.0</v>
      </c>
      <c r="O61" s="74"/>
      <c r="P61" s="74">
        <v>8.0</v>
      </c>
      <c r="Q61" s="344">
        <v>46174.0</v>
      </c>
      <c r="R61" s="185">
        <v>1.0</v>
      </c>
      <c r="S61" s="185">
        <v>6.0</v>
      </c>
      <c r="T61" s="194">
        <v>2026.0</v>
      </c>
      <c r="U61" s="74" t="s">
        <v>2</v>
      </c>
      <c r="V61" s="74">
        <v>152.1</v>
      </c>
      <c r="W61" s="344">
        <v>46174.0</v>
      </c>
      <c r="X61" s="194">
        <v>1.0</v>
      </c>
      <c r="Y61" s="194">
        <v>6.0</v>
      </c>
      <c r="Z61" s="194">
        <v>2026.0</v>
      </c>
      <c r="AA61" s="74" t="s">
        <v>2</v>
      </c>
    </row>
    <row r="62" ht="15.75" hidden="1" customHeight="1">
      <c r="A62" s="340" t="s">
        <v>1296</v>
      </c>
      <c r="B62" s="191" t="s">
        <v>1297</v>
      </c>
      <c r="C62" s="343">
        <v>46197.0</v>
      </c>
      <c r="D62" s="194">
        <v>24.0</v>
      </c>
      <c r="E62" s="194">
        <v>6.0</v>
      </c>
      <c r="F62" s="194">
        <v>2026.0</v>
      </c>
      <c r="G62" s="343">
        <v>46201.0</v>
      </c>
      <c r="H62" s="194">
        <v>28.0</v>
      </c>
      <c r="I62" s="194">
        <v>6.0</v>
      </c>
      <c r="J62" s="194">
        <v>2026.0</v>
      </c>
      <c r="K62" s="74" t="s">
        <v>51</v>
      </c>
      <c r="L62" s="74" t="s">
        <v>1177</v>
      </c>
      <c r="M62" s="74">
        <v>1.0</v>
      </c>
      <c r="N62" s="74">
        <v>4.0</v>
      </c>
      <c r="O62" s="74"/>
      <c r="P62" s="74">
        <v>8.0</v>
      </c>
      <c r="Q62" s="344">
        <v>46174.0</v>
      </c>
      <c r="R62" s="185">
        <v>1.0</v>
      </c>
      <c r="S62" s="185">
        <v>6.0</v>
      </c>
      <c r="T62" s="194">
        <v>2026.0</v>
      </c>
      <c r="U62" s="74" t="s">
        <v>2</v>
      </c>
      <c r="V62" s="74">
        <v>152.1</v>
      </c>
      <c r="W62" s="344">
        <v>46174.0</v>
      </c>
      <c r="X62" s="194">
        <v>1.0</v>
      </c>
      <c r="Y62" s="194">
        <v>6.0</v>
      </c>
      <c r="Z62" s="194">
        <v>2026.0</v>
      </c>
      <c r="AA62" s="74" t="s">
        <v>2</v>
      </c>
    </row>
    <row r="63" ht="15.75" hidden="1" customHeight="1">
      <c r="A63" s="340" t="s">
        <v>1298</v>
      </c>
      <c r="B63" s="191" t="s">
        <v>1299</v>
      </c>
      <c r="C63" s="343">
        <v>46185.0</v>
      </c>
      <c r="D63" s="194">
        <v>12.0</v>
      </c>
      <c r="E63" s="194">
        <v>6.0</v>
      </c>
      <c r="F63" s="194">
        <v>2026.0</v>
      </c>
      <c r="G63" s="343">
        <v>46188.0</v>
      </c>
      <c r="H63" s="194">
        <v>15.0</v>
      </c>
      <c r="I63" s="194">
        <v>6.0</v>
      </c>
      <c r="J63" s="194">
        <v>2026.0</v>
      </c>
      <c r="K63" s="74" t="s">
        <v>51</v>
      </c>
      <c r="L63" s="74" t="s">
        <v>1177</v>
      </c>
      <c r="M63" s="74">
        <v>1.0</v>
      </c>
      <c r="N63" s="74">
        <v>3.0</v>
      </c>
      <c r="O63" s="74"/>
      <c r="P63" s="74">
        <v>6.0</v>
      </c>
      <c r="Q63" s="344">
        <v>46174.0</v>
      </c>
      <c r="R63" s="185">
        <v>1.0</v>
      </c>
      <c r="S63" s="185">
        <v>6.0</v>
      </c>
      <c r="T63" s="194">
        <v>2026.0</v>
      </c>
      <c r="U63" s="74" t="s">
        <v>245</v>
      </c>
      <c r="V63" s="74">
        <v>108.07</v>
      </c>
      <c r="W63" s="344">
        <v>46174.0</v>
      </c>
      <c r="X63" s="194">
        <v>1.0</v>
      </c>
      <c r="Y63" s="194">
        <v>6.0</v>
      </c>
      <c r="Z63" s="194">
        <v>2026.0</v>
      </c>
      <c r="AA63" s="74" t="s">
        <v>2</v>
      </c>
    </row>
    <row r="64" ht="15.75" hidden="1" customHeight="1">
      <c r="A64" s="340" t="s">
        <v>1300</v>
      </c>
      <c r="B64" s="191" t="s">
        <v>1301</v>
      </c>
      <c r="C64" s="343">
        <v>46184.0</v>
      </c>
      <c r="D64" s="194">
        <v>11.0</v>
      </c>
      <c r="E64" s="194">
        <v>6.0</v>
      </c>
      <c r="F64" s="194">
        <v>2026.0</v>
      </c>
      <c r="G64" s="343">
        <v>46187.0</v>
      </c>
      <c r="H64" s="194">
        <v>14.0</v>
      </c>
      <c r="I64" s="194">
        <v>6.0</v>
      </c>
      <c r="J64" s="194">
        <v>2026.0</v>
      </c>
      <c r="K64" s="74" t="s">
        <v>51</v>
      </c>
      <c r="L64" s="74" t="s">
        <v>1177</v>
      </c>
      <c r="M64" s="74">
        <v>2.0</v>
      </c>
      <c r="N64" s="74">
        <v>3.0</v>
      </c>
      <c r="O64" s="74"/>
      <c r="P64" s="74">
        <v>12.0</v>
      </c>
      <c r="Q64" s="344">
        <v>46174.0</v>
      </c>
      <c r="R64" s="185">
        <v>1.0</v>
      </c>
      <c r="S64" s="185">
        <v>6.0</v>
      </c>
      <c r="T64" s="194">
        <v>2026.0</v>
      </c>
      <c r="U64" s="74" t="s">
        <v>2</v>
      </c>
      <c r="V64" s="74">
        <v>245.05</v>
      </c>
      <c r="W64" s="344">
        <v>46174.0</v>
      </c>
      <c r="X64" s="194">
        <v>1.0</v>
      </c>
      <c r="Y64" s="194">
        <v>6.0</v>
      </c>
      <c r="Z64" s="194">
        <v>2026.0</v>
      </c>
      <c r="AA64" s="74" t="s">
        <v>2</v>
      </c>
    </row>
    <row r="65" ht="15.75" hidden="1" customHeight="1">
      <c r="A65" s="340" t="s">
        <v>1302</v>
      </c>
      <c r="B65" s="191" t="s">
        <v>1303</v>
      </c>
      <c r="C65" s="343">
        <v>46182.0</v>
      </c>
      <c r="D65" s="194">
        <v>9.0</v>
      </c>
      <c r="E65" s="194">
        <v>6.0</v>
      </c>
      <c r="F65" s="194">
        <v>2026.0</v>
      </c>
      <c r="G65" s="343">
        <v>46185.0</v>
      </c>
      <c r="H65" s="194">
        <v>12.0</v>
      </c>
      <c r="I65" s="194">
        <v>6.0</v>
      </c>
      <c r="J65" s="194">
        <v>2026.0</v>
      </c>
      <c r="K65" s="74" t="s">
        <v>51</v>
      </c>
      <c r="L65" s="74" t="s">
        <v>1177</v>
      </c>
      <c r="M65" s="74">
        <v>2.0</v>
      </c>
      <c r="N65" s="74">
        <v>3.0</v>
      </c>
      <c r="O65" s="74"/>
      <c r="P65" s="74">
        <v>12.0</v>
      </c>
      <c r="Q65" s="344">
        <v>46174.0</v>
      </c>
      <c r="R65" s="185">
        <v>1.0</v>
      </c>
      <c r="S65" s="185">
        <v>6.0</v>
      </c>
      <c r="T65" s="194">
        <v>2026.0</v>
      </c>
      <c r="U65" s="74" t="s">
        <v>245</v>
      </c>
      <c r="V65" s="74">
        <v>102.07</v>
      </c>
      <c r="W65" s="344">
        <v>46174.0</v>
      </c>
      <c r="X65" s="194">
        <v>1.0</v>
      </c>
      <c r="Y65" s="194">
        <v>6.0</v>
      </c>
      <c r="Z65" s="194">
        <v>2026.0</v>
      </c>
      <c r="AA65" s="74" t="s">
        <v>2</v>
      </c>
    </row>
    <row r="66" ht="15.75" hidden="1" customHeight="1">
      <c r="A66" s="340" t="s">
        <v>1304</v>
      </c>
      <c r="B66" s="191" t="s">
        <v>1305</v>
      </c>
      <c r="C66" s="343">
        <v>46196.0</v>
      </c>
      <c r="D66" s="194">
        <v>23.0</v>
      </c>
      <c r="E66" s="194">
        <v>6.0</v>
      </c>
      <c r="F66" s="194">
        <v>2026.0</v>
      </c>
      <c r="G66" s="343">
        <v>46199.0</v>
      </c>
      <c r="H66" s="194">
        <v>26.0</v>
      </c>
      <c r="I66" s="194">
        <v>6.0</v>
      </c>
      <c r="J66" s="194">
        <v>2026.0</v>
      </c>
      <c r="K66" s="74" t="s">
        <v>51</v>
      </c>
      <c r="L66" s="74" t="s">
        <v>1177</v>
      </c>
      <c r="M66" s="74">
        <v>1.0</v>
      </c>
      <c r="N66" s="74">
        <v>3.0</v>
      </c>
      <c r="O66" s="74"/>
      <c r="P66" s="74">
        <v>6.0</v>
      </c>
      <c r="Q66" s="344">
        <v>46174.0</v>
      </c>
      <c r="R66" s="185">
        <v>1.0</v>
      </c>
      <c r="S66" s="185">
        <v>6.0</v>
      </c>
      <c r="T66" s="194">
        <v>2026.0</v>
      </c>
      <c r="U66" s="74" t="s">
        <v>2</v>
      </c>
      <c r="V66" s="74">
        <v>88.73</v>
      </c>
      <c r="W66" s="344">
        <v>46174.0</v>
      </c>
      <c r="X66" s="194">
        <v>1.0</v>
      </c>
      <c r="Y66" s="194">
        <v>6.0</v>
      </c>
      <c r="Z66" s="194">
        <v>2026.0</v>
      </c>
      <c r="AA66" s="74" t="s">
        <v>2</v>
      </c>
    </row>
    <row r="67" ht="15.75" hidden="1" customHeight="1">
      <c r="A67" s="340" t="s">
        <v>1306</v>
      </c>
      <c r="B67" s="191" t="s">
        <v>1307</v>
      </c>
      <c r="C67" s="343">
        <v>46177.0</v>
      </c>
      <c r="D67" s="194">
        <v>4.0</v>
      </c>
      <c r="E67" s="194">
        <v>6.0</v>
      </c>
      <c r="F67" s="194">
        <v>2026.0</v>
      </c>
      <c r="G67" s="343">
        <v>46191.0</v>
      </c>
      <c r="H67" s="194">
        <v>18.0</v>
      </c>
      <c r="I67" s="194">
        <v>6.0</v>
      </c>
      <c r="J67" s="194">
        <v>2026.0</v>
      </c>
      <c r="K67" s="74" t="s">
        <v>51</v>
      </c>
      <c r="L67" s="74" t="s">
        <v>1177</v>
      </c>
      <c r="M67" s="74">
        <v>1.0</v>
      </c>
      <c r="N67" s="74">
        <v>14.0</v>
      </c>
      <c r="O67" s="74"/>
      <c r="P67" s="74">
        <v>14.0</v>
      </c>
      <c r="Q67" s="344">
        <v>46174.0</v>
      </c>
      <c r="R67" s="185">
        <v>1.0</v>
      </c>
      <c r="S67" s="185">
        <v>6.0</v>
      </c>
      <c r="T67" s="194">
        <v>2026.0</v>
      </c>
      <c r="U67" s="74" t="s">
        <v>2</v>
      </c>
      <c r="V67" s="74">
        <v>550.09</v>
      </c>
      <c r="W67" s="344">
        <v>46174.0</v>
      </c>
      <c r="X67" s="194">
        <v>1.0</v>
      </c>
      <c r="Y67" s="194">
        <v>6.0</v>
      </c>
      <c r="Z67" s="194">
        <v>2026.0</v>
      </c>
      <c r="AA67" s="74" t="s">
        <v>2</v>
      </c>
    </row>
    <row r="68" ht="15.75" hidden="1" customHeight="1">
      <c r="A68" s="340" t="s">
        <v>1308</v>
      </c>
      <c r="B68" s="191" t="s">
        <v>1309</v>
      </c>
      <c r="C68" s="343">
        <v>46194.0</v>
      </c>
      <c r="D68" s="194">
        <v>21.0</v>
      </c>
      <c r="E68" s="194">
        <v>6.0</v>
      </c>
      <c r="F68" s="194">
        <v>2026.0</v>
      </c>
      <c r="G68" s="343">
        <v>46195.0</v>
      </c>
      <c r="H68" s="194">
        <v>22.0</v>
      </c>
      <c r="I68" s="194">
        <v>6.0</v>
      </c>
      <c r="J68" s="194">
        <v>2026.0</v>
      </c>
      <c r="K68" s="74" t="s">
        <v>51</v>
      </c>
      <c r="L68" s="74" t="s">
        <v>1177</v>
      </c>
      <c r="M68" s="74">
        <v>1.0</v>
      </c>
      <c r="N68" s="74">
        <v>1.0</v>
      </c>
      <c r="O68" s="74"/>
      <c r="P68" s="74">
        <v>2.0</v>
      </c>
      <c r="Q68" s="344">
        <v>46174.0</v>
      </c>
      <c r="R68" s="185">
        <v>1.0</v>
      </c>
      <c r="S68" s="185">
        <v>6.0</v>
      </c>
      <c r="T68" s="194">
        <v>2026.0</v>
      </c>
      <c r="U68" s="74" t="s">
        <v>2</v>
      </c>
      <c r="V68" s="74">
        <v>39.82</v>
      </c>
      <c r="W68" s="344">
        <v>46174.0</v>
      </c>
      <c r="X68" s="194">
        <v>1.0</v>
      </c>
      <c r="Y68" s="194">
        <v>6.0</v>
      </c>
      <c r="Z68" s="194">
        <v>2026.0</v>
      </c>
      <c r="AA68" s="74" t="s">
        <v>2</v>
      </c>
    </row>
    <row r="69" ht="15.75" hidden="1" customHeight="1">
      <c r="A69" s="340" t="s">
        <v>1310</v>
      </c>
      <c r="B69" s="191" t="s">
        <v>1311</v>
      </c>
      <c r="C69" s="343">
        <v>46201.0</v>
      </c>
      <c r="D69" s="194">
        <v>28.0</v>
      </c>
      <c r="E69" s="194">
        <v>6.0</v>
      </c>
      <c r="F69" s="194">
        <v>2026.0</v>
      </c>
      <c r="G69" s="343">
        <v>46205.0</v>
      </c>
      <c r="H69" s="194">
        <v>2.0</v>
      </c>
      <c r="I69" s="194">
        <v>7.0</v>
      </c>
      <c r="J69" s="194">
        <v>2026.0</v>
      </c>
      <c r="K69" s="74" t="s">
        <v>51</v>
      </c>
      <c r="L69" s="74" t="s">
        <v>1177</v>
      </c>
      <c r="M69" s="74">
        <v>1.0</v>
      </c>
      <c r="N69" s="74">
        <v>4.0</v>
      </c>
      <c r="O69" s="74"/>
      <c r="P69" s="74">
        <v>8.0</v>
      </c>
      <c r="Q69" s="344">
        <v>46174.0</v>
      </c>
      <c r="R69" s="185">
        <v>1.0</v>
      </c>
      <c r="S69" s="185">
        <v>6.0</v>
      </c>
      <c r="T69" s="194">
        <v>2026.0</v>
      </c>
      <c r="U69" s="74" t="s">
        <v>2</v>
      </c>
      <c r="V69" s="74">
        <v>190.05</v>
      </c>
      <c r="W69" s="344">
        <v>46174.0</v>
      </c>
      <c r="X69" s="194">
        <v>1.0</v>
      </c>
      <c r="Y69" s="194">
        <v>6.0</v>
      </c>
      <c r="Z69" s="194">
        <v>2026.0</v>
      </c>
      <c r="AA69" s="74" t="s">
        <v>2</v>
      </c>
    </row>
    <row r="70" ht="15.75" hidden="1" customHeight="1">
      <c r="A70" s="340" t="s">
        <v>1312</v>
      </c>
      <c r="B70" s="191" t="s">
        <v>1313</v>
      </c>
      <c r="C70" s="343">
        <v>46183.0</v>
      </c>
      <c r="D70" s="194">
        <v>10.0</v>
      </c>
      <c r="E70" s="194">
        <v>6.0</v>
      </c>
      <c r="F70" s="194">
        <v>2026.0</v>
      </c>
      <c r="G70" s="343">
        <v>46184.0</v>
      </c>
      <c r="H70" s="194">
        <v>11.0</v>
      </c>
      <c r="I70" s="194">
        <v>6.0</v>
      </c>
      <c r="J70" s="194">
        <v>2026.0</v>
      </c>
      <c r="K70" s="74" t="s">
        <v>51</v>
      </c>
      <c r="L70" s="74" t="s">
        <v>1177</v>
      </c>
      <c r="M70" s="74">
        <v>1.0</v>
      </c>
      <c r="N70" s="74">
        <v>1.0</v>
      </c>
      <c r="O70" s="74"/>
      <c r="P70" s="74">
        <v>2.0</v>
      </c>
      <c r="Q70" s="344">
        <v>46174.0</v>
      </c>
      <c r="R70" s="185">
        <v>1.0</v>
      </c>
      <c r="S70" s="185">
        <v>6.0</v>
      </c>
      <c r="T70" s="194">
        <v>2026.0</v>
      </c>
      <c r="U70" s="74" t="s">
        <v>2</v>
      </c>
      <c r="V70" s="74">
        <v>49.77</v>
      </c>
      <c r="W70" s="344">
        <v>46174.0</v>
      </c>
      <c r="X70" s="194">
        <v>1.0</v>
      </c>
      <c r="Y70" s="194">
        <v>6.0</v>
      </c>
      <c r="Z70" s="194">
        <v>2026.0</v>
      </c>
      <c r="AA70" s="74" t="s">
        <v>2</v>
      </c>
    </row>
    <row r="71" ht="15.75" hidden="1" customHeight="1">
      <c r="A71" s="340" t="s">
        <v>1314</v>
      </c>
      <c r="B71" s="191" t="s">
        <v>1315</v>
      </c>
      <c r="C71" s="343">
        <v>46176.0</v>
      </c>
      <c r="D71" s="194">
        <v>3.0</v>
      </c>
      <c r="E71" s="194">
        <v>6.0</v>
      </c>
      <c r="F71" s="194">
        <v>2026.0</v>
      </c>
      <c r="G71" s="343">
        <v>46185.0</v>
      </c>
      <c r="H71" s="194">
        <v>12.0</v>
      </c>
      <c r="I71" s="194">
        <v>6.0</v>
      </c>
      <c r="J71" s="194">
        <v>2026.0</v>
      </c>
      <c r="K71" s="74" t="s">
        <v>51</v>
      </c>
      <c r="L71" s="74" t="s">
        <v>1177</v>
      </c>
      <c r="M71" s="74">
        <v>1.0</v>
      </c>
      <c r="N71" s="74">
        <v>9.0</v>
      </c>
      <c r="O71" s="74"/>
      <c r="P71" s="74">
        <v>14.0</v>
      </c>
      <c r="Q71" s="344">
        <v>46174.0</v>
      </c>
      <c r="R71" s="185">
        <v>1.0</v>
      </c>
      <c r="S71" s="185">
        <v>6.0</v>
      </c>
      <c r="T71" s="194">
        <v>2026.0</v>
      </c>
      <c r="U71" s="74" t="s">
        <v>2</v>
      </c>
      <c r="V71" s="74">
        <v>348.98</v>
      </c>
      <c r="W71" s="344">
        <v>46174.0</v>
      </c>
      <c r="X71" s="194">
        <v>1.0</v>
      </c>
      <c r="Y71" s="194">
        <v>6.0</v>
      </c>
      <c r="Z71" s="194">
        <v>2026.0</v>
      </c>
      <c r="AA71" s="74" t="s">
        <v>2</v>
      </c>
    </row>
    <row r="72" ht="15.75" hidden="1" customHeight="1">
      <c r="A72" s="340" t="s">
        <v>1316</v>
      </c>
      <c r="B72" s="191" t="s">
        <v>1317</v>
      </c>
      <c r="C72" s="343">
        <v>46188.0</v>
      </c>
      <c r="D72" s="194">
        <v>15.0</v>
      </c>
      <c r="E72" s="194">
        <v>6.0</v>
      </c>
      <c r="F72" s="194">
        <v>2026.0</v>
      </c>
      <c r="G72" s="343">
        <v>46193.0</v>
      </c>
      <c r="H72" s="194">
        <v>20.0</v>
      </c>
      <c r="I72" s="194">
        <v>6.0</v>
      </c>
      <c r="J72" s="194">
        <v>2026.0</v>
      </c>
      <c r="K72" s="74" t="s">
        <v>51</v>
      </c>
      <c r="L72" s="74" t="s">
        <v>1177</v>
      </c>
      <c r="M72" s="74">
        <v>1.0</v>
      </c>
      <c r="N72" s="74">
        <v>5.0</v>
      </c>
      <c r="O72" s="74"/>
      <c r="P72" s="74">
        <v>10.0</v>
      </c>
      <c r="Q72" s="344">
        <v>46174.0</v>
      </c>
      <c r="R72" s="185">
        <v>1.0</v>
      </c>
      <c r="S72" s="185">
        <v>6.0</v>
      </c>
      <c r="T72" s="194">
        <v>2026.0</v>
      </c>
      <c r="U72" s="74" t="s">
        <v>2</v>
      </c>
      <c r="V72" s="74">
        <v>190.12</v>
      </c>
      <c r="W72" s="344">
        <v>46174.0</v>
      </c>
      <c r="X72" s="194">
        <v>1.0</v>
      </c>
      <c r="Y72" s="194">
        <v>6.0</v>
      </c>
      <c r="Z72" s="194">
        <v>2026.0</v>
      </c>
      <c r="AA72" s="74" t="s">
        <v>2</v>
      </c>
    </row>
    <row r="73" ht="15.75" hidden="1" customHeight="1">
      <c r="A73" s="340" t="s">
        <v>1318</v>
      </c>
      <c r="B73" s="191" t="s">
        <v>1319</v>
      </c>
      <c r="C73" s="343">
        <v>46183.0</v>
      </c>
      <c r="D73" s="194">
        <v>10.0</v>
      </c>
      <c r="E73" s="194">
        <v>6.0</v>
      </c>
      <c r="F73" s="194">
        <v>2026.0</v>
      </c>
      <c r="G73" s="343">
        <v>46186.0</v>
      </c>
      <c r="H73" s="194">
        <v>13.0</v>
      </c>
      <c r="I73" s="194">
        <v>6.0</v>
      </c>
      <c r="J73" s="194">
        <v>2026.0</v>
      </c>
      <c r="K73" s="74" t="s">
        <v>51</v>
      </c>
      <c r="L73" s="74" t="s">
        <v>1177</v>
      </c>
      <c r="M73" s="74">
        <v>1.0</v>
      </c>
      <c r="N73" s="74">
        <v>3.0</v>
      </c>
      <c r="O73" s="74"/>
      <c r="P73" s="74">
        <v>6.0</v>
      </c>
      <c r="Q73" s="344">
        <v>46174.0</v>
      </c>
      <c r="R73" s="185">
        <v>1.0</v>
      </c>
      <c r="S73" s="185">
        <v>6.0</v>
      </c>
      <c r="T73" s="194">
        <v>2026.0</v>
      </c>
      <c r="U73" s="74" t="s">
        <v>2</v>
      </c>
      <c r="V73" s="74">
        <v>111.54</v>
      </c>
      <c r="W73" s="344">
        <v>46174.0</v>
      </c>
      <c r="X73" s="194">
        <v>1.0</v>
      </c>
      <c r="Y73" s="194">
        <v>6.0</v>
      </c>
      <c r="Z73" s="194">
        <v>2026.0</v>
      </c>
      <c r="AA73" s="74" t="s">
        <v>2</v>
      </c>
    </row>
    <row r="74" ht="15.75" hidden="1" customHeight="1">
      <c r="A74" s="340" t="s">
        <v>1320</v>
      </c>
      <c r="B74" s="191" t="s">
        <v>1321</v>
      </c>
      <c r="C74" s="343">
        <v>46200.0</v>
      </c>
      <c r="D74" s="194">
        <v>27.0</v>
      </c>
      <c r="E74" s="194">
        <v>6.0</v>
      </c>
      <c r="F74" s="194">
        <v>2026.0</v>
      </c>
      <c r="G74" s="343">
        <v>46201.0</v>
      </c>
      <c r="H74" s="194">
        <v>28.0</v>
      </c>
      <c r="I74" s="194">
        <v>6.0</v>
      </c>
      <c r="J74" s="194">
        <v>2026.0</v>
      </c>
      <c r="K74" s="74" t="s">
        <v>51</v>
      </c>
      <c r="L74" s="74" t="s">
        <v>1177</v>
      </c>
      <c r="M74" s="74">
        <v>1.0</v>
      </c>
      <c r="N74" s="74">
        <v>1.0</v>
      </c>
      <c r="O74" s="74"/>
      <c r="P74" s="74">
        <v>2.0</v>
      </c>
      <c r="Q74" s="344">
        <v>46174.0</v>
      </c>
      <c r="R74" s="185">
        <v>1.0</v>
      </c>
      <c r="S74" s="185">
        <v>6.0</v>
      </c>
      <c r="T74" s="194">
        <v>2026.0</v>
      </c>
      <c r="U74" s="74" t="s">
        <v>2</v>
      </c>
      <c r="V74" s="74">
        <v>29.57</v>
      </c>
      <c r="W74" s="344">
        <v>46174.0</v>
      </c>
      <c r="X74" s="194">
        <v>1.0</v>
      </c>
      <c r="Y74" s="194">
        <v>6.0</v>
      </c>
      <c r="Z74" s="194">
        <v>2026.0</v>
      </c>
      <c r="AA74" s="74" t="s">
        <v>2</v>
      </c>
    </row>
    <row r="75" ht="15.75" hidden="1" customHeight="1">
      <c r="A75" s="340" t="s">
        <v>1322</v>
      </c>
      <c r="B75" s="191" t="s">
        <v>1323</v>
      </c>
      <c r="C75" s="343">
        <v>46178.0</v>
      </c>
      <c r="D75" s="194">
        <v>5.0</v>
      </c>
      <c r="E75" s="194">
        <v>6.0</v>
      </c>
      <c r="F75" s="194">
        <v>2026.0</v>
      </c>
      <c r="G75" s="343">
        <v>46179.0</v>
      </c>
      <c r="H75" s="194">
        <v>6.0</v>
      </c>
      <c r="I75" s="194">
        <v>6.0</v>
      </c>
      <c r="J75" s="194">
        <v>2026.0</v>
      </c>
      <c r="K75" s="74" t="s">
        <v>51</v>
      </c>
      <c r="L75" s="74" t="s">
        <v>1177</v>
      </c>
      <c r="M75" s="74">
        <v>1.0</v>
      </c>
      <c r="N75" s="74">
        <v>1.0</v>
      </c>
      <c r="O75" s="74"/>
      <c r="P75" s="74">
        <v>2.0</v>
      </c>
      <c r="Q75" s="344">
        <v>46174.0</v>
      </c>
      <c r="R75" s="185">
        <v>1.0</v>
      </c>
      <c r="S75" s="185">
        <v>6.0</v>
      </c>
      <c r="T75" s="194">
        <v>2026.0</v>
      </c>
      <c r="U75" s="74" t="s">
        <v>2</v>
      </c>
      <c r="V75" s="74">
        <v>38.02</v>
      </c>
      <c r="W75" s="344">
        <v>46174.0</v>
      </c>
      <c r="X75" s="194">
        <v>1.0</v>
      </c>
      <c r="Y75" s="194">
        <v>6.0</v>
      </c>
      <c r="Z75" s="194">
        <v>2026.0</v>
      </c>
      <c r="AA75" s="74" t="s">
        <v>2</v>
      </c>
    </row>
    <row r="76" ht="15.75" hidden="1" customHeight="1">
      <c r="A76" s="340" t="s">
        <v>1322</v>
      </c>
      <c r="B76" s="191" t="s">
        <v>1324</v>
      </c>
      <c r="C76" s="343">
        <v>46184.0</v>
      </c>
      <c r="D76" s="194">
        <v>11.0</v>
      </c>
      <c r="E76" s="194">
        <v>6.0</v>
      </c>
      <c r="F76" s="194">
        <v>2026.0</v>
      </c>
      <c r="G76" s="343">
        <v>46185.0</v>
      </c>
      <c r="H76" s="194">
        <v>12.0</v>
      </c>
      <c r="I76" s="194">
        <v>6.0</v>
      </c>
      <c r="J76" s="194">
        <v>2026.0</v>
      </c>
      <c r="K76" s="74" t="s">
        <v>51</v>
      </c>
      <c r="L76" s="74" t="s">
        <v>1177</v>
      </c>
      <c r="M76" s="74">
        <v>1.0</v>
      </c>
      <c r="N76" s="74">
        <v>1.0</v>
      </c>
      <c r="O76" s="74"/>
      <c r="P76" s="74">
        <v>2.0</v>
      </c>
      <c r="Q76" s="344">
        <v>46174.0</v>
      </c>
      <c r="R76" s="185">
        <v>1.0</v>
      </c>
      <c r="S76" s="185">
        <v>6.0</v>
      </c>
      <c r="T76" s="194">
        <v>2026.0</v>
      </c>
      <c r="U76" s="74" t="s">
        <v>2</v>
      </c>
      <c r="V76" s="74">
        <v>35.49</v>
      </c>
      <c r="W76" s="344">
        <v>46174.0</v>
      </c>
      <c r="X76" s="194">
        <v>1.0</v>
      </c>
      <c r="Y76" s="194">
        <v>6.0</v>
      </c>
      <c r="Z76" s="194">
        <v>2026.0</v>
      </c>
      <c r="AA76" s="74" t="s">
        <v>2</v>
      </c>
    </row>
    <row r="77" ht="15.75" hidden="1" customHeight="1">
      <c r="A77" s="340" t="s">
        <v>1325</v>
      </c>
      <c r="B77" s="191" t="s">
        <v>1326</v>
      </c>
      <c r="C77" s="343">
        <v>46175.0</v>
      </c>
      <c r="D77" s="194">
        <v>2.0</v>
      </c>
      <c r="E77" s="194">
        <v>6.0</v>
      </c>
      <c r="F77" s="194">
        <v>2026.0</v>
      </c>
      <c r="G77" s="343">
        <v>46177.0</v>
      </c>
      <c r="H77" s="194">
        <v>4.0</v>
      </c>
      <c r="I77" s="194">
        <v>6.0</v>
      </c>
      <c r="J77" s="194">
        <v>2026.0</v>
      </c>
      <c r="K77" s="74" t="s">
        <v>51</v>
      </c>
      <c r="L77" s="74" t="s">
        <v>1177</v>
      </c>
      <c r="M77" s="74">
        <v>1.0</v>
      </c>
      <c r="N77" s="74">
        <v>2.0</v>
      </c>
      <c r="O77" s="74"/>
      <c r="P77" s="74">
        <v>4.0</v>
      </c>
      <c r="Q77" s="344">
        <v>46174.0</v>
      </c>
      <c r="R77" s="185">
        <v>1.0</v>
      </c>
      <c r="S77" s="185">
        <v>6.0</v>
      </c>
      <c r="T77" s="194">
        <v>2026.0</v>
      </c>
      <c r="U77" s="74" t="s">
        <v>2</v>
      </c>
      <c r="V77" s="74">
        <v>76.05</v>
      </c>
      <c r="W77" s="344">
        <v>46174.0</v>
      </c>
      <c r="X77" s="194">
        <v>1.0</v>
      </c>
      <c r="Y77" s="194">
        <v>6.0</v>
      </c>
      <c r="Z77" s="194">
        <v>2026.0</v>
      </c>
      <c r="AA77" s="74" t="s">
        <v>2</v>
      </c>
    </row>
    <row r="78" ht="15.75" hidden="1" customHeight="1">
      <c r="A78" s="340" t="s">
        <v>1327</v>
      </c>
      <c r="B78" s="191" t="s">
        <v>1328</v>
      </c>
      <c r="C78" s="343">
        <v>46188.0</v>
      </c>
      <c r="D78" s="194">
        <v>15.0</v>
      </c>
      <c r="E78" s="194">
        <v>6.0</v>
      </c>
      <c r="F78" s="194">
        <v>2026.0</v>
      </c>
      <c r="G78" s="343">
        <v>46195.0</v>
      </c>
      <c r="H78" s="194">
        <v>22.0</v>
      </c>
      <c r="I78" s="194">
        <v>6.0</v>
      </c>
      <c r="J78" s="194">
        <v>2026.0</v>
      </c>
      <c r="K78" s="74" t="s">
        <v>51</v>
      </c>
      <c r="L78" s="74" t="s">
        <v>1273</v>
      </c>
      <c r="M78" s="74">
        <v>1.0</v>
      </c>
      <c r="N78" s="74">
        <v>7.0</v>
      </c>
      <c r="O78" s="74"/>
      <c r="P78" s="74">
        <v>14.0</v>
      </c>
      <c r="Q78" s="344">
        <v>46174.0</v>
      </c>
      <c r="R78" s="185">
        <v>1.0</v>
      </c>
      <c r="S78" s="185">
        <v>6.0</v>
      </c>
      <c r="T78" s="194">
        <v>2026.0</v>
      </c>
      <c r="U78" s="74" t="s">
        <v>2</v>
      </c>
      <c r="V78" s="74">
        <v>92.7</v>
      </c>
      <c r="W78" s="344">
        <v>46174.0</v>
      </c>
      <c r="X78" s="194">
        <v>1.0</v>
      </c>
      <c r="Y78" s="194">
        <v>6.0</v>
      </c>
      <c r="Z78" s="194">
        <v>2026.0</v>
      </c>
      <c r="AA78" s="74" t="s">
        <v>2</v>
      </c>
    </row>
    <row r="79" ht="15.75" hidden="1" customHeight="1">
      <c r="A79" s="340" t="s">
        <v>1329</v>
      </c>
      <c r="B79" s="191" t="s">
        <v>1330</v>
      </c>
      <c r="C79" s="343">
        <v>46184.0</v>
      </c>
      <c r="D79" s="194">
        <v>11.0</v>
      </c>
      <c r="E79" s="194">
        <v>6.0</v>
      </c>
      <c r="F79" s="194">
        <v>2026.0</v>
      </c>
      <c r="G79" s="343">
        <v>46185.0</v>
      </c>
      <c r="H79" s="194">
        <v>12.0</v>
      </c>
      <c r="I79" s="194">
        <v>6.0</v>
      </c>
      <c r="J79" s="194">
        <v>2026.0</v>
      </c>
      <c r="K79" s="74" t="s">
        <v>51</v>
      </c>
      <c r="L79" s="74" t="s">
        <v>1177</v>
      </c>
      <c r="M79" s="74">
        <v>2.0</v>
      </c>
      <c r="N79" s="74">
        <v>1.0</v>
      </c>
      <c r="O79" s="74"/>
      <c r="P79" s="74">
        <v>4.0</v>
      </c>
      <c r="Q79" s="344">
        <v>46174.0</v>
      </c>
      <c r="R79" s="185">
        <v>1.0</v>
      </c>
      <c r="S79" s="185">
        <v>6.0</v>
      </c>
      <c r="T79" s="194">
        <v>2026.0</v>
      </c>
      <c r="U79" s="74" t="s">
        <v>2</v>
      </c>
      <c r="V79" s="74">
        <v>99.55</v>
      </c>
      <c r="W79" s="344">
        <v>46174.0</v>
      </c>
      <c r="X79" s="194">
        <v>1.0</v>
      </c>
      <c r="Y79" s="194">
        <v>6.0</v>
      </c>
      <c r="Z79" s="194">
        <v>2026.0</v>
      </c>
      <c r="AA79" s="74" t="s">
        <v>2</v>
      </c>
    </row>
    <row r="80" ht="15.75" hidden="1" customHeight="1">
      <c r="A80" s="340" t="s">
        <v>1331</v>
      </c>
      <c r="B80" s="191" t="s">
        <v>1332</v>
      </c>
      <c r="C80" s="343">
        <v>46177.0</v>
      </c>
      <c r="D80" s="194">
        <v>4.0</v>
      </c>
      <c r="E80" s="194">
        <v>6.0</v>
      </c>
      <c r="F80" s="194">
        <v>2026.0</v>
      </c>
      <c r="G80" s="343">
        <v>46182.0</v>
      </c>
      <c r="H80" s="194">
        <v>9.0</v>
      </c>
      <c r="I80" s="194">
        <v>6.0</v>
      </c>
      <c r="J80" s="194">
        <v>2026.0</v>
      </c>
      <c r="K80" s="74" t="s">
        <v>51</v>
      </c>
      <c r="L80" s="74" t="s">
        <v>1177</v>
      </c>
      <c r="M80" s="74">
        <v>1.0</v>
      </c>
      <c r="N80" s="74">
        <v>5.0</v>
      </c>
      <c r="O80" s="74"/>
      <c r="P80" s="74">
        <v>10.0</v>
      </c>
      <c r="Q80" s="344">
        <v>46174.0</v>
      </c>
      <c r="R80" s="185">
        <v>1.0</v>
      </c>
      <c r="S80" s="185">
        <v>6.0</v>
      </c>
      <c r="T80" s="194">
        <v>2026.0</v>
      </c>
      <c r="U80" s="74" t="s">
        <v>2</v>
      </c>
      <c r="V80" s="74">
        <v>157.16</v>
      </c>
      <c r="W80" s="344">
        <v>46174.0</v>
      </c>
      <c r="X80" s="194">
        <v>1.0</v>
      </c>
      <c r="Y80" s="194">
        <v>6.0</v>
      </c>
      <c r="Z80" s="194">
        <v>2026.0</v>
      </c>
      <c r="AA80" s="74" t="s">
        <v>2</v>
      </c>
    </row>
    <row r="81" ht="15.75" hidden="1" customHeight="1">
      <c r="A81" s="340" t="s">
        <v>1333</v>
      </c>
      <c r="B81" s="191" t="s">
        <v>1334</v>
      </c>
      <c r="C81" s="343">
        <v>46182.0</v>
      </c>
      <c r="D81" s="194">
        <v>9.0</v>
      </c>
      <c r="E81" s="194">
        <v>6.0</v>
      </c>
      <c r="F81" s="194">
        <v>2026.0</v>
      </c>
      <c r="G81" s="343">
        <v>46185.0</v>
      </c>
      <c r="H81" s="194">
        <v>12.0</v>
      </c>
      <c r="I81" s="194">
        <v>6.0</v>
      </c>
      <c r="J81" s="194">
        <v>2026.0</v>
      </c>
      <c r="K81" s="74" t="s">
        <v>51</v>
      </c>
      <c r="L81" s="74" t="s">
        <v>1177</v>
      </c>
      <c r="M81" s="74">
        <v>1.0</v>
      </c>
      <c r="N81" s="74">
        <v>3.0</v>
      </c>
      <c r="O81" s="74"/>
      <c r="P81" s="74">
        <v>6.0</v>
      </c>
      <c r="Q81" s="344">
        <v>46174.0</v>
      </c>
      <c r="R81" s="185">
        <v>1.0</v>
      </c>
      <c r="S81" s="185">
        <v>6.0</v>
      </c>
      <c r="T81" s="194">
        <v>2026.0</v>
      </c>
      <c r="U81" s="74" t="s">
        <v>245</v>
      </c>
      <c r="V81" s="74">
        <v>108.07</v>
      </c>
      <c r="W81" s="344">
        <v>46174.0</v>
      </c>
      <c r="X81" s="194">
        <v>1.0</v>
      </c>
      <c r="Y81" s="194">
        <v>6.0</v>
      </c>
      <c r="Z81" s="194">
        <v>2026.0</v>
      </c>
      <c r="AA81" s="74" t="s">
        <v>2</v>
      </c>
    </row>
    <row r="82" ht="15.75" hidden="1" customHeight="1">
      <c r="A82" s="340" t="s">
        <v>1335</v>
      </c>
      <c r="B82" s="191" t="s">
        <v>1336</v>
      </c>
      <c r="C82" s="343">
        <v>46177.0</v>
      </c>
      <c r="D82" s="194">
        <v>4.0</v>
      </c>
      <c r="E82" s="194">
        <v>6.0</v>
      </c>
      <c r="F82" s="194">
        <v>2026.0</v>
      </c>
      <c r="G82" s="343">
        <v>46178.0</v>
      </c>
      <c r="H82" s="194">
        <v>5.0</v>
      </c>
      <c r="I82" s="194">
        <v>6.0</v>
      </c>
      <c r="J82" s="194">
        <v>2026.0</v>
      </c>
      <c r="K82" s="74" t="s">
        <v>51</v>
      </c>
      <c r="L82" s="74" t="s">
        <v>1177</v>
      </c>
      <c r="M82" s="74">
        <v>1.0</v>
      </c>
      <c r="N82" s="74">
        <v>1.0</v>
      </c>
      <c r="O82" s="74"/>
      <c r="P82" s="74">
        <v>2.0</v>
      </c>
      <c r="Q82" s="344">
        <v>46174.0</v>
      </c>
      <c r="R82" s="185">
        <v>1.0</v>
      </c>
      <c r="S82" s="185">
        <v>6.0</v>
      </c>
      <c r="T82" s="194">
        <v>2026.0</v>
      </c>
      <c r="U82" s="74" t="s">
        <v>2</v>
      </c>
      <c r="V82" s="74">
        <v>27.04</v>
      </c>
      <c r="W82" s="344">
        <v>46174.0</v>
      </c>
      <c r="X82" s="194">
        <v>1.0</v>
      </c>
      <c r="Y82" s="194">
        <v>6.0</v>
      </c>
      <c r="Z82" s="194">
        <v>2026.0</v>
      </c>
      <c r="AA82" s="74" t="s">
        <v>2</v>
      </c>
    </row>
    <row r="83" ht="15.75" hidden="1" customHeight="1">
      <c r="A83" s="340" t="s">
        <v>1337</v>
      </c>
      <c r="B83" s="191" t="s">
        <v>1338</v>
      </c>
      <c r="C83" s="343">
        <v>46187.0</v>
      </c>
      <c r="D83" s="194">
        <v>14.0</v>
      </c>
      <c r="E83" s="194">
        <v>6.0</v>
      </c>
      <c r="F83" s="194">
        <v>2026.0</v>
      </c>
      <c r="G83" s="343">
        <v>46190.0</v>
      </c>
      <c r="H83" s="194">
        <v>17.0</v>
      </c>
      <c r="I83" s="194">
        <v>6.0</v>
      </c>
      <c r="J83" s="194">
        <v>2026.0</v>
      </c>
      <c r="K83" s="74" t="s">
        <v>51</v>
      </c>
      <c r="L83" s="74" t="s">
        <v>1177</v>
      </c>
      <c r="M83" s="74">
        <v>1.0</v>
      </c>
      <c r="N83" s="74">
        <v>3.0</v>
      </c>
      <c r="O83" s="74"/>
      <c r="P83" s="74">
        <v>6.0</v>
      </c>
      <c r="Q83" s="344">
        <v>46174.0</v>
      </c>
      <c r="R83" s="185">
        <v>1.0</v>
      </c>
      <c r="S83" s="185">
        <v>6.0</v>
      </c>
      <c r="T83" s="194">
        <v>2026.0</v>
      </c>
      <c r="U83" s="74" t="s">
        <v>245</v>
      </c>
      <c r="V83" s="74">
        <v>108.07</v>
      </c>
      <c r="W83" s="344">
        <v>46174.0</v>
      </c>
      <c r="X83" s="194">
        <v>1.0</v>
      </c>
      <c r="Y83" s="194">
        <v>6.0</v>
      </c>
      <c r="Z83" s="194">
        <v>2026.0</v>
      </c>
      <c r="AA83" s="74" t="s">
        <v>2</v>
      </c>
    </row>
    <row r="84" ht="15.75" hidden="1" customHeight="1">
      <c r="A84" s="340" t="s">
        <v>1339</v>
      </c>
      <c r="B84" s="191" t="s">
        <v>1340</v>
      </c>
      <c r="C84" s="343">
        <v>46201.0</v>
      </c>
      <c r="D84" s="194">
        <v>28.0</v>
      </c>
      <c r="E84" s="194">
        <v>6.0</v>
      </c>
      <c r="F84" s="194">
        <v>2026.0</v>
      </c>
      <c r="G84" s="343">
        <v>46203.0</v>
      </c>
      <c r="H84" s="194">
        <v>30.0</v>
      </c>
      <c r="I84" s="194">
        <v>6.0</v>
      </c>
      <c r="J84" s="194">
        <v>2026.0</v>
      </c>
      <c r="K84" s="74" t="s">
        <v>51</v>
      </c>
      <c r="L84" s="74" t="s">
        <v>1177</v>
      </c>
      <c r="M84" s="74">
        <v>1.0</v>
      </c>
      <c r="N84" s="74">
        <v>2.0</v>
      </c>
      <c r="O84" s="74"/>
      <c r="P84" s="74">
        <v>4.0</v>
      </c>
      <c r="Q84" s="344">
        <v>46174.0</v>
      </c>
      <c r="R84" s="185">
        <v>1.0</v>
      </c>
      <c r="S84" s="185">
        <v>6.0</v>
      </c>
      <c r="T84" s="194">
        <v>2026.0</v>
      </c>
      <c r="U84" s="74" t="s">
        <v>2</v>
      </c>
      <c r="V84" s="74">
        <v>67.6</v>
      </c>
      <c r="W84" s="344">
        <v>46174.0</v>
      </c>
      <c r="X84" s="194">
        <v>1.0</v>
      </c>
      <c r="Y84" s="194">
        <v>6.0</v>
      </c>
      <c r="Z84" s="194">
        <v>2026.0</v>
      </c>
      <c r="AA84" s="74" t="s">
        <v>2</v>
      </c>
    </row>
    <row r="85" ht="15.75" hidden="1" customHeight="1">
      <c r="A85" s="340" t="s">
        <v>1341</v>
      </c>
      <c r="B85" s="191" t="s">
        <v>1342</v>
      </c>
      <c r="C85" s="343">
        <v>46193.0</v>
      </c>
      <c r="D85" s="194">
        <v>20.0</v>
      </c>
      <c r="E85" s="194">
        <v>6.0</v>
      </c>
      <c r="F85" s="194">
        <v>2026.0</v>
      </c>
      <c r="G85" s="343">
        <v>46194.0</v>
      </c>
      <c r="H85" s="194">
        <v>21.0</v>
      </c>
      <c r="I85" s="194">
        <v>6.0</v>
      </c>
      <c r="J85" s="194">
        <v>2026.0</v>
      </c>
      <c r="K85" s="74" t="s">
        <v>51</v>
      </c>
      <c r="L85" s="74" t="s">
        <v>1177</v>
      </c>
      <c r="M85" s="74">
        <v>4.0</v>
      </c>
      <c r="N85" s="74">
        <v>1.0</v>
      </c>
      <c r="O85" s="74"/>
      <c r="P85" s="74">
        <v>8.0</v>
      </c>
      <c r="Q85" s="344">
        <v>46174.0</v>
      </c>
      <c r="R85" s="185">
        <v>1.0</v>
      </c>
      <c r="S85" s="185">
        <v>6.0</v>
      </c>
      <c r="T85" s="194">
        <v>2026.0</v>
      </c>
      <c r="U85" s="74" t="s">
        <v>245</v>
      </c>
      <c r="V85" s="74">
        <v>144.1</v>
      </c>
      <c r="W85" s="344">
        <v>46174.0</v>
      </c>
      <c r="X85" s="194">
        <v>1.0</v>
      </c>
      <c r="Y85" s="194">
        <v>6.0</v>
      </c>
      <c r="Z85" s="194">
        <v>2026.0</v>
      </c>
      <c r="AA85" s="74" t="s">
        <v>2</v>
      </c>
    </row>
    <row r="86" ht="15.75" hidden="1" customHeight="1">
      <c r="A86" s="340" t="s">
        <v>1343</v>
      </c>
      <c r="B86" s="191" t="s">
        <v>1344</v>
      </c>
      <c r="C86" s="343">
        <v>46191.0</v>
      </c>
      <c r="D86" s="194">
        <v>18.0</v>
      </c>
      <c r="E86" s="194">
        <v>6.0</v>
      </c>
      <c r="F86" s="194">
        <v>2026.0</v>
      </c>
      <c r="G86" s="343">
        <v>46192.0</v>
      </c>
      <c r="H86" s="194">
        <v>19.0</v>
      </c>
      <c r="I86" s="194">
        <v>6.0</v>
      </c>
      <c r="J86" s="194">
        <v>2026.0</v>
      </c>
      <c r="K86" s="74" t="s">
        <v>51</v>
      </c>
      <c r="L86" s="74" t="s">
        <v>1177</v>
      </c>
      <c r="M86" s="74">
        <v>1.0</v>
      </c>
      <c r="N86" s="74">
        <v>1.0</v>
      </c>
      <c r="O86" s="74"/>
      <c r="P86" s="74">
        <v>2.0</v>
      </c>
      <c r="Q86" s="344">
        <v>46174.0</v>
      </c>
      <c r="R86" s="185">
        <v>1.0</v>
      </c>
      <c r="S86" s="185">
        <v>6.0</v>
      </c>
      <c r="T86" s="194">
        <v>2026.0</v>
      </c>
      <c r="U86" s="74" t="s">
        <v>245</v>
      </c>
      <c r="V86" s="74">
        <v>36.02</v>
      </c>
      <c r="W86" s="344">
        <v>46174.0</v>
      </c>
      <c r="X86" s="194">
        <v>1.0</v>
      </c>
      <c r="Y86" s="194">
        <v>6.0</v>
      </c>
      <c r="Z86" s="194">
        <v>2026.0</v>
      </c>
      <c r="AA86" s="74" t="s">
        <v>2</v>
      </c>
    </row>
    <row r="87" ht="15.75" hidden="1" customHeight="1">
      <c r="A87" s="340" t="s">
        <v>1345</v>
      </c>
      <c r="B87" s="191" t="s">
        <v>1346</v>
      </c>
      <c r="C87" s="343">
        <v>46179.0</v>
      </c>
      <c r="D87" s="194">
        <v>6.0</v>
      </c>
      <c r="E87" s="194">
        <v>6.0</v>
      </c>
      <c r="F87" s="194">
        <v>2026.0</v>
      </c>
      <c r="G87" s="343">
        <v>46182.0</v>
      </c>
      <c r="H87" s="194">
        <v>9.0</v>
      </c>
      <c r="I87" s="194">
        <v>6.0</v>
      </c>
      <c r="J87" s="194">
        <v>2026.0</v>
      </c>
      <c r="K87" s="74" t="s">
        <v>51</v>
      </c>
      <c r="L87" s="74" t="s">
        <v>1177</v>
      </c>
      <c r="M87" s="74">
        <v>1.0</v>
      </c>
      <c r="N87" s="74">
        <v>3.0</v>
      </c>
      <c r="O87" s="74"/>
      <c r="P87" s="74">
        <v>6.0</v>
      </c>
      <c r="Q87" s="344">
        <v>46174.0</v>
      </c>
      <c r="R87" s="185">
        <v>1.0</v>
      </c>
      <c r="S87" s="185">
        <v>6.0</v>
      </c>
      <c r="T87" s="194">
        <v>2026.0</v>
      </c>
      <c r="U87" s="74" t="s">
        <v>2</v>
      </c>
      <c r="V87" s="74">
        <v>105.62</v>
      </c>
      <c r="W87" s="344">
        <v>46174.0</v>
      </c>
      <c r="X87" s="194">
        <v>1.0</v>
      </c>
      <c r="Y87" s="194">
        <v>6.0</v>
      </c>
      <c r="Z87" s="194">
        <v>2026.0</v>
      </c>
      <c r="AA87" s="74" t="s">
        <v>2</v>
      </c>
    </row>
    <row r="88" ht="15.75" hidden="1" customHeight="1">
      <c r="A88" s="340" t="s">
        <v>1347</v>
      </c>
      <c r="B88" s="191" t="s">
        <v>1348</v>
      </c>
      <c r="C88" s="343">
        <v>46192.0</v>
      </c>
      <c r="D88" s="194">
        <v>19.0</v>
      </c>
      <c r="E88" s="194">
        <v>6.0</v>
      </c>
      <c r="F88" s="194">
        <v>2026.0</v>
      </c>
      <c r="G88" s="343">
        <v>46193.0</v>
      </c>
      <c r="H88" s="194">
        <v>20.0</v>
      </c>
      <c r="I88" s="194">
        <v>6.0</v>
      </c>
      <c r="J88" s="194">
        <v>2026.0</v>
      </c>
      <c r="K88" s="74" t="s">
        <v>51</v>
      </c>
      <c r="L88" s="74" t="s">
        <v>1177</v>
      </c>
      <c r="M88" s="74">
        <v>1.0</v>
      </c>
      <c r="N88" s="74">
        <v>1.0</v>
      </c>
      <c r="O88" s="74"/>
      <c r="P88" s="74">
        <v>2.0</v>
      </c>
      <c r="Q88" s="344">
        <v>46174.0</v>
      </c>
      <c r="R88" s="185">
        <v>1.0</v>
      </c>
      <c r="S88" s="185">
        <v>6.0</v>
      </c>
      <c r="T88" s="194">
        <v>2026.0</v>
      </c>
      <c r="U88" s="74" t="s">
        <v>2</v>
      </c>
      <c r="V88" s="74">
        <v>45.32</v>
      </c>
      <c r="W88" s="344">
        <v>46174.0</v>
      </c>
      <c r="X88" s="194">
        <v>1.0</v>
      </c>
      <c r="Y88" s="194">
        <v>6.0</v>
      </c>
      <c r="Z88" s="194">
        <v>2026.0</v>
      </c>
      <c r="AA88" s="74" t="s">
        <v>2</v>
      </c>
    </row>
    <row r="89" ht="15.75" hidden="1" customHeight="1">
      <c r="A89" s="340" t="s">
        <v>1349</v>
      </c>
      <c r="B89" s="191" t="s">
        <v>1350</v>
      </c>
      <c r="C89" s="343">
        <v>46195.0</v>
      </c>
      <c r="D89" s="194">
        <v>22.0</v>
      </c>
      <c r="E89" s="194">
        <v>6.0</v>
      </c>
      <c r="F89" s="194">
        <v>2026.0</v>
      </c>
      <c r="G89" s="343">
        <v>46196.0</v>
      </c>
      <c r="H89" s="194">
        <v>23.0</v>
      </c>
      <c r="I89" s="194">
        <v>6.0</v>
      </c>
      <c r="J89" s="194">
        <v>2026.0</v>
      </c>
      <c r="K89" s="74" t="s">
        <v>51</v>
      </c>
      <c r="L89" s="74" t="s">
        <v>1273</v>
      </c>
      <c r="M89" s="74">
        <v>1.0</v>
      </c>
      <c r="N89" s="74">
        <v>1.0</v>
      </c>
      <c r="O89" s="74"/>
      <c r="P89" s="74">
        <v>2.0</v>
      </c>
      <c r="Q89" s="344">
        <v>46174.0</v>
      </c>
      <c r="R89" s="185">
        <v>1.0</v>
      </c>
      <c r="S89" s="185">
        <v>6.0</v>
      </c>
      <c r="T89" s="194">
        <v>2026.0</v>
      </c>
      <c r="U89" s="74" t="s">
        <v>2</v>
      </c>
      <c r="V89" s="74">
        <v>29.57</v>
      </c>
      <c r="W89" s="344">
        <v>46174.0</v>
      </c>
      <c r="X89" s="194">
        <v>1.0</v>
      </c>
      <c r="Y89" s="194">
        <v>6.0</v>
      </c>
      <c r="Z89" s="194">
        <v>2026.0</v>
      </c>
      <c r="AA89" s="74" t="s">
        <v>2</v>
      </c>
    </row>
    <row r="90" ht="15.75" hidden="1" customHeight="1">
      <c r="A90" s="340" t="s">
        <v>1351</v>
      </c>
      <c r="B90" s="191" t="s">
        <v>1352</v>
      </c>
      <c r="C90" s="343">
        <v>46183.0</v>
      </c>
      <c r="D90" s="194">
        <v>10.0</v>
      </c>
      <c r="E90" s="194">
        <v>6.0</v>
      </c>
      <c r="F90" s="194">
        <v>2026.0</v>
      </c>
      <c r="G90" s="343">
        <v>46185.0</v>
      </c>
      <c r="H90" s="194">
        <v>12.0</v>
      </c>
      <c r="I90" s="194">
        <v>6.0</v>
      </c>
      <c r="J90" s="194">
        <v>2026.0</v>
      </c>
      <c r="K90" s="74" t="s">
        <v>51</v>
      </c>
      <c r="L90" s="74" t="s">
        <v>1177</v>
      </c>
      <c r="M90" s="74">
        <v>1.0</v>
      </c>
      <c r="N90" s="74">
        <v>2.0</v>
      </c>
      <c r="O90" s="74"/>
      <c r="P90" s="74">
        <v>4.0</v>
      </c>
      <c r="Q90" s="344">
        <v>46174.0</v>
      </c>
      <c r="R90" s="185">
        <v>1.0</v>
      </c>
      <c r="S90" s="185">
        <v>6.0</v>
      </c>
      <c r="T90" s="194">
        <v>2026.0</v>
      </c>
      <c r="U90" s="74" t="s">
        <v>2</v>
      </c>
      <c r="V90" s="74">
        <v>97.55</v>
      </c>
      <c r="W90" s="344">
        <v>46174.0</v>
      </c>
      <c r="X90" s="194">
        <v>1.0</v>
      </c>
      <c r="Y90" s="194">
        <v>6.0</v>
      </c>
      <c r="Z90" s="194">
        <v>2026.0</v>
      </c>
      <c r="AA90" s="74" t="s">
        <v>2</v>
      </c>
    </row>
    <row r="91" ht="15.75" hidden="1" customHeight="1">
      <c r="A91" s="340" t="s">
        <v>1353</v>
      </c>
      <c r="B91" s="191" t="s">
        <v>1354</v>
      </c>
      <c r="C91" s="343">
        <v>46179.0</v>
      </c>
      <c r="D91" s="194">
        <v>6.0</v>
      </c>
      <c r="E91" s="194">
        <v>6.0</v>
      </c>
      <c r="F91" s="194">
        <v>2026.0</v>
      </c>
      <c r="G91" s="343">
        <v>46183.0</v>
      </c>
      <c r="H91" s="194">
        <v>10.0</v>
      </c>
      <c r="I91" s="194">
        <v>6.0</v>
      </c>
      <c r="J91" s="194">
        <v>2026.0</v>
      </c>
      <c r="K91" s="74" t="s">
        <v>51</v>
      </c>
      <c r="L91" s="74" t="s">
        <v>1177</v>
      </c>
      <c r="M91" s="74">
        <v>1.0</v>
      </c>
      <c r="N91" s="74">
        <v>4.0</v>
      </c>
      <c r="O91" s="74"/>
      <c r="P91" s="74">
        <v>8.0</v>
      </c>
      <c r="Q91" s="344">
        <v>46174.0</v>
      </c>
      <c r="R91" s="185">
        <v>1.0</v>
      </c>
      <c r="S91" s="185">
        <v>6.0</v>
      </c>
      <c r="T91" s="194">
        <v>2026.0</v>
      </c>
      <c r="U91" s="74" t="s">
        <v>2</v>
      </c>
      <c r="V91" s="74">
        <v>152.1</v>
      </c>
      <c r="W91" s="344">
        <v>46174.0</v>
      </c>
      <c r="X91" s="194">
        <v>1.0</v>
      </c>
      <c r="Y91" s="194">
        <v>6.0</v>
      </c>
      <c r="Z91" s="194">
        <v>2026.0</v>
      </c>
      <c r="AA91" s="74" t="s">
        <v>2</v>
      </c>
    </row>
    <row r="92" ht="15.75" hidden="1" customHeight="1">
      <c r="A92" s="340" t="s">
        <v>1355</v>
      </c>
      <c r="B92" s="191" t="s">
        <v>1356</v>
      </c>
      <c r="C92" s="343">
        <v>46178.0</v>
      </c>
      <c r="D92" s="194">
        <v>5.0</v>
      </c>
      <c r="E92" s="194">
        <v>6.0</v>
      </c>
      <c r="F92" s="194">
        <v>2026.0</v>
      </c>
      <c r="G92" s="343">
        <v>46179.0</v>
      </c>
      <c r="H92" s="194">
        <v>6.0</v>
      </c>
      <c r="I92" s="194">
        <v>6.0</v>
      </c>
      <c r="J92" s="194">
        <v>2026.0</v>
      </c>
      <c r="K92" s="74" t="s">
        <v>51</v>
      </c>
      <c r="L92" s="74" t="s">
        <v>1177</v>
      </c>
      <c r="M92" s="74">
        <v>1.0</v>
      </c>
      <c r="N92" s="74">
        <v>1.0</v>
      </c>
      <c r="O92" s="74"/>
      <c r="P92" s="74">
        <v>2.0</v>
      </c>
      <c r="Q92" s="344">
        <v>46174.0</v>
      </c>
      <c r="R92" s="185">
        <v>1.0</v>
      </c>
      <c r="S92" s="185">
        <v>6.0</v>
      </c>
      <c r="T92" s="194">
        <v>2026.0</v>
      </c>
      <c r="U92" s="74" t="s">
        <v>2</v>
      </c>
      <c r="V92" s="74">
        <v>31.67</v>
      </c>
      <c r="W92" s="344">
        <v>46174.0</v>
      </c>
      <c r="X92" s="194">
        <v>1.0</v>
      </c>
      <c r="Y92" s="194">
        <v>6.0</v>
      </c>
      <c r="Z92" s="194">
        <v>2026.0</v>
      </c>
      <c r="AA92" s="74" t="s">
        <v>2</v>
      </c>
    </row>
    <row r="93" ht="15.75" hidden="1" customHeight="1">
      <c r="A93" s="340" t="s">
        <v>1357</v>
      </c>
      <c r="B93" s="191" t="s">
        <v>1358</v>
      </c>
      <c r="C93" s="343">
        <v>46174.0</v>
      </c>
      <c r="D93" s="194">
        <v>1.0</v>
      </c>
      <c r="E93" s="194">
        <v>6.0</v>
      </c>
      <c r="F93" s="194">
        <v>2026.0</v>
      </c>
      <c r="G93" s="343">
        <v>46175.0</v>
      </c>
      <c r="H93" s="194">
        <v>2.0</v>
      </c>
      <c r="I93" s="194">
        <v>6.0</v>
      </c>
      <c r="J93" s="194">
        <v>2026.0</v>
      </c>
      <c r="K93" s="74" t="s">
        <v>51</v>
      </c>
      <c r="L93" s="74" t="s">
        <v>1177</v>
      </c>
      <c r="M93" s="74">
        <v>2.0</v>
      </c>
      <c r="N93" s="74">
        <v>1.0</v>
      </c>
      <c r="O93" s="74"/>
      <c r="P93" s="74">
        <v>4.0</v>
      </c>
      <c r="Q93" s="344">
        <v>46174.0</v>
      </c>
      <c r="R93" s="185">
        <v>1.0</v>
      </c>
      <c r="S93" s="185">
        <v>6.0</v>
      </c>
      <c r="T93" s="194">
        <v>2026.0</v>
      </c>
      <c r="U93" s="74" t="s">
        <v>245</v>
      </c>
      <c r="V93" s="74">
        <v>72.05</v>
      </c>
      <c r="W93" s="344">
        <v>46174.0</v>
      </c>
      <c r="X93" s="194">
        <v>1.0</v>
      </c>
      <c r="Y93" s="194">
        <v>6.0</v>
      </c>
      <c r="Z93" s="194">
        <v>2026.0</v>
      </c>
      <c r="AA93" s="74" t="s">
        <v>2</v>
      </c>
    </row>
    <row r="94" ht="15.75" hidden="1" customHeight="1">
      <c r="A94" s="340" t="s">
        <v>1359</v>
      </c>
      <c r="B94" s="191" t="s">
        <v>1360</v>
      </c>
      <c r="C94" s="343">
        <v>46182.0</v>
      </c>
      <c r="D94" s="194">
        <v>9.0</v>
      </c>
      <c r="E94" s="194">
        <v>6.0</v>
      </c>
      <c r="F94" s="194">
        <v>2026.0</v>
      </c>
      <c r="G94" s="343">
        <v>46184.0</v>
      </c>
      <c r="H94" s="194">
        <v>11.0</v>
      </c>
      <c r="I94" s="194">
        <v>6.0</v>
      </c>
      <c r="J94" s="194">
        <v>2026.0</v>
      </c>
      <c r="K94" s="74" t="s">
        <v>51</v>
      </c>
      <c r="L94" s="74" t="s">
        <v>1177</v>
      </c>
      <c r="M94" s="74">
        <v>1.0</v>
      </c>
      <c r="N94" s="74">
        <v>2.0</v>
      </c>
      <c r="O94" s="74"/>
      <c r="P94" s="74">
        <v>4.0</v>
      </c>
      <c r="Q94" s="344">
        <v>46174.0</v>
      </c>
      <c r="R94" s="185">
        <v>1.0</v>
      </c>
      <c r="S94" s="185">
        <v>6.0</v>
      </c>
      <c r="T94" s="194">
        <v>2026.0</v>
      </c>
      <c r="U94" s="74" t="s">
        <v>2</v>
      </c>
      <c r="V94" s="74">
        <v>58.63</v>
      </c>
      <c r="W94" s="344">
        <v>46174.0</v>
      </c>
      <c r="X94" s="194">
        <v>1.0</v>
      </c>
      <c r="Y94" s="194">
        <v>6.0</v>
      </c>
      <c r="Z94" s="194">
        <v>2026.0</v>
      </c>
      <c r="AA94" s="74" t="s">
        <v>2</v>
      </c>
    </row>
    <row r="95" ht="15.75" hidden="1" customHeight="1">
      <c r="A95" s="340" t="s">
        <v>1361</v>
      </c>
      <c r="B95" s="191" t="s">
        <v>1362</v>
      </c>
      <c r="C95" s="343">
        <v>46193.0</v>
      </c>
      <c r="D95" s="194">
        <v>20.0</v>
      </c>
      <c r="E95" s="194">
        <v>6.0</v>
      </c>
      <c r="F95" s="194">
        <v>2026.0</v>
      </c>
      <c r="G95" s="343">
        <v>46196.0</v>
      </c>
      <c r="H95" s="194">
        <v>23.0</v>
      </c>
      <c r="I95" s="194">
        <v>6.0</v>
      </c>
      <c r="J95" s="194">
        <v>2026.0</v>
      </c>
      <c r="K95" s="74" t="s">
        <v>51</v>
      </c>
      <c r="L95" s="74" t="s">
        <v>1177</v>
      </c>
      <c r="M95" s="74">
        <v>1.0</v>
      </c>
      <c r="N95" s="74">
        <v>3.0</v>
      </c>
      <c r="O95" s="74"/>
      <c r="P95" s="74">
        <v>6.0</v>
      </c>
      <c r="Q95" s="344">
        <v>46174.0</v>
      </c>
      <c r="R95" s="185">
        <v>1.0</v>
      </c>
      <c r="S95" s="185">
        <v>6.0</v>
      </c>
      <c r="T95" s="194">
        <v>2026.0</v>
      </c>
      <c r="U95" s="74" t="s">
        <v>2</v>
      </c>
      <c r="V95" s="74">
        <v>104.07</v>
      </c>
      <c r="W95" s="344">
        <v>46174.0</v>
      </c>
      <c r="X95" s="194">
        <v>1.0</v>
      </c>
      <c r="Y95" s="194">
        <v>6.0</v>
      </c>
      <c r="Z95" s="194">
        <v>2026.0</v>
      </c>
      <c r="AA95" s="74" t="s">
        <v>2</v>
      </c>
    </row>
    <row r="96" ht="15.75" hidden="1" customHeight="1">
      <c r="A96" s="340" t="s">
        <v>1363</v>
      </c>
      <c r="B96" s="191" t="s">
        <v>1364</v>
      </c>
      <c r="C96" s="343">
        <v>46200.0</v>
      </c>
      <c r="D96" s="194">
        <v>27.0</v>
      </c>
      <c r="E96" s="194">
        <v>6.0</v>
      </c>
      <c r="F96" s="194">
        <v>2026.0</v>
      </c>
      <c r="G96" s="343">
        <v>46204.0</v>
      </c>
      <c r="H96" s="194">
        <v>1.0</v>
      </c>
      <c r="I96" s="194">
        <v>7.0</v>
      </c>
      <c r="J96" s="194">
        <v>2026.0</v>
      </c>
      <c r="K96" s="74" t="s">
        <v>51</v>
      </c>
      <c r="L96" s="74" t="s">
        <v>1177</v>
      </c>
      <c r="M96" s="74">
        <v>1.0</v>
      </c>
      <c r="N96" s="74">
        <v>4.0</v>
      </c>
      <c r="O96" s="74"/>
      <c r="P96" s="74">
        <v>8.0</v>
      </c>
      <c r="Q96" s="344">
        <v>46174.0</v>
      </c>
      <c r="R96" s="185">
        <v>1.0</v>
      </c>
      <c r="S96" s="185">
        <v>6.0</v>
      </c>
      <c r="T96" s="194">
        <v>2026.0</v>
      </c>
      <c r="U96" s="74" t="s">
        <v>2</v>
      </c>
      <c r="V96" s="74">
        <v>118.3</v>
      </c>
      <c r="W96" s="344">
        <v>46174.0</v>
      </c>
      <c r="X96" s="194">
        <v>1.0</v>
      </c>
      <c r="Y96" s="194">
        <v>6.0</v>
      </c>
      <c r="Z96" s="194">
        <v>2026.0</v>
      </c>
      <c r="AA96" s="74" t="s">
        <v>2</v>
      </c>
    </row>
    <row r="97" ht="15.75" hidden="1" customHeight="1">
      <c r="A97" s="340" t="s">
        <v>1365</v>
      </c>
      <c r="B97" s="191" t="s">
        <v>1366</v>
      </c>
      <c r="C97" s="343">
        <v>46178.0</v>
      </c>
      <c r="D97" s="194">
        <v>5.0</v>
      </c>
      <c r="E97" s="194">
        <v>6.0</v>
      </c>
      <c r="F97" s="194">
        <v>2026.0</v>
      </c>
      <c r="G97" s="343">
        <v>46180.0</v>
      </c>
      <c r="H97" s="194">
        <v>7.0</v>
      </c>
      <c r="I97" s="194">
        <v>6.0</v>
      </c>
      <c r="J97" s="194">
        <v>2026.0</v>
      </c>
      <c r="K97" s="74" t="s">
        <v>51</v>
      </c>
      <c r="L97" s="74" t="s">
        <v>1177</v>
      </c>
      <c r="M97" s="74">
        <v>2.0</v>
      </c>
      <c r="N97" s="74">
        <v>2.0</v>
      </c>
      <c r="O97" s="74"/>
      <c r="P97" s="74">
        <v>8.0</v>
      </c>
      <c r="Q97" s="344">
        <v>46174.0</v>
      </c>
      <c r="R97" s="185">
        <v>1.0</v>
      </c>
      <c r="S97" s="185">
        <v>6.0</v>
      </c>
      <c r="T97" s="194">
        <v>2026.0</v>
      </c>
      <c r="U97" s="74" t="s">
        <v>245</v>
      </c>
      <c r="V97" s="74">
        <v>114.3</v>
      </c>
      <c r="W97" s="344">
        <v>46174.0</v>
      </c>
      <c r="X97" s="194">
        <v>1.0</v>
      </c>
      <c r="Y97" s="194">
        <v>6.0</v>
      </c>
      <c r="Z97" s="194">
        <v>2026.0</v>
      </c>
      <c r="AA97" s="74" t="s">
        <v>2</v>
      </c>
    </row>
    <row r="98" ht="15.75" hidden="1" customHeight="1">
      <c r="A98" s="340" t="s">
        <v>1367</v>
      </c>
      <c r="B98" s="191" t="s">
        <v>1368</v>
      </c>
      <c r="C98" s="343">
        <v>46192.0</v>
      </c>
      <c r="D98" s="194">
        <v>19.0</v>
      </c>
      <c r="E98" s="194">
        <v>6.0</v>
      </c>
      <c r="F98" s="194">
        <v>2026.0</v>
      </c>
      <c r="G98" s="343">
        <v>46194.0</v>
      </c>
      <c r="H98" s="194">
        <v>21.0</v>
      </c>
      <c r="I98" s="194">
        <v>6.0</v>
      </c>
      <c r="J98" s="194">
        <v>2026.0</v>
      </c>
      <c r="K98" s="74" t="s">
        <v>51</v>
      </c>
      <c r="L98" s="74" t="s">
        <v>1177</v>
      </c>
      <c r="M98" s="74">
        <v>1.0</v>
      </c>
      <c r="N98" s="74">
        <v>2.0</v>
      </c>
      <c r="O98" s="74"/>
      <c r="P98" s="74">
        <v>4.0</v>
      </c>
      <c r="Q98" s="344">
        <v>46174.0</v>
      </c>
      <c r="R98" s="185">
        <v>1.0</v>
      </c>
      <c r="S98" s="185">
        <v>6.0</v>
      </c>
      <c r="T98" s="194">
        <v>2026.0</v>
      </c>
      <c r="U98" s="74" t="s">
        <v>2</v>
      </c>
      <c r="V98" s="74">
        <v>72.05</v>
      </c>
      <c r="W98" s="344">
        <v>46174.0</v>
      </c>
      <c r="X98" s="194">
        <v>1.0</v>
      </c>
      <c r="Y98" s="194">
        <v>6.0</v>
      </c>
      <c r="Z98" s="194">
        <v>2026.0</v>
      </c>
      <c r="AA98" s="74" t="s">
        <v>2</v>
      </c>
    </row>
    <row r="99" ht="15.75" hidden="1" customHeight="1">
      <c r="A99" s="340" t="s">
        <v>1369</v>
      </c>
      <c r="B99" s="191" t="s">
        <v>1370</v>
      </c>
      <c r="C99" s="343">
        <v>46181.0</v>
      </c>
      <c r="D99" s="194">
        <v>8.0</v>
      </c>
      <c r="E99" s="194">
        <v>6.0</v>
      </c>
      <c r="F99" s="194">
        <v>2026.0</v>
      </c>
      <c r="G99" s="343">
        <v>46184.0</v>
      </c>
      <c r="H99" s="194">
        <v>11.0</v>
      </c>
      <c r="I99" s="194">
        <v>6.0</v>
      </c>
      <c r="J99" s="194">
        <v>2026.0</v>
      </c>
      <c r="K99" s="74" t="s">
        <v>51</v>
      </c>
      <c r="L99" s="74" t="s">
        <v>1177</v>
      </c>
      <c r="M99" s="74">
        <v>1.0</v>
      </c>
      <c r="N99" s="74">
        <v>3.0</v>
      </c>
      <c r="O99" s="74"/>
      <c r="P99" s="74">
        <v>6.0</v>
      </c>
      <c r="Q99" s="344">
        <v>46174.0</v>
      </c>
      <c r="R99" s="185">
        <v>1.0</v>
      </c>
      <c r="S99" s="185">
        <v>6.0</v>
      </c>
      <c r="T99" s="194">
        <v>2026.0</v>
      </c>
      <c r="U99" s="74" t="s">
        <v>245</v>
      </c>
      <c r="V99" s="74">
        <v>108.07</v>
      </c>
      <c r="W99" s="344">
        <v>46174.0</v>
      </c>
      <c r="X99" s="194">
        <v>1.0</v>
      </c>
      <c r="Y99" s="194">
        <v>6.0</v>
      </c>
      <c r="Z99" s="194">
        <v>2026.0</v>
      </c>
      <c r="AA99" s="74" t="s">
        <v>2</v>
      </c>
    </row>
    <row r="100" ht="15.75" hidden="1" customHeight="1">
      <c r="A100" s="340" t="s">
        <v>1371</v>
      </c>
      <c r="B100" s="191" t="s">
        <v>1372</v>
      </c>
      <c r="C100" s="343">
        <v>46180.0</v>
      </c>
      <c r="D100" s="194">
        <v>7.0</v>
      </c>
      <c r="E100" s="194">
        <v>6.0</v>
      </c>
      <c r="F100" s="194">
        <v>2026.0</v>
      </c>
      <c r="G100" s="343">
        <v>46182.0</v>
      </c>
      <c r="H100" s="194">
        <v>9.0</v>
      </c>
      <c r="I100" s="194">
        <v>6.0</v>
      </c>
      <c r="J100" s="194">
        <v>2026.0</v>
      </c>
      <c r="K100" s="74" t="s">
        <v>51</v>
      </c>
      <c r="L100" s="74" t="s">
        <v>1177</v>
      </c>
      <c r="M100" s="74">
        <v>1.0</v>
      </c>
      <c r="N100" s="74">
        <v>2.0</v>
      </c>
      <c r="O100" s="74"/>
      <c r="P100" s="74">
        <v>4.0</v>
      </c>
      <c r="Q100" s="344">
        <v>46174.0</v>
      </c>
      <c r="R100" s="185">
        <v>1.0</v>
      </c>
      <c r="S100" s="185">
        <v>6.0</v>
      </c>
      <c r="T100" s="194">
        <v>2026.0</v>
      </c>
      <c r="U100" s="74" t="s">
        <v>245</v>
      </c>
      <c r="V100" s="74">
        <v>72.05</v>
      </c>
      <c r="W100" s="344">
        <v>46174.0</v>
      </c>
      <c r="X100" s="194">
        <v>1.0</v>
      </c>
      <c r="Y100" s="194">
        <v>6.0</v>
      </c>
      <c r="Z100" s="194">
        <v>2026.0</v>
      </c>
      <c r="AA100" s="74" t="s">
        <v>2</v>
      </c>
    </row>
    <row r="101" ht="15.75" hidden="1" customHeight="1">
      <c r="A101" s="340" t="s">
        <v>1373</v>
      </c>
      <c r="B101" s="191" t="s">
        <v>1374</v>
      </c>
      <c r="C101" s="343">
        <v>46192.0</v>
      </c>
      <c r="D101" s="194">
        <v>19.0</v>
      </c>
      <c r="E101" s="194">
        <v>6.0</v>
      </c>
      <c r="F101" s="194">
        <v>2026.0</v>
      </c>
      <c r="G101" s="343">
        <v>46194.0</v>
      </c>
      <c r="H101" s="194">
        <v>21.0</v>
      </c>
      <c r="I101" s="194">
        <v>6.0</v>
      </c>
      <c r="J101" s="194">
        <v>2026.0</v>
      </c>
      <c r="K101" s="74" t="s">
        <v>51</v>
      </c>
      <c r="L101" s="74" t="s">
        <v>1177</v>
      </c>
      <c r="M101" s="74">
        <v>1.0</v>
      </c>
      <c r="N101" s="74">
        <v>2.0</v>
      </c>
      <c r="O101" s="74"/>
      <c r="P101" s="74">
        <v>4.0</v>
      </c>
      <c r="Q101" s="344">
        <v>46174.0</v>
      </c>
      <c r="R101" s="185">
        <v>1.0</v>
      </c>
      <c r="S101" s="185">
        <v>6.0</v>
      </c>
      <c r="T101" s="194">
        <v>2026.0</v>
      </c>
      <c r="U101" s="74" t="s">
        <v>2</v>
      </c>
      <c r="V101" s="74">
        <v>90.64</v>
      </c>
      <c r="W101" s="344">
        <v>46174.0</v>
      </c>
      <c r="X101" s="194">
        <v>1.0</v>
      </c>
      <c r="Y101" s="194">
        <v>6.0</v>
      </c>
      <c r="Z101" s="194">
        <v>2026.0</v>
      </c>
      <c r="AA101" s="74" t="s">
        <v>2</v>
      </c>
    </row>
    <row r="102" ht="15.75" hidden="1" customHeight="1">
      <c r="A102" s="340" t="s">
        <v>1375</v>
      </c>
      <c r="B102" s="191" t="s">
        <v>1376</v>
      </c>
      <c r="C102" s="343">
        <v>46185.0</v>
      </c>
      <c r="D102" s="194">
        <v>12.0</v>
      </c>
      <c r="E102" s="194">
        <v>6.0</v>
      </c>
      <c r="F102" s="194">
        <v>2026.0</v>
      </c>
      <c r="G102" s="343">
        <v>46186.0</v>
      </c>
      <c r="H102" s="194">
        <v>13.0</v>
      </c>
      <c r="I102" s="194">
        <v>6.0</v>
      </c>
      <c r="J102" s="194">
        <v>2026.0</v>
      </c>
      <c r="K102" s="74" t="s">
        <v>51</v>
      </c>
      <c r="L102" s="74" t="s">
        <v>1177</v>
      </c>
      <c r="M102" s="74">
        <v>8.0</v>
      </c>
      <c r="N102" s="74">
        <v>1.0</v>
      </c>
      <c r="O102" s="74"/>
      <c r="P102" s="74">
        <v>14.0</v>
      </c>
      <c r="Q102" s="344">
        <v>46174.0</v>
      </c>
      <c r="R102" s="185">
        <v>1.0</v>
      </c>
      <c r="S102" s="185">
        <v>6.0</v>
      </c>
      <c r="T102" s="194">
        <v>2026.0</v>
      </c>
      <c r="U102" s="74" t="s">
        <v>245</v>
      </c>
      <c r="V102" s="74">
        <v>290.2</v>
      </c>
      <c r="W102" s="344">
        <v>46174.0</v>
      </c>
      <c r="X102" s="194">
        <v>1.0</v>
      </c>
      <c r="Y102" s="194">
        <v>6.0</v>
      </c>
      <c r="Z102" s="194">
        <v>2026.0</v>
      </c>
      <c r="AA102" s="74" t="s">
        <v>2</v>
      </c>
    </row>
    <row r="103" ht="15.75" hidden="1" customHeight="1">
      <c r="A103" s="340" t="s">
        <v>1377</v>
      </c>
      <c r="B103" s="191" t="s">
        <v>1378</v>
      </c>
      <c r="C103" s="343">
        <v>46180.0</v>
      </c>
      <c r="D103" s="194">
        <v>7.0</v>
      </c>
      <c r="E103" s="194">
        <v>6.0</v>
      </c>
      <c r="F103" s="194">
        <v>2026.0</v>
      </c>
      <c r="G103" s="343">
        <v>46184.0</v>
      </c>
      <c r="H103" s="194">
        <v>11.0</v>
      </c>
      <c r="I103" s="194">
        <v>6.0</v>
      </c>
      <c r="J103" s="194">
        <v>2026.0</v>
      </c>
      <c r="K103" s="74" t="s">
        <v>51</v>
      </c>
      <c r="L103" s="74" t="s">
        <v>1177</v>
      </c>
      <c r="M103" s="74">
        <v>1.0</v>
      </c>
      <c r="N103" s="74">
        <v>4.0</v>
      </c>
      <c r="O103" s="74"/>
      <c r="P103" s="74">
        <v>8.0</v>
      </c>
      <c r="Q103" s="344">
        <v>46174.0</v>
      </c>
      <c r="R103" s="185">
        <v>1.0</v>
      </c>
      <c r="S103" s="185">
        <v>6.0</v>
      </c>
      <c r="T103" s="194">
        <v>2026.0</v>
      </c>
      <c r="U103" s="74" t="s">
        <v>2</v>
      </c>
      <c r="V103" s="74">
        <v>136.99</v>
      </c>
      <c r="W103" s="344">
        <v>46174.0</v>
      </c>
      <c r="X103" s="194">
        <v>1.0</v>
      </c>
      <c r="Y103" s="194">
        <v>6.0</v>
      </c>
      <c r="Z103" s="194">
        <v>2026.0</v>
      </c>
      <c r="AA103" s="74" t="s">
        <v>2</v>
      </c>
    </row>
    <row r="104" ht="15.75" hidden="1" customHeight="1">
      <c r="A104" s="340" t="s">
        <v>1379</v>
      </c>
      <c r="B104" s="191" t="s">
        <v>1380</v>
      </c>
      <c r="C104" s="343">
        <v>46177.0</v>
      </c>
      <c r="D104" s="194">
        <v>4.0</v>
      </c>
      <c r="E104" s="194">
        <v>6.0</v>
      </c>
      <c r="F104" s="194">
        <v>2026.0</v>
      </c>
      <c r="G104" s="343">
        <v>46179.0</v>
      </c>
      <c r="H104" s="194">
        <v>6.0</v>
      </c>
      <c r="I104" s="194">
        <v>6.0</v>
      </c>
      <c r="J104" s="194">
        <v>2026.0</v>
      </c>
      <c r="K104" s="74" t="s">
        <v>51</v>
      </c>
      <c r="L104" s="74" t="s">
        <v>1177</v>
      </c>
      <c r="M104" s="74">
        <v>1.0</v>
      </c>
      <c r="N104" s="74">
        <v>2.0</v>
      </c>
      <c r="O104" s="74"/>
      <c r="P104" s="74">
        <v>4.0</v>
      </c>
      <c r="Q104" s="344">
        <v>46174.0</v>
      </c>
      <c r="R104" s="185">
        <v>1.0</v>
      </c>
      <c r="S104" s="185">
        <v>6.0</v>
      </c>
      <c r="T104" s="194">
        <v>2026.0</v>
      </c>
      <c r="U104" s="74" t="s">
        <v>2</v>
      </c>
      <c r="V104" s="74">
        <v>56.61</v>
      </c>
      <c r="W104" s="344">
        <v>46174.0</v>
      </c>
      <c r="X104" s="194">
        <v>1.0</v>
      </c>
      <c r="Y104" s="194">
        <v>6.0</v>
      </c>
      <c r="Z104" s="194">
        <v>2026.0</v>
      </c>
      <c r="AA104" s="74" t="s">
        <v>2</v>
      </c>
    </row>
    <row r="105" ht="15.75" hidden="1" customHeight="1">
      <c r="A105" s="340" t="s">
        <v>1381</v>
      </c>
      <c r="B105" s="191" t="s">
        <v>1382</v>
      </c>
      <c r="C105" s="343">
        <v>46200.0</v>
      </c>
      <c r="D105" s="194">
        <v>27.0</v>
      </c>
      <c r="E105" s="194">
        <v>6.0</v>
      </c>
      <c r="F105" s="194">
        <v>2026.0</v>
      </c>
      <c r="G105" s="343">
        <v>46203.0</v>
      </c>
      <c r="H105" s="194">
        <v>30.0</v>
      </c>
      <c r="I105" s="194">
        <v>6.0</v>
      </c>
      <c r="J105" s="194">
        <v>2026.0</v>
      </c>
      <c r="K105" s="74" t="s">
        <v>51</v>
      </c>
      <c r="L105" s="74" t="s">
        <v>1177</v>
      </c>
      <c r="M105" s="74">
        <v>1.0</v>
      </c>
      <c r="N105" s="74">
        <v>3.0</v>
      </c>
      <c r="O105" s="74"/>
      <c r="P105" s="74">
        <v>6.0</v>
      </c>
      <c r="Q105" s="344">
        <v>46174.0</v>
      </c>
      <c r="R105" s="185">
        <v>1.0</v>
      </c>
      <c r="S105" s="185">
        <v>6.0</v>
      </c>
      <c r="T105" s="194">
        <v>2026.0</v>
      </c>
      <c r="U105" s="74" t="s">
        <v>2</v>
      </c>
      <c r="V105" s="74">
        <v>88.73</v>
      </c>
      <c r="W105" s="344">
        <v>46174.0</v>
      </c>
      <c r="X105" s="194">
        <v>1.0</v>
      </c>
      <c r="Y105" s="194">
        <v>6.0</v>
      </c>
      <c r="Z105" s="194">
        <v>2026.0</v>
      </c>
      <c r="AA105" s="74" t="s">
        <v>2</v>
      </c>
    </row>
    <row r="106" ht="15.75" hidden="1" customHeight="1">
      <c r="A106" s="340" t="s">
        <v>1383</v>
      </c>
      <c r="B106" s="191" t="s">
        <v>1384</v>
      </c>
      <c r="C106" s="343">
        <v>46200.0</v>
      </c>
      <c r="D106" s="194">
        <v>27.0</v>
      </c>
      <c r="E106" s="194">
        <v>6.0</v>
      </c>
      <c r="F106" s="194">
        <v>2026.0</v>
      </c>
      <c r="G106" s="343">
        <v>46202.0</v>
      </c>
      <c r="H106" s="194">
        <v>29.0</v>
      </c>
      <c r="I106" s="194">
        <v>6.0</v>
      </c>
      <c r="J106" s="194">
        <v>2026.0</v>
      </c>
      <c r="K106" s="74" t="s">
        <v>51</v>
      </c>
      <c r="L106" s="74" t="s">
        <v>1177</v>
      </c>
      <c r="M106" s="74">
        <v>1.0</v>
      </c>
      <c r="N106" s="74">
        <v>2.0</v>
      </c>
      <c r="O106" s="74"/>
      <c r="P106" s="74">
        <v>4.0</v>
      </c>
      <c r="Q106" s="344">
        <v>46174.0</v>
      </c>
      <c r="R106" s="185">
        <v>1.0</v>
      </c>
      <c r="S106" s="185">
        <v>6.0</v>
      </c>
      <c r="T106" s="194">
        <v>2026.0</v>
      </c>
      <c r="U106" s="74" t="s">
        <v>2</v>
      </c>
      <c r="V106" s="74">
        <v>76.05</v>
      </c>
      <c r="W106" s="344">
        <v>46174.0</v>
      </c>
      <c r="X106" s="194">
        <v>1.0</v>
      </c>
      <c r="Y106" s="194">
        <v>6.0</v>
      </c>
      <c r="Z106" s="194">
        <v>2026.0</v>
      </c>
      <c r="AA106" s="74" t="s">
        <v>2</v>
      </c>
    </row>
    <row r="107" ht="15.75" hidden="1" customHeight="1">
      <c r="A107" s="340" t="s">
        <v>1385</v>
      </c>
      <c r="B107" s="191" t="s">
        <v>1386</v>
      </c>
      <c r="C107" s="343">
        <v>46175.0</v>
      </c>
      <c r="D107" s="194">
        <v>2.0</v>
      </c>
      <c r="E107" s="194">
        <v>6.0</v>
      </c>
      <c r="F107" s="194">
        <v>2026.0</v>
      </c>
      <c r="G107" s="343">
        <v>46178.0</v>
      </c>
      <c r="H107" s="194">
        <v>5.0</v>
      </c>
      <c r="I107" s="194">
        <v>6.0</v>
      </c>
      <c r="J107" s="194">
        <v>2026.0</v>
      </c>
      <c r="K107" s="74" t="s">
        <v>51</v>
      </c>
      <c r="L107" s="74" t="s">
        <v>1273</v>
      </c>
      <c r="M107" s="74">
        <v>1.0</v>
      </c>
      <c r="N107" s="74">
        <v>3.0</v>
      </c>
      <c r="O107" s="74"/>
      <c r="P107" s="74">
        <v>6.0</v>
      </c>
      <c r="Q107" s="344">
        <v>46174.0</v>
      </c>
      <c r="R107" s="185">
        <v>1.0</v>
      </c>
      <c r="S107" s="185">
        <v>6.0</v>
      </c>
      <c r="T107" s="194">
        <v>2026.0</v>
      </c>
      <c r="U107" s="74" t="s">
        <v>2</v>
      </c>
      <c r="V107" s="74">
        <v>35.49</v>
      </c>
      <c r="W107" s="344">
        <v>46174.0</v>
      </c>
      <c r="X107" s="194">
        <v>1.0</v>
      </c>
      <c r="Y107" s="194">
        <v>6.0</v>
      </c>
      <c r="Z107" s="194">
        <v>2026.0</v>
      </c>
      <c r="AA107" s="74" t="s">
        <v>2</v>
      </c>
    </row>
    <row r="108" ht="15.75" hidden="1" customHeight="1">
      <c r="A108" s="340" t="s">
        <v>1387</v>
      </c>
      <c r="B108" s="191" t="s">
        <v>1388</v>
      </c>
      <c r="C108" s="343">
        <v>46200.0</v>
      </c>
      <c r="D108" s="194">
        <v>27.0</v>
      </c>
      <c r="E108" s="194">
        <v>6.0</v>
      </c>
      <c r="F108" s="194">
        <v>2026.0</v>
      </c>
      <c r="G108" s="343">
        <v>46205.0</v>
      </c>
      <c r="H108" s="194">
        <v>2.0</v>
      </c>
      <c r="I108" s="194">
        <v>7.0</v>
      </c>
      <c r="J108" s="194">
        <v>2026.0</v>
      </c>
      <c r="K108" s="74" t="s">
        <v>51</v>
      </c>
      <c r="L108" s="74" t="s">
        <v>1177</v>
      </c>
      <c r="M108" s="74">
        <v>1.0</v>
      </c>
      <c r="N108" s="74">
        <v>5.0</v>
      </c>
      <c r="O108" s="74"/>
      <c r="P108" s="74">
        <v>10.0</v>
      </c>
      <c r="Q108" s="344">
        <v>46174.0</v>
      </c>
      <c r="R108" s="185">
        <v>1.0</v>
      </c>
      <c r="S108" s="185">
        <v>6.0</v>
      </c>
      <c r="T108" s="194">
        <v>2026.0</v>
      </c>
      <c r="U108" s="74" t="s">
        <v>2</v>
      </c>
      <c r="V108" s="74">
        <v>147.87</v>
      </c>
      <c r="W108" s="344">
        <v>46174.0</v>
      </c>
      <c r="X108" s="194">
        <v>1.0</v>
      </c>
      <c r="Y108" s="194">
        <v>6.0</v>
      </c>
      <c r="Z108" s="194">
        <v>2026.0</v>
      </c>
      <c r="AA108" s="74" t="s">
        <v>2</v>
      </c>
    </row>
    <row r="109" ht="15.75" hidden="1" customHeight="1">
      <c r="A109" s="340" t="s">
        <v>1389</v>
      </c>
      <c r="B109" s="191" t="s">
        <v>1390</v>
      </c>
      <c r="C109" s="343">
        <v>46197.0</v>
      </c>
      <c r="D109" s="194">
        <v>24.0</v>
      </c>
      <c r="E109" s="194">
        <v>6.0</v>
      </c>
      <c r="F109" s="194">
        <v>2026.0</v>
      </c>
      <c r="G109" s="343">
        <v>46198.0</v>
      </c>
      <c r="H109" s="194">
        <v>25.0</v>
      </c>
      <c r="I109" s="194">
        <v>6.0</v>
      </c>
      <c r="J109" s="194">
        <v>2026.0</v>
      </c>
      <c r="K109" s="74" t="s">
        <v>51</v>
      </c>
      <c r="L109" s="74" t="s">
        <v>1177</v>
      </c>
      <c r="M109" s="74">
        <v>1.0</v>
      </c>
      <c r="N109" s="74">
        <v>1.0</v>
      </c>
      <c r="O109" s="74"/>
      <c r="P109" s="74">
        <v>2.0</v>
      </c>
      <c r="Q109" s="344">
        <v>46174.0</v>
      </c>
      <c r="R109" s="185">
        <v>1.0</v>
      </c>
      <c r="S109" s="185">
        <v>6.0</v>
      </c>
      <c r="T109" s="194">
        <v>2026.0</v>
      </c>
      <c r="U109" s="74" t="s">
        <v>2</v>
      </c>
      <c r="V109" s="74">
        <v>31.67</v>
      </c>
      <c r="W109" s="344">
        <v>46174.0</v>
      </c>
      <c r="X109" s="194">
        <v>1.0</v>
      </c>
      <c r="Y109" s="194">
        <v>6.0</v>
      </c>
      <c r="Z109" s="194">
        <v>2026.0</v>
      </c>
      <c r="AA109" s="74" t="s">
        <v>2</v>
      </c>
    </row>
    <row r="110" ht="15.75" hidden="1" customHeight="1">
      <c r="A110" s="340" t="s">
        <v>1391</v>
      </c>
      <c r="B110" s="191" t="s">
        <v>1392</v>
      </c>
      <c r="C110" s="343">
        <v>46189.0</v>
      </c>
      <c r="D110" s="194">
        <v>16.0</v>
      </c>
      <c r="E110" s="194">
        <v>6.0</v>
      </c>
      <c r="F110" s="194">
        <v>2026.0</v>
      </c>
      <c r="G110" s="343">
        <v>46192.0</v>
      </c>
      <c r="H110" s="194">
        <v>19.0</v>
      </c>
      <c r="I110" s="194">
        <v>6.0</v>
      </c>
      <c r="J110" s="194">
        <v>2026.0</v>
      </c>
      <c r="K110" s="74" t="s">
        <v>51</v>
      </c>
      <c r="L110" s="74" t="s">
        <v>1177</v>
      </c>
      <c r="M110" s="74">
        <v>1.0</v>
      </c>
      <c r="N110" s="74">
        <v>3.0</v>
      </c>
      <c r="O110" s="74"/>
      <c r="P110" s="74">
        <v>6.0</v>
      </c>
      <c r="Q110" s="344">
        <v>46174.0</v>
      </c>
      <c r="R110" s="185">
        <v>1.0</v>
      </c>
      <c r="S110" s="185">
        <v>6.0</v>
      </c>
      <c r="T110" s="194">
        <v>2026.0</v>
      </c>
      <c r="U110" s="74" t="s">
        <v>2</v>
      </c>
      <c r="V110" s="74">
        <v>118.17</v>
      </c>
      <c r="W110" s="344">
        <v>46174.0</v>
      </c>
      <c r="X110" s="194">
        <v>1.0</v>
      </c>
      <c r="Y110" s="194">
        <v>6.0</v>
      </c>
      <c r="Z110" s="194">
        <v>2026.0</v>
      </c>
      <c r="AA110" s="74" t="s">
        <v>2</v>
      </c>
    </row>
    <row r="111" ht="15.75" hidden="1" customHeight="1">
      <c r="A111" s="340" t="s">
        <v>1393</v>
      </c>
      <c r="B111" s="191" t="s">
        <v>1394</v>
      </c>
      <c r="C111" s="343">
        <v>46189.0</v>
      </c>
      <c r="D111" s="194">
        <v>16.0</v>
      </c>
      <c r="E111" s="194">
        <v>6.0</v>
      </c>
      <c r="F111" s="194">
        <v>2026.0</v>
      </c>
      <c r="G111" s="343">
        <v>46198.0</v>
      </c>
      <c r="H111" s="194">
        <v>25.0</v>
      </c>
      <c r="I111" s="194">
        <v>6.0</v>
      </c>
      <c r="J111" s="194">
        <v>2026.0</v>
      </c>
      <c r="K111" s="74" t="s">
        <v>51</v>
      </c>
      <c r="L111" s="74" t="s">
        <v>1177</v>
      </c>
      <c r="M111" s="74">
        <v>1.0</v>
      </c>
      <c r="N111" s="74">
        <v>9.0</v>
      </c>
      <c r="O111" s="74"/>
      <c r="P111" s="74">
        <v>14.0</v>
      </c>
      <c r="Q111" s="344">
        <v>46174.0</v>
      </c>
      <c r="R111" s="185">
        <v>1.0</v>
      </c>
      <c r="S111" s="185">
        <v>6.0</v>
      </c>
      <c r="T111" s="194">
        <v>2026.0</v>
      </c>
      <c r="U111" s="74" t="s">
        <v>2</v>
      </c>
      <c r="V111" s="74">
        <v>294.12</v>
      </c>
      <c r="W111" s="344">
        <v>46174.0</v>
      </c>
      <c r="X111" s="194">
        <v>1.0</v>
      </c>
      <c r="Y111" s="194">
        <v>6.0</v>
      </c>
      <c r="Z111" s="194">
        <v>2026.0</v>
      </c>
      <c r="AA111" s="74" t="s">
        <v>2</v>
      </c>
    </row>
    <row r="112" ht="15.75" hidden="1" customHeight="1">
      <c r="A112" s="340" t="s">
        <v>1395</v>
      </c>
      <c r="B112" s="191" t="s">
        <v>1396</v>
      </c>
      <c r="C112" s="343">
        <v>46176.0</v>
      </c>
      <c r="D112" s="194">
        <v>3.0</v>
      </c>
      <c r="E112" s="194">
        <v>6.0</v>
      </c>
      <c r="F112" s="194">
        <v>2026.0</v>
      </c>
      <c r="G112" s="343">
        <v>46180.0</v>
      </c>
      <c r="H112" s="194">
        <v>7.0</v>
      </c>
      <c r="I112" s="194">
        <v>6.0</v>
      </c>
      <c r="J112" s="194">
        <v>2026.0</v>
      </c>
      <c r="K112" s="74" t="s">
        <v>51</v>
      </c>
      <c r="L112" s="74" t="s">
        <v>1177</v>
      </c>
      <c r="M112" s="74">
        <v>1.0</v>
      </c>
      <c r="N112" s="74">
        <v>4.0</v>
      </c>
      <c r="O112" s="74"/>
      <c r="P112" s="74">
        <v>8.0</v>
      </c>
      <c r="Q112" s="344">
        <v>46174.0</v>
      </c>
      <c r="R112" s="185">
        <v>1.0</v>
      </c>
      <c r="S112" s="185">
        <v>6.0</v>
      </c>
      <c r="T112" s="194">
        <v>2026.0</v>
      </c>
      <c r="U112" s="74" t="s">
        <v>2</v>
      </c>
      <c r="V112" s="74">
        <v>113.23</v>
      </c>
      <c r="W112" s="344">
        <v>46174.0</v>
      </c>
      <c r="X112" s="194">
        <v>1.0</v>
      </c>
      <c r="Y112" s="194">
        <v>6.0</v>
      </c>
      <c r="Z112" s="194">
        <v>2026.0</v>
      </c>
      <c r="AA112" s="74" t="s">
        <v>2</v>
      </c>
    </row>
    <row r="113" ht="15.75" hidden="1" customHeight="1">
      <c r="A113" s="340" t="s">
        <v>1397</v>
      </c>
      <c r="B113" s="191" t="s">
        <v>1398</v>
      </c>
      <c r="C113" s="343">
        <v>46186.0</v>
      </c>
      <c r="D113" s="194">
        <v>13.0</v>
      </c>
      <c r="E113" s="194">
        <v>6.0</v>
      </c>
      <c r="F113" s="194">
        <v>2026.0</v>
      </c>
      <c r="G113" s="343">
        <v>46188.0</v>
      </c>
      <c r="H113" s="194">
        <v>15.0</v>
      </c>
      <c r="I113" s="194">
        <v>6.0</v>
      </c>
      <c r="J113" s="194">
        <v>2026.0</v>
      </c>
      <c r="K113" s="74" t="s">
        <v>51</v>
      </c>
      <c r="L113" s="74" t="s">
        <v>1177</v>
      </c>
      <c r="M113" s="74">
        <v>1.0</v>
      </c>
      <c r="N113" s="74">
        <v>2.0</v>
      </c>
      <c r="O113" s="74"/>
      <c r="P113" s="74">
        <v>4.0</v>
      </c>
      <c r="Q113" s="344">
        <v>46174.0</v>
      </c>
      <c r="R113" s="185">
        <v>1.0</v>
      </c>
      <c r="S113" s="185">
        <v>6.0</v>
      </c>
      <c r="T113" s="194">
        <v>2026.0</v>
      </c>
      <c r="U113" s="74" t="s">
        <v>2</v>
      </c>
      <c r="V113" s="74">
        <v>79.45</v>
      </c>
      <c r="W113" s="344">
        <v>46174.0</v>
      </c>
      <c r="X113" s="194">
        <v>1.0</v>
      </c>
      <c r="Y113" s="194">
        <v>6.0</v>
      </c>
      <c r="Z113" s="194">
        <v>2026.0</v>
      </c>
      <c r="AA113" s="74" t="s">
        <v>2</v>
      </c>
    </row>
    <row r="114" ht="15.75" hidden="1" customHeight="1">
      <c r="A114" s="357" t="s">
        <v>1399</v>
      </c>
      <c r="B114" s="357" t="s">
        <v>1400</v>
      </c>
      <c r="C114" s="358">
        <v>46202.0</v>
      </c>
      <c r="D114" s="359">
        <v>29.0</v>
      </c>
      <c r="E114" s="359">
        <v>6.0</v>
      </c>
      <c r="F114" s="359">
        <v>2026.0</v>
      </c>
      <c r="G114" s="358">
        <v>46204.0</v>
      </c>
      <c r="H114" s="359">
        <v>1.0</v>
      </c>
      <c r="I114" s="359">
        <v>7.0</v>
      </c>
      <c r="J114" s="359">
        <v>2026.0</v>
      </c>
      <c r="K114" s="357" t="s">
        <v>51</v>
      </c>
      <c r="L114" s="357" t="s">
        <v>1177</v>
      </c>
      <c r="M114" s="357">
        <v>2.0</v>
      </c>
      <c r="N114" s="357">
        <v>2.0</v>
      </c>
      <c r="O114" s="357"/>
      <c r="P114" s="357">
        <v>8.0</v>
      </c>
      <c r="Q114" s="358">
        <v>46203.038090277776</v>
      </c>
      <c r="R114" s="360">
        <v>30.0</v>
      </c>
      <c r="S114" s="360">
        <v>6.0</v>
      </c>
      <c r="T114" s="359">
        <v>2026.0</v>
      </c>
      <c r="U114" s="357" t="s">
        <v>245</v>
      </c>
      <c r="V114" s="357">
        <v>152.1</v>
      </c>
      <c r="W114" s="358">
        <v>46234.0</v>
      </c>
      <c r="X114" s="359">
        <v>31.0</v>
      </c>
      <c r="Y114" s="359">
        <v>7.0</v>
      </c>
      <c r="Z114" s="359">
        <v>2026.0</v>
      </c>
      <c r="AA114" s="357" t="s">
        <v>2</v>
      </c>
    </row>
    <row r="115" ht="15.75" hidden="1" customHeight="1">
      <c r="A115" s="189" t="s">
        <v>1401</v>
      </c>
      <c r="B115" s="189" t="s">
        <v>1402</v>
      </c>
      <c r="C115" s="361">
        <v>46202.0</v>
      </c>
      <c r="D115" s="201">
        <v>29.0</v>
      </c>
      <c r="E115" s="201">
        <v>6.0</v>
      </c>
      <c r="F115" s="201">
        <v>2026.0</v>
      </c>
      <c r="G115" s="361">
        <v>46208.0</v>
      </c>
      <c r="H115" s="201">
        <v>5.0</v>
      </c>
      <c r="I115" s="201">
        <v>7.0</v>
      </c>
      <c r="J115" s="201">
        <v>2026.0</v>
      </c>
      <c r="K115" s="189" t="s">
        <v>51</v>
      </c>
      <c r="L115" s="189" t="s">
        <v>1177</v>
      </c>
      <c r="M115" s="189">
        <v>1.0</v>
      </c>
      <c r="N115" s="189">
        <v>6.0</v>
      </c>
      <c r="O115" s="189"/>
      <c r="P115" s="189">
        <v>12.0</v>
      </c>
      <c r="Q115" s="361">
        <v>46234.0</v>
      </c>
      <c r="R115" s="362">
        <v>31.0</v>
      </c>
      <c r="S115" s="362">
        <v>7.0</v>
      </c>
      <c r="T115" s="201">
        <v>2026.0</v>
      </c>
      <c r="U115" s="189" t="s">
        <v>2</v>
      </c>
      <c r="V115" s="189">
        <v>185.9</v>
      </c>
      <c r="W115" s="361">
        <v>46234.0</v>
      </c>
      <c r="X115" s="201">
        <v>31.0</v>
      </c>
      <c r="Y115" s="201">
        <v>7.0</v>
      </c>
      <c r="Z115" s="201">
        <v>2026.0</v>
      </c>
      <c r="AA115" s="189" t="s">
        <v>2</v>
      </c>
    </row>
    <row r="116" ht="15.75" hidden="1" customHeight="1">
      <c r="A116" s="189" t="s">
        <v>1403</v>
      </c>
      <c r="B116" s="189" t="s">
        <v>1404</v>
      </c>
      <c r="C116" s="361">
        <v>46203.0</v>
      </c>
      <c r="D116" s="201">
        <v>30.0</v>
      </c>
      <c r="E116" s="201">
        <v>6.0</v>
      </c>
      <c r="F116" s="201">
        <v>2026.0</v>
      </c>
      <c r="G116" s="361">
        <v>46204.0</v>
      </c>
      <c r="H116" s="201">
        <v>1.0</v>
      </c>
      <c r="I116" s="201">
        <v>7.0</v>
      </c>
      <c r="J116" s="201">
        <v>2026.0</v>
      </c>
      <c r="K116" s="189" t="s">
        <v>51</v>
      </c>
      <c r="L116" s="189" t="s">
        <v>1177</v>
      </c>
      <c r="M116" s="189">
        <v>1.0</v>
      </c>
      <c r="N116" s="189">
        <v>1.0</v>
      </c>
      <c r="O116" s="189"/>
      <c r="P116" s="189">
        <v>2.0</v>
      </c>
      <c r="Q116" s="361">
        <v>46234.0</v>
      </c>
      <c r="R116" s="362">
        <v>31.0</v>
      </c>
      <c r="S116" s="362">
        <v>7.0</v>
      </c>
      <c r="T116" s="201">
        <v>2026.0</v>
      </c>
      <c r="U116" s="189" t="s">
        <v>2</v>
      </c>
      <c r="V116" s="189">
        <v>29.57</v>
      </c>
      <c r="W116" s="361">
        <v>46234.0</v>
      </c>
      <c r="X116" s="201">
        <v>31.0</v>
      </c>
      <c r="Y116" s="201">
        <v>7.0</v>
      </c>
      <c r="Z116" s="201">
        <v>2026.0</v>
      </c>
      <c r="AA116" s="189" t="s">
        <v>2</v>
      </c>
    </row>
    <row r="117" ht="15.75" hidden="1" customHeight="1">
      <c r="A117" s="189" t="s">
        <v>1405</v>
      </c>
      <c r="B117" s="189" t="s">
        <v>1406</v>
      </c>
      <c r="C117" s="361">
        <v>46212.0</v>
      </c>
      <c r="D117" s="201">
        <v>9.0</v>
      </c>
      <c r="E117" s="201">
        <v>7.0</v>
      </c>
      <c r="F117" s="201">
        <v>2026.0</v>
      </c>
      <c r="G117" s="361">
        <v>46214.0</v>
      </c>
      <c r="H117" s="201">
        <v>11.0</v>
      </c>
      <c r="I117" s="201">
        <v>7.0</v>
      </c>
      <c r="J117" s="201">
        <v>2026.0</v>
      </c>
      <c r="K117" s="189" t="s">
        <v>51</v>
      </c>
      <c r="L117" s="189" t="s">
        <v>1177</v>
      </c>
      <c r="M117" s="189">
        <v>1.0</v>
      </c>
      <c r="N117" s="189">
        <v>2.0</v>
      </c>
      <c r="O117" s="189"/>
      <c r="P117" s="189">
        <v>4.0</v>
      </c>
      <c r="Q117" s="361">
        <v>46234.0</v>
      </c>
      <c r="R117" s="362">
        <v>31.0</v>
      </c>
      <c r="S117" s="362">
        <v>7.0</v>
      </c>
      <c r="T117" s="201">
        <v>2026.0</v>
      </c>
      <c r="U117" s="189" t="s">
        <v>2</v>
      </c>
      <c r="V117" s="189">
        <v>59.15</v>
      </c>
      <c r="W117" s="361">
        <v>46234.0</v>
      </c>
      <c r="X117" s="201">
        <v>31.0</v>
      </c>
      <c r="Y117" s="201">
        <v>7.0</v>
      </c>
      <c r="Z117" s="201">
        <v>2026.0</v>
      </c>
      <c r="AA117" s="189" t="s">
        <v>2</v>
      </c>
    </row>
    <row r="118" ht="15.75" hidden="1" customHeight="1">
      <c r="A118" s="189" t="s">
        <v>1407</v>
      </c>
      <c r="B118" s="189" t="s">
        <v>1408</v>
      </c>
      <c r="C118" s="361">
        <v>46231.0</v>
      </c>
      <c r="D118" s="201">
        <v>28.0</v>
      </c>
      <c r="E118" s="201">
        <v>7.0</v>
      </c>
      <c r="F118" s="201">
        <v>2026.0</v>
      </c>
      <c r="G118" s="361">
        <v>46233.0</v>
      </c>
      <c r="H118" s="201">
        <v>30.0</v>
      </c>
      <c r="I118" s="201">
        <v>7.0</v>
      </c>
      <c r="J118" s="201">
        <v>2026.0</v>
      </c>
      <c r="K118" s="189" t="s">
        <v>51</v>
      </c>
      <c r="L118" s="189" t="s">
        <v>1177</v>
      </c>
      <c r="M118" s="189">
        <v>1.0</v>
      </c>
      <c r="N118" s="189">
        <v>2.0</v>
      </c>
      <c r="O118" s="189"/>
      <c r="P118" s="189">
        <v>4.0</v>
      </c>
      <c r="Q118" s="361">
        <v>46234.0</v>
      </c>
      <c r="R118" s="362">
        <v>31.0</v>
      </c>
      <c r="S118" s="362">
        <v>7.0</v>
      </c>
      <c r="T118" s="201">
        <v>2026.0</v>
      </c>
      <c r="U118" s="189" t="s">
        <v>2</v>
      </c>
      <c r="V118" s="189">
        <v>76.05</v>
      </c>
      <c r="W118" s="361">
        <v>46234.0</v>
      </c>
      <c r="X118" s="201">
        <v>31.0</v>
      </c>
      <c r="Y118" s="201">
        <v>7.0</v>
      </c>
      <c r="Z118" s="201">
        <v>2026.0</v>
      </c>
      <c r="AA118" s="189" t="s">
        <v>2</v>
      </c>
    </row>
    <row r="119" ht="15.75" hidden="1" customHeight="1">
      <c r="A119" s="189" t="s">
        <v>1409</v>
      </c>
      <c r="B119" s="189" t="s">
        <v>1410</v>
      </c>
      <c r="C119" s="361">
        <v>46214.0</v>
      </c>
      <c r="D119" s="201">
        <v>11.0</v>
      </c>
      <c r="E119" s="201">
        <v>7.0</v>
      </c>
      <c r="F119" s="201">
        <v>2026.0</v>
      </c>
      <c r="G119" s="361">
        <v>46217.0</v>
      </c>
      <c r="H119" s="201">
        <v>14.0</v>
      </c>
      <c r="I119" s="201">
        <v>7.0</v>
      </c>
      <c r="J119" s="201">
        <v>2026.0</v>
      </c>
      <c r="K119" s="189" t="s">
        <v>51</v>
      </c>
      <c r="L119" s="189" t="s">
        <v>1177</v>
      </c>
      <c r="M119" s="189">
        <v>1.0</v>
      </c>
      <c r="N119" s="189">
        <v>3.0</v>
      </c>
      <c r="O119" s="189"/>
      <c r="P119" s="189">
        <v>6.0</v>
      </c>
      <c r="Q119" s="361">
        <v>46234.0</v>
      </c>
      <c r="R119" s="362">
        <v>31.0</v>
      </c>
      <c r="S119" s="362">
        <v>7.0</v>
      </c>
      <c r="T119" s="201">
        <v>2026.0</v>
      </c>
      <c r="U119" s="189" t="s">
        <v>2</v>
      </c>
      <c r="V119" s="189">
        <v>105.62</v>
      </c>
      <c r="W119" s="361">
        <v>46234.0</v>
      </c>
      <c r="X119" s="201">
        <v>31.0</v>
      </c>
      <c r="Y119" s="201">
        <v>7.0</v>
      </c>
      <c r="Z119" s="201">
        <v>2026.0</v>
      </c>
      <c r="AA119" s="189" t="s">
        <v>2</v>
      </c>
    </row>
    <row r="120" ht="15.75" hidden="1" customHeight="1">
      <c r="A120" s="189" t="s">
        <v>1411</v>
      </c>
      <c r="B120" s="189" t="s">
        <v>1412</v>
      </c>
      <c r="C120" s="361">
        <v>46224.0</v>
      </c>
      <c r="D120" s="201">
        <v>21.0</v>
      </c>
      <c r="E120" s="201">
        <v>7.0</v>
      </c>
      <c r="F120" s="201">
        <v>2026.0</v>
      </c>
      <c r="G120" s="361">
        <v>46227.0</v>
      </c>
      <c r="H120" s="201">
        <v>24.0</v>
      </c>
      <c r="I120" s="201">
        <v>7.0</v>
      </c>
      <c r="J120" s="201">
        <v>2026.0</v>
      </c>
      <c r="K120" s="189" t="s">
        <v>51</v>
      </c>
      <c r="L120" s="189" t="s">
        <v>1177</v>
      </c>
      <c r="M120" s="189">
        <v>1.0</v>
      </c>
      <c r="N120" s="189">
        <v>3.0</v>
      </c>
      <c r="O120" s="189"/>
      <c r="P120" s="189">
        <v>6.0</v>
      </c>
      <c r="Q120" s="361">
        <v>46234.0</v>
      </c>
      <c r="R120" s="362">
        <v>31.0</v>
      </c>
      <c r="S120" s="362">
        <v>7.0</v>
      </c>
      <c r="T120" s="201">
        <v>2026.0</v>
      </c>
      <c r="U120" s="189" t="s">
        <v>2</v>
      </c>
      <c r="V120" s="189">
        <v>139.42</v>
      </c>
      <c r="W120" s="361">
        <v>46234.0</v>
      </c>
      <c r="X120" s="201">
        <v>31.0</v>
      </c>
      <c r="Y120" s="201">
        <v>7.0</v>
      </c>
      <c r="Z120" s="201">
        <v>2026.0</v>
      </c>
      <c r="AA120" s="189" t="s">
        <v>2</v>
      </c>
    </row>
    <row r="121" ht="15.75" hidden="1" customHeight="1">
      <c r="A121" s="189" t="s">
        <v>1413</v>
      </c>
      <c r="B121" s="189" t="s">
        <v>1414</v>
      </c>
      <c r="C121" s="361">
        <v>46205.0</v>
      </c>
      <c r="D121" s="201">
        <v>2.0</v>
      </c>
      <c r="E121" s="201">
        <v>7.0</v>
      </c>
      <c r="F121" s="201">
        <v>2026.0</v>
      </c>
      <c r="G121" s="361">
        <v>46212.0</v>
      </c>
      <c r="H121" s="201">
        <v>9.0</v>
      </c>
      <c r="I121" s="201">
        <v>7.0</v>
      </c>
      <c r="J121" s="201">
        <v>2026.0</v>
      </c>
      <c r="K121" s="189" t="s">
        <v>51</v>
      </c>
      <c r="L121" s="189" t="s">
        <v>1177</v>
      </c>
      <c r="M121" s="189">
        <v>1.0</v>
      </c>
      <c r="N121" s="189">
        <v>7.0</v>
      </c>
      <c r="O121" s="189"/>
      <c r="P121" s="189">
        <v>14.0</v>
      </c>
      <c r="Q121" s="361">
        <v>46234.0</v>
      </c>
      <c r="R121" s="362">
        <v>31.0</v>
      </c>
      <c r="S121" s="362">
        <v>7.0</v>
      </c>
      <c r="T121" s="201">
        <v>2026.0</v>
      </c>
      <c r="U121" s="189" t="s">
        <v>2</v>
      </c>
      <c r="V121" s="189">
        <v>223.92</v>
      </c>
      <c r="W121" s="361">
        <v>46234.0</v>
      </c>
      <c r="X121" s="201">
        <v>31.0</v>
      </c>
      <c r="Y121" s="201">
        <v>7.0</v>
      </c>
      <c r="Z121" s="201">
        <v>2026.0</v>
      </c>
      <c r="AA121" s="189" t="s">
        <v>2</v>
      </c>
    </row>
    <row r="122" ht="15.75" hidden="1" customHeight="1">
      <c r="A122" s="189" t="s">
        <v>1415</v>
      </c>
      <c r="B122" s="189" t="s">
        <v>1416</v>
      </c>
      <c r="C122" s="361">
        <v>46231.0</v>
      </c>
      <c r="D122" s="201">
        <v>28.0</v>
      </c>
      <c r="E122" s="201">
        <v>7.0</v>
      </c>
      <c r="F122" s="201">
        <v>2026.0</v>
      </c>
      <c r="G122" s="361">
        <v>46238.0</v>
      </c>
      <c r="H122" s="201">
        <v>4.0</v>
      </c>
      <c r="I122" s="201">
        <v>8.0</v>
      </c>
      <c r="J122" s="201">
        <v>2026.0</v>
      </c>
      <c r="K122" s="189" t="s">
        <v>51</v>
      </c>
      <c r="L122" s="189" t="s">
        <v>1177</v>
      </c>
      <c r="M122" s="189">
        <v>1.0</v>
      </c>
      <c r="N122" s="189">
        <v>7.0</v>
      </c>
      <c r="O122" s="189"/>
      <c r="P122" s="189">
        <v>14.0</v>
      </c>
      <c r="Q122" s="361">
        <v>46234.0</v>
      </c>
      <c r="R122" s="362">
        <v>31.0</v>
      </c>
      <c r="S122" s="362">
        <v>7.0</v>
      </c>
      <c r="T122" s="201">
        <v>2026.0</v>
      </c>
      <c r="U122" s="189" t="s">
        <v>2</v>
      </c>
      <c r="V122" s="189">
        <v>254.34</v>
      </c>
      <c r="W122" s="361">
        <v>46234.0</v>
      </c>
      <c r="X122" s="201">
        <v>31.0</v>
      </c>
      <c r="Y122" s="201">
        <v>7.0</v>
      </c>
      <c r="Z122" s="201">
        <v>2026.0</v>
      </c>
      <c r="AA122" s="189" t="s">
        <v>2</v>
      </c>
    </row>
    <row r="123" ht="15.75" hidden="1" customHeight="1">
      <c r="A123" s="189" t="s">
        <v>1417</v>
      </c>
      <c r="B123" s="189" t="s">
        <v>1418</v>
      </c>
      <c r="C123" s="361">
        <v>46204.0</v>
      </c>
      <c r="D123" s="201">
        <v>1.0</v>
      </c>
      <c r="E123" s="201">
        <v>7.0</v>
      </c>
      <c r="F123" s="201">
        <v>2026.0</v>
      </c>
      <c r="G123" s="361">
        <v>46206.0</v>
      </c>
      <c r="H123" s="201">
        <v>3.0</v>
      </c>
      <c r="I123" s="201">
        <v>7.0</v>
      </c>
      <c r="J123" s="201">
        <v>2026.0</v>
      </c>
      <c r="K123" s="189" t="s">
        <v>51</v>
      </c>
      <c r="L123" s="189" t="s">
        <v>1177</v>
      </c>
      <c r="M123" s="189">
        <v>1.0</v>
      </c>
      <c r="N123" s="189">
        <v>2.0</v>
      </c>
      <c r="O123" s="189"/>
      <c r="P123" s="189">
        <v>4.0</v>
      </c>
      <c r="Q123" s="361">
        <v>46234.0</v>
      </c>
      <c r="R123" s="362">
        <v>31.0</v>
      </c>
      <c r="S123" s="362">
        <v>7.0</v>
      </c>
      <c r="T123" s="201">
        <v>2026.0</v>
      </c>
      <c r="U123" s="189" t="s">
        <v>2</v>
      </c>
      <c r="V123" s="189">
        <v>59.15</v>
      </c>
      <c r="W123" s="361">
        <v>46234.0</v>
      </c>
      <c r="X123" s="201">
        <v>31.0</v>
      </c>
      <c r="Y123" s="201">
        <v>7.0</v>
      </c>
      <c r="Z123" s="201">
        <v>2026.0</v>
      </c>
      <c r="AA123" s="189" t="s">
        <v>2</v>
      </c>
    </row>
    <row r="124" ht="15.75" hidden="1" customHeight="1">
      <c r="A124" s="189" t="s">
        <v>1419</v>
      </c>
      <c r="B124" s="189" t="s">
        <v>1420</v>
      </c>
      <c r="C124" s="361">
        <v>46232.0</v>
      </c>
      <c r="D124" s="201">
        <v>29.0</v>
      </c>
      <c r="E124" s="201">
        <v>7.0</v>
      </c>
      <c r="F124" s="201">
        <v>2026.0</v>
      </c>
      <c r="G124" s="361">
        <v>46234.0</v>
      </c>
      <c r="H124" s="201">
        <v>31.0</v>
      </c>
      <c r="I124" s="201">
        <v>7.0</v>
      </c>
      <c r="J124" s="201">
        <v>2026.0</v>
      </c>
      <c r="K124" s="189" t="s">
        <v>51</v>
      </c>
      <c r="L124" s="189" t="s">
        <v>1177</v>
      </c>
      <c r="M124" s="189">
        <v>1.0</v>
      </c>
      <c r="N124" s="189">
        <v>2.0</v>
      </c>
      <c r="O124" s="189"/>
      <c r="P124" s="189">
        <v>4.0</v>
      </c>
      <c r="Q124" s="361">
        <v>46234.0</v>
      </c>
      <c r="R124" s="362">
        <v>31.0</v>
      </c>
      <c r="S124" s="362">
        <v>7.0</v>
      </c>
      <c r="T124" s="201">
        <v>2026.0</v>
      </c>
      <c r="U124" s="189" t="s">
        <v>2</v>
      </c>
      <c r="V124" s="189">
        <v>59.15</v>
      </c>
      <c r="W124" s="361">
        <v>46234.0</v>
      </c>
      <c r="X124" s="201">
        <v>31.0</v>
      </c>
      <c r="Y124" s="201">
        <v>7.0</v>
      </c>
      <c r="Z124" s="201">
        <v>2026.0</v>
      </c>
      <c r="AA124" s="189" t="s">
        <v>2</v>
      </c>
    </row>
    <row r="125" ht="15.75" hidden="1" customHeight="1">
      <c r="A125" s="189" t="s">
        <v>1421</v>
      </c>
      <c r="B125" s="189" t="s">
        <v>1422</v>
      </c>
      <c r="C125" s="361">
        <v>46204.0</v>
      </c>
      <c r="D125" s="201">
        <v>1.0</v>
      </c>
      <c r="E125" s="201">
        <v>7.0</v>
      </c>
      <c r="F125" s="201">
        <v>2026.0</v>
      </c>
      <c r="G125" s="361">
        <v>46205.0</v>
      </c>
      <c r="H125" s="201">
        <v>2.0</v>
      </c>
      <c r="I125" s="201">
        <v>7.0</v>
      </c>
      <c r="J125" s="201">
        <v>2026.0</v>
      </c>
      <c r="K125" s="189" t="s">
        <v>51</v>
      </c>
      <c r="L125" s="189" t="s">
        <v>1177</v>
      </c>
      <c r="M125" s="189">
        <v>1.0</v>
      </c>
      <c r="N125" s="189">
        <v>1.0</v>
      </c>
      <c r="O125" s="189"/>
      <c r="P125" s="189">
        <v>2.0</v>
      </c>
      <c r="Q125" s="361">
        <v>46234.0</v>
      </c>
      <c r="R125" s="362">
        <v>31.0</v>
      </c>
      <c r="S125" s="362">
        <v>7.0</v>
      </c>
      <c r="T125" s="201">
        <v>2026.0</v>
      </c>
      <c r="U125" s="189" t="s">
        <v>2</v>
      </c>
      <c r="V125" s="189">
        <v>38.02</v>
      </c>
      <c r="W125" s="361">
        <v>46234.0</v>
      </c>
      <c r="X125" s="201">
        <v>31.0</v>
      </c>
      <c r="Y125" s="201">
        <v>7.0</v>
      </c>
      <c r="Z125" s="201">
        <v>2026.0</v>
      </c>
      <c r="AA125" s="189" t="s">
        <v>2</v>
      </c>
    </row>
    <row r="126" ht="15.75" hidden="1" customHeight="1">
      <c r="A126" s="189" t="s">
        <v>1423</v>
      </c>
      <c r="B126" s="189" t="s">
        <v>1424</v>
      </c>
      <c r="C126" s="361">
        <v>46224.0</v>
      </c>
      <c r="D126" s="201">
        <v>21.0</v>
      </c>
      <c r="E126" s="201">
        <v>7.0</v>
      </c>
      <c r="F126" s="201">
        <v>2026.0</v>
      </c>
      <c r="G126" s="361">
        <v>46226.0</v>
      </c>
      <c r="H126" s="201">
        <v>23.0</v>
      </c>
      <c r="I126" s="201">
        <v>7.0</v>
      </c>
      <c r="J126" s="201">
        <v>2026.0</v>
      </c>
      <c r="K126" s="189" t="s">
        <v>51</v>
      </c>
      <c r="L126" s="189" t="s">
        <v>1177</v>
      </c>
      <c r="M126" s="189">
        <v>1.0</v>
      </c>
      <c r="N126" s="189">
        <v>2.0</v>
      </c>
      <c r="O126" s="189"/>
      <c r="P126" s="189">
        <v>4.0</v>
      </c>
      <c r="Q126" s="361">
        <v>46234.0</v>
      </c>
      <c r="R126" s="362">
        <v>31.0</v>
      </c>
      <c r="S126" s="362">
        <v>7.0</v>
      </c>
      <c r="T126" s="201">
        <v>2026.0</v>
      </c>
      <c r="U126" s="189" t="s">
        <v>2</v>
      </c>
      <c r="V126" s="189">
        <v>56.61</v>
      </c>
      <c r="W126" s="361">
        <v>46234.0</v>
      </c>
      <c r="X126" s="201">
        <v>31.0</v>
      </c>
      <c r="Y126" s="201">
        <v>7.0</v>
      </c>
      <c r="Z126" s="201">
        <v>2026.0</v>
      </c>
      <c r="AA126" s="189" t="s">
        <v>2</v>
      </c>
    </row>
    <row r="127" ht="15.75" hidden="1" customHeight="1">
      <c r="A127" s="189" t="s">
        <v>1425</v>
      </c>
      <c r="B127" s="189" t="s">
        <v>1426</v>
      </c>
      <c r="C127" s="361">
        <v>46227.0</v>
      </c>
      <c r="D127" s="201">
        <v>24.0</v>
      </c>
      <c r="E127" s="201">
        <v>7.0</v>
      </c>
      <c r="F127" s="201">
        <v>2026.0</v>
      </c>
      <c r="G127" s="361">
        <v>46231.0</v>
      </c>
      <c r="H127" s="201">
        <v>28.0</v>
      </c>
      <c r="I127" s="201">
        <v>7.0</v>
      </c>
      <c r="J127" s="201">
        <v>2026.0</v>
      </c>
      <c r="K127" s="189" t="s">
        <v>51</v>
      </c>
      <c r="L127" s="189" t="s">
        <v>1177</v>
      </c>
      <c r="M127" s="189">
        <v>2.0</v>
      </c>
      <c r="N127" s="189">
        <v>4.0</v>
      </c>
      <c r="O127" s="189"/>
      <c r="P127" s="189">
        <v>14.0</v>
      </c>
      <c r="Q127" s="361">
        <v>46234.0</v>
      </c>
      <c r="R127" s="362">
        <v>31.0</v>
      </c>
      <c r="S127" s="362">
        <v>7.0</v>
      </c>
      <c r="T127" s="201">
        <v>2026.0</v>
      </c>
      <c r="U127" s="189" t="s">
        <v>2</v>
      </c>
      <c r="V127" s="189">
        <v>238.6</v>
      </c>
      <c r="W127" s="361">
        <v>46234.0</v>
      </c>
      <c r="X127" s="201">
        <v>31.0</v>
      </c>
      <c r="Y127" s="201">
        <v>7.0</v>
      </c>
      <c r="Z127" s="201">
        <v>2026.0</v>
      </c>
      <c r="AA127" s="189" t="s">
        <v>2</v>
      </c>
    </row>
    <row r="128" ht="15.75" hidden="1" customHeight="1">
      <c r="A128" s="189" t="s">
        <v>1427</v>
      </c>
      <c r="B128" s="189" t="s">
        <v>1428</v>
      </c>
      <c r="C128" s="361">
        <v>46210.0</v>
      </c>
      <c r="D128" s="201">
        <v>7.0</v>
      </c>
      <c r="E128" s="201">
        <v>7.0</v>
      </c>
      <c r="F128" s="201">
        <v>2026.0</v>
      </c>
      <c r="G128" s="361">
        <v>46212.0</v>
      </c>
      <c r="H128" s="201">
        <v>9.0</v>
      </c>
      <c r="I128" s="201">
        <v>7.0</v>
      </c>
      <c r="J128" s="201">
        <v>2026.0</v>
      </c>
      <c r="K128" s="189" t="s">
        <v>51</v>
      </c>
      <c r="L128" s="189" t="s">
        <v>1177</v>
      </c>
      <c r="M128" s="189">
        <v>1.0</v>
      </c>
      <c r="N128" s="189">
        <v>2.0</v>
      </c>
      <c r="O128" s="189"/>
      <c r="P128" s="189">
        <v>4.0</v>
      </c>
      <c r="Q128" s="361">
        <v>46234.0</v>
      </c>
      <c r="R128" s="362">
        <v>31.0</v>
      </c>
      <c r="S128" s="362">
        <v>7.0</v>
      </c>
      <c r="T128" s="201">
        <v>2026.0</v>
      </c>
      <c r="U128" s="189" t="s">
        <v>2</v>
      </c>
      <c r="V128" s="189">
        <v>59.15</v>
      </c>
      <c r="W128" s="361">
        <v>46234.0</v>
      </c>
      <c r="X128" s="201">
        <v>31.0</v>
      </c>
      <c r="Y128" s="201">
        <v>7.0</v>
      </c>
      <c r="Z128" s="201">
        <v>2026.0</v>
      </c>
      <c r="AA128" s="189" t="s">
        <v>2</v>
      </c>
    </row>
    <row r="129" ht="15.75" hidden="1" customHeight="1">
      <c r="A129" s="189" t="s">
        <v>1429</v>
      </c>
      <c r="B129" s="189" t="s">
        <v>1430</v>
      </c>
      <c r="C129" s="361">
        <v>46222.0</v>
      </c>
      <c r="D129" s="201">
        <v>19.0</v>
      </c>
      <c r="E129" s="201">
        <v>7.0</v>
      </c>
      <c r="F129" s="201">
        <v>2026.0</v>
      </c>
      <c r="G129" s="361">
        <v>46241.0</v>
      </c>
      <c r="H129" s="201">
        <v>7.0</v>
      </c>
      <c r="I129" s="201">
        <v>8.0</v>
      </c>
      <c r="J129" s="201">
        <v>2026.0</v>
      </c>
      <c r="K129" s="189" t="s">
        <v>51</v>
      </c>
      <c r="L129" s="189" t="s">
        <v>1177</v>
      </c>
      <c r="M129" s="189">
        <v>1.0</v>
      </c>
      <c r="N129" s="189">
        <v>19.0</v>
      </c>
      <c r="O129" s="189"/>
      <c r="P129" s="189">
        <v>14.0</v>
      </c>
      <c r="Q129" s="361">
        <v>46234.0</v>
      </c>
      <c r="R129" s="362">
        <v>31.0</v>
      </c>
      <c r="S129" s="362">
        <v>7.0</v>
      </c>
      <c r="T129" s="201">
        <v>2026.0</v>
      </c>
      <c r="U129" s="189" t="s">
        <v>2</v>
      </c>
      <c r="V129" s="189">
        <v>680.22</v>
      </c>
      <c r="W129" s="361">
        <v>46234.0</v>
      </c>
      <c r="X129" s="201">
        <v>31.0</v>
      </c>
      <c r="Y129" s="201">
        <v>7.0</v>
      </c>
      <c r="Z129" s="201">
        <v>2026.0</v>
      </c>
      <c r="AA129" s="189" t="s">
        <v>2</v>
      </c>
    </row>
    <row r="130" ht="15.75" hidden="1" customHeight="1">
      <c r="A130" s="189" t="s">
        <v>1431</v>
      </c>
      <c r="B130" s="189" t="s">
        <v>1432</v>
      </c>
      <c r="C130" s="361">
        <v>46223.0</v>
      </c>
      <c r="D130" s="201">
        <v>20.0</v>
      </c>
      <c r="E130" s="201">
        <v>7.0</v>
      </c>
      <c r="F130" s="201">
        <v>2026.0</v>
      </c>
      <c r="G130" s="361">
        <v>46225.0</v>
      </c>
      <c r="H130" s="201">
        <v>22.0</v>
      </c>
      <c r="I130" s="201">
        <v>7.0</v>
      </c>
      <c r="J130" s="201">
        <v>2026.0</v>
      </c>
      <c r="K130" s="189" t="s">
        <v>51</v>
      </c>
      <c r="L130" s="189" t="s">
        <v>1177</v>
      </c>
      <c r="M130" s="189">
        <v>3.0</v>
      </c>
      <c r="N130" s="189">
        <v>2.0</v>
      </c>
      <c r="O130" s="189"/>
      <c r="P130" s="189">
        <v>12.0</v>
      </c>
      <c r="Q130" s="361">
        <v>46234.0</v>
      </c>
      <c r="R130" s="362">
        <v>31.0</v>
      </c>
      <c r="S130" s="362">
        <v>7.0</v>
      </c>
      <c r="T130" s="201">
        <v>2026.0</v>
      </c>
      <c r="U130" s="189" t="s">
        <v>2</v>
      </c>
      <c r="V130" s="189">
        <v>162.24</v>
      </c>
      <c r="W130" s="361">
        <v>46234.0</v>
      </c>
      <c r="X130" s="201">
        <v>31.0</v>
      </c>
      <c r="Y130" s="201">
        <v>7.0</v>
      </c>
      <c r="Z130" s="201">
        <v>2026.0</v>
      </c>
      <c r="AA130" s="189" t="s">
        <v>2</v>
      </c>
    </row>
    <row r="131" ht="15.75" hidden="1" customHeight="1">
      <c r="A131" s="189" t="s">
        <v>1433</v>
      </c>
      <c r="B131" s="189" t="s">
        <v>1434</v>
      </c>
      <c r="C131" s="361">
        <v>46231.0</v>
      </c>
      <c r="D131" s="201">
        <v>28.0</v>
      </c>
      <c r="E131" s="201">
        <v>7.0</v>
      </c>
      <c r="F131" s="201">
        <v>2026.0</v>
      </c>
      <c r="G131" s="361">
        <v>46233.0</v>
      </c>
      <c r="H131" s="201">
        <v>30.0</v>
      </c>
      <c r="I131" s="201">
        <v>7.0</v>
      </c>
      <c r="J131" s="201">
        <v>2026.0</v>
      </c>
      <c r="K131" s="189" t="s">
        <v>51</v>
      </c>
      <c r="L131" s="189" t="s">
        <v>1177</v>
      </c>
      <c r="M131" s="189">
        <v>1.0</v>
      </c>
      <c r="N131" s="189">
        <v>2.0</v>
      </c>
      <c r="O131" s="189"/>
      <c r="P131" s="189">
        <v>4.0</v>
      </c>
      <c r="Q131" s="361">
        <v>46234.0</v>
      </c>
      <c r="R131" s="362">
        <v>31.0</v>
      </c>
      <c r="S131" s="362">
        <v>7.0</v>
      </c>
      <c r="T131" s="201">
        <v>2026.0</v>
      </c>
      <c r="U131" s="189" t="s">
        <v>2</v>
      </c>
      <c r="V131" s="189">
        <v>59.15</v>
      </c>
      <c r="W131" s="361">
        <v>46234.0</v>
      </c>
      <c r="X131" s="201">
        <v>31.0</v>
      </c>
      <c r="Y131" s="201">
        <v>7.0</v>
      </c>
      <c r="Z131" s="201">
        <v>2026.0</v>
      </c>
      <c r="AA131" s="189" t="s">
        <v>2</v>
      </c>
    </row>
    <row r="132" ht="15.75" hidden="1" customHeight="1">
      <c r="A132" s="189" t="s">
        <v>1435</v>
      </c>
      <c r="B132" s="189" t="s">
        <v>1436</v>
      </c>
      <c r="C132" s="361">
        <v>46207.0</v>
      </c>
      <c r="D132" s="201">
        <v>4.0</v>
      </c>
      <c r="E132" s="201">
        <v>7.0</v>
      </c>
      <c r="F132" s="201">
        <v>2026.0</v>
      </c>
      <c r="G132" s="361">
        <v>46208.0</v>
      </c>
      <c r="H132" s="201">
        <v>5.0</v>
      </c>
      <c r="I132" s="201">
        <v>7.0</v>
      </c>
      <c r="J132" s="201">
        <v>2026.0</v>
      </c>
      <c r="K132" s="189" t="s">
        <v>51</v>
      </c>
      <c r="L132" s="189" t="s">
        <v>1177</v>
      </c>
      <c r="M132" s="189">
        <v>6.0</v>
      </c>
      <c r="N132" s="189">
        <v>1.0</v>
      </c>
      <c r="O132" s="189"/>
      <c r="P132" s="189">
        <v>12.0</v>
      </c>
      <c r="Q132" s="361">
        <v>46234.0</v>
      </c>
      <c r="R132" s="362">
        <v>31.0</v>
      </c>
      <c r="S132" s="362">
        <v>7.0</v>
      </c>
      <c r="T132" s="201">
        <v>2026.0</v>
      </c>
      <c r="U132" s="189" t="s">
        <v>2</v>
      </c>
      <c r="V132" s="189">
        <v>380.25</v>
      </c>
      <c r="W132" s="361">
        <v>46234.0</v>
      </c>
      <c r="X132" s="201">
        <v>31.0</v>
      </c>
      <c r="Y132" s="201">
        <v>7.0</v>
      </c>
      <c r="Z132" s="201">
        <v>2026.0</v>
      </c>
      <c r="AA132" s="189" t="s">
        <v>2</v>
      </c>
    </row>
    <row r="133" ht="15.75" hidden="1" customHeight="1">
      <c r="A133" s="189" t="s">
        <v>1437</v>
      </c>
      <c r="B133" s="189" t="s">
        <v>1438</v>
      </c>
      <c r="C133" s="361">
        <v>46210.0</v>
      </c>
      <c r="D133" s="201">
        <v>7.0</v>
      </c>
      <c r="E133" s="201">
        <v>7.0</v>
      </c>
      <c r="F133" s="201">
        <v>2026.0</v>
      </c>
      <c r="G133" s="361">
        <v>46211.0</v>
      </c>
      <c r="H133" s="201">
        <v>8.0</v>
      </c>
      <c r="I133" s="201">
        <v>7.0</v>
      </c>
      <c r="J133" s="201">
        <v>2026.0</v>
      </c>
      <c r="K133" s="189" t="s">
        <v>51</v>
      </c>
      <c r="L133" s="189" t="s">
        <v>1439</v>
      </c>
      <c r="M133" s="189">
        <v>1.0</v>
      </c>
      <c r="N133" s="189">
        <v>1.0</v>
      </c>
      <c r="O133" s="189"/>
      <c r="P133" s="189">
        <v>2.0</v>
      </c>
      <c r="Q133" s="361">
        <v>46234.0</v>
      </c>
      <c r="R133" s="362">
        <v>31.0</v>
      </c>
      <c r="S133" s="362">
        <v>7.0</v>
      </c>
      <c r="T133" s="201">
        <v>2026.0</v>
      </c>
      <c r="U133" s="189" t="s">
        <v>2</v>
      </c>
      <c r="V133" s="189">
        <v>46.47</v>
      </c>
      <c r="W133" s="361">
        <v>46234.0</v>
      </c>
      <c r="X133" s="201">
        <v>31.0</v>
      </c>
      <c r="Y133" s="201">
        <v>7.0</v>
      </c>
      <c r="Z133" s="201">
        <v>2026.0</v>
      </c>
      <c r="AA133" s="189" t="s">
        <v>2</v>
      </c>
    </row>
    <row r="134" ht="15.75" hidden="1" customHeight="1">
      <c r="A134" s="189" t="s">
        <v>1440</v>
      </c>
      <c r="B134" s="189" t="s">
        <v>1441</v>
      </c>
      <c r="C134" s="361">
        <v>46226.0</v>
      </c>
      <c r="D134" s="201">
        <v>23.0</v>
      </c>
      <c r="E134" s="201">
        <v>7.0</v>
      </c>
      <c r="F134" s="201">
        <v>2026.0</v>
      </c>
      <c r="G134" s="361">
        <v>46228.0</v>
      </c>
      <c r="H134" s="201">
        <v>25.0</v>
      </c>
      <c r="I134" s="201">
        <v>7.0</v>
      </c>
      <c r="J134" s="201">
        <v>2026.0</v>
      </c>
      <c r="K134" s="189" t="s">
        <v>51</v>
      </c>
      <c r="L134" s="189" t="s">
        <v>1177</v>
      </c>
      <c r="M134" s="189">
        <v>1.0</v>
      </c>
      <c r="N134" s="189">
        <v>2.0</v>
      </c>
      <c r="O134" s="189"/>
      <c r="P134" s="189">
        <v>4.0</v>
      </c>
      <c r="Q134" s="361">
        <v>46234.0</v>
      </c>
      <c r="R134" s="362">
        <v>31.0</v>
      </c>
      <c r="S134" s="362">
        <v>7.0</v>
      </c>
      <c r="T134" s="201">
        <v>2026.0</v>
      </c>
      <c r="U134" s="189" t="s">
        <v>2</v>
      </c>
      <c r="V134" s="189">
        <v>92.95</v>
      </c>
      <c r="W134" s="361">
        <v>46234.0</v>
      </c>
      <c r="X134" s="201">
        <v>31.0</v>
      </c>
      <c r="Y134" s="201">
        <v>7.0</v>
      </c>
      <c r="Z134" s="201">
        <v>2026.0</v>
      </c>
      <c r="AA134" s="189" t="s">
        <v>2</v>
      </c>
    </row>
    <row r="135" ht="15.75" hidden="1" customHeight="1">
      <c r="A135" s="189" t="s">
        <v>1442</v>
      </c>
      <c r="B135" s="189" t="s">
        <v>1443</v>
      </c>
      <c r="C135" s="361">
        <v>46205.0</v>
      </c>
      <c r="D135" s="201">
        <v>2.0</v>
      </c>
      <c r="E135" s="201">
        <v>7.0</v>
      </c>
      <c r="F135" s="201">
        <v>2026.0</v>
      </c>
      <c r="G135" s="361">
        <v>46207.0</v>
      </c>
      <c r="H135" s="201">
        <v>4.0</v>
      </c>
      <c r="I135" s="201">
        <v>7.0</v>
      </c>
      <c r="J135" s="201">
        <v>2026.0</v>
      </c>
      <c r="K135" s="189" t="s">
        <v>51</v>
      </c>
      <c r="L135" s="189" t="s">
        <v>1177</v>
      </c>
      <c r="M135" s="189">
        <v>2.0</v>
      </c>
      <c r="N135" s="189">
        <v>2.0</v>
      </c>
      <c r="O135" s="189"/>
      <c r="P135" s="189">
        <v>8.0</v>
      </c>
      <c r="Q135" s="361">
        <v>46234.0</v>
      </c>
      <c r="R135" s="362">
        <v>31.0</v>
      </c>
      <c r="S135" s="362">
        <v>7.0</v>
      </c>
      <c r="T135" s="201">
        <v>2026.0</v>
      </c>
      <c r="U135" s="189" t="s">
        <v>2</v>
      </c>
      <c r="V135" s="189">
        <v>118.3</v>
      </c>
      <c r="W135" s="361">
        <v>46234.0</v>
      </c>
      <c r="X135" s="201">
        <v>31.0</v>
      </c>
      <c r="Y135" s="201">
        <v>7.0</v>
      </c>
      <c r="Z135" s="201">
        <v>2026.0</v>
      </c>
      <c r="AA135" s="189" t="s">
        <v>2</v>
      </c>
    </row>
    <row r="136" ht="15.75" hidden="1" customHeight="1">
      <c r="A136" s="189" t="s">
        <v>1444</v>
      </c>
      <c r="B136" s="189" t="s">
        <v>1445</v>
      </c>
      <c r="C136" s="361">
        <v>46209.0</v>
      </c>
      <c r="D136" s="201">
        <v>6.0</v>
      </c>
      <c r="E136" s="201">
        <v>7.0</v>
      </c>
      <c r="F136" s="201">
        <v>2026.0</v>
      </c>
      <c r="G136" s="361">
        <v>46211.0</v>
      </c>
      <c r="H136" s="201">
        <v>8.0</v>
      </c>
      <c r="I136" s="201">
        <v>7.0</v>
      </c>
      <c r="J136" s="201">
        <v>2026.0</v>
      </c>
      <c r="K136" s="189" t="s">
        <v>51</v>
      </c>
      <c r="L136" s="189" t="s">
        <v>1177</v>
      </c>
      <c r="M136" s="189">
        <v>1.0</v>
      </c>
      <c r="N136" s="189">
        <v>2.0</v>
      </c>
      <c r="O136" s="189"/>
      <c r="P136" s="189">
        <v>4.0</v>
      </c>
      <c r="Q136" s="361">
        <v>46234.0</v>
      </c>
      <c r="R136" s="362">
        <v>31.0</v>
      </c>
      <c r="S136" s="362">
        <v>7.0</v>
      </c>
      <c r="T136" s="201">
        <v>2026.0</v>
      </c>
      <c r="U136" s="189" t="s">
        <v>2</v>
      </c>
      <c r="V136" s="189">
        <v>59.15</v>
      </c>
      <c r="W136" s="361">
        <v>46234.0</v>
      </c>
      <c r="X136" s="201">
        <v>31.0</v>
      </c>
      <c r="Y136" s="201">
        <v>7.0</v>
      </c>
      <c r="Z136" s="201">
        <v>2026.0</v>
      </c>
      <c r="AA136" s="189" t="s">
        <v>2</v>
      </c>
    </row>
    <row r="137" ht="15.75" hidden="1" customHeight="1">
      <c r="A137" s="189" t="s">
        <v>1446</v>
      </c>
      <c r="B137" s="189" t="s">
        <v>1447</v>
      </c>
      <c r="C137" s="361">
        <v>46225.0</v>
      </c>
      <c r="D137" s="201">
        <v>22.0</v>
      </c>
      <c r="E137" s="201">
        <v>7.0</v>
      </c>
      <c r="F137" s="201">
        <v>2026.0</v>
      </c>
      <c r="G137" s="361">
        <v>46226.0</v>
      </c>
      <c r="H137" s="201">
        <v>23.0</v>
      </c>
      <c r="I137" s="201">
        <v>7.0</v>
      </c>
      <c r="J137" s="201">
        <v>2026.0</v>
      </c>
      <c r="K137" s="189" t="s">
        <v>51</v>
      </c>
      <c r="L137" s="189" t="s">
        <v>1177</v>
      </c>
      <c r="M137" s="189">
        <v>4.0</v>
      </c>
      <c r="N137" s="189">
        <v>1.0</v>
      </c>
      <c r="O137" s="189"/>
      <c r="P137" s="189">
        <v>8.0</v>
      </c>
      <c r="Q137" s="361">
        <v>46234.0</v>
      </c>
      <c r="R137" s="362">
        <v>31.0</v>
      </c>
      <c r="S137" s="362">
        <v>7.0</v>
      </c>
      <c r="T137" s="201">
        <v>2026.0</v>
      </c>
      <c r="U137" s="189" t="s">
        <v>2</v>
      </c>
      <c r="V137" s="189">
        <v>152.1</v>
      </c>
      <c r="W137" s="361">
        <v>46234.0</v>
      </c>
      <c r="X137" s="201">
        <v>31.0</v>
      </c>
      <c r="Y137" s="201">
        <v>7.0</v>
      </c>
      <c r="Z137" s="201">
        <v>2026.0</v>
      </c>
      <c r="AA137" s="189" t="s">
        <v>2</v>
      </c>
    </row>
    <row r="138" ht="15.75" hidden="1" customHeight="1">
      <c r="A138" s="189" t="s">
        <v>1448</v>
      </c>
      <c r="B138" s="189" t="s">
        <v>1449</v>
      </c>
      <c r="C138" s="361">
        <v>46229.0</v>
      </c>
      <c r="D138" s="201">
        <v>26.0</v>
      </c>
      <c r="E138" s="201">
        <v>7.0</v>
      </c>
      <c r="F138" s="201">
        <v>2026.0</v>
      </c>
      <c r="G138" s="361">
        <v>46232.0</v>
      </c>
      <c r="H138" s="201">
        <v>29.0</v>
      </c>
      <c r="I138" s="201">
        <v>7.0</v>
      </c>
      <c r="J138" s="201">
        <v>2026.0</v>
      </c>
      <c r="K138" s="189" t="s">
        <v>51</v>
      </c>
      <c r="L138" s="189" t="s">
        <v>1177</v>
      </c>
      <c r="M138" s="189">
        <v>1.0</v>
      </c>
      <c r="N138" s="189">
        <v>3.0</v>
      </c>
      <c r="O138" s="189"/>
      <c r="P138" s="189">
        <v>6.0</v>
      </c>
      <c r="Q138" s="361">
        <v>46234.0</v>
      </c>
      <c r="R138" s="362">
        <v>31.0</v>
      </c>
      <c r="S138" s="362">
        <v>7.0</v>
      </c>
      <c r="T138" s="201">
        <v>2026.0</v>
      </c>
      <c r="U138" s="189" t="s">
        <v>2</v>
      </c>
      <c r="V138" s="189">
        <v>88.73</v>
      </c>
      <c r="W138" s="361">
        <v>46234.0</v>
      </c>
      <c r="X138" s="201">
        <v>31.0</v>
      </c>
      <c r="Y138" s="201">
        <v>7.0</v>
      </c>
      <c r="Z138" s="201">
        <v>2026.0</v>
      </c>
      <c r="AA138" s="189" t="s">
        <v>2</v>
      </c>
    </row>
    <row r="139" ht="15.75" hidden="1" customHeight="1">
      <c r="A139" s="189" t="s">
        <v>1450</v>
      </c>
      <c r="B139" s="189" t="s">
        <v>1451</v>
      </c>
      <c r="C139" s="361">
        <v>46228.0</v>
      </c>
      <c r="D139" s="201">
        <v>25.0</v>
      </c>
      <c r="E139" s="201">
        <v>7.0</v>
      </c>
      <c r="F139" s="201">
        <v>2026.0</v>
      </c>
      <c r="G139" s="361">
        <v>46229.0</v>
      </c>
      <c r="H139" s="201">
        <v>26.0</v>
      </c>
      <c r="I139" s="201">
        <v>7.0</v>
      </c>
      <c r="J139" s="201">
        <v>2026.0</v>
      </c>
      <c r="K139" s="189" t="s">
        <v>51</v>
      </c>
      <c r="L139" s="189" t="s">
        <v>1177</v>
      </c>
      <c r="M139" s="189">
        <v>1.0</v>
      </c>
      <c r="N139" s="189">
        <v>1.0</v>
      </c>
      <c r="O139" s="189"/>
      <c r="P139" s="189">
        <v>2.0</v>
      </c>
      <c r="Q139" s="361">
        <v>46234.0</v>
      </c>
      <c r="R139" s="362">
        <v>31.0</v>
      </c>
      <c r="S139" s="362">
        <v>7.0</v>
      </c>
      <c r="T139" s="201">
        <v>2026.0</v>
      </c>
      <c r="U139" s="189" t="s">
        <v>2</v>
      </c>
      <c r="V139" s="189">
        <v>46.47</v>
      </c>
      <c r="W139" s="361">
        <v>46234.0</v>
      </c>
      <c r="X139" s="201">
        <v>31.0</v>
      </c>
      <c r="Y139" s="201">
        <v>7.0</v>
      </c>
      <c r="Z139" s="201">
        <v>2026.0</v>
      </c>
      <c r="AA139" s="189" t="s">
        <v>2</v>
      </c>
    </row>
    <row r="140" ht="15.75" hidden="1" customHeight="1">
      <c r="A140" s="189" t="s">
        <v>1452</v>
      </c>
      <c r="B140" s="189" t="s">
        <v>1453</v>
      </c>
      <c r="C140" s="361">
        <v>46223.0</v>
      </c>
      <c r="D140" s="201">
        <v>20.0</v>
      </c>
      <c r="E140" s="201">
        <v>7.0</v>
      </c>
      <c r="F140" s="201">
        <v>2026.0</v>
      </c>
      <c r="G140" s="361">
        <v>46224.0</v>
      </c>
      <c r="H140" s="201">
        <v>21.0</v>
      </c>
      <c r="I140" s="201">
        <v>7.0</v>
      </c>
      <c r="J140" s="201">
        <v>2026.0</v>
      </c>
      <c r="K140" s="189" t="s">
        <v>51</v>
      </c>
      <c r="L140" s="189" t="s">
        <v>1177</v>
      </c>
      <c r="M140" s="189">
        <v>1.0</v>
      </c>
      <c r="N140" s="189">
        <v>1.0</v>
      </c>
      <c r="O140" s="189"/>
      <c r="P140" s="189">
        <v>2.0</v>
      </c>
      <c r="Q140" s="361">
        <v>46234.0</v>
      </c>
      <c r="R140" s="362">
        <v>31.0</v>
      </c>
      <c r="S140" s="362">
        <v>7.0</v>
      </c>
      <c r="T140" s="201">
        <v>2026.0</v>
      </c>
      <c r="U140" s="189" t="s">
        <v>2</v>
      </c>
      <c r="V140" s="189">
        <v>38.02</v>
      </c>
      <c r="W140" s="361">
        <v>46234.0</v>
      </c>
      <c r="X140" s="201">
        <v>31.0</v>
      </c>
      <c r="Y140" s="201">
        <v>7.0</v>
      </c>
      <c r="Z140" s="201">
        <v>2026.0</v>
      </c>
      <c r="AA140" s="189" t="s">
        <v>2</v>
      </c>
    </row>
    <row r="141" ht="15.75" hidden="1" customHeight="1">
      <c r="A141" s="189" t="s">
        <v>1454</v>
      </c>
      <c r="B141" s="189" t="s">
        <v>1455</v>
      </c>
      <c r="C141" s="361">
        <v>46228.0</v>
      </c>
      <c r="D141" s="201">
        <v>25.0</v>
      </c>
      <c r="E141" s="201">
        <v>7.0</v>
      </c>
      <c r="F141" s="201">
        <v>2026.0</v>
      </c>
      <c r="G141" s="361">
        <v>46230.0</v>
      </c>
      <c r="H141" s="201">
        <v>27.0</v>
      </c>
      <c r="I141" s="201">
        <v>7.0</v>
      </c>
      <c r="J141" s="201">
        <v>2026.0</v>
      </c>
      <c r="K141" s="189" t="s">
        <v>51</v>
      </c>
      <c r="L141" s="189" t="s">
        <v>1177</v>
      </c>
      <c r="M141" s="189">
        <v>1.0</v>
      </c>
      <c r="N141" s="189">
        <v>2.0</v>
      </c>
      <c r="O141" s="189"/>
      <c r="P141" s="189">
        <v>4.0</v>
      </c>
      <c r="Q141" s="361">
        <v>46234.0</v>
      </c>
      <c r="R141" s="362">
        <v>31.0</v>
      </c>
      <c r="S141" s="362">
        <v>7.0</v>
      </c>
      <c r="T141" s="201">
        <v>2026.0</v>
      </c>
      <c r="U141" s="189" t="s">
        <v>2</v>
      </c>
      <c r="V141" s="189">
        <v>76.05</v>
      </c>
      <c r="W141" s="361">
        <v>46234.0</v>
      </c>
      <c r="X141" s="201">
        <v>31.0</v>
      </c>
      <c r="Y141" s="201">
        <v>7.0</v>
      </c>
      <c r="Z141" s="201">
        <v>2026.0</v>
      </c>
      <c r="AA141" s="189" t="s">
        <v>2</v>
      </c>
    </row>
    <row r="142" ht="15.75" hidden="1" customHeight="1">
      <c r="A142" s="189" t="s">
        <v>1456</v>
      </c>
      <c r="B142" s="189" t="s">
        <v>1457</v>
      </c>
      <c r="C142" s="361">
        <v>46212.0</v>
      </c>
      <c r="D142" s="201">
        <v>9.0</v>
      </c>
      <c r="E142" s="201">
        <v>7.0</v>
      </c>
      <c r="F142" s="201">
        <v>2026.0</v>
      </c>
      <c r="G142" s="361">
        <v>46218.0</v>
      </c>
      <c r="H142" s="201">
        <v>15.0</v>
      </c>
      <c r="I142" s="201">
        <v>7.0</v>
      </c>
      <c r="J142" s="201">
        <v>2026.0</v>
      </c>
      <c r="K142" s="189" t="s">
        <v>51</v>
      </c>
      <c r="L142" s="189" t="s">
        <v>1177</v>
      </c>
      <c r="M142" s="189">
        <v>1.0</v>
      </c>
      <c r="N142" s="189">
        <v>6.0</v>
      </c>
      <c r="O142" s="189"/>
      <c r="P142" s="189">
        <v>12.0</v>
      </c>
      <c r="Q142" s="361">
        <v>46234.0</v>
      </c>
      <c r="R142" s="362">
        <v>31.0</v>
      </c>
      <c r="S142" s="362">
        <v>7.0</v>
      </c>
      <c r="T142" s="201">
        <v>2026.0</v>
      </c>
      <c r="U142" s="189" t="s">
        <v>2</v>
      </c>
      <c r="V142" s="189">
        <v>253.5</v>
      </c>
      <c r="W142" s="361">
        <v>46234.0</v>
      </c>
      <c r="X142" s="201">
        <v>31.0</v>
      </c>
      <c r="Y142" s="201">
        <v>7.0</v>
      </c>
      <c r="Z142" s="201">
        <v>2026.0</v>
      </c>
      <c r="AA142" s="189" t="s">
        <v>2</v>
      </c>
    </row>
    <row r="143" ht="15.75" hidden="1" customHeight="1">
      <c r="A143" s="189" t="s">
        <v>1458</v>
      </c>
      <c r="B143" s="189" t="s">
        <v>1459</v>
      </c>
      <c r="C143" s="361">
        <v>46216.0</v>
      </c>
      <c r="D143" s="201">
        <v>13.0</v>
      </c>
      <c r="E143" s="201">
        <v>7.0</v>
      </c>
      <c r="F143" s="201">
        <v>2026.0</v>
      </c>
      <c r="G143" s="361">
        <v>46222.0</v>
      </c>
      <c r="H143" s="201">
        <v>19.0</v>
      </c>
      <c r="I143" s="201">
        <v>7.0</v>
      </c>
      <c r="J143" s="201">
        <v>2026.0</v>
      </c>
      <c r="K143" s="189" t="s">
        <v>51</v>
      </c>
      <c r="L143" s="189" t="s">
        <v>1177</v>
      </c>
      <c r="M143" s="189">
        <v>1.0</v>
      </c>
      <c r="N143" s="189">
        <v>6.0</v>
      </c>
      <c r="O143" s="189"/>
      <c r="P143" s="189">
        <v>12.0</v>
      </c>
      <c r="Q143" s="361">
        <v>46234.0</v>
      </c>
      <c r="R143" s="362">
        <v>31.0</v>
      </c>
      <c r="S143" s="362">
        <v>7.0</v>
      </c>
      <c r="T143" s="201">
        <v>2026.0</v>
      </c>
      <c r="U143" s="189" t="s">
        <v>2</v>
      </c>
      <c r="V143" s="189">
        <v>397.25</v>
      </c>
      <c r="W143" s="361">
        <v>46234.0</v>
      </c>
      <c r="X143" s="201">
        <v>31.0</v>
      </c>
      <c r="Y143" s="201">
        <v>7.0</v>
      </c>
      <c r="Z143" s="201">
        <v>2026.0</v>
      </c>
      <c r="AA143" s="189" t="s">
        <v>2</v>
      </c>
    </row>
    <row r="144" ht="15.75" hidden="1" customHeight="1">
      <c r="A144" s="189" t="s">
        <v>1450</v>
      </c>
      <c r="B144" s="189" t="s">
        <v>1460</v>
      </c>
      <c r="C144" s="361">
        <v>46219.0</v>
      </c>
      <c r="D144" s="201">
        <v>16.0</v>
      </c>
      <c r="E144" s="201">
        <v>7.0</v>
      </c>
      <c r="F144" s="201">
        <v>2026.0</v>
      </c>
      <c r="G144" s="361">
        <v>46220.0</v>
      </c>
      <c r="H144" s="201">
        <v>17.0</v>
      </c>
      <c r="I144" s="201">
        <v>7.0</v>
      </c>
      <c r="J144" s="201">
        <v>2026.0</v>
      </c>
      <c r="K144" s="189" t="s">
        <v>51</v>
      </c>
      <c r="L144" s="189" t="s">
        <v>1177</v>
      </c>
      <c r="M144" s="189">
        <v>1.0</v>
      </c>
      <c r="N144" s="189">
        <v>1.0</v>
      </c>
      <c r="O144" s="189"/>
      <c r="P144" s="189">
        <v>2.0</v>
      </c>
      <c r="Q144" s="361">
        <v>46234.0</v>
      </c>
      <c r="R144" s="362">
        <v>31.0</v>
      </c>
      <c r="S144" s="362">
        <v>7.0</v>
      </c>
      <c r="T144" s="201">
        <v>2026.0</v>
      </c>
      <c r="U144" s="189" t="s">
        <v>2</v>
      </c>
      <c r="V144" s="189">
        <v>46.47</v>
      </c>
      <c r="W144" s="361">
        <v>46234.0</v>
      </c>
      <c r="X144" s="201">
        <v>31.0</v>
      </c>
      <c r="Y144" s="201">
        <v>7.0</v>
      </c>
      <c r="Z144" s="201">
        <v>2026.0</v>
      </c>
      <c r="AA144" s="189" t="s">
        <v>2</v>
      </c>
    </row>
    <row r="145" ht="15.75" hidden="1" customHeight="1">
      <c r="A145" s="189" t="s">
        <v>1461</v>
      </c>
      <c r="B145" s="189" t="s">
        <v>1462</v>
      </c>
      <c r="C145" s="361">
        <v>46219.0</v>
      </c>
      <c r="D145" s="201">
        <v>16.0</v>
      </c>
      <c r="E145" s="201">
        <v>7.0</v>
      </c>
      <c r="F145" s="201">
        <v>2026.0</v>
      </c>
      <c r="G145" s="361">
        <v>46223.0</v>
      </c>
      <c r="H145" s="201">
        <v>20.0</v>
      </c>
      <c r="I145" s="201">
        <v>7.0</v>
      </c>
      <c r="J145" s="201">
        <v>2026.0</v>
      </c>
      <c r="K145" s="189" t="s">
        <v>51</v>
      </c>
      <c r="L145" s="189" t="s">
        <v>1177</v>
      </c>
      <c r="M145" s="189">
        <v>1.0</v>
      </c>
      <c r="N145" s="189">
        <v>4.0</v>
      </c>
      <c r="O145" s="189"/>
      <c r="P145" s="189">
        <v>8.0</v>
      </c>
      <c r="Q145" s="361">
        <v>46234.0</v>
      </c>
      <c r="R145" s="362">
        <v>31.0</v>
      </c>
      <c r="S145" s="362">
        <v>7.0</v>
      </c>
      <c r="T145" s="201">
        <v>2026.0</v>
      </c>
      <c r="U145" s="189" t="s">
        <v>2</v>
      </c>
      <c r="V145" s="189">
        <v>177.45</v>
      </c>
      <c r="W145" s="361">
        <v>46234.0</v>
      </c>
      <c r="X145" s="201">
        <v>31.0</v>
      </c>
      <c r="Y145" s="201">
        <v>7.0</v>
      </c>
      <c r="Z145" s="201">
        <v>2026.0</v>
      </c>
      <c r="AA145" s="189" t="s">
        <v>2</v>
      </c>
    </row>
    <row r="146" ht="15.75" hidden="1" customHeight="1">
      <c r="A146" s="189" t="s">
        <v>1463</v>
      </c>
      <c r="B146" s="189" t="s">
        <v>1464</v>
      </c>
      <c r="C146" s="361">
        <v>46206.0</v>
      </c>
      <c r="D146" s="201">
        <v>3.0</v>
      </c>
      <c r="E146" s="201">
        <v>7.0</v>
      </c>
      <c r="F146" s="201">
        <v>2026.0</v>
      </c>
      <c r="G146" s="361">
        <v>46208.0</v>
      </c>
      <c r="H146" s="201">
        <v>5.0</v>
      </c>
      <c r="I146" s="201">
        <v>7.0</v>
      </c>
      <c r="J146" s="201">
        <v>2026.0</v>
      </c>
      <c r="K146" s="189" t="s">
        <v>51</v>
      </c>
      <c r="L146" s="189" t="s">
        <v>1177</v>
      </c>
      <c r="M146" s="189">
        <v>1.0</v>
      </c>
      <c r="N146" s="189">
        <v>2.0</v>
      </c>
      <c r="O146" s="189"/>
      <c r="P146" s="189">
        <v>4.0</v>
      </c>
      <c r="Q146" s="361">
        <v>46234.0</v>
      </c>
      <c r="R146" s="362">
        <v>31.0</v>
      </c>
      <c r="S146" s="362">
        <v>7.0</v>
      </c>
      <c r="T146" s="201">
        <v>2026.0</v>
      </c>
      <c r="U146" s="189" t="s">
        <v>2</v>
      </c>
      <c r="V146" s="189">
        <v>59.15</v>
      </c>
      <c r="W146" s="361">
        <v>46234.0</v>
      </c>
      <c r="X146" s="201">
        <v>31.0</v>
      </c>
      <c r="Y146" s="201">
        <v>7.0</v>
      </c>
      <c r="Z146" s="201">
        <v>2026.0</v>
      </c>
      <c r="AA146" s="189" t="s">
        <v>2</v>
      </c>
    </row>
    <row r="147" ht="15.75" hidden="1" customHeight="1">
      <c r="A147" s="189" t="s">
        <v>1465</v>
      </c>
      <c r="B147" s="189" t="s">
        <v>1466</v>
      </c>
      <c r="C147" s="361">
        <v>46206.0</v>
      </c>
      <c r="D147" s="201">
        <v>3.0</v>
      </c>
      <c r="E147" s="201">
        <v>7.0</v>
      </c>
      <c r="F147" s="201">
        <v>2026.0</v>
      </c>
      <c r="G147" s="361">
        <v>46207.0</v>
      </c>
      <c r="H147" s="201">
        <v>4.0</v>
      </c>
      <c r="I147" s="201">
        <v>7.0</v>
      </c>
      <c r="J147" s="201">
        <v>2026.0</v>
      </c>
      <c r="K147" s="189" t="s">
        <v>51</v>
      </c>
      <c r="L147" s="189" t="s">
        <v>1177</v>
      </c>
      <c r="M147" s="189">
        <v>1.0</v>
      </c>
      <c r="N147" s="189">
        <v>1.0</v>
      </c>
      <c r="O147" s="189"/>
      <c r="P147" s="189">
        <v>2.0</v>
      </c>
      <c r="Q147" s="361">
        <v>46234.0</v>
      </c>
      <c r="R147" s="362">
        <v>31.0</v>
      </c>
      <c r="S147" s="362">
        <v>7.0</v>
      </c>
      <c r="T147" s="201">
        <v>2026.0</v>
      </c>
      <c r="U147" s="189" t="s">
        <v>2</v>
      </c>
      <c r="V147" s="189">
        <v>49.77</v>
      </c>
      <c r="W147" s="361">
        <v>46234.0</v>
      </c>
      <c r="X147" s="201">
        <v>31.0</v>
      </c>
      <c r="Y147" s="201">
        <v>7.0</v>
      </c>
      <c r="Z147" s="201">
        <v>2026.0</v>
      </c>
      <c r="AA147" s="189" t="s">
        <v>2</v>
      </c>
    </row>
    <row r="148" ht="15.75" hidden="1" customHeight="1">
      <c r="A148" s="189" t="s">
        <v>1467</v>
      </c>
      <c r="B148" s="189" t="s">
        <v>1468</v>
      </c>
      <c r="C148" s="361">
        <v>46218.0</v>
      </c>
      <c r="D148" s="201">
        <v>15.0</v>
      </c>
      <c r="E148" s="201">
        <v>7.0</v>
      </c>
      <c r="F148" s="201">
        <v>2026.0</v>
      </c>
      <c r="G148" s="361">
        <v>46219.0</v>
      </c>
      <c r="H148" s="201">
        <v>16.0</v>
      </c>
      <c r="I148" s="201">
        <v>7.0</v>
      </c>
      <c r="J148" s="201">
        <v>2026.0</v>
      </c>
      <c r="K148" s="189" t="s">
        <v>51</v>
      </c>
      <c r="L148" s="189" t="s">
        <v>1177</v>
      </c>
      <c r="M148" s="189">
        <v>1.0</v>
      </c>
      <c r="N148" s="189">
        <v>1.0</v>
      </c>
      <c r="O148" s="189"/>
      <c r="P148" s="189">
        <v>2.0</v>
      </c>
      <c r="Q148" s="361">
        <v>46234.0</v>
      </c>
      <c r="R148" s="362">
        <v>31.0</v>
      </c>
      <c r="S148" s="362">
        <v>7.0</v>
      </c>
      <c r="T148" s="201">
        <v>2026.0</v>
      </c>
      <c r="U148" s="189" t="s">
        <v>2</v>
      </c>
      <c r="V148" s="189">
        <v>29.57</v>
      </c>
      <c r="W148" s="361">
        <v>46234.0</v>
      </c>
      <c r="X148" s="201">
        <v>31.0</v>
      </c>
      <c r="Y148" s="201">
        <v>7.0</v>
      </c>
      <c r="Z148" s="201">
        <v>2026.0</v>
      </c>
      <c r="AA148" s="189" t="s">
        <v>2</v>
      </c>
    </row>
    <row r="149" ht="15.75" hidden="1" customHeight="1">
      <c r="A149" s="189" t="s">
        <v>1469</v>
      </c>
      <c r="B149" s="189" t="s">
        <v>1470</v>
      </c>
      <c r="C149" s="361">
        <v>46212.0</v>
      </c>
      <c r="D149" s="201">
        <v>9.0</v>
      </c>
      <c r="E149" s="201">
        <v>7.0</v>
      </c>
      <c r="F149" s="201">
        <v>2026.0</v>
      </c>
      <c r="G149" s="361">
        <v>46213.0</v>
      </c>
      <c r="H149" s="201">
        <v>10.0</v>
      </c>
      <c r="I149" s="201">
        <v>7.0</v>
      </c>
      <c r="J149" s="201">
        <v>2026.0</v>
      </c>
      <c r="K149" s="189" t="s">
        <v>51</v>
      </c>
      <c r="L149" s="189" t="s">
        <v>1177</v>
      </c>
      <c r="M149" s="189">
        <v>1.0</v>
      </c>
      <c r="N149" s="189">
        <v>1.0</v>
      </c>
      <c r="O149" s="189"/>
      <c r="P149" s="189">
        <v>2.0</v>
      </c>
      <c r="Q149" s="361">
        <v>46234.0</v>
      </c>
      <c r="R149" s="362">
        <v>31.0</v>
      </c>
      <c r="S149" s="362">
        <v>7.0</v>
      </c>
      <c r="T149" s="201">
        <v>2026.0</v>
      </c>
      <c r="U149" s="189" t="s">
        <v>2</v>
      </c>
      <c r="V149" s="189">
        <v>27.04</v>
      </c>
      <c r="W149" s="361">
        <v>46234.0</v>
      </c>
      <c r="X149" s="201">
        <v>31.0</v>
      </c>
      <c r="Y149" s="201">
        <v>7.0</v>
      </c>
      <c r="Z149" s="201">
        <v>2026.0</v>
      </c>
      <c r="AA149" s="189" t="s">
        <v>2</v>
      </c>
    </row>
    <row r="150" ht="15.75" hidden="1" customHeight="1">
      <c r="A150" s="189" t="s">
        <v>1471</v>
      </c>
      <c r="B150" s="189" t="s">
        <v>1472</v>
      </c>
      <c r="C150" s="361">
        <v>46219.0</v>
      </c>
      <c r="D150" s="201">
        <v>16.0</v>
      </c>
      <c r="E150" s="201">
        <v>7.0</v>
      </c>
      <c r="F150" s="201">
        <v>2026.0</v>
      </c>
      <c r="G150" s="361">
        <v>46221.0</v>
      </c>
      <c r="H150" s="201">
        <v>18.0</v>
      </c>
      <c r="I150" s="201">
        <v>7.0</v>
      </c>
      <c r="J150" s="201">
        <v>2026.0</v>
      </c>
      <c r="K150" s="189" t="s">
        <v>51</v>
      </c>
      <c r="L150" s="189" t="s">
        <v>1177</v>
      </c>
      <c r="M150" s="189">
        <v>1.0</v>
      </c>
      <c r="N150" s="189">
        <v>2.0</v>
      </c>
      <c r="O150" s="189"/>
      <c r="P150" s="189">
        <v>4.0</v>
      </c>
      <c r="Q150" s="361">
        <v>46234.0</v>
      </c>
      <c r="R150" s="362">
        <v>31.0</v>
      </c>
      <c r="S150" s="362">
        <v>7.0</v>
      </c>
      <c r="T150" s="201">
        <v>2026.0</v>
      </c>
      <c r="U150" s="189" t="s">
        <v>2</v>
      </c>
      <c r="V150" s="189">
        <v>92.95</v>
      </c>
      <c r="W150" s="361">
        <v>46234.0</v>
      </c>
      <c r="X150" s="201">
        <v>31.0</v>
      </c>
      <c r="Y150" s="201">
        <v>7.0</v>
      </c>
      <c r="Z150" s="201">
        <v>2026.0</v>
      </c>
      <c r="AA150" s="189" t="s">
        <v>2</v>
      </c>
    </row>
    <row r="151" ht="15.75" hidden="1" customHeight="1">
      <c r="A151" s="189" t="s">
        <v>1473</v>
      </c>
      <c r="B151" s="189" t="s">
        <v>1474</v>
      </c>
      <c r="C151" s="361">
        <v>46229.0</v>
      </c>
      <c r="D151" s="201">
        <v>26.0</v>
      </c>
      <c r="E151" s="201">
        <v>7.0</v>
      </c>
      <c r="F151" s="201">
        <v>2026.0</v>
      </c>
      <c r="G151" s="361">
        <v>46233.0</v>
      </c>
      <c r="H151" s="201">
        <v>30.0</v>
      </c>
      <c r="I151" s="201">
        <v>7.0</v>
      </c>
      <c r="J151" s="201">
        <v>2026.0</v>
      </c>
      <c r="K151" s="189" t="s">
        <v>51</v>
      </c>
      <c r="L151" s="189" t="s">
        <v>1177</v>
      </c>
      <c r="M151" s="189">
        <v>1.0</v>
      </c>
      <c r="N151" s="189">
        <v>4.0</v>
      </c>
      <c r="O151" s="189"/>
      <c r="P151" s="189">
        <v>8.0</v>
      </c>
      <c r="Q151" s="361">
        <v>46234.0</v>
      </c>
      <c r="R151" s="362">
        <v>31.0</v>
      </c>
      <c r="S151" s="362">
        <v>7.0</v>
      </c>
      <c r="T151" s="201">
        <v>2026.0</v>
      </c>
      <c r="U151" s="189" t="s">
        <v>2</v>
      </c>
      <c r="V151" s="189">
        <v>152.1</v>
      </c>
      <c r="W151" s="361">
        <v>46234.0</v>
      </c>
      <c r="X151" s="201">
        <v>31.0</v>
      </c>
      <c r="Y151" s="201">
        <v>7.0</v>
      </c>
      <c r="Z151" s="201">
        <v>2026.0</v>
      </c>
      <c r="AA151" s="189" t="s">
        <v>2</v>
      </c>
    </row>
    <row r="152" ht="15.75" hidden="1" customHeight="1">
      <c r="A152" s="189" t="s">
        <v>1475</v>
      </c>
      <c r="B152" s="189" t="s">
        <v>1476</v>
      </c>
      <c r="C152" s="361">
        <v>46221.0</v>
      </c>
      <c r="D152" s="201">
        <v>18.0</v>
      </c>
      <c r="E152" s="201">
        <v>7.0</v>
      </c>
      <c r="F152" s="201">
        <v>2026.0</v>
      </c>
      <c r="G152" s="361">
        <v>46222.0</v>
      </c>
      <c r="H152" s="201">
        <v>19.0</v>
      </c>
      <c r="I152" s="201">
        <v>7.0</v>
      </c>
      <c r="J152" s="201">
        <v>2026.0</v>
      </c>
      <c r="K152" s="189" t="s">
        <v>51</v>
      </c>
      <c r="L152" s="189" t="s">
        <v>1177</v>
      </c>
      <c r="M152" s="189">
        <v>1.0</v>
      </c>
      <c r="N152" s="189">
        <v>1.0</v>
      </c>
      <c r="O152" s="189"/>
      <c r="P152" s="189">
        <v>2.0</v>
      </c>
      <c r="Q152" s="361">
        <v>46234.0</v>
      </c>
      <c r="R152" s="362">
        <v>31.0</v>
      </c>
      <c r="S152" s="362">
        <v>7.0</v>
      </c>
      <c r="T152" s="201">
        <v>2026.0</v>
      </c>
      <c r="U152" s="189" t="s">
        <v>2</v>
      </c>
      <c r="V152" s="189">
        <v>46.47</v>
      </c>
      <c r="W152" s="361">
        <v>46234.0</v>
      </c>
      <c r="X152" s="201">
        <v>31.0</v>
      </c>
      <c r="Y152" s="201">
        <v>7.0</v>
      </c>
      <c r="Z152" s="201">
        <v>2026.0</v>
      </c>
      <c r="AA152" s="189" t="s">
        <v>2</v>
      </c>
    </row>
    <row r="153" ht="15.75" hidden="1" customHeight="1">
      <c r="A153" s="189" t="s">
        <v>1477</v>
      </c>
      <c r="B153" s="189" t="s">
        <v>1478</v>
      </c>
      <c r="C153" s="361">
        <v>46204.0</v>
      </c>
      <c r="D153" s="201">
        <v>1.0</v>
      </c>
      <c r="E153" s="201">
        <v>7.0</v>
      </c>
      <c r="F153" s="201">
        <v>2026.0</v>
      </c>
      <c r="G153" s="361">
        <v>46206.0</v>
      </c>
      <c r="H153" s="201">
        <v>3.0</v>
      </c>
      <c r="I153" s="201">
        <v>7.0</v>
      </c>
      <c r="J153" s="201">
        <v>2026.0</v>
      </c>
      <c r="K153" s="189" t="s">
        <v>51</v>
      </c>
      <c r="L153" s="189" t="s">
        <v>1177</v>
      </c>
      <c r="M153" s="189">
        <v>1.0</v>
      </c>
      <c r="N153" s="189">
        <v>2.0</v>
      </c>
      <c r="O153" s="189"/>
      <c r="P153" s="189">
        <v>4.0</v>
      </c>
      <c r="Q153" s="361">
        <v>46234.0</v>
      </c>
      <c r="R153" s="362">
        <v>31.0</v>
      </c>
      <c r="S153" s="362">
        <v>7.0</v>
      </c>
      <c r="T153" s="201">
        <v>2026.0</v>
      </c>
      <c r="U153" s="189" t="s">
        <v>2</v>
      </c>
      <c r="V153" s="189">
        <v>59.15</v>
      </c>
      <c r="W153" s="361">
        <v>46234.0</v>
      </c>
      <c r="X153" s="201">
        <v>31.0</v>
      </c>
      <c r="Y153" s="201">
        <v>7.0</v>
      </c>
      <c r="Z153" s="201">
        <v>2026.0</v>
      </c>
      <c r="AA153" s="189" t="s">
        <v>2</v>
      </c>
    </row>
    <row r="154" ht="15.75" hidden="1" customHeight="1">
      <c r="A154" s="340" t="s">
        <v>1479</v>
      </c>
      <c r="B154" s="343">
        <v>5.901186938E9</v>
      </c>
      <c r="C154" s="341">
        <v>46150.0</v>
      </c>
      <c r="D154" s="194">
        <v>8.0</v>
      </c>
      <c r="E154" s="194">
        <v>5.0</v>
      </c>
      <c r="F154" s="194">
        <v>2026.0</v>
      </c>
      <c r="G154" s="341">
        <v>46154.0</v>
      </c>
      <c r="H154" s="194">
        <v>12.0</v>
      </c>
      <c r="I154" s="194">
        <v>5.0</v>
      </c>
      <c r="J154" s="194">
        <v>2026.0</v>
      </c>
      <c r="K154" s="74" t="s">
        <v>36</v>
      </c>
      <c r="L154" s="74" t="s">
        <v>1480</v>
      </c>
      <c r="M154" s="194">
        <v>1.0</v>
      </c>
      <c r="N154" s="194">
        <v>4.0</v>
      </c>
      <c r="O154" s="194"/>
      <c r="P154" s="194">
        <v>0.0</v>
      </c>
      <c r="Q154" s="344">
        <v>46174.0</v>
      </c>
      <c r="R154" s="185">
        <v>1.0</v>
      </c>
      <c r="S154" s="185">
        <v>6.0</v>
      </c>
      <c r="T154" s="194">
        <v>2026.0</v>
      </c>
      <c r="U154" s="74" t="s">
        <v>36</v>
      </c>
      <c r="V154" s="194">
        <v>0.0</v>
      </c>
      <c r="W154" s="344">
        <v>46174.0</v>
      </c>
      <c r="X154" s="194">
        <v>1.0</v>
      </c>
      <c r="Y154" s="194">
        <v>6.0</v>
      </c>
      <c r="Z154" s="194">
        <v>2026.0</v>
      </c>
      <c r="AA154" s="74" t="s">
        <v>36</v>
      </c>
    </row>
    <row r="155" ht="15.75" hidden="1" customHeight="1">
      <c r="A155" s="340" t="s">
        <v>1481</v>
      </c>
      <c r="B155" s="343">
        <v>6.358390137E9</v>
      </c>
      <c r="C155" s="341">
        <v>46158.0</v>
      </c>
      <c r="D155" s="194">
        <v>16.0</v>
      </c>
      <c r="E155" s="194">
        <v>5.0</v>
      </c>
      <c r="F155" s="194">
        <v>2026.0</v>
      </c>
      <c r="G155" s="341">
        <v>46160.0</v>
      </c>
      <c r="H155" s="194">
        <v>18.0</v>
      </c>
      <c r="I155" s="194">
        <v>5.0</v>
      </c>
      <c r="J155" s="194">
        <v>2026.0</v>
      </c>
      <c r="K155" s="74" t="s">
        <v>36</v>
      </c>
      <c r="L155" s="74" t="s">
        <v>1480</v>
      </c>
      <c r="M155" s="194">
        <v>1.0</v>
      </c>
      <c r="N155" s="194">
        <v>2.0</v>
      </c>
      <c r="O155" s="194"/>
      <c r="P155" s="194">
        <v>0.0</v>
      </c>
      <c r="Q155" s="344">
        <v>46174.0</v>
      </c>
      <c r="R155" s="185">
        <v>1.0</v>
      </c>
      <c r="S155" s="185">
        <v>6.0</v>
      </c>
      <c r="T155" s="194">
        <v>2026.0</v>
      </c>
      <c r="U155" s="74" t="s">
        <v>36</v>
      </c>
      <c r="V155" s="194">
        <v>0.0</v>
      </c>
      <c r="W155" s="344">
        <v>46174.0</v>
      </c>
      <c r="X155" s="194">
        <v>1.0</v>
      </c>
      <c r="Y155" s="194">
        <v>6.0</v>
      </c>
      <c r="Z155" s="194">
        <v>2026.0</v>
      </c>
      <c r="AA155" s="74" t="s">
        <v>36</v>
      </c>
    </row>
    <row r="156" ht="15.75" hidden="1" customHeight="1">
      <c r="A156" s="340" t="s">
        <v>1482</v>
      </c>
      <c r="B156" s="341">
        <v>6.67940313E9</v>
      </c>
      <c r="C156" s="341">
        <v>46154.0</v>
      </c>
      <c r="D156" s="194">
        <v>12.0</v>
      </c>
      <c r="E156" s="194">
        <v>5.0</v>
      </c>
      <c r="F156" s="194">
        <v>2026.0</v>
      </c>
      <c r="G156" s="341">
        <v>46158.0</v>
      </c>
      <c r="H156" s="194">
        <v>16.0</v>
      </c>
      <c r="I156" s="194">
        <v>5.0</v>
      </c>
      <c r="J156" s="194">
        <v>2026.0</v>
      </c>
      <c r="K156" s="74" t="s">
        <v>36</v>
      </c>
      <c r="L156" s="74" t="s">
        <v>1177</v>
      </c>
      <c r="M156" s="194">
        <v>1.0</v>
      </c>
      <c r="N156" s="194">
        <v>4.0</v>
      </c>
      <c r="O156" s="194"/>
      <c r="P156" s="194">
        <v>8.0</v>
      </c>
      <c r="Q156" s="344">
        <v>46174.0</v>
      </c>
      <c r="R156" s="185">
        <v>1.0</v>
      </c>
      <c r="S156" s="185">
        <v>6.0</v>
      </c>
      <c r="T156" s="194">
        <v>2026.0</v>
      </c>
      <c r="U156" s="74" t="s">
        <v>36</v>
      </c>
      <c r="V156" s="194">
        <v>150.37</v>
      </c>
      <c r="W156" s="344">
        <v>46174.0</v>
      </c>
      <c r="X156" s="194">
        <v>1.0</v>
      </c>
      <c r="Y156" s="194">
        <v>6.0</v>
      </c>
      <c r="Z156" s="194">
        <v>2026.0</v>
      </c>
      <c r="AA156" s="74" t="s">
        <v>36</v>
      </c>
    </row>
    <row r="157" ht="15.75" hidden="1" customHeight="1">
      <c r="A157" s="340" t="s">
        <v>1483</v>
      </c>
      <c r="B157" s="343">
        <v>6.797011469E9</v>
      </c>
      <c r="C157" s="341">
        <v>46161.0</v>
      </c>
      <c r="D157" s="194">
        <v>19.0</v>
      </c>
      <c r="E157" s="194">
        <v>5.0</v>
      </c>
      <c r="F157" s="194">
        <v>2026.0</v>
      </c>
      <c r="G157" s="341">
        <v>46162.0</v>
      </c>
      <c r="H157" s="194">
        <v>20.0</v>
      </c>
      <c r="I157" s="194">
        <v>5.0</v>
      </c>
      <c r="J157" s="194">
        <v>2026.0</v>
      </c>
      <c r="K157" s="74" t="s">
        <v>36</v>
      </c>
      <c r="L157" s="74" t="s">
        <v>1480</v>
      </c>
      <c r="M157" s="194">
        <v>1.0</v>
      </c>
      <c r="N157" s="194">
        <v>1.0</v>
      </c>
      <c r="O157" s="194"/>
      <c r="P157" s="194">
        <v>0.0</v>
      </c>
      <c r="Q157" s="344">
        <v>46174.0</v>
      </c>
      <c r="R157" s="185">
        <v>1.0</v>
      </c>
      <c r="S157" s="185">
        <v>6.0</v>
      </c>
      <c r="T157" s="194">
        <v>2026.0</v>
      </c>
      <c r="U157" s="74" t="s">
        <v>36</v>
      </c>
      <c r="V157" s="194">
        <v>0.0</v>
      </c>
      <c r="W157" s="344">
        <v>46174.0</v>
      </c>
      <c r="X157" s="194">
        <v>1.0</v>
      </c>
      <c r="Y157" s="194">
        <v>6.0</v>
      </c>
      <c r="Z157" s="194">
        <v>2026.0</v>
      </c>
      <c r="AA157" s="74" t="s">
        <v>36</v>
      </c>
    </row>
    <row r="158" ht="15.75" hidden="1" customHeight="1">
      <c r="A158" s="340" t="s">
        <v>1485</v>
      </c>
      <c r="B158" s="341">
        <v>6.91537586E9</v>
      </c>
      <c r="C158" s="341">
        <v>46168.0</v>
      </c>
      <c r="D158" s="194">
        <v>26.0</v>
      </c>
      <c r="E158" s="194">
        <v>5.0</v>
      </c>
      <c r="F158" s="194">
        <v>2026.0</v>
      </c>
      <c r="G158" s="341">
        <v>46170.0</v>
      </c>
      <c r="H158" s="194">
        <v>28.0</v>
      </c>
      <c r="I158" s="194">
        <v>5.0</v>
      </c>
      <c r="J158" s="194">
        <v>2026.0</v>
      </c>
      <c r="K158" s="74" t="s">
        <v>36</v>
      </c>
      <c r="L158" s="74" t="s">
        <v>1177</v>
      </c>
      <c r="M158" s="194">
        <v>1.0</v>
      </c>
      <c r="N158" s="194">
        <v>2.0</v>
      </c>
      <c r="O158" s="194"/>
      <c r="P158" s="194">
        <v>4.0</v>
      </c>
      <c r="Q158" s="344">
        <v>46174.0</v>
      </c>
      <c r="R158" s="185">
        <v>1.0</v>
      </c>
      <c r="S158" s="185">
        <v>6.0</v>
      </c>
      <c r="T158" s="194">
        <v>2026.0</v>
      </c>
      <c r="U158" s="74" t="s">
        <v>36</v>
      </c>
      <c r="V158" s="194">
        <v>66.82</v>
      </c>
      <c r="W158" s="344">
        <v>46174.0</v>
      </c>
      <c r="X158" s="194">
        <v>1.0</v>
      </c>
      <c r="Y158" s="194">
        <v>6.0</v>
      </c>
      <c r="Z158" s="194">
        <v>2026.0</v>
      </c>
      <c r="AA158" s="74" t="s">
        <v>36</v>
      </c>
    </row>
    <row r="159" ht="15.75" hidden="1" customHeight="1">
      <c r="A159" s="340" t="s">
        <v>1486</v>
      </c>
      <c r="B159" s="341">
        <v>5.602847365E9</v>
      </c>
      <c r="C159" s="341">
        <v>46144.0</v>
      </c>
      <c r="D159" s="194">
        <v>2.0</v>
      </c>
      <c r="E159" s="194">
        <v>5.0</v>
      </c>
      <c r="F159" s="194">
        <v>2026.0</v>
      </c>
      <c r="G159" s="341">
        <v>46145.0</v>
      </c>
      <c r="H159" s="194">
        <v>3.0</v>
      </c>
      <c r="I159" s="194">
        <v>5.0</v>
      </c>
      <c r="J159" s="194">
        <v>2026.0</v>
      </c>
      <c r="K159" s="74" t="s">
        <v>36</v>
      </c>
      <c r="L159" s="74" t="s">
        <v>1177</v>
      </c>
      <c r="M159" s="194">
        <v>1.0</v>
      </c>
      <c r="N159" s="194">
        <v>1.0</v>
      </c>
      <c r="O159" s="194"/>
      <c r="P159" s="194">
        <v>2.0</v>
      </c>
      <c r="Q159" s="344">
        <v>46174.0</v>
      </c>
      <c r="R159" s="185">
        <v>1.0</v>
      </c>
      <c r="S159" s="185">
        <v>6.0</v>
      </c>
      <c r="T159" s="194">
        <v>2026.0</v>
      </c>
      <c r="U159" s="74" t="s">
        <v>36</v>
      </c>
      <c r="V159" s="194">
        <v>37.59</v>
      </c>
      <c r="W159" s="344">
        <v>46174.0</v>
      </c>
      <c r="X159" s="194">
        <v>1.0</v>
      </c>
      <c r="Y159" s="194">
        <v>6.0</v>
      </c>
      <c r="Z159" s="194">
        <v>2026.0</v>
      </c>
      <c r="AA159" s="74" t="s">
        <v>36</v>
      </c>
    </row>
    <row r="160" ht="15.75" hidden="1" customHeight="1">
      <c r="A160" s="340" t="s">
        <v>1487</v>
      </c>
      <c r="B160" s="343">
        <v>5.186549893E9</v>
      </c>
      <c r="C160" s="341">
        <v>46157.0</v>
      </c>
      <c r="D160" s="194">
        <v>15.0</v>
      </c>
      <c r="E160" s="194">
        <v>5.0</v>
      </c>
      <c r="F160" s="194">
        <v>2026.0</v>
      </c>
      <c r="G160" s="341">
        <v>46158.0</v>
      </c>
      <c r="H160" s="194">
        <v>16.0</v>
      </c>
      <c r="I160" s="194">
        <v>5.0</v>
      </c>
      <c r="J160" s="194">
        <v>2026.0</v>
      </c>
      <c r="K160" s="74" t="s">
        <v>36</v>
      </c>
      <c r="L160" s="74" t="s">
        <v>1480</v>
      </c>
      <c r="M160" s="194">
        <v>1.0</v>
      </c>
      <c r="N160" s="194">
        <v>1.0</v>
      </c>
      <c r="O160" s="194"/>
      <c r="P160" s="194">
        <v>0.0</v>
      </c>
      <c r="Q160" s="344">
        <v>46174.0</v>
      </c>
      <c r="R160" s="185">
        <v>1.0</v>
      </c>
      <c r="S160" s="185">
        <v>6.0</v>
      </c>
      <c r="T160" s="194">
        <v>2026.0</v>
      </c>
      <c r="U160" s="74" t="s">
        <v>36</v>
      </c>
      <c r="V160" s="194">
        <v>0.0</v>
      </c>
      <c r="W160" s="344">
        <v>46174.0</v>
      </c>
      <c r="X160" s="194">
        <v>1.0</v>
      </c>
      <c r="Y160" s="194">
        <v>6.0</v>
      </c>
      <c r="Z160" s="194">
        <v>2026.0</v>
      </c>
      <c r="AA160" s="74" t="s">
        <v>36</v>
      </c>
    </row>
    <row r="161" ht="15.75" hidden="1" customHeight="1">
      <c r="A161" s="340" t="s">
        <v>1488</v>
      </c>
      <c r="B161" s="341">
        <v>6.243318572E9</v>
      </c>
      <c r="C161" s="341">
        <v>46170.0</v>
      </c>
      <c r="D161" s="194">
        <v>28.0</v>
      </c>
      <c r="E161" s="194">
        <v>5.0</v>
      </c>
      <c r="F161" s="194">
        <v>2026.0</v>
      </c>
      <c r="G161" s="341">
        <v>46171.0</v>
      </c>
      <c r="H161" s="194">
        <v>29.0</v>
      </c>
      <c r="I161" s="194">
        <v>5.0</v>
      </c>
      <c r="J161" s="194">
        <v>2026.0</v>
      </c>
      <c r="K161" s="74" t="s">
        <v>36</v>
      </c>
      <c r="L161" s="74" t="s">
        <v>1177</v>
      </c>
      <c r="M161" s="194">
        <v>1.0</v>
      </c>
      <c r="N161" s="194">
        <v>1.0</v>
      </c>
      <c r="O161" s="194"/>
      <c r="P161" s="194">
        <v>2.0</v>
      </c>
      <c r="Q161" s="344">
        <v>46174.0</v>
      </c>
      <c r="R161" s="185">
        <v>1.0</v>
      </c>
      <c r="S161" s="185">
        <v>6.0</v>
      </c>
      <c r="T161" s="194">
        <v>2026.0</v>
      </c>
      <c r="U161" s="74" t="s">
        <v>36</v>
      </c>
      <c r="V161" s="194">
        <v>37.59</v>
      </c>
      <c r="W161" s="344">
        <v>46174.0</v>
      </c>
      <c r="X161" s="194">
        <v>1.0</v>
      </c>
      <c r="Y161" s="194">
        <v>6.0</v>
      </c>
      <c r="Z161" s="194">
        <v>2026.0</v>
      </c>
      <c r="AA161" s="74" t="s">
        <v>36</v>
      </c>
    </row>
    <row r="162" ht="15.75" hidden="1" customHeight="1">
      <c r="A162" s="340" t="s">
        <v>1489</v>
      </c>
      <c r="B162" s="341">
        <v>5.512006043E9</v>
      </c>
      <c r="C162" s="341">
        <v>46145.0</v>
      </c>
      <c r="D162" s="194">
        <v>3.0</v>
      </c>
      <c r="E162" s="194">
        <v>5.0</v>
      </c>
      <c r="F162" s="194">
        <v>2026.0</v>
      </c>
      <c r="G162" s="341">
        <v>46147.0</v>
      </c>
      <c r="H162" s="194">
        <v>5.0</v>
      </c>
      <c r="I162" s="194">
        <v>5.0</v>
      </c>
      <c r="J162" s="194">
        <v>2026.0</v>
      </c>
      <c r="K162" s="74" t="s">
        <v>36</v>
      </c>
      <c r="L162" s="74" t="s">
        <v>1177</v>
      </c>
      <c r="M162" s="194">
        <v>1.0</v>
      </c>
      <c r="N162" s="194">
        <v>2.0</v>
      </c>
      <c r="O162" s="194"/>
      <c r="P162" s="194">
        <v>4.0</v>
      </c>
      <c r="Q162" s="344">
        <v>46174.0</v>
      </c>
      <c r="R162" s="185">
        <v>1.0</v>
      </c>
      <c r="S162" s="185">
        <v>6.0</v>
      </c>
      <c r="T162" s="194">
        <v>2026.0</v>
      </c>
      <c r="U162" s="74" t="s">
        <v>36</v>
      </c>
      <c r="V162" s="194">
        <v>75.18</v>
      </c>
      <c r="W162" s="344">
        <v>46174.0</v>
      </c>
      <c r="X162" s="194">
        <v>1.0</v>
      </c>
      <c r="Y162" s="194">
        <v>6.0</v>
      </c>
      <c r="Z162" s="194">
        <v>2026.0</v>
      </c>
      <c r="AA162" s="74" t="s">
        <v>36</v>
      </c>
    </row>
    <row r="163" ht="15.75" hidden="1" customHeight="1">
      <c r="A163" s="340" t="s">
        <v>1490</v>
      </c>
      <c r="B163" s="341">
        <v>5.197367051E9</v>
      </c>
      <c r="C163" s="341">
        <v>46171.0</v>
      </c>
      <c r="D163" s="194">
        <v>29.0</v>
      </c>
      <c r="E163" s="194">
        <v>5.0</v>
      </c>
      <c r="F163" s="194">
        <v>2026.0</v>
      </c>
      <c r="G163" s="341">
        <v>46172.0</v>
      </c>
      <c r="H163" s="194">
        <v>30.0</v>
      </c>
      <c r="I163" s="194">
        <v>5.0</v>
      </c>
      <c r="J163" s="194">
        <v>2026.0</v>
      </c>
      <c r="K163" s="74" t="s">
        <v>36</v>
      </c>
      <c r="L163" s="74" t="s">
        <v>1177</v>
      </c>
      <c r="M163" s="194">
        <v>1.0</v>
      </c>
      <c r="N163" s="194">
        <v>1.0</v>
      </c>
      <c r="O163" s="194"/>
      <c r="P163" s="194">
        <v>2.0</v>
      </c>
      <c r="Q163" s="344">
        <v>46174.0</v>
      </c>
      <c r="R163" s="185">
        <v>1.0</v>
      </c>
      <c r="S163" s="185">
        <v>6.0</v>
      </c>
      <c r="T163" s="194">
        <v>2026.0</v>
      </c>
      <c r="U163" s="74" t="s">
        <v>36</v>
      </c>
      <c r="V163" s="194">
        <v>29.23</v>
      </c>
      <c r="W163" s="344">
        <v>46174.0</v>
      </c>
      <c r="X163" s="194">
        <v>1.0</v>
      </c>
      <c r="Y163" s="194">
        <v>6.0</v>
      </c>
      <c r="Z163" s="194">
        <v>2026.0</v>
      </c>
      <c r="AA163" s="74" t="s">
        <v>36</v>
      </c>
    </row>
    <row r="164" ht="15.75" hidden="1" customHeight="1">
      <c r="A164" s="340" t="s">
        <v>1491</v>
      </c>
      <c r="B164" s="341">
        <v>5.217245145E9</v>
      </c>
      <c r="C164" s="341">
        <v>46168.0</v>
      </c>
      <c r="D164" s="194">
        <v>26.0</v>
      </c>
      <c r="E164" s="194">
        <v>5.0</v>
      </c>
      <c r="F164" s="194">
        <v>2026.0</v>
      </c>
      <c r="G164" s="341">
        <v>46172.0</v>
      </c>
      <c r="H164" s="194">
        <v>30.0</v>
      </c>
      <c r="I164" s="194">
        <v>5.0</v>
      </c>
      <c r="J164" s="194">
        <v>2026.0</v>
      </c>
      <c r="K164" s="74" t="s">
        <v>36</v>
      </c>
      <c r="L164" s="74" t="s">
        <v>1177</v>
      </c>
      <c r="M164" s="194">
        <v>1.0</v>
      </c>
      <c r="N164" s="194">
        <v>4.0</v>
      </c>
      <c r="O164" s="194"/>
      <c r="P164" s="194">
        <v>8.0</v>
      </c>
      <c r="Q164" s="344">
        <v>46174.0</v>
      </c>
      <c r="R164" s="185">
        <v>1.0</v>
      </c>
      <c r="S164" s="185">
        <v>6.0</v>
      </c>
      <c r="T164" s="194">
        <v>2026.0</v>
      </c>
      <c r="U164" s="74" t="s">
        <v>36</v>
      </c>
      <c r="V164" s="194">
        <v>150.37</v>
      </c>
      <c r="W164" s="344">
        <v>46174.0</v>
      </c>
      <c r="X164" s="194">
        <v>1.0</v>
      </c>
      <c r="Y164" s="194">
        <v>6.0</v>
      </c>
      <c r="Z164" s="194">
        <v>2026.0</v>
      </c>
      <c r="AA164" s="74" t="s">
        <v>36</v>
      </c>
    </row>
    <row r="165" ht="15.75" hidden="1" customHeight="1">
      <c r="A165" s="340" t="s">
        <v>1492</v>
      </c>
      <c r="B165" s="341">
        <v>6.499394092E9</v>
      </c>
      <c r="C165" s="341">
        <v>46161.0</v>
      </c>
      <c r="D165" s="194">
        <v>19.0</v>
      </c>
      <c r="E165" s="194">
        <v>5.0</v>
      </c>
      <c r="F165" s="194">
        <v>2026.0</v>
      </c>
      <c r="G165" s="341">
        <v>46162.0</v>
      </c>
      <c r="H165" s="194">
        <v>20.0</v>
      </c>
      <c r="I165" s="194">
        <v>5.0</v>
      </c>
      <c r="J165" s="194">
        <v>2026.0</v>
      </c>
      <c r="K165" s="74" t="s">
        <v>36</v>
      </c>
      <c r="L165" s="74" t="s">
        <v>1177</v>
      </c>
      <c r="M165" s="194">
        <v>1.0</v>
      </c>
      <c r="N165" s="194">
        <v>1.0</v>
      </c>
      <c r="O165" s="194"/>
      <c r="P165" s="194">
        <v>2.0</v>
      </c>
      <c r="Q165" s="344">
        <v>46174.0</v>
      </c>
      <c r="R165" s="185">
        <v>1.0</v>
      </c>
      <c r="S165" s="185">
        <v>6.0</v>
      </c>
      <c r="T165" s="194">
        <v>2026.0</v>
      </c>
      <c r="U165" s="74" t="s">
        <v>36</v>
      </c>
      <c r="V165" s="194">
        <v>33.41</v>
      </c>
      <c r="W165" s="344">
        <v>46174.0</v>
      </c>
      <c r="X165" s="194">
        <v>1.0</v>
      </c>
      <c r="Y165" s="194">
        <v>6.0</v>
      </c>
      <c r="Z165" s="194">
        <v>2026.0</v>
      </c>
      <c r="AA165" s="74" t="s">
        <v>36</v>
      </c>
    </row>
    <row r="166" ht="15.75" hidden="1" customHeight="1">
      <c r="A166" s="340" t="s">
        <v>1493</v>
      </c>
      <c r="B166" s="341">
        <v>5.698913538E9</v>
      </c>
      <c r="C166" s="341">
        <v>46146.0</v>
      </c>
      <c r="D166" s="194">
        <v>4.0</v>
      </c>
      <c r="E166" s="194">
        <v>5.0</v>
      </c>
      <c r="F166" s="194">
        <v>2026.0</v>
      </c>
      <c r="G166" s="341">
        <v>46147.0</v>
      </c>
      <c r="H166" s="194">
        <v>5.0</v>
      </c>
      <c r="I166" s="194">
        <v>5.0</v>
      </c>
      <c r="J166" s="194">
        <v>2026.0</v>
      </c>
      <c r="K166" s="74" t="s">
        <v>36</v>
      </c>
      <c r="L166" s="74" t="s">
        <v>1177</v>
      </c>
      <c r="M166" s="194">
        <v>1.0</v>
      </c>
      <c r="N166" s="194">
        <v>1.0</v>
      </c>
      <c r="O166" s="194"/>
      <c r="P166" s="194">
        <v>2.0</v>
      </c>
      <c r="Q166" s="344">
        <v>46174.0</v>
      </c>
      <c r="R166" s="185">
        <v>1.0</v>
      </c>
      <c r="S166" s="185">
        <v>6.0</v>
      </c>
      <c r="T166" s="194">
        <v>2026.0</v>
      </c>
      <c r="U166" s="74" t="s">
        <v>36</v>
      </c>
      <c r="V166" s="194">
        <v>37.59</v>
      </c>
      <c r="W166" s="344">
        <v>46174.0</v>
      </c>
      <c r="X166" s="194">
        <v>1.0</v>
      </c>
      <c r="Y166" s="194">
        <v>6.0</v>
      </c>
      <c r="Z166" s="194">
        <v>2026.0</v>
      </c>
      <c r="AA166" s="74" t="s">
        <v>36</v>
      </c>
    </row>
    <row r="167" ht="15.75" hidden="1" customHeight="1">
      <c r="A167" s="340" t="s">
        <v>1494</v>
      </c>
      <c r="B167" s="341">
        <v>6.185136714E9</v>
      </c>
      <c r="C167" s="341">
        <v>46149.0</v>
      </c>
      <c r="D167" s="194">
        <v>7.0</v>
      </c>
      <c r="E167" s="194">
        <v>5.0</v>
      </c>
      <c r="F167" s="194">
        <v>2026.0</v>
      </c>
      <c r="G167" s="341">
        <v>46152.0</v>
      </c>
      <c r="H167" s="194">
        <v>10.0</v>
      </c>
      <c r="I167" s="194">
        <v>5.0</v>
      </c>
      <c r="J167" s="194">
        <v>2026.0</v>
      </c>
      <c r="K167" s="74" t="s">
        <v>36</v>
      </c>
      <c r="L167" s="74" t="s">
        <v>1177</v>
      </c>
      <c r="M167" s="194">
        <v>1.0</v>
      </c>
      <c r="N167" s="194">
        <v>3.0</v>
      </c>
      <c r="O167" s="194"/>
      <c r="P167" s="194">
        <v>6.0</v>
      </c>
      <c r="Q167" s="344">
        <v>46174.0</v>
      </c>
      <c r="R167" s="185">
        <v>1.0</v>
      </c>
      <c r="S167" s="185">
        <v>6.0</v>
      </c>
      <c r="T167" s="194">
        <v>2026.0</v>
      </c>
      <c r="U167" s="74" t="s">
        <v>36</v>
      </c>
      <c r="V167" s="194">
        <v>112.78</v>
      </c>
      <c r="W167" s="344">
        <v>46174.0</v>
      </c>
      <c r="X167" s="194">
        <v>1.0</v>
      </c>
      <c r="Y167" s="194">
        <v>6.0</v>
      </c>
      <c r="Z167" s="194">
        <v>2026.0</v>
      </c>
      <c r="AA167" s="74" t="s">
        <v>36</v>
      </c>
    </row>
    <row r="168" ht="15.75" hidden="1" customHeight="1">
      <c r="A168" s="340" t="s">
        <v>1495</v>
      </c>
      <c r="B168" s="341">
        <v>5.208353815E9</v>
      </c>
      <c r="C168" s="341">
        <v>46143.0</v>
      </c>
      <c r="D168" s="194">
        <v>1.0</v>
      </c>
      <c r="E168" s="194">
        <v>5.0</v>
      </c>
      <c r="F168" s="194">
        <v>2026.0</v>
      </c>
      <c r="G168" s="341">
        <v>46147.0</v>
      </c>
      <c r="H168" s="194">
        <v>5.0</v>
      </c>
      <c r="I168" s="194">
        <v>5.0</v>
      </c>
      <c r="J168" s="194">
        <v>2026.0</v>
      </c>
      <c r="K168" s="74" t="s">
        <v>36</v>
      </c>
      <c r="L168" s="74" t="s">
        <v>1177</v>
      </c>
      <c r="M168" s="194">
        <v>1.0</v>
      </c>
      <c r="N168" s="194">
        <v>4.0</v>
      </c>
      <c r="O168" s="194"/>
      <c r="P168" s="194">
        <v>8.0</v>
      </c>
      <c r="Q168" s="344">
        <v>46174.0</v>
      </c>
      <c r="R168" s="185">
        <v>1.0</v>
      </c>
      <c r="S168" s="185">
        <v>6.0</v>
      </c>
      <c r="T168" s="194">
        <v>2026.0</v>
      </c>
      <c r="U168" s="74" t="s">
        <v>36</v>
      </c>
      <c r="V168" s="194">
        <v>150.37</v>
      </c>
      <c r="W168" s="344">
        <v>46174.0</v>
      </c>
      <c r="X168" s="194">
        <v>1.0</v>
      </c>
      <c r="Y168" s="194">
        <v>6.0</v>
      </c>
      <c r="Z168" s="194">
        <v>2026.0</v>
      </c>
      <c r="AA168" s="74" t="s">
        <v>36</v>
      </c>
    </row>
    <row r="169" ht="15.75" hidden="1" customHeight="1">
      <c r="A169" s="340" t="s">
        <v>1498</v>
      </c>
      <c r="B169" s="341">
        <v>5.651846424E9</v>
      </c>
      <c r="C169" s="341">
        <v>46163.0</v>
      </c>
      <c r="D169" s="194">
        <v>21.0</v>
      </c>
      <c r="E169" s="194">
        <v>5.0</v>
      </c>
      <c r="F169" s="194">
        <v>2026.0</v>
      </c>
      <c r="G169" s="341">
        <v>46166.0</v>
      </c>
      <c r="H169" s="194">
        <v>24.0</v>
      </c>
      <c r="I169" s="194">
        <v>5.0</v>
      </c>
      <c r="J169" s="194">
        <v>2026.0</v>
      </c>
      <c r="K169" s="74" t="s">
        <v>36</v>
      </c>
      <c r="L169" s="74" t="s">
        <v>1177</v>
      </c>
      <c r="M169" s="194">
        <v>1.0</v>
      </c>
      <c r="N169" s="194">
        <v>3.0</v>
      </c>
      <c r="O169" s="194"/>
      <c r="P169" s="194">
        <v>6.0</v>
      </c>
      <c r="Q169" s="344">
        <v>46174.0</v>
      </c>
      <c r="R169" s="185">
        <v>1.0</v>
      </c>
      <c r="S169" s="185">
        <v>6.0</v>
      </c>
      <c r="T169" s="194">
        <v>2026.0</v>
      </c>
      <c r="U169" s="74" t="s">
        <v>36</v>
      </c>
      <c r="V169" s="194">
        <v>116.96</v>
      </c>
      <c r="W169" s="344">
        <v>46174.0</v>
      </c>
      <c r="X169" s="194">
        <v>1.0</v>
      </c>
      <c r="Y169" s="194">
        <v>6.0</v>
      </c>
      <c r="Z169" s="194">
        <v>2026.0</v>
      </c>
      <c r="AA169" s="74" t="s">
        <v>36</v>
      </c>
    </row>
    <row r="170" ht="15.75" hidden="1" customHeight="1">
      <c r="A170" s="340" t="s">
        <v>1502</v>
      </c>
      <c r="B170" s="341">
        <v>6.10490567E9</v>
      </c>
      <c r="C170" s="341">
        <v>46166.0</v>
      </c>
      <c r="D170" s="194">
        <v>24.0</v>
      </c>
      <c r="E170" s="194">
        <v>5.0</v>
      </c>
      <c r="F170" s="194">
        <v>2026.0</v>
      </c>
      <c r="G170" s="341">
        <v>46168.0</v>
      </c>
      <c r="H170" s="194">
        <v>26.0</v>
      </c>
      <c r="I170" s="194">
        <v>5.0</v>
      </c>
      <c r="J170" s="194">
        <v>2026.0</v>
      </c>
      <c r="K170" s="74" t="s">
        <v>36</v>
      </c>
      <c r="L170" s="74" t="s">
        <v>1177</v>
      </c>
      <c r="M170" s="194">
        <v>1.0</v>
      </c>
      <c r="N170" s="194">
        <v>2.0</v>
      </c>
      <c r="O170" s="194"/>
      <c r="P170" s="194">
        <v>4.0</v>
      </c>
      <c r="Q170" s="344">
        <v>46174.0</v>
      </c>
      <c r="R170" s="185">
        <v>1.0</v>
      </c>
      <c r="S170" s="185">
        <v>6.0</v>
      </c>
      <c r="T170" s="194">
        <v>2026.0</v>
      </c>
      <c r="U170" s="74" t="s">
        <v>36</v>
      </c>
      <c r="V170" s="194">
        <v>58.46</v>
      </c>
      <c r="W170" s="344">
        <v>46174.0</v>
      </c>
      <c r="X170" s="194">
        <v>1.0</v>
      </c>
      <c r="Y170" s="194">
        <v>6.0</v>
      </c>
      <c r="Z170" s="194">
        <v>2026.0</v>
      </c>
      <c r="AA170" s="74" t="s">
        <v>36</v>
      </c>
    </row>
    <row r="171" ht="15.75" hidden="1" customHeight="1">
      <c r="A171" s="340" t="s">
        <v>1504</v>
      </c>
      <c r="B171" s="343">
        <v>6.610665597E9</v>
      </c>
      <c r="C171" s="341">
        <v>46151.0</v>
      </c>
      <c r="D171" s="194">
        <v>9.0</v>
      </c>
      <c r="E171" s="194">
        <v>5.0</v>
      </c>
      <c r="F171" s="194">
        <v>2026.0</v>
      </c>
      <c r="G171" s="341">
        <v>46156.0</v>
      </c>
      <c r="H171" s="194">
        <v>14.0</v>
      </c>
      <c r="I171" s="194">
        <v>5.0</v>
      </c>
      <c r="J171" s="194">
        <v>2026.0</v>
      </c>
      <c r="K171" s="74" t="s">
        <v>36</v>
      </c>
      <c r="L171" s="74" t="s">
        <v>1480</v>
      </c>
      <c r="M171" s="194">
        <v>1.0</v>
      </c>
      <c r="N171" s="194">
        <v>5.0</v>
      </c>
      <c r="O171" s="194"/>
      <c r="P171" s="194">
        <v>0.0</v>
      </c>
      <c r="Q171" s="344">
        <v>46174.0</v>
      </c>
      <c r="R171" s="185">
        <v>1.0</v>
      </c>
      <c r="S171" s="185">
        <v>6.0</v>
      </c>
      <c r="T171" s="194">
        <v>2026.0</v>
      </c>
      <c r="U171" s="74" t="s">
        <v>36</v>
      </c>
      <c r="V171" s="194">
        <v>0.0</v>
      </c>
      <c r="W171" s="344">
        <v>46174.0</v>
      </c>
      <c r="X171" s="194">
        <v>1.0</v>
      </c>
      <c r="Y171" s="194">
        <v>6.0</v>
      </c>
      <c r="Z171" s="194">
        <v>2026.0</v>
      </c>
      <c r="AA171" s="74" t="s">
        <v>36</v>
      </c>
    </row>
    <row r="172" ht="15.75" hidden="1" customHeight="1">
      <c r="A172" s="340" t="s">
        <v>1509</v>
      </c>
      <c r="B172" s="341">
        <v>6.464047451E9</v>
      </c>
      <c r="C172" s="341">
        <v>46144.0</v>
      </c>
      <c r="D172" s="194">
        <v>2.0</v>
      </c>
      <c r="E172" s="194">
        <v>5.0</v>
      </c>
      <c r="F172" s="194">
        <v>2026.0</v>
      </c>
      <c r="G172" s="341">
        <v>46145.0</v>
      </c>
      <c r="H172" s="194">
        <v>3.0</v>
      </c>
      <c r="I172" s="194">
        <v>5.0</v>
      </c>
      <c r="J172" s="194">
        <v>2026.0</v>
      </c>
      <c r="K172" s="74" t="s">
        <v>36</v>
      </c>
      <c r="L172" s="74" t="s">
        <v>1177</v>
      </c>
      <c r="M172" s="194">
        <v>1.0</v>
      </c>
      <c r="N172" s="194">
        <v>1.0</v>
      </c>
      <c r="O172" s="194"/>
      <c r="P172" s="194">
        <v>2.0</v>
      </c>
      <c r="Q172" s="344">
        <v>46174.0</v>
      </c>
      <c r="R172" s="185">
        <v>1.0</v>
      </c>
      <c r="S172" s="185">
        <v>6.0</v>
      </c>
      <c r="T172" s="194">
        <v>2026.0</v>
      </c>
      <c r="U172" s="74" t="s">
        <v>36</v>
      </c>
      <c r="V172" s="194">
        <v>37.59</v>
      </c>
      <c r="W172" s="344">
        <v>46174.0</v>
      </c>
      <c r="X172" s="194">
        <v>1.0</v>
      </c>
      <c r="Y172" s="194">
        <v>6.0</v>
      </c>
      <c r="Z172" s="194">
        <v>2026.0</v>
      </c>
      <c r="AA172" s="74" t="s">
        <v>36</v>
      </c>
    </row>
    <row r="173" ht="15.75" hidden="1" customHeight="1">
      <c r="A173" s="340" t="s">
        <v>1511</v>
      </c>
      <c r="B173" s="341">
        <v>5.16947457E9</v>
      </c>
      <c r="C173" s="341">
        <v>46143.0</v>
      </c>
      <c r="D173" s="194">
        <v>1.0</v>
      </c>
      <c r="E173" s="194">
        <v>5.0</v>
      </c>
      <c r="F173" s="194">
        <v>2026.0</v>
      </c>
      <c r="G173" s="341">
        <v>46144.0</v>
      </c>
      <c r="H173" s="194">
        <v>2.0</v>
      </c>
      <c r="I173" s="194">
        <v>5.0</v>
      </c>
      <c r="J173" s="194">
        <v>2026.0</v>
      </c>
      <c r="K173" s="74" t="s">
        <v>36</v>
      </c>
      <c r="L173" s="74" t="s">
        <v>1177</v>
      </c>
      <c r="M173" s="194">
        <v>1.0</v>
      </c>
      <c r="N173" s="194">
        <v>1.0</v>
      </c>
      <c r="O173" s="194"/>
      <c r="P173" s="194">
        <v>2.0</v>
      </c>
      <c r="Q173" s="344">
        <v>46174.0</v>
      </c>
      <c r="R173" s="185">
        <v>1.0</v>
      </c>
      <c r="S173" s="185">
        <v>6.0</v>
      </c>
      <c r="T173" s="194">
        <v>2026.0</v>
      </c>
      <c r="U173" s="74" t="s">
        <v>36</v>
      </c>
      <c r="V173" s="194">
        <v>37.59</v>
      </c>
      <c r="W173" s="344">
        <v>46174.0</v>
      </c>
      <c r="X173" s="194">
        <v>1.0</v>
      </c>
      <c r="Y173" s="194">
        <v>6.0</v>
      </c>
      <c r="Z173" s="194">
        <v>2026.0</v>
      </c>
      <c r="AA173" s="74" t="s">
        <v>36</v>
      </c>
    </row>
    <row r="174" ht="15.75" hidden="1" customHeight="1">
      <c r="A174" s="340" t="s">
        <v>1511</v>
      </c>
      <c r="B174" s="341">
        <v>5.88989953E9</v>
      </c>
      <c r="C174" s="341">
        <v>46143.0</v>
      </c>
      <c r="D174" s="194">
        <v>1.0</v>
      </c>
      <c r="E174" s="194">
        <v>5.0</v>
      </c>
      <c r="F174" s="194">
        <v>2026.0</v>
      </c>
      <c r="G174" s="341">
        <v>46144.0</v>
      </c>
      <c r="H174" s="194">
        <v>2.0</v>
      </c>
      <c r="I174" s="194">
        <v>5.0</v>
      </c>
      <c r="J174" s="194">
        <v>2026.0</v>
      </c>
      <c r="K174" s="74" t="s">
        <v>36</v>
      </c>
      <c r="L174" s="74" t="s">
        <v>1480</v>
      </c>
      <c r="M174" s="194">
        <v>1.0</v>
      </c>
      <c r="N174" s="194">
        <v>1.0</v>
      </c>
      <c r="O174" s="194"/>
      <c r="P174" s="194">
        <v>0.0</v>
      </c>
      <c r="Q174" s="344">
        <v>46174.0</v>
      </c>
      <c r="R174" s="185">
        <v>1.0</v>
      </c>
      <c r="S174" s="185">
        <v>6.0</v>
      </c>
      <c r="T174" s="194">
        <v>2026.0</v>
      </c>
      <c r="U174" s="74" t="s">
        <v>36</v>
      </c>
      <c r="V174" s="194">
        <v>0.0</v>
      </c>
      <c r="W174" s="344">
        <v>46174.0</v>
      </c>
      <c r="X174" s="194">
        <v>1.0</v>
      </c>
      <c r="Y174" s="194">
        <v>6.0</v>
      </c>
      <c r="Z174" s="194">
        <v>2026.0</v>
      </c>
      <c r="AA174" s="74" t="s">
        <v>36</v>
      </c>
    </row>
    <row r="175" ht="15.75" hidden="1" customHeight="1">
      <c r="A175" s="340" t="s">
        <v>1511</v>
      </c>
      <c r="B175" s="341">
        <v>6.123769171E9</v>
      </c>
      <c r="C175" s="341">
        <v>46143.0</v>
      </c>
      <c r="D175" s="194">
        <v>1.0</v>
      </c>
      <c r="E175" s="194">
        <v>5.0</v>
      </c>
      <c r="F175" s="194">
        <v>2026.0</v>
      </c>
      <c r="G175" s="341">
        <v>46144.0</v>
      </c>
      <c r="H175" s="194">
        <v>2.0</v>
      </c>
      <c r="I175" s="194">
        <v>5.0</v>
      </c>
      <c r="J175" s="194">
        <v>2026.0</v>
      </c>
      <c r="K175" s="74" t="s">
        <v>36</v>
      </c>
      <c r="L175" s="74" t="s">
        <v>1480</v>
      </c>
      <c r="M175" s="194">
        <v>1.0</v>
      </c>
      <c r="N175" s="194">
        <v>1.0</v>
      </c>
      <c r="O175" s="194"/>
      <c r="P175" s="194">
        <v>0.0</v>
      </c>
      <c r="Q175" s="344">
        <v>46174.0</v>
      </c>
      <c r="R175" s="185">
        <v>1.0</v>
      </c>
      <c r="S175" s="185">
        <v>6.0</v>
      </c>
      <c r="T175" s="194">
        <v>2026.0</v>
      </c>
      <c r="U175" s="74" t="s">
        <v>36</v>
      </c>
      <c r="V175" s="194">
        <v>0.0</v>
      </c>
      <c r="W175" s="344">
        <v>46174.0</v>
      </c>
      <c r="X175" s="194">
        <v>1.0</v>
      </c>
      <c r="Y175" s="194">
        <v>6.0</v>
      </c>
      <c r="Z175" s="194">
        <v>2026.0</v>
      </c>
      <c r="AA175" s="74" t="s">
        <v>36</v>
      </c>
    </row>
    <row r="176" ht="15.75" hidden="1" customHeight="1">
      <c r="A176" s="340" t="s">
        <v>1512</v>
      </c>
      <c r="B176" s="341">
        <v>6.469984779E9</v>
      </c>
      <c r="C176" s="341">
        <v>46168.0</v>
      </c>
      <c r="D176" s="194">
        <v>26.0</v>
      </c>
      <c r="E176" s="194">
        <v>5.0</v>
      </c>
      <c r="F176" s="194">
        <v>2026.0</v>
      </c>
      <c r="G176" s="341">
        <v>46170.0</v>
      </c>
      <c r="H176" s="194">
        <v>28.0</v>
      </c>
      <c r="I176" s="194">
        <v>5.0</v>
      </c>
      <c r="J176" s="194">
        <v>2026.0</v>
      </c>
      <c r="K176" s="74" t="s">
        <v>36</v>
      </c>
      <c r="L176" s="74" t="s">
        <v>1177</v>
      </c>
      <c r="M176" s="194">
        <v>1.0</v>
      </c>
      <c r="N176" s="194">
        <v>2.0</v>
      </c>
      <c r="O176" s="194"/>
      <c r="P176" s="194">
        <v>4.0</v>
      </c>
      <c r="Q176" s="344">
        <v>46174.0</v>
      </c>
      <c r="R176" s="185">
        <v>1.0</v>
      </c>
      <c r="S176" s="185">
        <v>6.0</v>
      </c>
      <c r="T176" s="194">
        <v>2026.0</v>
      </c>
      <c r="U176" s="74" t="s">
        <v>36</v>
      </c>
      <c r="V176" s="194">
        <v>75.18</v>
      </c>
      <c r="W176" s="344">
        <v>46174.0</v>
      </c>
      <c r="X176" s="194">
        <v>1.0</v>
      </c>
      <c r="Y176" s="194">
        <v>6.0</v>
      </c>
      <c r="Z176" s="194">
        <v>2026.0</v>
      </c>
      <c r="AA176" s="74" t="s">
        <v>36</v>
      </c>
    </row>
    <row r="177" ht="15.75" hidden="1" customHeight="1">
      <c r="A177" s="340" t="s">
        <v>1513</v>
      </c>
      <c r="B177" s="341">
        <v>6.297008884E9</v>
      </c>
      <c r="C177" s="341">
        <v>46162.0</v>
      </c>
      <c r="D177" s="194">
        <v>20.0</v>
      </c>
      <c r="E177" s="194">
        <v>5.0</v>
      </c>
      <c r="F177" s="194">
        <v>2026.0</v>
      </c>
      <c r="G177" s="341">
        <v>46165.0</v>
      </c>
      <c r="H177" s="194">
        <v>23.0</v>
      </c>
      <c r="I177" s="194">
        <v>5.0</v>
      </c>
      <c r="J177" s="194">
        <v>2026.0</v>
      </c>
      <c r="K177" s="74" t="s">
        <v>36</v>
      </c>
      <c r="L177" s="74" t="s">
        <v>1177</v>
      </c>
      <c r="M177" s="194">
        <v>1.0</v>
      </c>
      <c r="N177" s="194">
        <v>3.0</v>
      </c>
      <c r="O177" s="194"/>
      <c r="P177" s="194">
        <v>6.0</v>
      </c>
      <c r="Q177" s="344">
        <v>46174.0</v>
      </c>
      <c r="R177" s="185">
        <v>1.0</v>
      </c>
      <c r="S177" s="185">
        <v>6.0</v>
      </c>
      <c r="T177" s="194">
        <v>2026.0</v>
      </c>
      <c r="U177" s="74" t="s">
        <v>36</v>
      </c>
      <c r="V177" s="194">
        <v>112.78</v>
      </c>
      <c r="W177" s="344">
        <v>46174.0</v>
      </c>
      <c r="X177" s="194">
        <v>1.0</v>
      </c>
      <c r="Y177" s="194">
        <v>6.0</v>
      </c>
      <c r="Z177" s="194">
        <v>2026.0</v>
      </c>
      <c r="AA177" s="74" t="s">
        <v>36</v>
      </c>
    </row>
    <row r="178" ht="15.75" hidden="1" customHeight="1">
      <c r="A178" s="340" t="s">
        <v>1514</v>
      </c>
      <c r="B178" s="341">
        <v>5.754816607E9</v>
      </c>
      <c r="C178" s="341">
        <v>46156.0</v>
      </c>
      <c r="D178" s="194">
        <v>14.0</v>
      </c>
      <c r="E178" s="194">
        <v>5.0</v>
      </c>
      <c r="F178" s="194">
        <v>2026.0</v>
      </c>
      <c r="G178" s="341">
        <v>46157.0</v>
      </c>
      <c r="H178" s="194">
        <v>15.0</v>
      </c>
      <c r="I178" s="194">
        <v>5.0</v>
      </c>
      <c r="J178" s="194">
        <v>2026.0</v>
      </c>
      <c r="K178" s="74" t="s">
        <v>36</v>
      </c>
      <c r="L178" s="74" t="s">
        <v>1177</v>
      </c>
      <c r="M178" s="194">
        <v>1.0</v>
      </c>
      <c r="N178" s="194">
        <v>1.0</v>
      </c>
      <c r="O178" s="194"/>
      <c r="P178" s="194">
        <v>2.0</v>
      </c>
      <c r="Q178" s="344">
        <v>46174.0</v>
      </c>
      <c r="R178" s="185">
        <v>1.0</v>
      </c>
      <c r="S178" s="185">
        <v>6.0</v>
      </c>
      <c r="T178" s="194">
        <v>2026.0</v>
      </c>
      <c r="U178" s="74" t="s">
        <v>36</v>
      </c>
      <c r="V178" s="194">
        <v>37.59</v>
      </c>
      <c r="W178" s="344">
        <v>46174.0</v>
      </c>
      <c r="X178" s="194">
        <v>1.0</v>
      </c>
      <c r="Y178" s="194">
        <v>6.0</v>
      </c>
      <c r="Z178" s="194">
        <v>2026.0</v>
      </c>
      <c r="AA178" s="74" t="s">
        <v>36</v>
      </c>
    </row>
    <row r="179" ht="15.75" hidden="1" customHeight="1">
      <c r="A179" s="340" t="s">
        <v>1515</v>
      </c>
      <c r="B179" s="341">
        <v>5.128451428E9</v>
      </c>
      <c r="C179" s="341">
        <v>46149.0</v>
      </c>
      <c r="D179" s="194">
        <v>7.0</v>
      </c>
      <c r="E179" s="194">
        <v>5.0</v>
      </c>
      <c r="F179" s="194">
        <v>2026.0</v>
      </c>
      <c r="G179" s="341">
        <v>46150.0</v>
      </c>
      <c r="H179" s="194">
        <v>8.0</v>
      </c>
      <c r="I179" s="194">
        <v>5.0</v>
      </c>
      <c r="J179" s="194">
        <v>2026.0</v>
      </c>
      <c r="K179" s="74" t="s">
        <v>36</v>
      </c>
      <c r="L179" s="74" t="s">
        <v>1177</v>
      </c>
      <c r="M179" s="194">
        <v>1.0</v>
      </c>
      <c r="N179" s="194">
        <v>1.0</v>
      </c>
      <c r="O179" s="194"/>
      <c r="P179" s="194">
        <v>2.0</v>
      </c>
      <c r="Q179" s="344">
        <v>46174.0</v>
      </c>
      <c r="R179" s="185">
        <v>1.0</v>
      </c>
      <c r="S179" s="185">
        <v>6.0</v>
      </c>
      <c r="T179" s="194">
        <v>2026.0</v>
      </c>
      <c r="U179" s="74" t="s">
        <v>36</v>
      </c>
      <c r="V179" s="194">
        <v>41.77</v>
      </c>
      <c r="W179" s="344">
        <v>46174.0</v>
      </c>
      <c r="X179" s="194">
        <v>1.0</v>
      </c>
      <c r="Y179" s="194">
        <v>6.0</v>
      </c>
      <c r="Z179" s="194">
        <v>2026.0</v>
      </c>
      <c r="AA179" s="74" t="s">
        <v>36</v>
      </c>
    </row>
    <row r="180" ht="15.75" hidden="1" customHeight="1">
      <c r="A180" s="340" t="s">
        <v>1516</v>
      </c>
      <c r="B180" s="341">
        <v>5.476075762E9</v>
      </c>
      <c r="C180" s="341">
        <v>46164.0</v>
      </c>
      <c r="D180" s="194">
        <v>22.0</v>
      </c>
      <c r="E180" s="194">
        <v>5.0</v>
      </c>
      <c r="F180" s="194">
        <v>2026.0</v>
      </c>
      <c r="G180" s="341">
        <v>46166.0</v>
      </c>
      <c r="H180" s="194">
        <v>24.0</v>
      </c>
      <c r="I180" s="194">
        <v>5.0</v>
      </c>
      <c r="J180" s="194">
        <v>2026.0</v>
      </c>
      <c r="K180" s="74" t="s">
        <v>36</v>
      </c>
      <c r="L180" s="74" t="s">
        <v>1177</v>
      </c>
      <c r="M180" s="194">
        <v>1.0</v>
      </c>
      <c r="N180" s="194">
        <v>2.0</v>
      </c>
      <c r="O180" s="194"/>
      <c r="P180" s="194">
        <v>4.0</v>
      </c>
      <c r="Q180" s="344">
        <v>46174.0</v>
      </c>
      <c r="R180" s="185">
        <v>1.0</v>
      </c>
      <c r="S180" s="185">
        <v>6.0</v>
      </c>
      <c r="T180" s="194">
        <v>2026.0</v>
      </c>
      <c r="U180" s="74" t="s">
        <v>36</v>
      </c>
      <c r="V180" s="194">
        <v>75.18</v>
      </c>
      <c r="W180" s="344">
        <v>46174.0</v>
      </c>
      <c r="X180" s="194">
        <v>1.0</v>
      </c>
      <c r="Y180" s="194">
        <v>6.0</v>
      </c>
      <c r="Z180" s="194">
        <v>2026.0</v>
      </c>
      <c r="AA180" s="74" t="s">
        <v>36</v>
      </c>
    </row>
    <row r="181" ht="15.75" hidden="1" customHeight="1">
      <c r="A181" s="340" t="s">
        <v>1517</v>
      </c>
      <c r="B181" s="341">
        <v>5.973230601E9</v>
      </c>
      <c r="C181" s="341">
        <v>46167.0</v>
      </c>
      <c r="D181" s="194">
        <v>25.0</v>
      </c>
      <c r="E181" s="194">
        <v>5.0</v>
      </c>
      <c r="F181" s="194">
        <v>2026.0</v>
      </c>
      <c r="G181" s="341">
        <v>46168.0</v>
      </c>
      <c r="H181" s="194">
        <v>26.0</v>
      </c>
      <c r="I181" s="194">
        <v>5.0</v>
      </c>
      <c r="J181" s="194">
        <v>2026.0</v>
      </c>
      <c r="K181" s="74" t="s">
        <v>36</v>
      </c>
      <c r="L181" s="74" t="s">
        <v>1177</v>
      </c>
      <c r="M181" s="194">
        <v>1.0</v>
      </c>
      <c r="N181" s="194">
        <v>1.0</v>
      </c>
      <c r="O181" s="194"/>
      <c r="P181" s="194">
        <v>2.0</v>
      </c>
      <c r="Q181" s="344">
        <v>46174.0</v>
      </c>
      <c r="R181" s="185">
        <v>1.0</v>
      </c>
      <c r="S181" s="185">
        <v>6.0</v>
      </c>
      <c r="T181" s="194">
        <v>2026.0</v>
      </c>
      <c r="U181" s="74" t="s">
        <v>36</v>
      </c>
      <c r="V181" s="194">
        <v>29.23</v>
      </c>
      <c r="W181" s="344">
        <v>46174.0</v>
      </c>
      <c r="X181" s="194">
        <v>1.0</v>
      </c>
      <c r="Y181" s="194">
        <v>6.0</v>
      </c>
      <c r="Z181" s="194">
        <v>2026.0</v>
      </c>
      <c r="AA181" s="74" t="s">
        <v>36</v>
      </c>
    </row>
    <row r="182" ht="15.75" hidden="1" customHeight="1">
      <c r="A182" s="340" t="s">
        <v>1518</v>
      </c>
      <c r="B182" s="341">
        <v>5.437858726E9</v>
      </c>
      <c r="C182" s="341">
        <v>46145.0</v>
      </c>
      <c r="D182" s="194">
        <v>3.0</v>
      </c>
      <c r="E182" s="194">
        <v>5.0</v>
      </c>
      <c r="F182" s="194">
        <v>2026.0</v>
      </c>
      <c r="G182" s="341">
        <v>46146.0</v>
      </c>
      <c r="H182" s="194">
        <v>4.0</v>
      </c>
      <c r="I182" s="194">
        <v>5.0</v>
      </c>
      <c r="J182" s="194">
        <v>2026.0</v>
      </c>
      <c r="K182" s="74" t="s">
        <v>36</v>
      </c>
      <c r="L182" s="74" t="s">
        <v>1177</v>
      </c>
      <c r="M182" s="194">
        <v>1.0</v>
      </c>
      <c r="N182" s="194">
        <v>1.0</v>
      </c>
      <c r="O182" s="194"/>
      <c r="P182" s="194">
        <v>2.0</v>
      </c>
      <c r="Q182" s="344">
        <v>46174.0</v>
      </c>
      <c r="R182" s="185">
        <v>1.0</v>
      </c>
      <c r="S182" s="185">
        <v>6.0</v>
      </c>
      <c r="T182" s="194">
        <v>2026.0</v>
      </c>
      <c r="U182" s="74" t="s">
        <v>36</v>
      </c>
      <c r="V182" s="194">
        <v>37.59</v>
      </c>
      <c r="W182" s="344">
        <v>46174.0</v>
      </c>
      <c r="X182" s="194">
        <v>1.0</v>
      </c>
      <c r="Y182" s="194">
        <v>6.0</v>
      </c>
      <c r="Z182" s="194">
        <v>2026.0</v>
      </c>
      <c r="AA182" s="74" t="s">
        <v>36</v>
      </c>
    </row>
    <row r="183" ht="15.75" hidden="1" customHeight="1">
      <c r="A183" s="340" t="s">
        <v>1519</v>
      </c>
      <c r="B183" s="341">
        <v>6.077436183E9</v>
      </c>
      <c r="C183" s="341">
        <v>46148.0</v>
      </c>
      <c r="D183" s="194">
        <v>6.0</v>
      </c>
      <c r="E183" s="194">
        <v>5.0</v>
      </c>
      <c r="F183" s="194">
        <v>2026.0</v>
      </c>
      <c r="G183" s="341">
        <v>46149.0</v>
      </c>
      <c r="H183" s="194">
        <v>7.0</v>
      </c>
      <c r="I183" s="194">
        <v>5.0</v>
      </c>
      <c r="J183" s="194">
        <v>2026.0</v>
      </c>
      <c r="K183" s="74" t="s">
        <v>36</v>
      </c>
      <c r="L183" s="74" t="s">
        <v>1177</v>
      </c>
      <c r="M183" s="194">
        <v>1.0</v>
      </c>
      <c r="N183" s="194">
        <v>1.0</v>
      </c>
      <c r="O183" s="194"/>
      <c r="P183" s="194">
        <v>2.0</v>
      </c>
      <c r="Q183" s="344">
        <v>46174.0</v>
      </c>
      <c r="R183" s="185">
        <v>1.0</v>
      </c>
      <c r="S183" s="185">
        <v>6.0</v>
      </c>
      <c r="T183" s="194">
        <v>2026.0</v>
      </c>
      <c r="U183" s="74" t="s">
        <v>36</v>
      </c>
      <c r="V183" s="194">
        <v>37.59</v>
      </c>
      <c r="W183" s="344">
        <v>46174.0</v>
      </c>
      <c r="X183" s="194">
        <v>1.0</v>
      </c>
      <c r="Y183" s="194">
        <v>6.0</v>
      </c>
      <c r="Z183" s="194">
        <v>2026.0</v>
      </c>
      <c r="AA183" s="74" t="s">
        <v>36</v>
      </c>
    </row>
    <row r="184" ht="15.75" hidden="1" customHeight="1">
      <c r="A184" s="340" t="s">
        <v>1520</v>
      </c>
      <c r="B184" s="341">
        <v>5.620431311E9</v>
      </c>
      <c r="C184" s="341">
        <v>46168.0</v>
      </c>
      <c r="D184" s="194">
        <v>26.0</v>
      </c>
      <c r="E184" s="194">
        <v>5.0</v>
      </c>
      <c r="F184" s="194">
        <v>2026.0</v>
      </c>
      <c r="G184" s="341">
        <v>46170.0</v>
      </c>
      <c r="H184" s="194">
        <v>28.0</v>
      </c>
      <c r="I184" s="194">
        <v>5.0</v>
      </c>
      <c r="J184" s="194">
        <v>2026.0</v>
      </c>
      <c r="K184" s="74" t="s">
        <v>36</v>
      </c>
      <c r="L184" s="74" t="s">
        <v>1177</v>
      </c>
      <c r="M184" s="194">
        <v>1.0</v>
      </c>
      <c r="N184" s="194">
        <v>2.0</v>
      </c>
      <c r="O184" s="194"/>
      <c r="P184" s="194">
        <v>4.0</v>
      </c>
      <c r="Q184" s="344">
        <v>46174.0</v>
      </c>
      <c r="R184" s="185">
        <v>1.0</v>
      </c>
      <c r="S184" s="185">
        <v>6.0</v>
      </c>
      <c r="T184" s="194">
        <v>2026.0</v>
      </c>
      <c r="U184" s="74" t="s">
        <v>36</v>
      </c>
      <c r="V184" s="194">
        <v>66.82</v>
      </c>
      <c r="W184" s="344">
        <v>46174.0</v>
      </c>
      <c r="X184" s="194">
        <v>1.0</v>
      </c>
      <c r="Y184" s="194">
        <v>6.0</v>
      </c>
      <c r="Z184" s="194">
        <v>2026.0</v>
      </c>
      <c r="AA184" s="74" t="s">
        <v>36</v>
      </c>
    </row>
    <row r="185" ht="15.75" hidden="1" customHeight="1">
      <c r="A185" s="340" t="s">
        <v>1521</v>
      </c>
      <c r="B185" s="341">
        <v>6.894584729E9</v>
      </c>
      <c r="C185" s="341">
        <v>46165.0</v>
      </c>
      <c r="D185" s="194">
        <v>23.0</v>
      </c>
      <c r="E185" s="194">
        <v>5.0</v>
      </c>
      <c r="F185" s="194">
        <v>2026.0</v>
      </c>
      <c r="G185" s="341">
        <v>46166.0</v>
      </c>
      <c r="H185" s="194">
        <v>24.0</v>
      </c>
      <c r="I185" s="194">
        <v>5.0</v>
      </c>
      <c r="J185" s="194">
        <v>2026.0</v>
      </c>
      <c r="K185" s="74" t="s">
        <v>36</v>
      </c>
      <c r="L185" s="74" t="s">
        <v>1177</v>
      </c>
      <c r="M185" s="194">
        <v>1.0</v>
      </c>
      <c r="N185" s="194">
        <v>1.0</v>
      </c>
      <c r="O185" s="194"/>
      <c r="P185" s="194">
        <v>2.0</v>
      </c>
      <c r="Q185" s="344">
        <v>46174.0</v>
      </c>
      <c r="R185" s="185">
        <v>1.0</v>
      </c>
      <c r="S185" s="185">
        <v>6.0</v>
      </c>
      <c r="T185" s="194">
        <v>2026.0</v>
      </c>
      <c r="U185" s="74" t="s">
        <v>36</v>
      </c>
      <c r="V185" s="194">
        <v>29.23</v>
      </c>
      <c r="W185" s="344">
        <v>46174.0</v>
      </c>
      <c r="X185" s="194">
        <v>1.0</v>
      </c>
      <c r="Y185" s="194">
        <v>6.0</v>
      </c>
      <c r="Z185" s="194">
        <v>2026.0</v>
      </c>
      <c r="AA185" s="74" t="s">
        <v>36</v>
      </c>
    </row>
    <row r="186" ht="15.75" hidden="1" customHeight="1">
      <c r="A186" s="340" t="s">
        <v>1522</v>
      </c>
      <c r="B186" s="341">
        <v>6.07004259E9</v>
      </c>
      <c r="C186" s="341">
        <v>46152.0</v>
      </c>
      <c r="D186" s="194">
        <v>10.0</v>
      </c>
      <c r="E186" s="194">
        <v>5.0</v>
      </c>
      <c r="F186" s="194">
        <v>2026.0</v>
      </c>
      <c r="G186" s="341">
        <v>46153.0</v>
      </c>
      <c r="H186" s="194">
        <v>11.0</v>
      </c>
      <c r="I186" s="194">
        <v>5.0</v>
      </c>
      <c r="J186" s="194">
        <v>2026.0</v>
      </c>
      <c r="K186" s="74" t="s">
        <v>36</v>
      </c>
      <c r="L186" s="74" t="s">
        <v>1177</v>
      </c>
      <c r="M186" s="194">
        <v>1.0</v>
      </c>
      <c r="N186" s="194">
        <v>1.0</v>
      </c>
      <c r="O186" s="194"/>
      <c r="P186" s="194">
        <v>2.0</v>
      </c>
      <c r="Q186" s="344">
        <v>46174.0</v>
      </c>
      <c r="R186" s="185">
        <v>1.0</v>
      </c>
      <c r="S186" s="185">
        <v>6.0</v>
      </c>
      <c r="T186" s="194">
        <v>2026.0</v>
      </c>
      <c r="U186" s="74" t="s">
        <v>36</v>
      </c>
      <c r="V186" s="194">
        <v>37.59</v>
      </c>
      <c r="W186" s="344">
        <v>46174.0</v>
      </c>
      <c r="X186" s="194">
        <v>1.0</v>
      </c>
      <c r="Y186" s="194">
        <v>6.0</v>
      </c>
      <c r="Z186" s="194">
        <v>2026.0</v>
      </c>
      <c r="AA186" s="74" t="s">
        <v>36</v>
      </c>
    </row>
    <row r="187" ht="15.75" hidden="1" customHeight="1">
      <c r="A187" s="340" t="s">
        <v>1523</v>
      </c>
      <c r="B187" s="341">
        <v>6.37016012E9</v>
      </c>
      <c r="C187" s="341">
        <v>46143.0</v>
      </c>
      <c r="D187" s="194">
        <v>1.0</v>
      </c>
      <c r="E187" s="194">
        <v>5.0</v>
      </c>
      <c r="F187" s="194">
        <v>2026.0</v>
      </c>
      <c r="G187" s="341">
        <v>46144.0</v>
      </c>
      <c r="H187" s="194">
        <v>2.0</v>
      </c>
      <c r="I187" s="194">
        <v>5.0</v>
      </c>
      <c r="J187" s="194">
        <v>2026.0</v>
      </c>
      <c r="K187" s="74" t="s">
        <v>36</v>
      </c>
      <c r="L187" s="74" t="s">
        <v>1480</v>
      </c>
      <c r="M187" s="194">
        <v>1.0</v>
      </c>
      <c r="N187" s="194">
        <v>1.0</v>
      </c>
      <c r="O187" s="194"/>
      <c r="P187" s="194">
        <v>0.0</v>
      </c>
      <c r="Q187" s="344">
        <v>46174.0</v>
      </c>
      <c r="R187" s="185">
        <v>1.0</v>
      </c>
      <c r="S187" s="185">
        <v>6.0</v>
      </c>
      <c r="T187" s="194">
        <v>2026.0</v>
      </c>
      <c r="U187" s="74" t="s">
        <v>36</v>
      </c>
      <c r="V187" s="194">
        <v>0.0</v>
      </c>
      <c r="W187" s="344">
        <v>46174.0</v>
      </c>
      <c r="X187" s="194">
        <v>1.0</v>
      </c>
      <c r="Y187" s="194">
        <v>6.0</v>
      </c>
      <c r="Z187" s="194">
        <v>2026.0</v>
      </c>
      <c r="AA187" s="74" t="s">
        <v>36</v>
      </c>
    </row>
    <row r="188" ht="15.75" hidden="1" customHeight="1">
      <c r="A188" s="340" t="s">
        <v>1524</v>
      </c>
      <c r="B188" s="341">
        <v>6.29141534E9</v>
      </c>
      <c r="C188" s="341">
        <v>46161.0</v>
      </c>
      <c r="D188" s="194">
        <v>19.0</v>
      </c>
      <c r="E188" s="194">
        <v>5.0</v>
      </c>
      <c r="F188" s="194">
        <v>2026.0</v>
      </c>
      <c r="G188" s="341">
        <v>46163.0</v>
      </c>
      <c r="H188" s="194">
        <v>21.0</v>
      </c>
      <c r="I188" s="194">
        <v>5.0</v>
      </c>
      <c r="J188" s="194">
        <v>2026.0</v>
      </c>
      <c r="K188" s="74" t="s">
        <v>36</v>
      </c>
      <c r="L188" s="74" t="s">
        <v>1177</v>
      </c>
      <c r="M188" s="194">
        <v>1.0</v>
      </c>
      <c r="N188" s="194">
        <v>2.0</v>
      </c>
      <c r="O188" s="194"/>
      <c r="P188" s="194">
        <v>4.0</v>
      </c>
      <c r="Q188" s="344">
        <v>46174.0</v>
      </c>
      <c r="R188" s="185">
        <v>1.0</v>
      </c>
      <c r="S188" s="185">
        <v>6.0</v>
      </c>
      <c r="T188" s="194">
        <v>2026.0</v>
      </c>
      <c r="U188" s="74" t="s">
        <v>36</v>
      </c>
      <c r="V188" s="194">
        <v>75.18</v>
      </c>
      <c r="W188" s="344">
        <v>46174.0</v>
      </c>
      <c r="X188" s="194">
        <v>1.0</v>
      </c>
      <c r="Y188" s="194">
        <v>6.0</v>
      </c>
      <c r="Z188" s="194">
        <v>2026.0</v>
      </c>
      <c r="AA188" s="74" t="s">
        <v>36</v>
      </c>
    </row>
    <row r="189" ht="15.75" hidden="1" customHeight="1">
      <c r="A189" s="340" t="s">
        <v>1525</v>
      </c>
      <c r="B189" s="343">
        <v>6.818535681E9</v>
      </c>
      <c r="C189" s="341">
        <v>46152.0</v>
      </c>
      <c r="D189" s="194">
        <v>10.0</v>
      </c>
      <c r="E189" s="194">
        <v>5.0</v>
      </c>
      <c r="F189" s="194">
        <v>2026.0</v>
      </c>
      <c r="G189" s="341">
        <v>46157.0</v>
      </c>
      <c r="H189" s="194">
        <v>15.0</v>
      </c>
      <c r="I189" s="194">
        <v>5.0</v>
      </c>
      <c r="J189" s="194">
        <v>2026.0</v>
      </c>
      <c r="K189" s="74" t="s">
        <v>36</v>
      </c>
      <c r="L189" s="74" t="s">
        <v>1480</v>
      </c>
      <c r="M189" s="194">
        <v>1.0</v>
      </c>
      <c r="N189" s="194">
        <v>5.0</v>
      </c>
      <c r="O189" s="194"/>
      <c r="P189" s="194">
        <v>0.0</v>
      </c>
      <c r="Q189" s="344">
        <v>46174.0</v>
      </c>
      <c r="R189" s="185">
        <v>1.0</v>
      </c>
      <c r="S189" s="185">
        <v>6.0</v>
      </c>
      <c r="T189" s="194">
        <v>2026.0</v>
      </c>
      <c r="U189" s="74" t="s">
        <v>36</v>
      </c>
      <c r="V189" s="194">
        <v>0.0</v>
      </c>
      <c r="W189" s="344">
        <v>46174.0</v>
      </c>
      <c r="X189" s="194">
        <v>1.0</v>
      </c>
      <c r="Y189" s="194">
        <v>6.0</v>
      </c>
      <c r="Z189" s="194">
        <v>2026.0</v>
      </c>
      <c r="AA189" s="74" t="s">
        <v>36</v>
      </c>
    </row>
    <row r="190" ht="15.75" hidden="1" customHeight="1">
      <c r="A190" s="340" t="s">
        <v>1526</v>
      </c>
      <c r="B190" s="341">
        <v>5.866790907E9</v>
      </c>
      <c r="C190" s="341">
        <v>46163.0</v>
      </c>
      <c r="D190" s="194">
        <v>21.0</v>
      </c>
      <c r="E190" s="194">
        <v>5.0</v>
      </c>
      <c r="F190" s="194">
        <v>2026.0</v>
      </c>
      <c r="G190" s="341">
        <v>46165.0</v>
      </c>
      <c r="H190" s="194">
        <v>23.0</v>
      </c>
      <c r="I190" s="194">
        <v>5.0</v>
      </c>
      <c r="J190" s="194">
        <v>2026.0</v>
      </c>
      <c r="K190" s="74" t="s">
        <v>36</v>
      </c>
      <c r="L190" s="74" t="s">
        <v>1177</v>
      </c>
      <c r="M190" s="194">
        <v>1.0</v>
      </c>
      <c r="N190" s="194">
        <v>2.0</v>
      </c>
      <c r="O190" s="194"/>
      <c r="P190" s="194">
        <v>4.0</v>
      </c>
      <c r="Q190" s="344">
        <v>46174.0</v>
      </c>
      <c r="R190" s="185">
        <v>1.0</v>
      </c>
      <c r="S190" s="185">
        <v>6.0</v>
      </c>
      <c r="T190" s="194">
        <v>2026.0</v>
      </c>
      <c r="U190" s="74" t="s">
        <v>36</v>
      </c>
      <c r="V190" s="194">
        <v>75.18</v>
      </c>
      <c r="W190" s="344">
        <v>46174.0</v>
      </c>
      <c r="X190" s="194">
        <v>1.0</v>
      </c>
      <c r="Y190" s="194">
        <v>6.0</v>
      </c>
      <c r="Z190" s="194">
        <v>2026.0</v>
      </c>
      <c r="AA190" s="74" t="s">
        <v>36</v>
      </c>
    </row>
    <row r="191" ht="15.75" hidden="1" customHeight="1">
      <c r="A191" s="340" t="s">
        <v>1527</v>
      </c>
      <c r="B191" s="343">
        <v>5.531339638E9</v>
      </c>
      <c r="C191" s="341">
        <v>46147.0</v>
      </c>
      <c r="D191" s="194">
        <v>5.0</v>
      </c>
      <c r="E191" s="194">
        <v>5.0</v>
      </c>
      <c r="F191" s="194">
        <v>2026.0</v>
      </c>
      <c r="G191" s="341">
        <v>46148.0</v>
      </c>
      <c r="H191" s="194">
        <v>6.0</v>
      </c>
      <c r="I191" s="194">
        <v>5.0</v>
      </c>
      <c r="J191" s="194">
        <v>2026.0</v>
      </c>
      <c r="K191" s="74" t="s">
        <v>36</v>
      </c>
      <c r="L191" s="74" t="s">
        <v>1480</v>
      </c>
      <c r="M191" s="194">
        <v>1.0</v>
      </c>
      <c r="N191" s="194">
        <v>1.0</v>
      </c>
      <c r="O191" s="194"/>
      <c r="P191" s="194">
        <v>0.0</v>
      </c>
      <c r="Q191" s="344">
        <v>46174.0</v>
      </c>
      <c r="R191" s="185">
        <v>1.0</v>
      </c>
      <c r="S191" s="185">
        <v>6.0</v>
      </c>
      <c r="T191" s="194">
        <v>2026.0</v>
      </c>
      <c r="U191" s="74" t="s">
        <v>36</v>
      </c>
      <c r="V191" s="194">
        <v>0.0</v>
      </c>
      <c r="W191" s="344">
        <v>46174.0</v>
      </c>
      <c r="X191" s="194">
        <v>1.0</v>
      </c>
      <c r="Y191" s="194">
        <v>6.0</v>
      </c>
      <c r="Z191" s="194">
        <v>2026.0</v>
      </c>
      <c r="AA191" s="74" t="s">
        <v>36</v>
      </c>
    </row>
    <row r="192" ht="15.75" hidden="1" customHeight="1">
      <c r="A192" s="340" t="s">
        <v>1528</v>
      </c>
      <c r="B192" s="341">
        <v>6.093573812E9</v>
      </c>
      <c r="C192" s="341">
        <v>46155.0</v>
      </c>
      <c r="D192" s="194">
        <v>13.0</v>
      </c>
      <c r="E192" s="194">
        <v>5.0</v>
      </c>
      <c r="F192" s="194">
        <v>2026.0</v>
      </c>
      <c r="G192" s="341">
        <v>46158.0</v>
      </c>
      <c r="H192" s="194">
        <v>16.0</v>
      </c>
      <c r="I192" s="194">
        <v>5.0</v>
      </c>
      <c r="J192" s="194">
        <v>2026.0</v>
      </c>
      <c r="K192" s="74" t="s">
        <v>36</v>
      </c>
      <c r="L192" s="74" t="s">
        <v>1177</v>
      </c>
      <c r="M192" s="194">
        <v>1.0</v>
      </c>
      <c r="N192" s="194">
        <v>3.0</v>
      </c>
      <c r="O192" s="194"/>
      <c r="P192" s="194">
        <v>6.0</v>
      </c>
      <c r="Q192" s="344">
        <v>46174.0</v>
      </c>
      <c r="R192" s="185">
        <v>1.0</v>
      </c>
      <c r="S192" s="185">
        <v>6.0</v>
      </c>
      <c r="T192" s="194">
        <v>2026.0</v>
      </c>
      <c r="U192" s="74" t="s">
        <v>36</v>
      </c>
      <c r="V192" s="194">
        <v>112.78</v>
      </c>
      <c r="W192" s="344">
        <v>46174.0</v>
      </c>
      <c r="X192" s="194">
        <v>1.0</v>
      </c>
      <c r="Y192" s="194">
        <v>6.0</v>
      </c>
      <c r="Z192" s="194">
        <v>2026.0</v>
      </c>
      <c r="AA192" s="74" t="s">
        <v>36</v>
      </c>
    </row>
    <row r="193" ht="15.75" hidden="1" customHeight="1">
      <c r="A193" s="340" t="s">
        <v>1529</v>
      </c>
      <c r="B193" s="341">
        <v>5.177349333E9</v>
      </c>
      <c r="C193" s="341">
        <v>46149.0</v>
      </c>
      <c r="D193" s="194">
        <v>7.0</v>
      </c>
      <c r="E193" s="194">
        <v>5.0</v>
      </c>
      <c r="F193" s="194">
        <v>2026.0</v>
      </c>
      <c r="G193" s="341">
        <v>46154.0</v>
      </c>
      <c r="H193" s="194">
        <v>12.0</v>
      </c>
      <c r="I193" s="194">
        <v>5.0</v>
      </c>
      <c r="J193" s="194">
        <v>2026.0</v>
      </c>
      <c r="K193" s="74" t="s">
        <v>36</v>
      </c>
      <c r="L193" s="74" t="s">
        <v>1177</v>
      </c>
      <c r="M193" s="194">
        <v>1.0</v>
      </c>
      <c r="N193" s="194">
        <v>5.0</v>
      </c>
      <c r="O193" s="194"/>
      <c r="P193" s="194">
        <v>10.0</v>
      </c>
      <c r="Q193" s="344">
        <v>46174.0</v>
      </c>
      <c r="R193" s="185">
        <v>1.0</v>
      </c>
      <c r="S193" s="185">
        <v>6.0</v>
      </c>
      <c r="T193" s="194">
        <v>2026.0</v>
      </c>
      <c r="U193" s="74" t="s">
        <v>36</v>
      </c>
      <c r="V193" s="194">
        <v>187.96</v>
      </c>
      <c r="W193" s="344">
        <v>46174.0</v>
      </c>
      <c r="X193" s="194">
        <v>1.0</v>
      </c>
      <c r="Y193" s="194">
        <v>6.0</v>
      </c>
      <c r="Z193" s="194">
        <v>2026.0</v>
      </c>
      <c r="AA193" s="74" t="s">
        <v>36</v>
      </c>
    </row>
    <row r="194" ht="15.75" hidden="1" customHeight="1">
      <c r="A194" s="340" t="s">
        <v>1531</v>
      </c>
      <c r="B194" s="341">
        <v>6.751782349E9</v>
      </c>
      <c r="C194" s="341">
        <v>46152.0</v>
      </c>
      <c r="D194" s="194">
        <v>10.0</v>
      </c>
      <c r="E194" s="194">
        <v>5.0</v>
      </c>
      <c r="F194" s="194">
        <v>2026.0</v>
      </c>
      <c r="G194" s="341">
        <v>46153.0</v>
      </c>
      <c r="H194" s="194">
        <v>11.0</v>
      </c>
      <c r="I194" s="194">
        <v>5.0</v>
      </c>
      <c r="J194" s="194">
        <v>2026.0</v>
      </c>
      <c r="K194" s="74" t="s">
        <v>36</v>
      </c>
      <c r="L194" s="74" t="s">
        <v>1177</v>
      </c>
      <c r="M194" s="194">
        <v>1.0</v>
      </c>
      <c r="N194" s="194">
        <v>1.0</v>
      </c>
      <c r="O194" s="194"/>
      <c r="P194" s="194">
        <v>2.0</v>
      </c>
      <c r="Q194" s="344">
        <v>46174.0</v>
      </c>
      <c r="R194" s="185">
        <v>1.0</v>
      </c>
      <c r="S194" s="185">
        <v>6.0</v>
      </c>
      <c r="T194" s="194">
        <v>2026.0</v>
      </c>
      <c r="U194" s="74" t="s">
        <v>36</v>
      </c>
      <c r="V194" s="194">
        <v>37.59</v>
      </c>
      <c r="W194" s="344">
        <v>46174.0</v>
      </c>
      <c r="X194" s="194">
        <v>1.0</v>
      </c>
      <c r="Y194" s="194">
        <v>6.0</v>
      </c>
      <c r="Z194" s="194">
        <v>2026.0</v>
      </c>
      <c r="AA194" s="74" t="s">
        <v>36</v>
      </c>
    </row>
    <row r="195" ht="15.75" hidden="1" customHeight="1">
      <c r="A195" s="340" t="s">
        <v>1534</v>
      </c>
      <c r="B195" s="341">
        <v>5.688456278E9</v>
      </c>
      <c r="C195" s="341">
        <v>46150.0</v>
      </c>
      <c r="D195" s="194">
        <v>8.0</v>
      </c>
      <c r="E195" s="194">
        <v>5.0</v>
      </c>
      <c r="F195" s="194">
        <v>2026.0</v>
      </c>
      <c r="G195" s="341">
        <v>46154.0</v>
      </c>
      <c r="H195" s="194">
        <v>12.0</v>
      </c>
      <c r="I195" s="194">
        <v>5.0</v>
      </c>
      <c r="J195" s="194">
        <v>2026.0</v>
      </c>
      <c r="K195" s="74" t="s">
        <v>36</v>
      </c>
      <c r="L195" s="74" t="s">
        <v>1177</v>
      </c>
      <c r="M195" s="194">
        <v>2.0</v>
      </c>
      <c r="N195" s="194">
        <v>4.0</v>
      </c>
      <c r="O195" s="194"/>
      <c r="P195" s="194">
        <v>14.0</v>
      </c>
      <c r="Q195" s="344">
        <v>46174.0</v>
      </c>
      <c r="R195" s="185">
        <v>1.0</v>
      </c>
      <c r="S195" s="185">
        <v>6.0</v>
      </c>
      <c r="T195" s="194">
        <v>2026.0</v>
      </c>
      <c r="U195" s="74" t="s">
        <v>36</v>
      </c>
      <c r="V195" s="194">
        <v>300.74</v>
      </c>
      <c r="W195" s="344">
        <v>46174.0</v>
      </c>
      <c r="X195" s="194">
        <v>1.0</v>
      </c>
      <c r="Y195" s="194">
        <v>6.0</v>
      </c>
      <c r="Z195" s="194">
        <v>2026.0</v>
      </c>
      <c r="AA195" s="74" t="s">
        <v>36</v>
      </c>
    </row>
    <row r="196" ht="15.75" hidden="1" customHeight="1">
      <c r="A196" s="340" t="s">
        <v>1535</v>
      </c>
      <c r="B196" s="341">
        <v>6.078643948E9</v>
      </c>
      <c r="C196" s="341">
        <v>46149.0</v>
      </c>
      <c r="D196" s="194">
        <v>7.0</v>
      </c>
      <c r="E196" s="194">
        <v>5.0</v>
      </c>
      <c r="F196" s="194">
        <v>2026.0</v>
      </c>
      <c r="G196" s="341">
        <v>46150.0</v>
      </c>
      <c r="H196" s="194">
        <v>8.0</v>
      </c>
      <c r="I196" s="194">
        <v>5.0</v>
      </c>
      <c r="J196" s="194">
        <v>2026.0</v>
      </c>
      <c r="K196" s="74" t="s">
        <v>36</v>
      </c>
      <c r="L196" s="74" t="s">
        <v>1177</v>
      </c>
      <c r="M196" s="194">
        <v>1.0</v>
      </c>
      <c r="N196" s="194">
        <v>1.0</v>
      </c>
      <c r="O196" s="194"/>
      <c r="P196" s="194">
        <v>2.0</v>
      </c>
      <c r="Q196" s="344">
        <v>46174.0</v>
      </c>
      <c r="R196" s="185">
        <v>1.0</v>
      </c>
      <c r="S196" s="185">
        <v>6.0</v>
      </c>
      <c r="T196" s="194">
        <v>2026.0</v>
      </c>
      <c r="U196" s="74" t="s">
        <v>36</v>
      </c>
      <c r="V196" s="194">
        <v>37.59</v>
      </c>
      <c r="W196" s="344">
        <v>46174.0</v>
      </c>
      <c r="X196" s="194">
        <v>1.0</v>
      </c>
      <c r="Y196" s="194">
        <v>6.0</v>
      </c>
      <c r="Z196" s="194">
        <v>2026.0</v>
      </c>
      <c r="AA196" s="74" t="s">
        <v>36</v>
      </c>
    </row>
    <row r="197" ht="15.75" hidden="1" customHeight="1">
      <c r="A197" s="340" t="s">
        <v>1541</v>
      </c>
      <c r="B197" s="343">
        <v>5.06395719E9</v>
      </c>
      <c r="C197" s="341">
        <v>46157.0</v>
      </c>
      <c r="D197" s="194">
        <v>15.0</v>
      </c>
      <c r="E197" s="194">
        <v>5.0</v>
      </c>
      <c r="F197" s="194">
        <v>2026.0</v>
      </c>
      <c r="G197" s="341">
        <v>46158.0</v>
      </c>
      <c r="H197" s="194">
        <v>16.0</v>
      </c>
      <c r="I197" s="194">
        <v>5.0</v>
      </c>
      <c r="J197" s="194">
        <v>2026.0</v>
      </c>
      <c r="K197" s="74" t="s">
        <v>36</v>
      </c>
      <c r="L197" s="74" t="s">
        <v>1480</v>
      </c>
      <c r="M197" s="194">
        <v>1.0</v>
      </c>
      <c r="N197" s="194">
        <v>1.0</v>
      </c>
      <c r="O197" s="194"/>
      <c r="P197" s="194">
        <v>0.0</v>
      </c>
      <c r="Q197" s="344">
        <v>46174.0</v>
      </c>
      <c r="R197" s="185">
        <v>1.0</v>
      </c>
      <c r="S197" s="185">
        <v>6.0</v>
      </c>
      <c r="T197" s="194">
        <v>2026.0</v>
      </c>
      <c r="U197" s="74" t="s">
        <v>36</v>
      </c>
      <c r="V197" s="194">
        <v>0.0</v>
      </c>
      <c r="W197" s="344">
        <v>46174.0</v>
      </c>
      <c r="X197" s="194">
        <v>1.0</v>
      </c>
      <c r="Y197" s="194">
        <v>6.0</v>
      </c>
      <c r="Z197" s="194">
        <v>2026.0</v>
      </c>
      <c r="AA197" s="74" t="s">
        <v>36</v>
      </c>
    </row>
    <row r="198" ht="15.75" hidden="1" customHeight="1">
      <c r="A198" s="340" t="s">
        <v>1542</v>
      </c>
      <c r="B198" s="341">
        <v>6.223025113E9</v>
      </c>
      <c r="C198" s="341">
        <v>46154.0</v>
      </c>
      <c r="D198" s="194">
        <v>12.0</v>
      </c>
      <c r="E198" s="194">
        <v>5.0</v>
      </c>
      <c r="F198" s="194">
        <v>2026.0</v>
      </c>
      <c r="G198" s="341">
        <v>46160.0</v>
      </c>
      <c r="H198" s="194">
        <v>18.0</v>
      </c>
      <c r="I198" s="194">
        <v>5.0</v>
      </c>
      <c r="J198" s="194">
        <v>2026.0</v>
      </c>
      <c r="K198" s="74" t="s">
        <v>36</v>
      </c>
      <c r="L198" s="74" t="s">
        <v>1177</v>
      </c>
      <c r="M198" s="194">
        <v>1.0</v>
      </c>
      <c r="N198" s="194">
        <v>6.0</v>
      </c>
      <c r="O198" s="194"/>
      <c r="P198" s="194">
        <v>12.0</v>
      </c>
      <c r="Q198" s="344">
        <v>46174.0</v>
      </c>
      <c r="R198" s="185">
        <v>1.0</v>
      </c>
      <c r="S198" s="185">
        <v>6.0</v>
      </c>
      <c r="T198" s="194">
        <v>2026.0</v>
      </c>
      <c r="U198" s="74" t="s">
        <v>36</v>
      </c>
      <c r="V198" s="194">
        <v>204.65</v>
      </c>
      <c r="W198" s="344">
        <v>46174.0</v>
      </c>
      <c r="X198" s="194">
        <v>1.0</v>
      </c>
      <c r="Y198" s="194">
        <v>6.0</v>
      </c>
      <c r="Z198" s="194">
        <v>2026.0</v>
      </c>
      <c r="AA198" s="74" t="s">
        <v>36</v>
      </c>
    </row>
    <row r="199" ht="15.75" hidden="1" customHeight="1">
      <c r="A199" s="340" t="s">
        <v>1546</v>
      </c>
      <c r="B199" s="341">
        <v>5.216679653E9</v>
      </c>
      <c r="C199" s="341">
        <v>46164.0</v>
      </c>
      <c r="D199" s="194">
        <v>22.0</v>
      </c>
      <c r="E199" s="194">
        <v>5.0</v>
      </c>
      <c r="F199" s="194">
        <v>2026.0</v>
      </c>
      <c r="G199" s="341">
        <v>46165.0</v>
      </c>
      <c r="H199" s="194">
        <v>23.0</v>
      </c>
      <c r="I199" s="194">
        <v>5.0</v>
      </c>
      <c r="J199" s="194">
        <v>2026.0</v>
      </c>
      <c r="K199" s="74" t="s">
        <v>36</v>
      </c>
      <c r="L199" s="74" t="s">
        <v>1177</v>
      </c>
      <c r="M199" s="194">
        <v>1.0</v>
      </c>
      <c r="N199" s="194">
        <v>1.0</v>
      </c>
      <c r="O199" s="194"/>
      <c r="P199" s="194">
        <v>2.0</v>
      </c>
      <c r="Q199" s="344">
        <v>46174.0</v>
      </c>
      <c r="R199" s="185">
        <v>1.0</v>
      </c>
      <c r="S199" s="185">
        <v>6.0</v>
      </c>
      <c r="T199" s="194">
        <v>2026.0</v>
      </c>
      <c r="U199" s="74" t="s">
        <v>36</v>
      </c>
      <c r="V199" s="194">
        <v>41.77</v>
      </c>
      <c r="W199" s="344">
        <v>46174.0</v>
      </c>
      <c r="X199" s="194">
        <v>1.0</v>
      </c>
      <c r="Y199" s="194">
        <v>6.0</v>
      </c>
      <c r="Z199" s="194">
        <v>2026.0</v>
      </c>
      <c r="AA199" s="74" t="s">
        <v>36</v>
      </c>
    </row>
    <row r="200" ht="15.75" hidden="1" customHeight="1">
      <c r="A200" s="340" t="s">
        <v>1546</v>
      </c>
      <c r="B200" s="343">
        <v>6.642694487E9</v>
      </c>
      <c r="C200" s="341">
        <v>46167.0</v>
      </c>
      <c r="D200" s="194">
        <v>25.0</v>
      </c>
      <c r="E200" s="194">
        <v>5.0</v>
      </c>
      <c r="F200" s="194">
        <v>2026.0</v>
      </c>
      <c r="G200" s="341">
        <v>46168.0</v>
      </c>
      <c r="H200" s="194">
        <v>26.0</v>
      </c>
      <c r="I200" s="194">
        <v>5.0</v>
      </c>
      <c r="J200" s="194">
        <v>2026.0</v>
      </c>
      <c r="K200" s="74" t="s">
        <v>36</v>
      </c>
      <c r="L200" s="74" t="s">
        <v>1480</v>
      </c>
      <c r="M200" s="194">
        <v>1.0</v>
      </c>
      <c r="N200" s="194">
        <v>1.0</v>
      </c>
      <c r="O200" s="194"/>
      <c r="P200" s="194">
        <v>0.0</v>
      </c>
      <c r="Q200" s="344">
        <v>46174.0</v>
      </c>
      <c r="R200" s="185">
        <v>1.0</v>
      </c>
      <c r="S200" s="185">
        <v>6.0</v>
      </c>
      <c r="T200" s="194">
        <v>2026.0</v>
      </c>
      <c r="U200" s="74" t="s">
        <v>36</v>
      </c>
      <c r="V200" s="194">
        <v>0.0</v>
      </c>
      <c r="W200" s="344">
        <v>46174.0</v>
      </c>
      <c r="X200" s="194">
        <v>1.0</v>
      </c>
      <c r="Y200" s="194">
        <v>6.0</v>
      </c>
      <c r="Z200" s="194">
        <v>2026.0</v>
      </c>
      <c r="AA200" s="74" t="s">
        <v>36</v>
      </c>
    </row>
    <row r="201" ht="15.75" hidden="1" customHeight="1">
      <c r="A201" s="340" t="s">
        <v>1561</v>
      </c>
      <c r="B201" s="341">
        <v>6.211965895E9</v>
      </c>
      <c r="C201" s="341">
        <v>46144.0</v>
      </c>
      <c r="D201" s="194">
        <v>2.0</v>
      </c>
      <c r="E201" s="194">
        <v>5.0</v>
      </c>
      <c r="F201" s="194">
        <v>2026.0</v>
      </c>
      <c r="G201" s="341">
        <v>46147.0</v>
      </c>
      <c r="H201" s="194">
        <v>5.0</v>
      </c>
      <c r="I201" s="194">
        <v>5.0</v>
      </c>
      <c r="J201" s="194">
        <v>2026.0</v>
      </c>
      <c r="K201" s="74" t="s">
        <v>36</v>
      </c>
      <c r="L201" s="74" t="s">
        <v>1480</v>
      </c>
      <c r="M201" s="194">
        <v>1.0</v>
      </c>
      <c r="N201" s="194">
        <v>3.0</v>
      </c>
      <c r="O201" s="194"/>
      <c r="P201" s="194">
        <v>0.0</v>
      </c>
      <c r="Q201" s="344">
        <v>46174.0</v>
      </c>
      <c r="R201" s="185">
        <v>1.0</v>
      </c>
      <c r="S201" s="185">
        <v>6.0</v>
      </c>
      <c r="T201" s="194">
        <v>2026.0</v>
      </c>
      <c r="U201" s="74" t="s">
        <v>36</v>
      </c>
      <c r="V201" s="194">
        <v>0.0</v>
      </c>
      <c r="W201" s="344">
        <v>46174.0</v>
      </c>
      <c r="X201" s="194">
        <v>1.0</v>
      </c>
      <c r="Y201" s="194">
        <v>6.0</v>
      </c>
      <c r="Z201" s="194">
        <v>2026.0</v>
      </c>
      <c r="AA201" s="74" t="s">
        <v>36</v>
      </c>
    </row>
    <row r="202" ht="15.75" hidden="1" customHeight="1">
      <c r="A202" s="340" t="s">
        <v>1564</v>
      </c>
      <c r="B202" s="341">
        <v>6.548000645E9</v>
      </c>
      <c r="C202" s="341">
        <v>46160.0</v>
      </c>
      <c r="D202" s="194">
        <v>18.0</v>
      </c>
      <c r="E202" s="194">
        <v>5.0</v>
      </c>
      <c r="F202" s="194">
        <v>2026.0</v>
      </c>
      <c r="G202" s="341">
        <v>46161.0</v>
      </c>
      <c r="H202" s="194">
        <v>19.0</v>
      </c>
      <c r="I202" s="194">
        <v>5.0</v>
      </c>
      <c r="J202" s="194">
        <v>2026.0</v>
      </c>
      <c r="K202" s="74" t="s">
        <v>36</v>
      </c>
      <c r="L202" s="74" t="s">
        <v>1177</v>
      </c>
      <c r="M202" s="194">
        <v>1.0</v>
      </c>
      <c r="N202" s="194">
        <v>1.0</v>
      </c>
      <c r="O202" s="194"/>
      <c r="P202" s="194">
        <v>2.0</v>
      </c>
      <c r="Q202" s="344">
        <v>46174.0</v>
      </c>
      <c r="R202" s="185">
        <v>1.0</v>
      </c>
      <c r="S202" s="185">
        <v>6.0</v>
      </c>
      <c r="T202" s="194">
        <v>2026.0</v>
      </c>
      <c r="U202" s="74" t="s">
        <v>36</v>
      </c>
      <c r="V202" s="194">
        <v>37.59</v>
      </c>
      <c r="W202" s="344">
        <v>46174.0</v>
      </c>
      <c r="X202" s="194">
        <v>1.0</v>
      </c>
      <c r="Y202" s="194">
        <v>6.0</v>
      </c>
      <c r="Z202" s="194">
        <v>2026.0</v>
      </c>
      <c r="AA202" s="74" t="s">
        <v>36</v>
      </c>
    </row>
    <row r="203" ht="15.75" hidden="1" customHeight="1">
      <c r="A203" s="340" t="s">
        <v>1568</v>
      </c>
      <c r="B203" s="341">
        <v>6.534577499E9</v>
      </c>
      <c r="C203" s="341">
        <v>46151.0</v>
      </c>
      <c r="D203" s="194">
        <v>9.0</v>
      </c>
      <c r="E203" s="194">
        <v>5.0</v>
      </c>
      <c r="F203" s="194">
        <v>2026.0</v>
      </c>
      <c r="G203" s="341">
        <v>46153.0</v>
      </c>
      <c r="H203" s="194">
        <v>11.0</v>
      </c>
      <c r="I203" s="194">
        <v>5.0</v>
      </c>
      <c r="J203" s="194">
        <v>2026.0</v>
      </c>
      <c r="K203" s="74" t="s">
        <v>36</v>
      </c>
      <c r="L203" s="74" t="s">
        <v>1177</v>
      </c>
      <c r="M203" s="194">
        <v>1.0</v>
      </c>
      <c r="N203" s="194">
        <v>2.0</v>
      </c>
      <c r="O203" s="194"/>
      <c r="P203" s="194">
        <v>4.0</v>
      </c>
      <c r="Q203" s="344">
        <v>46174.0</v>
      </c>
      <c r="R203" s="185">
        <v>1.0</v>
      </c>
      <c r="S203" s="185">
        <v>6.0</v>
      </c>
      <c r="T203" s="194">
        <v>2026.0</v>
      </c>
      <c r="U203" s="74" t="s">
        <v>36</v>
      </c>
      <c r="V203" s="194">
        <v>75.18</v>
      </c>
      <c r="W203" s="344">
        <v>46174.0</v>
      </c>
      <c r="X203" s="194">
        <v>1.0</v>
      </c>
      <c r="Y203" s="194">
        <v>6.0</v>
      </c>
      <c r="Z203" s="194">
        <v>2026.0</v>
      </c>
      <c r="AA203" s="74" t="s">
        <v>36</v>
      </c>
    </row>
    <row r="204" ht="15.75" hidden="1" customHeight="1">
      <c r="A204" s="340" t="s">
        <v>1569</v>
      </c>
      <c r="B204" s="341">
        <v>6.464230483E9</v>
      </c>
      <c r="C204" s="341">
        <v>46163.0</v>
      </c>
      <c r="D204" s="194">
        <v>21.0</v>
      </c>
      <c r="E204" s="194">
        <v>5.0</v>
      </c>
      <c r="F204" s="194">
        <v>2026.0</v>
      </c>
      <c r="G204" s="341">
        <v>46166.0</v>
      </c>
      <c r="H204" s="194">
        <v>24.0</v>
      </c>
      <c r="I204" s="194">
        <v>5.0</v>
      </c>
      <c r="J204" s="194">
        <v>2026.0</v>
      </c>
      <c r="K204" s="74" t="s">
        <v>36</v>
      </c>
      <c r="L204" s="74" t="s">
        <v>1177</v>
      </c>
      <c r="M204" s="194">
        <v>1.0</v>
      </c>
      <c r="N204" s="194">
        <v>3.0</v>
      </c>
      <c r="O204" s="194"/>
      <c r="P204" s="194">
        <v>6.0</v>
      </c>
      <c r="Q204" s="344">
        <v>46174.0</v>
      </c>
      <c r="R204" s="185">
        <v>1.0</v>
      </c>
      <c r="S204" s="185">
        <v>6.0</v>
      </c>
      <c r="T204" s="194">
        <v>2026.0</v>
      </c>
      <c r="U204" s="74" t="s">
        <v>36</v>
      </c>
      <c r="V204" s="194">
        <v>112.78</v>
      </c>
      <c r="W204" s="344">
        <v>46174.0</v>
      </c>
      <c r="X204" s="194">
        <v>1.0</v>
      </c>
      <c r="Y204" s="194">
        <v>6.0</v>
      </c>
      <c r="Z204" s="194">
        <v>2026.0</v>
      </c>
      <c r="AA204" s="74" t="s">
        <v>36</v>
      </c>
    </row>
    <row r="205" ht="15.75" hidden="1" customHeight="1">
      <c r="A205" s="340" t="s">
        <v>1574</v>
      </c>
      <c r="B205" s="341">
        <v>6.007769858E9</v>
      </c>
      <c r="C205" s="341">
        <v>46150.0</v>
      </c>
      <c r="D205" s="194">
        <v>8.0</v>
      </c>
      <c r="E205" s="194">
        <v>5.0</v>
      </c>
      <c r="F205" s="194">
        <v>2026.0</v>
      </c>
      <c r="G205" s="341">
        <v>46151.0</v>
      </c>
      <c r="H205" s="194">
        <v>9.0</v>
      </c>
      <c r="I205" s="194">
        <v>5.0</v>
      </c>
      <c r="J205" s="194">
        <v>2026.0</v>
      </c>
      <c r="K205" s="74" t="s">
        <v>36</v>
      </c>
      <c r="L205" s="74" t="s">
        <v>1177</v>
      </c>
      <c r="M205" s="194">
        <v>1.0</v>
      </c>
      <c r="N205" s="194">
        <v>1.0</v>
      </c>
      <c r="O205" s="194"/>
      <c r="P205" s="194">
        <v>2.0</v>
      </c>
      <c r="Q205" s="344">
        <v>46174.0</v>
      </c>
      <c r="R205" s="185">
        <v>1.0</v>
      </c>
      <c r="S205" s="185">
        <v>6.0</v>
      </c>
      <c r="T205" s="194">
        <v>2026.0</v>
      </c>
      <c r="U205" s="74" t="s">
        <v>36</v>
      </c>
      <c r="V205" s="194">
        <v>37.59</v>
      </c>
      <c r="W205" s="344">
        <v>46174.0</v>
      </c>
      <c r="X205" s="194">
        <v>1.0</v>
      </c>
      <c r="Y205" s="194">
        <v>6.0</v>
      </c>
      <c r="Z205" s="194">
        <v>2026.0</v>
      </c>
      <c r="AA205" s="74" t="s">
        <v>36</v>
      </c>
    </row>
    <row r="206" ht="15.75" hidden="1" customHeight="1">
      <c r="A206" s="340" t="s">
        <v>1577</v>
      </c>
      <c r="B206" s="343">
        <v>5.126530311E9</v>
      </c>
      <c r="C206" s="341">
        <v>46150.0</v>
      </c>
      <c r="D206" s="194">
        <v>8.0</v>
      </c>
      <c r="E206" s="194">
        <v>5.0</v>
      </c>
      <c r="F206" s="194">
        <v>2026.0</v>
      </c>
      <c r="G206" s="341">
        <v>46151.0</v>
      </c>
      <c r="H206" s="194">
        <v>9.0</v>
      </c>
      <c r="I206" s="194">
        <v>5.0</v>
      </c>
      <c r="J206" s="194">
        <v>2026.0</v>
      </c>
      <c r="K206" s="74" t="s">
        <v>36</v>
      </c>
      <c r="L206" s="74" t="s">
        <v>1480</v>
      </c>
      <c r="M206" s="194">
        <v>1.0</v>
      </c>
      <c r="N206" s="194">
        <v>1.0</v>
      </c>
      <c r="O206" s="194"/>
      <c r="P206" s="194">
        <v>0.0</v>
      </c>
      <c r="Q206" s="344">
        <v>46174.0</v>
      </c>
      <c r="R206" s="185">
        <v>1.0</v>
      </c>
      <c r="S206" s="185">
        <v>6.0</v>
      </c>
      <c r="T206" s="194">
        <v>2026.0</v>
      </c>
      <c r="U206" s="74" t="s">
        <v>36</v>
      </c>
      <c r="V206" s="194">
        <v>0.0</v>
      </c>
      <c r="W206" s="344">
        <v>46174.0</v>
      </c>
      <c r="X206" s="194">
        <v>1.0</v>
      </c>
      <c r="Y206" s="194">
        <v>6.0</v>
      </c>
      <c r="Z206" s="194">
        <v>2026.0</v>
      </c>
      <c r="AA206" s="74" t="s">
        <v>36</v>
      </c>
    </row>
    <row r="207" ht="15.75" hidden="1" customHeight="1">
      <c r="A207" s="340" t="s">
        <v>1578</v>
      </c>
      <c r="B207" s="343">
        <v>6.804769722E9</v>
      </c>
      <c r="C207" s="341">
        <v>46169.0</v>
      </c>
      <c r="D207" s="194">
        <v>27.0</v>
      </c>
      <c r="E207" s="194">
        <v>5.0</v>
      </c>
      <c r="F207" s="194">
        <v>2026.0</v>
      </c>
      <c r="G207" s="341">
        <v>46170.0</v>
      </c>
      <c r="H207" s="194">
        <v>28.0</v>
      </c>
      <c r="I207" s="194">
        <v>5.0</v>
      </c>
      <c r="J207" s="194">
        <v>2026.0</v>
      </c>
      <c r="K207" s="74" t="s">
        <v>36</v>
      </c>
      <c r="L207" s="74" t="s">
        <v>1480</v>
      </c>
      <c r="M207" s="194">
        <v>2.0</v>
      </c>
      <c r="N207" s="194">
        <v>1.0</v>
      </c>
      <c r="O207" s="194"/>
      <c r="P207" s="194">
        <v>0.0</v>
      </c>
      <c r="Q207" s="344">
        <v>46174.0</v>
      </c>
      <c r="R207" s="185">
        <v>1.0</v>
      </c>
      <c r="S207" s="185">
        <v>6.0</v>
      </c>
      <c r="T207" s="194">
        <v>2026.0</v>
      </c>
      <c r="U207" s="74" t="s">
        <v>36</v>
      </c>
      <c r="V207" s="194">
        <v>0.0</v>
      </c>
      <c r="W207" s="344">
        <v>46174.0</v>
      </c>
      <c r="X207" s="194">
        <v>1.0</v>
      </c>
      <c r="Y207" s="194">
        <v>6.0</v>
      </c>
      <c r="Z207" s="194">
        <v>2026.0</v>
      </c>
      <c r="AA207" s="74" t="s">
        <v>36</v>
      </c>
    </row>
    <row r="208" ht="15.75" hidden="1" customHeight="1">
      <c r="A208" s="340" t="s">
        <v>1581</v>
      </c>
      <c r="B208" s="341">
        <v>5.213280492E9</v>
      </c>
      <c r="C208" s="341">
        <v>46159.0</v>
      </c>
      <c r="D208" s="194">
        <v>17.0</v>
      </c>
      <c r="E208" s="194">
        <v>5.0</v>
      </c>
      <c r="F208" s="194">
        <v>2026.0</v>
      </c>
      <c r="G208" s="341">
        <v>46160.0</v>
      </c>
      <c r="H208" s="194">
        <v>18.0</v>
      </c>
      <c r="I208" s="194">
        <v>5.0</v>
      </c>
      <c r="J208" s="194">
        <v>2026.0</v>
      </c>
      <c r="K208" s="74" t="s">
        <v>36</v>
      </c>
      <c r="L208" s="74" t="s">
        <v>1177</v>
      </c>
      <c r="M208" s="194">
        <v>1.0</v>
      </c>
      <c r="N208" s="194">
        <v>1.0</v>
      </c>
      <c r="O208" s="194"/>
      <c r="P208" s="194">
        <v>2.0</v>
      </c>
      <c r="Q208" s="344">
        <v>46174.0</v>
      </c>
      <c r="R208" s="185">
        <v>1.0</v>
      </c>
      <c r="S208" s="185">
        <v>6.0</v>
      </c>
      <c r="T208" s="194">
        <v>2026.0</v>
      </c>
      <c r="U208" s="74" t="s">
        <v>36</v>
      </c>
      <c r="V208" s="194">
        <v>33.41</v>
      </c>
      <c r="W208" s="344">
        <v>46174.0</v>
      </c>
      <c r="X208" s="194">
        <v>1.0</v>
      </c>
      <c r="Y208" s="194">
        <v>6.0</v>
      </c>
      <c r="Z208" s="194">
        <v>2026.0</v>
      </c>
      <c r="AA208" s="74" t="s">
        <v>36</v>
      </c>
    </row>
    <row r="209" ht="15.75" hidden="1" customHeight="1">
      <c r="A209" s="340" t="s">
        <v>1583</v>
      </c>
      <c r="B209" s="341">
        <v>6.519764594E9</v>
      </c>
      <c r="C209" s="341">
        <v>46160.0</v>
      </c>
      <c r="D209" s="194">
        <v>18.0</v>
      </c>
      <c r="E209" s="194">
        <v>5.0</v>
      </c>
      <c r="F209" s="194">
        <v>2026.0</v>
      </c>
      <c r="G209" s="341">
        <v>46162.0</v>
      </c>
      <c r="H209" s="194">
        <v>20.0</v>
      </c>
      <c r="I209" s="194">
        <v>5.0</v>
      </c>
      <c r="J209" s="194">
        <v>2026.0</v>
      </c>
      <c r="K209" s="74" t="s">
        <v>36</v>
      </c>
      <c r="L209" s="74" t="s">
        <v>1177</v>
      </c>
      <c r="M209" s="194">
        <v>1.0</v>
      </c>
      <c r="N209" s="194">
        <v>2.0</v>
      </c>
      <c r="O209" s="194"/>
      <c r="P209" s="194">
        <v>4.0</v>
      </c>
      <c r="Q209" s="344">
        <v>46174.0</v>
      </c>
      <c r="R209" s="185">
        <v>1.0</v>
      </c>
      <c r="S209" s="185">
        <v>6.0</v>
      </c>
      <c r="T209" s="194">
        <v>2026.0</v>
      </c>
      <c r="U209" s="74" t="s">
        <v>36</v>
      </c>
      <c r="V209" s="194">
        <v>79.36</v>
      </c>
      <c r="W209" s="344">
        <v>46174.0</v>
      </c>
      <c r="X209" s="194">
        <v>1.0</v>
      </c>
      <c r="Y209" s="194">
        <v>6.0</v>
      </c>
      <c r="Z209" s="194">
        <v>2026.0</v>
      </c>
      <c r="AA209" s="74" t="s">
        <v>36</v>
      </c>
    </row>
    <row r="210" ht="15.75" hidden="1" customHeight="1">
      <c r="A210" s="340" t="s">
        <v>1584</v>
      </c>
      <c r="B210" s="343">
        <v>5.433918421E9</v>
      </c>
      <c r="C210" s="341">
        <v>46157.0</v>
      </c>
      <c r="D210" s="194">
        <v>15.0</v>
      </c>
      <c r="E210" s="194">
        <v>5.0</v>
      </c>
      <c r="F210" s="194">
        <v>2026.0</v>
      </c>
      <c r="G210" s="341">
        <v>46158.0</v>
      </c>
      <c r="H210" s="194">
        <v>16.0</v>
      </c>
      <c r="I210" s="194">
        <v>5.0</v>
      </c>
      <c r="J210" s="194">
        <v>2026.0</v>
      </c>
      <c r="K210" s="74" t="s">
        <v>36</v>
      </c>
      <c r="L210" s="74" t="s">
        <v>1480</v>
      </c>
      <c r="M210" s="194">
        <v>1.0</v>
      </c>
      <c r="N210" s="194">
        <v>1.0</v>
      </c>
      <c r="O210" s="194"/>
      <c r="P210" s="194">
        <v>0.0</v>
      </c>
      <c r="Q210" s="344">
        <v>46174.0</v>
      </c>
      <c r="R210" s="185">
        <v>1.0</v>
      </c>
      <c r="S210" s="185">
        <v>6.0</v>
      </c>
      <c r="T210" s="194">
        <v>2026.0</v>
      </c>
      <c r="U210" s="74" t="s">
        <v>36</v>
      </c>
      <c r="V210" s="194">
        <v>0.0</v>
      </c>
      <c r="W210" s="344">
        <v>46174.0</v>
      </c>
      <c r="X210" s="194">
        <v>1.0</v>
      </c>
      <c r="Y210" s="194">
        <v>6.0</v>
      </c>
      <c r="Z210" s="194">
        <v>2026.0</v>
      </c>
      <c r="AA210" s="74" t="s">
        <v>36</v>
      </c>
    </row>
    <row r="211" ht="15.75" hidden="1" customHeight="1">
      <c r="A211" s="340" t="s">
        <v>1585</v>
      </c>
      <c r="B211" s="341">
        <v>6.841721369E9</v>
      </c>
      <c r="C211" s="341">
        <v>46150.0</v>
      </c>
      <c r="D211" s="194">
        <v>8.0</v>
      </c>
      <c r="E211" s="194">
        <v>5.0</v>
      </c>
      <c r="F211" s="194">
        <v>2026.0</v>
      </c>
      <c r="G211" s="341">
        <v>46155.0</v>
      </c>
      <c r="H211" s="194">
        <v>13.0</v>
      </c>
      <c r="I211" s="194">
        <v>5.0</v>
      </c>
      <c r="J211" s="194">
        <v>2026.0</v>
      </c>
      <c r="K211" s="74" t="s">
        <v>36</v>
      </c>
      <c r="L211" s="74" t="s">
        <v>1177</v>
      </c>
      <c r="M211" s="194">
        <v>1.0</v>
      </c>
      <c r="N211" s="194">
        <v>5.0</v>
      </c>
      <c r="O211" s="194"/>
      <c r="P211" s="194">
        <v>10.0</v>
      </c>
      <c r="Q211" s="344">
        <v>46174.0</v>
      </c>
      <c r="R211" s="185">
        <v>1.0</v>
      </c>
      <c r="S211" s="185">
        <v>6.0</v>
      </c>
      <c r="T211" s="194">
        <v>2026.0</v>
      </c>
      <c r="U211" s="74" t="s">
        <v>36</v>
      </c>
      <c r="V211" s="194">
        <v>187.96</v>
      </c>
      <c r="W211" s="344">
        <v>46174.0</v>
      </c>
      <c r="X211" s="194">
        <v>1.0</v>
      </c>
      <c r="Y211" s="194">
        <v>6.0</v>
      </c>
      <c r="Z211" s="194">
        <v>2026.0</v>
      </c>
      <c r="AA211" s="74" t="s">
        <v>36</v>
      </c>
    </row>
    <row r="212" ht="15.75" hidden="1" customHeight="1">
      <c r="A212" s="340" t="s">
        <v>1586</v>
      </c>
      <c r="B212" s="341">
        <v>6.838211546E9</v>
      </c>
      <c r="C212" s="341">
        <v>46168.0</v>
      </c>
      <c r="D212" s="194">
        <v>26.0</v>
      </c>
      <c r="E212" s="194">
        <v>5.0</v>
      </c>
      <c r="F212" s="194">
        <v>2026.0</v>
      </c>
      <c r="G212" s="341">
        <v>46169.0</v>
      </c>
      <c r="H212" s="194">
        <v>27.0</v>
      </c>
      <c r="I212" s="194">
        <v>5.0</v>
      </c>
      <c r="J212" s="194">
        <v>2026.0</v>
      </c>
      <c r="K212" s="74" t="s">
        <v>36</v>
      </c>
      <c r="L212" s="74" t="s">
        <v>1177</v>
      </c>
      <c r="M212" s="194">
        <v>1.0</v>
      </c>
      <c r="N212" s="194">
        <v>1.0</v>
      </c>
      <c r="O212" s="194"/>
      <c r="P212" s="194">
        <v>2.0</v>
      </c>
      <c r="Q212" s="344">
        <v>46174.0</v>
      </c>
      <c r="R212" s="185">
        <v>1.0</v>
      </c>
      <c r="S212" s="185">
        <v>6.0</v>
      </c>
      <c r="T212" s="194">
        <v>2026.0</v>
      </c>
      <c r="U212" s="74" t="s">
        <v>36</v>
      </c>
      <c r="V212" s="194">
        <v>41.77</v>
      </c>
      <c r="W212" s="344">
        <v>46174.0</v>
      </c>
      <c r="X212" s="194">
        <v>1.0</v>
      </c>
      <c r="Y212" s="194">
        <v>6.0</v>
      </c>
      <c r="Z212" s="194">
        <v>2026.0</v>
      </c>
      <c r="AA212" s="74" t="s">
        <v>36</v>
      </c>
    </row>
    <row r="213" ht="15.75" hidden="1" customHeight="1">
      <c r="A213" s="340" t="s">
        <v>1587</v>
      </c>
      <c r="B213" s="343">
        <v>5.706626887E9</v>
      </c>
      <c r="C213" s="341">
        <v>46154.0</v>
      </c>
      <c r="D213" s="194">
        <v>12.0</v>
      </c>
      <c r="E213" s="194">
        <v>5.0</v>
      </c>
      <c r="F213" s="194">
        <v>2026.0</v>
      </c>
      <c r="G213" s="341">
        <v>46157.0</v>
      </c>
      <c r="H213" s="194">
        <v>15.0</v>
      </c>
      <c r="I213" s="194">
        <v>5.0</v>
      </c>
      <c r="J213" s="194">
        <v>2026.0</v>
      </c>
      <c r="K213" s="74" t="s">
        <v>36</v>
      </c>
      <c r="L213" s="74" t="s">
        <v>1480</v>
      </c>
      <c r="M213" s="194">
        <v>1.0</v>
      </c>
      <c r="N213" s="194">
        <v>3.0</v>
      </c>
      <c r="O213" s="194"/>
      <c r="P213" s="194">
        <v>0.0</v>
      </c>
      <c r="Q213" s="344">
        <v>46174.0</v>
      </c>
      <c r="R213" s="185">
        <v>1.0</v>
      </c>
      <c r="S213" s="185">
        <v>6.0</v>
      </c>
      <c r="T213" s="194">
        <v>2026.0</v>
      </c>
      <c r="U213" s="74" t="s">
        <v>36</v>
      </c>
      <c r="V213" s="194">
        <v>0.0</v>
      </c>
      <c r="W213" s="344">
        <v>46174.0</v>
      </c>
      <c r="X213" s="194">
        <v>1.0</v>
      </c>
      <c r="Y213" s="194">
        <v>6.0</v>
      </c>
      <c r="Z213" s="194">
        <v>2026.0</v>
      </c>
      <c r="AA213" s="74" t="s">
        <v>36</v>
      </c>
    </row>
    <row r="214" ht="15.75" hidden="1" customHeight="1">
      <c r="A214" s="340" t="s">
        <v>1588</v>
      </c>
      <c r="B214" s="341">
        <v>5.584206841E9</v>
      </c>
      <c r="C214" s="341">
        <v>46172.0</v>
      </c>
      <c r="D214" s="194">
        <v>30.0</v>
      </c>
      <c r="E214" s="194">
        <v>5.0</v>
      </c>
      <c r="F214" s="194">
        <v>2026.0</v>
      </c>
      <c r="G214" s="341">
        <v>46173.0</v>
      </c>
      <c r="H214" s="194">
        <v>31.0</v>
      </c>
      <c r="I214" s="194">
        <v>5.0</v>
      </c>
      <c r="J214" s="194">
        <v>2026.0</v>
      </c>
      <c r="K214" s="74" t="s">
        <v>36</v>
      </c>
      <c r="L214" s="74" t="s">
        <v>1177</v>
      </c>
      <c r="M214" s="194">
        <v>1.0</v>
      </c>
      <c r="N214" s="194">
        <v>1.0</v>
      </c>
      <c r="O214" s="194"/>
      <c r="P214" s="194">
        <v>2.0</v>
      </c>
      <c r="Q214" s="344">
        <v>46174.0</v>
      </c>
      <c r="R214" s="185">
        <v>1.0</v>
      </c>
      <c r="S214" s="185">
        <v>6.0</v>
      </c>
      <c r="T214" s="194">
        <v>2026.0</v>
      </c>
      <c r="U214" s="74" t="s">
        <v>36</v>
      </c>
      <c r="V214" s="194">
        <v>29.23</v>
      </c>
      <c r="W214" s="344">
        <v>46174.0</v>
      </c>
      <c r="X214" s="194">
        <v>1.0</v>
      </c>
      <c r="Y214" s="194">
        <v>6.0</v>
      </c>
      <c r="Z214" s="194">
        <v>2026.0</v>
      </c>
      <c r="AA214" s="74" t="s">
        <v>36</v>
      </c>
    </row>
    <row r="215" ht="15.75" hidden="1" customHeight="1">
      <c r="A215" s="340" t="s">
        <v>1589</v>
      </c>
      <c r="B215" s="341">
        <v>6.230739056E9</v>
      </c>
      <c r="C215" s="341">
        <v>46151.0</v>
      </c>
      <c r="D215" s="194">
        <v>9.0</v>
      </c>
      <c r="E215" s="194">
        <v>5.0</v>
      </c>
      <c r="F215" s="194">
        <v>2026.0</v>
      </c>
      <c r="G215" s="341">
        <v>46156.0</v>
      </c>
      <c r="H215" s="194">
        <v>14.0</v>
      </c>
      <c r="I215" s="194">
        <v>5.0</v>
      </c>
      <c r="J215" s="194">
        <v>2026.0</v>
      </c>
      <c r="K215" s="74" t="s">
        <v>36</v>
      </c>
      <c r="L215" s="74" t="s">
        <v>1177</v>
      </c>
      <c r="M215" s="194">
        <v>1.0</v>
      </c>
      <c r="N215" s="194">
        <v>5.0</v>
      </c>
      <c r="O215" s="194"/>
      <c r="P215" s="194">
        <v>10.0</v>
      </c>
      <c r="Q215" s="344">
        <v>46174.0</v>
      </c>
      <c r="R215" s="185">
        <v>1.0</v>
      </c>
      <c r="S215" s="185">
        <v>6.0</v>
      </c>
      <c r="T215" s="194">
        <v>2026.0</v>
      </c>
      <c r="U215" s="74" t="s">
        <v>36</v>
      </c>
      <c r="V215" s="194">
        <v>187.96</v>
      </c>
      <c r="W215" s="344">
        <v>46174.0</v>
      </c>
      <c r="X215" s="194">
        <v>1.0</v>
      </c>
      <c r="Y215" s="194">
        <v>6.0</v>
      </c>
      <c r="Z215" s="194">
        <v>2026.0</v>
      </c>
      <c r="AA215" s="74" t="s">
        <v>36</v>
      </c>
    </row>
    <row r="216" ht="15.75" hidden="1" customHeight="1">
      <c r="A216" s="340" t="s">
        <v>1590</v>
      </c>
      <c r="B216" s="343">
        <v>5.539403912E9</v>
      </c>
      <c r="C216" s="341">
        <v>46157.0</v>
      </c>
      <c r="D216" s="194">
        <v>15.0</v>
      </c>
      <c r="E216" s="194">
        <v>5.0</v>
      </c>
      <c r="F216" s="194">
        <v>2026.0</v>
      </c>
      <c r="G216" s="341">
        <v>46161.0</v>
      </c>
      <c r="H216" s="194">
        <v>19.0</v>
      </c>
      <c r="I216" s="194">
        <v>5.0</v>
      </c>
      <c r="J216" s="194">
        <v>2026.0</v>
      </c>
      <c r="K216" s="74" t="s">
        <v>36</v>
      </c>
      <c r="L216" s="74" t="s">
        <v>1480</v>
      </c>
      <c r="M216" s="194">
        <v>1.0</v>
      </c>
      <c r="N216" s="194">
        <v>4.0</v>
      </c>
      <c r="O216" s="194"/>
      <c r="P216" s="194">
        <v>0.0</v>
      </c>
      <c r="Q216" s="344">
        <v>46174.0</v>
      </c>
      <c r="R216" s="185">
        <v>1.0</v>
      </c>
      <c r="S216" s="185">
        <v>6.0</v>
      </c>
      <c r="T216" s="194">
        <v>2026.0</v>
      </c>
      <c r="U216" s="74" t="s">
        <v>36</v>
      </c>
      <c r="V216" s="194">
        <v>0.0</v>
      </c>
      <c r="W216" s="344">
        <v>46174.0</v>
      </c>
      <c r="X216" s="194">
        <v>1.0</v>
      </c>
      <c r="Y216" s="194">
        <v>6.0</v>
      </c>
      <c r="Z216" s="194">
        <v>2026.0</v>
      </c>
      <c r="AA216" s="74" t="s">
        <v>36</v>
      </c>
    </row>
    <row r="217" ht="15.75" hidden="1" customHeight="1">
      <c r="A217" s="340" t="s">
        <v>1591</v>
      </c>
      <c r="B217" s="341">
        <v>6.485166449E9</v>
      </c>
      <c r="C217" s="341">
        <v>46166.0</v>
      </c>
      <c r="D217" s="194">
        <v>24.0</v>
      </c>
      <c r="E217" s="194">
        <v>5.0</v>
      </c>
      <c r="F217" s="194">
        <v>2026.0</v>
      </c>
      <c r="G217" s="341">
        <v>46167.0</v>
      </c>
      <c r="H217" s="194">
        <v>25.0</v>
      </c>
      <c r="I217" s="194">
        <v>5.0</v>
      </c>
      <c r="J217" s="194">
        <v>2026.0</v>
      </c>
      <c r="K217" s="74" t="s">
        <v>36</v>
      </c>
      <c r="L217" s="74" t="s">
        <v>1177</v>
      </c>
      <c r="M217" s="194">
        <v>1.0</v>
      </c>
      <c r="N217" s="194">
        <v>1.0</v>
      </c>
      <c r="O217" s="194"/>
      <c r="P217" s="194">
        <v>2.0</v>
      </c>
      <c r="Q217" s="344">
        <v>46174.0</v>
      </c>
      <c r="R217" s="185">
        <v>1.0</v>
      </c>
      <c r="S217" s="185">
        <v>6.0</v>
      </c>
      <c r="T217" s="194">
        <v>2026.0</v>
      </c>
      <c r="U217" s="74" t="s">
        <v>36</v>
      </c>
      <c r="V217" s="194">
        <v>29.23</v>
      </c>
      <c r="W217" s="344">
        <v>46174.0</v>
      </c>
      <c r="X217" s="194">
        <v>1.0</v>
      </c>
      <c r="Y217" s="194">
        <v>6.0</v>
      </c>
      <c r="Z217" s="194">
        <v>2026.0</v>
      </c>
      <c r="AA217" s="74" t="s">
        <v>36</v>
      </c>
    </row>
    <row r="218" ht="15.75" hidden="1" customHeight="1">
      <c r="A218" s="340" t="s">
        <v>1592</v>
      </c>
      <c r="B218" s="343">
        <v>5.36785631E9</v>
      </c>
      <c r="C218" s="341">
        <v>46153.0</v>
      </c>
      <c r="D218" s="194">
        <v>11.0</v>
      </c>
      <c r="E218" s="194">
        <v>5.0</v>
      </c>
      <c r="F218" s="194">
        <v>2026.0</v>
      </c>
      <c r="G218" s="341">
        <v>46155.0</v>
      </c>
      <c r="H218" s="194">
        <v>13.0</v>
      </c>
      <c r="I218" s="194">
        <v>5.0</v>
      </c>
      <c r="J218" s="194">
        <v>2026.0</v>
      </c>
      <c r="K218" s="74" t="s">
        <v>36</v>
      </c>
      <c r="L218" s="74" t="s">
        <v>1480</v>
      </c>
      <c r="M218" s="194">
        <v>2.0</v>
      </c>
      <c r="N218" s="194">
        <v>2.0</v>
      </c>
      <c r="O218" s="194"/>
      <c r="P218" s="194">
        <v>0.0</v>
      </c>
      <c r="Q218" s="344">
        <v>46174.0</v>
      </c>
      <c r="R218" s="185">
        <v>1.0</v>
      </c>
      <c r="S218" s="185">
        <v>6.0</v>
      </c>
      <c r="T218" s="194">
        <v>2026.0</v>
      </c>
      <c r="U218" s="74" t="s">
        <v>36</v>
      </c>
      <c r="V218" s="194">
        <v>0.0</v>
      </c>
      <c r="W218" s="344">
        <v>46174.0</v>
      </c>
      <c r="X218" s="194">
        <v>1.0</v>
      </c>
      <c r="Y218" s="194">
        <v>6.0</v>
      </c>
      <c r="Z218" s="194">
        <v>2026.0</v>
      </c>
      <c r="AA218" s="74" t="s">
        <v>36</v>
      </c>
    </row>
    <row r="219" ht="15.75" hidden="1" customHeight="1">
      <c r="A219" s="340" t="s">
        <v>1593</v>
      </c>
      <c r="B219" s="341">
        <v>6.063730041E9</v>
      </c>
      <c r="C219" s="341">
        <v>46144.0</v>
      </c>
      <c r="D219" s="194">
        <v>2.0</v>
      </c>
      <c r="E219" s="194">
        <v>5.0</v>
      </c>
      <c r="F219" s="194">
        <v>2026.0</v>
      </c>
      <c r="G219" s="341">
        <v>46146.0</v>
      </c>
      <c r="H219" s="194">
        <v>4.0</v>
      </c>
      <c r="I219" s="194">
        <v>5.0</v>
      </c>
      <c r="J219" s="194">
        <v>2026.0</v>
      </c>
      <c r="K219" s="74" t="s">
        <v>36</v>
      </c>
      <c r="L219" s="74" t="s">
        <v>1177</v>
      </c>
      <c r="M219" s="194">
        <v>1.0</v>
      </c>
      <c r="N219" s="194">
        <v>2.0</v>
      </c>
      <c r="O219" s="194"/>
      <c r="P219" s="194">
        <v>4.0</v>
      </c>
      <c r="Q219" s="344">
        <v>46174.0</v>
      </c>
      <c r="R219" s="185">
        <v>1.0</v>
      </c>
      <c r="S219" s="185">
        <v>6.0</v>
      </c>
      <c r="T219" s="194">
        <v>2026.0</v>
      </c>
      <c r="U219" s="74" t="s">
        <v>36</v>
      </c>
      <c r="V219" s="194">
        <v>75.18</v>
      </c>
      <c r="W219" s="344">
        <v>46174.0</v>
      </c>
      <c r="X219" s="194">
        <v>1.0</v>
      </c>
      <c r="Y219" s="194">
        <v>6.0</v>
      </c>
      <c r="Z219" s="194">
        <v>2026.0</v>
      </c>
      <c r="AA219" s="74" t="s">
        <v>36</v>
      </c>
    </row>
    <row r="220" ht="15.75" hidden="1" customHeight="1">
      <c r="A220" s="340" t="s">
        <v>1594</v>
      </c>
      <c r="B220" s="341">
        <v>5.856673806E9</v>
      </c>
      <c r="C220" s="341">
        <v>46156.0</v>
      </c>
      <c r="D220" s="194">
        <v>14.0</v>
      </c>
      <c r="E220" s="194">
        <v>5.0</v>
      </c>
      <c r="F220" s="194">
        <v>2026.0</v>
      </c>
      <c r="G220" s="341">
        <v>46159.0</v>
      </c>
      <c r="H220" s="194">
        <v>17.0</v>
      </c>
      <c r="I220" s="194">
        <v>5.0</v>
      </c>
      <c r="J220" s="194">
        <v>2026.0</v>
      </c>
      <c r="K220" s="74" t="s">
        <v>36</v>
      </c>
      <c r="L220" s="74" t="s">
        <v>1177</v>
      </c>
      <c r="M220" s="194">
        <v>1.0</v>
      </c>
      <c r="N220" s="194">
        <v>3.0</v>
      </c>
      <c r="O220" s="194"/>
      <c r="P220" s="194">
        <v>6.0</v>
      </c>
      <c r="Q220" s="344">
        <v>46174.0</v>
      </c>
      <c r="R220" s="185">
        <v>1.0</v>
      </c>
      <c r="S220" s="185">
        <v>6.0</v>
      </c>
      <c r="T220" s="194">
        <v>2026.0</v>
      </c>
      <c r="U220" s="74" t="s">
        <v>36</v>
      </c>
      <c r="V220" s="194">
        <v>104.42</v>
      </c>
      <c r="W220" s="344">
        <v>46174.0</v>
      </c>
      <c r="X220" s="194">
        <v>1.0</v>
      </c>
      <c r="Y220" s="194">
        <v>6.0</v>
      </c>
      <c r="Z220" s="194">
        <v>2026.0</v>
      </c>
      <c r="AA220" s="74" t="s">
        <v>36</v>
      </c>
    </row>
    <row r="221" ht="15.75" hidden="1" customHeight="1">
      <c r="A221" s="340" t="s">
        <v>1595</v>
      </c>
      <c r="B221" s="341">
        <v>5.169475058E9</v>
      </c>
      <c r="C221" s="341">
        <v>46158.0</v>
      </c>
      <c r="D221" s="194">
        <v>16.0</v>
      </c>
      <c r="E221" s="194">
        <v>5.0</v>
      </c>
      <c r="F221" s="194">
        <v>2026.0</v>
      </c>
      <c r="G221" s="341">
        <v>46162.0</v>
      </c>
      <c r="H221" s="194">
        <v>20.0</v>
      </c>
      <c r="I221" s="194">
        <v>5.0</v>
      </c>
      <c r="J221" s="194">
        <v>2026.0</v>
      </c>
      <c r="K221" s="74" t="s">
        <v>36</v>
      </c>
      <c r="L221" s="74" t="s">
        <v>1177</v>
      </c>
      <c r="M221" s="194">
        <v>1.0</v>
      </c>
      <c r="N221" s="194">
        <v>4.0</v>
      </c>
      <c r="O221" s="194"/>
      <c r="P221" s="194">
        <v>8.0</v>
      </c>
      <c r="Q221" s="344">
        <v>46174.0</v>
      </c>
      <c r="R221" s="185">
        <v>1.0</v>
      </c>
      <c r="S221" s="185">
        <v>6.0</v>
      </c>
      <c r="T221" s="194">
        <v>2026.0</v>
      </c>
      <c r="U221" s="74" t="s">
        <v>36</v>
      </c>
      <c r="V221" s="194">
        <v>150.37</v>
      </c>
      <c r="W221" s="344">
        <v>46174.0</v>
      </c>
      <c r="X221" s="194">
        <v>1.0</v>
      </c>
      <c r="Y221" s="194">
        <v>6.0</v>
      </c>
      <c r="Z221" s="194">
        <v>2026.0</v>
      </c>
      <c r="AA221" s="74" t="s">
        <v>36</v>
      </c>
    </row>
    <row r="222" ht="15.75" hidden="1" customHeight="1">
      <c r="A222" s="340" t="s">
        <v>1596</v>
      </c>
      <c r="B222" s="341">
        <v>6.995084518E9</v>
      </c>
      <c r="C222" s="341">
        <v>46150.0</v>
      </c>
      <c r="D222" s="194">
        <v>8.0</v>
      </c>
      <c r="E222" s="194">
        <v>5.0</v>
      </c>
      <c r="F222" s="194">
        <v>2026.0</v>
      </c>
      <c r="G222" s="341">
        <v>46152.0</v>
      </c>
      <c r="H222" s="194">
        <v>10.0</v>
      </c>
      <c r="I222" s="194">
        <v>5.0</v>
      </c>
      <c r="J222" s="194">
        <v>2026.0</v>
      </c>
      <c r="K222" s="74" t="s">
        <v>36</v>
      </c>
      <c r="L222" s="74" t="s">
        <v>1177</v>
      </c>
      <c r="M222" s="194">
        <v>1.0</v>
      </c>
      <c r="N222" s="194">
        <v>2.0</v>
      </c>
      <c r="O222" s="194"/>
      <c r="P222" s="194">
        <v>4.0</v>
      </c>
      <c r="Q222" s="344">
        <v>46174.0</v>
      </c>
      <c r="R222" s="185">
        <v>1.0</v>
      </c>
      <c r="S222" s="185">
        <v>6.0</v>
      </c>
      <c r="T222" s="194">
        <v>2026.0</v>
      </c>
      <c r="U222" s="74" t="s">
        <v>36</v>
      </c>
      <c r="V222" s="194">
        <v>75.18</v>
      </c>
      <c r="W222" s="344">
        <v>46174.0</v>
      </c>
      <c r="X222" s="194">
        <v>1.0</v>
      </c>
      <c r="Y222" s="194">
        <v>6.0</v>
      </c>
      <c r="Z222" s="194">
        <v>2026.0</v>
      </c>
      <c r="AA222" s="74" t="s">
        <v>36</v>
      </c>
    </row>
    <row r="223" ht="15.75" hidden="1" customHeight="1">
      <c r="A223" s="340" t="s">
        <v>1597</v>
      </c>
      <c r="B223" s="341">
        <v>6.302484779E9</v>
      </c>
      <c r="C223" s="341">
        <v>46144.0</v>
      </c>
      <c r="D223" s="194">
        <v>2.0</v>
      </c>
      <c r="E223" s="194">
        <v>5.0</v>
      </c>
      <c r="F223" s="194">
        <v>2026.0</v>
      </c>
      <c r="G223" s="341">
        <v>46146.0</v>
      </c>
      <c r="H223" s="194">
        <v>4.0</v>
      </c>
      <c r="I223" s="194">
        <v>5.0</v>
      </c>
      <c r="J223" s="194">
        <v>2026.0</v>
      </c>
      <c r="K223" s="74" t="s">
        <v>36</v>
      </c>
      <c r="L223" s="74" t="s">
        <v>1480</v>
      </c>
      <c r="M223" s="194">
        <v>1.0</v>
      </c>
      <c r="N223" s="194">
        <v>2.0</v>
      </c>
      <c r="O223" s="194"/>
      <c r="P223" s="194">
        <v>0.0</v>
      </c>
      <c r="Q223" s="344">
        <v>46174.0</v>
      </c>
      <c r="R223" s="185">
        <v>1.0</v>
      </c>
      <c r="S223" s="185">
        <v>6.0</v>
      </c>
      <c r="T223" s="194">
        <v>2026.0</v>
      </c>
      <c r="U223" s="74" t="s">
        <v>36</v>
      </c>
      <c r="V223" s="194">
        <v>0.0</v>
      </c>
      <c r="W223" s="344">
        <v>46174.0</v>
      </c>
      <c r="X223" s="194">
        <v>1.0</v>
      </c>
      <c r="Y223" s="194">
        <v>6.0</v>
      </c>
      <c r="Z223" s="194">
        <v>2026.0</v>
      </c>
      <c r="AA223" s="74" t="s">
        <v>36</v>
      </c>
    </row>
    <row r="224" ht="15.75" hidden="1" customHeight="1">
      <c r="A224" s="340" t="s">
        <v>1598</v>
      </c>
      <c r="B224" s="341">
        <v>5.688579807E9</v>
      </c>
      <c r="C224" s="341">
        <v>46162.0</v>
      </c>
      <c r="D224" s="194">
        <v>20.0</v>
      </c>
      <c r="E224" s="194">
        <v>5.0</v>
      </c>
      <c r="F224" s="194">
        <v>2026.0</v>
      </c>
      <c r="G224" s="341">
        <v>46163.0</v>
      </c>
      <c r="H224" s="194">
        <v>21.0</v>
      </c>
      <c r="I224" s="194">
        <v>5.0</v>
      </c>
      <c r="J224" s="194">
        <v>2026.0</v>
      </c>
      <c r="K224" s="74" t="s">
        <v>36</v>
      </c>
      <c r="L224" s="74" t="s">
        <v>1177</v>
      </c>
      <c r="M224" s="194">
        <v>1.0</v>
      </c>
      <c r="N224" s="194">
        <v>1.0</v>
      </c>
      <c r="O224" s="194"/>
      <c r="P224" s="194">
        <v>2.0</v>
      </c>
      <c r="Q224" s="344">
        <v>46174.0</v>
      </c>
      <c r="R224" s="185">
        <v>1.0</v>
      </c>
      <c r="S224" s="185">
        <v>6.0</v>
      </c>
      <c r="T224" s="194">
        <v>2026.0</v>
      </c>
      <c r="U224" s="74" t="s">
        <v>36</v>
      </c>
      <c r="V224" s="194">
        <v>37.59</v>
      </c>
      <c r="W224" s="344">
        <v>46174.0</v>
      </c>
      <c r="X224" s="194">
        <v>1.0</v>
      </c>
      <c r="Y224" s="194">
        <v>6.0</v>
      </c>
      <c r="Z224" s="194">
        <v>2026.0</v>
      </c>
      <c r="AA224" s="74" t="s">
        <v>36</v>
      </c>
    </row>
    <row r="225" ht="15.75" hidden="1" customHeight="1">
      <c r="A225" s="340" t="s">
        <v>1599</v>
      </c>
      <c r="B225" s="341">
        <v>5.649616304E9</v>
      </c>
      <c r="C225" s="341">
        <v>46165.0</v>
      </c>
      <c r="D225" s="194">
        <v>23.0</v>
      </c>
      <c r="E225" s="194">
        <v>5.0</v>
      </c>
      <c r="F225" s="194">
        <v>2026.0</v>
      </c>
      <c r="G225" s="341">
        <v>46168.0</v>
      </c>
      <c r="H225" s="194">
        <v>26.0</v>
      </c>
      <c r="I225" s="194">
        <v>5.0</v>
      </c>
      <c r="J225" s="194">
        <v>2026.0</v>
      </c>
      <c r="K225" s="74" t="s">
        <v>36</v>
      </c>
      <c r="L225" s="74" t="s">
        <v>1177</v>
      </c>
      <c r="M225" s="194">
        <v>1.0</v>
      </c>
      <c r="N225" s="194">
        <v>3.0</v>
      </c>
      <c r="O225" s="194"/>
      <c r="P225" s="194">
        <v>6.0</v>
      </c>
      <c r="Q225" s="344">
        <v>46174.0</v>
      </c>
      <c r="R225" s="185">
        <v>1.0</v>
      </c>
      <c r="S225" s="185">
        <v>6.0</v>
      </c>
      <c r="T225" s="194">
        <v>2026.0</v>
      </c>
      <c r="U225" s="74" t="s">
        <v>36</v>
      </c>
      <c r="V225" s="194">
        <v>87.7</v>
      </c>
      <c r="W225" s="344">
        <v>46174.0</v>
      </c>
      <c r="X225" s="194">
        <v>1.0</v>
      </c>
      <c r="Y225" s="194">
        <v>6.0</v>
      </c>
      <c r="Z225" s="194">
        <v>2026.0</v>
      </c>
      <c r="AA225" s="74" t="s">
        <v>36</v>
      </c>
    </row>
    <row r="226" ht="15.75" hidden="1" customHeight="1">
      <c r="A226" s="340" t="s">
        <v>1601</v>
      </c>
      <c r="B226" s="341">
        <v>5.352945543E9</v>
      </c>
      <c r="C226" s="341">
        <v>46157.0</v>
      </c>
      <c r="D226" s="194">
        <v>15.0</v>
      </c>
      <c r="E226" s="194">
        <v>5.0</v>
      </c>
      <c r="F226" s="194">
        <v>2026.0</v>
      </c>
      <c r="G226" s="341">
        <v>46158.0</v>
      </c>
      <c r="H226" s="194">
        <v>16.0</v>
      </c>
      <c r="I226" s="194">
        <v>5.0</v>
      </c>
      <c r="J226" s="194">
        <v>2026.0</v>
      </c>
      <c r="K226" s="74" t="s">
        <v>36</v>
      </c>
      <c r="L226" s="74" t="s">
        <v>1177</v>
      </c>
      <c r="M226" s="194">
        <v>1.0</v>
      </c>
      <c r="N226" s="194">
        <v>1.0</v>
      </c>
      <c r="O226" s="194"/>
      <c r="P226" s="194">
        <v>2.0</v>
      </c>
      <c r="Q226" s="344">
        <v>46174.0</v>
      </c>
      <c r="R226" s="185">
        <v>1.0</v>
      </c>
      <c r="S226" s="185">
        <v>6.0</v>
      </c>
      <c r="T226" s="194">
        <v>2026.0</v>
      </c>
      <c r="U226" s="74" t="s">
        <v>36</v>
      </c>
      <c r="V226" s="194">
        <v>37.59</v>
      </c>
      <c r="W226" s="344">
        <v>46174.0</v>
      </c>
      <c r="X226" s="194">
        <v>1.0</v>
      </c>
      <c r="Y226" s="194">
        <v>6.0</v>
      </c>
      <c r="Z226" s="194">
        <v>2026.0</v>
      </c>
      <c r="AA226" s="74" t="s">
        <v>36</v>
      </c>
    </row>
    <row r="227" ht="15.75" hidden="1" customHeight="1">
      <c r="A227" s="340" t="s">
        <v>1604</v>
      </c>
      <c r="B227" s="341">
        <v>5.034906335E9</v>
      </c>
      <c r="C227" s="341">
        <v>46167.0</v>
      </c>
      <c r="D227" s="194">
        <v>25.0</v>
      </c>
      <c r="E227" s="194">
        <v>5.0</v>
      </c>
      <c r="F227" s="194">
        <v>2026.0</v>
      </c>
      <c r="G227" s="341">
        <v>46169.0</v>
      </c>
      <c r="H227" s="194">
        <v>27.0</v>
      </c>
      <c r="I227" s="194">
        <v>5.0</v>
      </c>
      <c r="J227" s="194">
        <v>2026.0</v>
      </c>
      <c r="K227" s="74" t="s">
        <v>36</v>
      </c>
      <c r="L227" s="74" t="s">
        <v>1177</v>
      </c>
      <c r="M227" s="194">
        <v>1.0</v>
      </c>
      <c r="N227" s="194">
        <v>2.0</v>
      </c>
      <c r="O227" s="194"/>
      <c r="P227" s="194">
        <v>4.0</v>
      </c>
      <c r="Q227" s="344">
        <v>46174.0</v>
      </c>
      <c r="R227" s="185">
        <v>1.0</v>
      </c>
      <c r="S227" s="185">
        <v>6.0</v>
      </c>
      <c r="T227" s="194">
        <v>2026.0</v>
      </c>
      <c r="U227" s="74" t="s">
        <v>36</v>
      </c>
      <c r="V227" s="194">
        <v>62.64</v>
      </c>
      <c r="W227" s="344">
        <v>46174.0</v>
      </c>
      <c r="X227" s="194">
        <v>1.0</v>
      </c>
      <c r="Y227" s="194">
        <v>6.0</v>
      </c>
      <c r="Z227" s="194">
        <v>2026.0</v>
      </c>
      <c r="AA227" s="74" t="s">
        <v>36</v>
      </c>
    </row>
    <row r="228" ht="15.75" hidden="1" customHeight="1">
      <c r="A228" s="340" t="s">
        <v>1609</v>
      </c>
      <c r="B228" s="341">
        <v>6.262146047E9</v>
      </c>
      <c r="C228" s="341">
        <v>46166.0</v>
      </c>
      <c r="D228" s="194">
        <v>24.0</v>
      </c>
      <c r="E228" s="194">
        <v>5.0</v>
      </c>
      <c r="F228" s="194">
        <v>2026.0</v>
      </c>
      <c r="G228" s="341">
        <v>46168.0</v>
      </c>
      <c r="H228" s="194">
        <v>26.0</v>
      </c>
      <c r="I228" s="194">
        <v>5.0</v>
      </c>
      <c r="J228" s="194">
        <v>2026.0</v>
      </c>
      <c r="K228" s="74" t="s">
        <v>36</v>
      </c>
      <c r="L228" s="74" t="s">
        <v>1177</v>
      </c>
      <c r="M228" s="194">
        <v>1.0</v>
      </c>
      <c r="N228" s="194">
        <v>2.0</v>
      </c>
      <c r="O228" s="194"/>
      <c r="P228" s="194">
        <v>4.0</v>
      </c>
      <c r="Q228" s="344">
        <v>46174.0</v>
      </c>
      <c r="R228" s="185">
        <v>1.0</v>
      </c>
      <c r="S228" s="185">
        <v>6.0</v>
      </c>
      <c r="T228" s="194">
        <v>2026.0</v>
      </c>
      <c r="U228" s="74" t="s">
        <v>36</v>
      </c>
      <c r="V228" s="194">
        <v>58.46</v>
      </c>
      <c r="W228" s="344">
        <v>46174.0</v>
      </c>
      <c r="X228" s="194">
        <v>1.0</v>
      </c>
      <c r="Y228" s="194">
        <v>6.0</v>
      </c>
      <c r="Z228" s="194">
        <v>2026.0</v>
      </c>
      <c r="AA228" s="74" t="s">
        <v>36</v>
      </c>
    </row>
    <row r="229" ht="15.75" hidden="1" customHeight="1">
      <c r="A229" s="340" t="s">
        <v>1614</v>
      </c>
      <c r="B229" s="343">
        <v>6.282731349E9</v>
      </c>
      <c r="C229" s="341">
        <v>46156.0</v>
      </c>
      <c r="D229" s="194">
        <v>14.0</v>
      </c>
      <c r="E229" s="194">
        <v>5.0</v>
      </c>
      <c r="F229" s="194">
        <v>2026.0</v>
      </c>
      <c r="G229" s="341">
        <v>46159.0</v>
      </c>
      <c r="H229" s="194">
        <v>17.0</v>
      </c>
      <c r="I229" s="194">
        <v>5.0</v>
      </c>
      <c r="J229" s="194">
        <v>2026.0</v>
      </c>
      <c r="K229" s="74" t="s">
        <v>36</v>
      </c>
      <c r="L229" s="74" t="s">
        <v>1480</v>
      </c>
      <c r="M229" s="194">
        <v>2.0</v>
      </c>
      <c r="N229" s="194">
        <v>3.0</v>
      </c>
      <c r="O229" s="194"/>
      <c r="P229" s="194">
        <v>0.0</v>
      </c>
      <c r="Q229" s="344">
        <v>46174.0</v>
      </c>
      <c r="R229" s="185">
        <v>1.0</v>
      </c>
      <c r="S229" s="185">
        <v>6.0</v>
      </c>
      <c r="T229" s="194">
        <v>2026.0</v>
      </c>
      <c r="U229" s="74" t="s">
        <v>36</v>
      </c>
      <c r="V229" s="194">
        <v>0.0</v>
      </c>
      <c r="W229" s="344">
        <v>46174.0</v>
      </c>
      <c r="X229" s="194">
        <v>1.0</v>
      </c>
      <c r="Y229" s="194">
        <v>6.0</v>
      </c>
      <c r="Z229" s="194">
        <v>2026.0</v>
      </c>
      <c r="AA229" s="74" t="s">
        <v>36</v>
      </c>
    </row>
    <row r="230" ht="15.75" hidden="1" customHeight="1">
      <c r="A230" s="340" t="s">
        <v>1618</v>
      </c>
      <c r="B230" s="343">
        <v>5.856208207E9</v>
      </c>
      <c r="C230" s="341">
        <v>46167.0</v>
      </c>
      <c r="D230" s="194">
        <v>25.0</v>
      </c>
      <c r="E230" s="194">
        <v>5.0</v>
      </c>
      <c r="F230" s="194">
        <v>2026.0</v>
      </c>
      <c r="G230" s="341">
        <v>46170.0</v>
      </c>
      <c r="H230" s="194">
        <v>28.0</v>
      </c>
      <c r="I230" s="194">
        <v>5.0</v>
      </c>
      <c r="J230" s="194">
        <v>2026.0</v>
      </c>
      <c r="K230" s="74" t="s">
        <v>36</v>
      </c>
      <c r="L230" s="74" t="s">
        <v>1480</v>
      </c>
      <c r="M230" s="194">
        <v>1.0</v>
      </c>
      <c r="N230" s="194">
        <v>3.0</v>
      </c>
      <c r="O230" s="194"/>
      <c r="P230" s="194">
        <v>0.0</v>
      </c>
      <c r="Q230" s="344">
        <v>46174.0</v>
      </c>
      <c r="R230" s="185">
        <v>1.0</v>
      </c>
      <c r="S230" s="185">
        <v>6.0</v>
      </c>
      <c r="T230" s="194">
        <v>2026.0</v>
      </c>
      <c r="U230" s="74" t="s">
        <v>36</v>
      </c>
      <c r="V230" s="194">
        <v>0.0</v>
      </c>
      <c r="W230" s="344">
        <v>46174.0</v>
      </c>
      <c r="X230" s="194">
        <v>1.0</v>
      </c>
      <c r="Y230" s="194">
        <v>6.0</v>
      </c>
      <c r="Z230" s="194">
        <v>2026.0</v>
      </c>
      <c r="AA230" s="74" t="s">
        <v>36</v>
      </c>
    </row>
    <row r="231" ht="15.75" hidden="1" customHeight="1">
      <c r="A231" s="340" t="s">
        <v>1619</v>
      </c>
      <c r="B231" s="341">
        <v>5.368107852E9</v>
      </c>
      <c r="C231" s="341">
        <v>46168.0</v>
      </c>
      <c r="D231" s="194">
        <v>26.0</v>
      </c>
      <c r="E231" s="194">
        <v>5.0</v>
      </c>
      <c r="F231" s="194">
        <v>2026.0</v>
      </c>
      <c r="G231" s="341">
        <v>46170.0</v>
      </c>
      <c r="H231" s="194">
        <v>28.0</v>
      </c>
      <c r="I231" s="194">
        <v>5.0</v>
      </c>
      <c r="J231" s="194">
        <v>2026.0</v>
      </c>
      <c r="K231" s="74" t="s">
        <v>36</v>
      </c>
      <c r="L231" s="74" t="s">
        <v>1177</v>
      </c>
      <c r="M231" s="194">
        <v>1.0</v>
      </c>
      <c r="N231" s="194">
        <v>2.0</v>
      </c>
      <c r="O231" s="194"/>
      <c r="P231" s="194">
        <v>4.0</v>
      </c>
      <c r="Q231" s="344">
        <v>46174.0</v>
      </c>
      <c r="R231" s="185">
        <v>1.0</v>
      </c>
      <c r="S231" s="185">
        <v>6.0</v>
      </c>
      <c r="T231" s="194">
        <v>2026.0</v>
      </c>
      <c r="U231" s="74" t="s">
        <v>36</v>
      </c>
      <c r="V231" s="194">
        <v>75.18</v>
      </c>
      <c r="W231" s="344">
        <v>46174.0</v>
      </c>
      <c r="X231" s="194">
        <v>1.0</v>
      </c>
      <c r="Y231" s="194">
        <v>6.0</v>
      </c>
      <c r="Z231" s="194">
        <v>2026.0</v>
      </c>
      <c r="AA231" s="74" t="s">
        <v>36</v>
      </c>
    </row>
    <row r="232" ht="15.75" hidden="1" customHeight="1">
      <c r="A232" s="340" t="s">
        <v>1620</v>
      </c>
      <c r="B232" s="341">
        <v>6.548055013E9</v>
      </c>
      <c r="C232" s="341">
        <v>46145.0</v>
      </c>
      <c r="D232" s="194">
        <v>3.0</v>
      </c>
      <c r="E232" s="194">
        <v>5.0</v>
      </c>
      <c r="F232" s="194">
        <v>2026.0</v>
      </c>
      <c r="G232" s="341">
        <v>46149.0</v>
      </c>
      <c r="H232" s="194">
        <v>7.0</v>
      </c>
      <c r="I232" s="194">
        <v>5.0</v>
      </c>
      <c r="J232" s="194">
        <v>2026.0</v>
      </c>
      <c r="K232" s="74" t="s">
        <v>36</v>
      </c>
      <c r="L232" s="74" t="s">
        <v>1177</v>
      </c>
      <c r="M232" s="194">
        <v>1.0</v>
      </c>
      <c r="N232" s="194">
        <v>4.0</v>
      </c>
      <c r="O232" s="194"/>
      <c r="P232" s="194">
        <v>8.0</v>
      </c>
      <c r="Q232" s="344">
        <v>46174.0</v>
      </c>
      <c r="R232" s="185">
        <v>1.0</v>
      </c>
      <c r="S232" s="185">
        <v>6.0</v>
      </c>
      <c r="T232" s="194">
        <v>2026.0</v>
      </c>
      <c r="U232" s="74" t="s">
        <v>36</v>
      </c>
      <c r="V232" s="194">
        <v>150.37</v>
      </c>
      <c r="W232" s="344">
        <v>46174.0</v>
      </c>
      <c r="X232" s="194">
        <v>1.0</v>
      </c>
      <c r="Y232" s="194">
        <v>6.0</v>
      </c>
      <c r="Z232" s="194">
        <v>2026.0</v>
      </c>
      <c r="AA232" s="74" t="s">
        <v>36</v>
      </c>
    </row>
    <row r="233" ht="15.75" hidden="1" customHeight="1">
      <c r="A233" s="340" t="s">
        <v>1621</v>
      </c>
      <c r="B233" s="343">
        <v>6.132438956E9</v>
      </c>
      <c r="C233" s="341">
        <v>46161.0</v>
      </c>
      <c r="D233" s="194">
        <v>19.0</v>
      </c>
      <c r="E233" s="194">
        <v>5.0</v>
      </c>
      <c r="F233" s="194">
        <v>2026.0</v>
      </c>
      <c r="G233" s="341">
        <v>46165.0</v>
      </c>
      <c r="H233" s="194">
        <v>23.0</v>
      </c>
      <c r="I233" s="194">
        <v>5.0</v>
      </c>
      <c r="J233" s="194">
        <v>2026.0</v>
      </c>
      <c r="K233" s="74" t="s">
        <v>36</v>
      </c>
      <c r="L233" s="74" t="s">
        <v>1480</v>
      </c>
      <c r="M233" s="194">
        <v>1.0</v>
      </c>
      <c r="N233" s="194">
        <v>4.0</v>
      </c>
      <c r="O233" s="194"/>
      <c r="P233" s="194">
        <v>0.0</v>
      </c>
      <c r="Q233" s="344">
        <v>46174.0</v>
      </c>
      <c r="R233" s="185">
        <v>1.0</v>
      </c>
      <c r="S233" s="185">
        <v>6.0</v>
      </c>
      <c r="T233" s="194">
        <v>2026.0</v>
      </c>
      <c r="U233" s="74" t="s">
        <v>36</v>
      </c>
      <c r="V233" s="194">
        <v>0.0</v>
      </c>
      <c r="W233" s="344">
        <v>46174.0</v>
      </c>
      <c r="X233" s="194">
        <v>1.0</v>
      </c>
      <c r="Y233" s="194">
        <v>6.0</v>
      </c>
      <c r="Z233" s="194">
        <v>2026.0</v>
      </c>
      <c r="AA233" s="74" t="s">
        <v>36</v>
      </c>
    </row>
    <row r="234" ht="15.75" hidden="1" customHeight="1">
      <c r="A234" s="340" t="s">
        <v>1622</v>
      </c>
      <c r="B234" s="341">
        <v>5.722259362E9</v>
      </c>
      <c r="C234" s="341">
        <v>46165.0</v>
      </c>
      <c r="D234" s="194">
        <v>23.0</v>
      </c>
      <c r="E234" s="194">
        <v>5.0</v>
      </c>
      <c r="F234" s="194">
        <v>2026.0</v>
      </c>
      <c r="G234" s="341">
        <v>46167.0</v>
      </c>
      <c r="H234" s="194">
        <v>25.0</v>
      </c>
      <c r="I234" s="194">
        <v>5.0</v>
      </c>
      <c r="J234" s="194">
        <v>2026.0</v>
      </c>
      <c r="K234" s="74" t="s">
        <v>36</v>
      </c>
      <c r="L234" s="74" t="s">
        <v>1177</v>
      </c>
      <c r="M234" s="194">
        <v>1.0</v>
      </c>
      <c r="N234" s="194">
        <v>2.0</v>
      </c>
      <c r="O234" s="194"/>
      <c r="P234" s="194">
        <v>4.0</v>
      </c>
      <c r="Q234" s="344">
        <v>46174.0</v>
      </c>
      <c r="R234" s="185">
        <v>1.0</v>
      </c>
      <c r="S234" s="185">
        <v>6.0</v>
      </c>
      <c r="T234" s="194">
        <v>2026.0</v>
      </c>
      <c r="U234" s="74" t="s">
        <v>36</v>
      </c>
      <c r="V234" s="194">
        <v>58.46</v>
      </c>
      <c r="W234" s="344">
        <v>46174.0</v>
      </c>
      <c r="X234" s="194">
        <v>1.0</v>
      </c>
      <c r="Y234" s="194">
        <v>6.0</v>
      </c>
      <c r="Z234" s="194">
        <v>2026.0</v>
      </c>
      <c r="AA234" s="74" t="s">
        <v>36</v>
      </c>
    </row>
    <row r="235" ht="15.75" hidden="1" customHeight="1">
      <c r="A235" s="340" t="s">
        <v>1623</v>
      </c>
      <c r="B235" s="341">
        <v>5.423667038E9</v>
      </c>
      <c r="C235" s="341">
        <v>46160.0</v>
      </c>
      <c r="D235" s="194">
        <v>18.0</v>
      </c>
      <c r="E235" s="194">
        <v>5.0</v>
      </c>
      <c r="F235" s="194">
        <v>2026.0</v>
      </c>
      <c r="G235" s="341">
        <v>46161.0</v>
      </c>
      <c r="H235" s="194">
        <v>19.0</v>
      </c>
      <c r="I235" s="194">
        <v>5.0</v>
      </c>
      <c r="J235" s="194">
        <v>2026.0</v>
      </c>
      <c r="K235" s="74" t="s">
        <v>36</v>
      </c>
      <c r="L235" s="74" t="s">
        <v>1177</v>
      </c>
      <c r="M235" s="194">
        <v>1.0</v>
      </c>
      <c r="N235" s="194">
        <v>1.0</v>
      </c>
      <c r="O235" s="194"/>
      <c r="P235" s="194">
        <v>2.0</v>
      </c>
      <c r="Q235" s="344">
        <v>46174.0</v>
      </c>
      <c r="R235" s="185">
        <v>1.0</v>
      </c>
      <c r="S235" s="185">
        <v>6.0</v>
      </c>
      <c r="T235" s="194">
        <v>2026.0</v>
      </c>
      <c r="U235" s="74" t="s">
        <v>36</v>
      </c>
      <c r="V235" s="194">
        <v>37.59</v>
      </c>
      <c r="W235" s="344">
        <v>46174.0</v>
      </c>
      <c r="X235" s="194">
        <v>1.0</v>
      </c>
      <c r="Y235" s="194">
        <v>6.0</v>
      </c>
      <c r="Z235" s="194">
        <v>2026.0</v>
      </c>
      <c r="AA235" s="74" t="s">
        <v>36</v>
      </c>
    </row>
    <row r="236" ht="15.75" hidden="1" customHeight="1">
      <c r="A236" s="340" t="s">
        <v>1624</v>
      </c>
      <c r="B236" s="341">
        <v>6.698149436E9</v>
      </c>
      <c r="C236" s="341">
        <v>46144.0</v>
      </c>
      <c r="D236" s="194">
        <v>2.0</v>
      </c>
      <c r="E236" s="194">
        <v>5.0</v>
      </c>
      <c r="F236" s="194">
        <v>2026.0</v>
      </c>
      <c r="G236" s="341">
        <v>46147.0</v>
      </c>
      <c r="H236" s="194">
        <v>5.0</v>
      </c>
      <c r="I236" s="194">
        <v>5.0</v>
      </c>
      <c r="J236" s="194">
        <v>2026.0</v>
      </c>
      <c r="K236" s="74" t="s">
        <v>36</v>
      </c>
      <c r="L236" s="74" t="s">
        <v>1177</v>
      </c>
      <c r="M236" s="194">
        <v>1.0</v>
      </c>
      <c r="N236" s="194">
        <v>3.0</v>
      </c>
      <c r="O236" s="194"/>
      <c r="P236" s="194">
        <v>6.0</v>
      </c>
      <c r="Q236" s="344">
        <v>46174.0</v>
      </c>
      <c r="R236" s="185">
        <v>1.0</v>
      </c>
      <c r="S236" s="185">
        <v>6.0</v>
      </c>
      <c r="T236" s="194">
        <v>2026.0</v>
      </c>
      <c r="U236" s="74" t="s">
        <v>36</v>
      </c>
      <c r="V236" s="194">
        <v>112.78</v>
      </c>
      <c r="W236" s="344">
        <v>46174.0</v>
      </c>
      <c r="X236" s="194">
        <v>1.0</v>
      </c>
      <c r="Y236" s="194">
        <v>6.0</v>
      </c>
      <c r="Z236" s="194">
        <v>2026.0</v>
      </c>
      <c r="AA236" s="74" t="s">
        <v>36</v>
      </c>
    </row>
    <row r="237" ht="15.75" hidden="1" customHeight="1">
      <c r="A237" s="340" t="s">
        <v>1625</v>
      </c>
      <c r="B237" s="341">
        <v>6.237166978E9</v>
      </c>
      <c r="C237" s="341">
        <v>46149.0</v>
      </c>
      <c r="D237" s="194">
        <v>7.0</v>
      </c>
      <c r="E237" s="194">
        <v>5.0</v>
      </c>
      <c r="F237" s="194">
        <v>2026.0</v>
      </c>
      <c r="G237" s="341">
        <v>46150.0</v>
      </c>
      <c r="H237" s="194">
        <v>8.0</v>
      </c>
      <c r="I237" s="194">
        <v>5.0</v>
      </c>
      <c r="J237" s="194">
        <v>2026.0</v>
      </c>
      <c r="K237" s="74" t="s">
        <v>36</v>
      </c>
      <c r="L237" s="74" t="s">
        <v>1177</v>
      </c>
      <c r="M237" s="194">
        <v>1.0</v>
      </c>
      <c r="N237" s="194">
        <v>1.0</v>
      </c>
      <c r="O237" s="194"/>
      <c r="P237" s="194">
        <v>2.0</v>
      </c>
      <c r="Q237" s="344">
        <v>46174.0</v>
      </c>
      <c r="R237" s="185">
        <v>1.0</v>
      </c>
      <c r="S237" s="185">
        <v>6.0</v>
      </c>
      <c r="T237" s="194">
        <v>2026.0</v>
      </c>
      <c r="U237" s="74" t="s">
        <v>36</v>
      </c>
      <c r="V237" s="194">
        <v>37.59</v>
      </c>
      <c r="W237" s="344">
        <v>46174.0</v>
      </c>
      <c r="X237" s="194">
        <v>1.0</v>
      </c>
      <c r="Y237" s="194">
        <v>6.0</v>
      </c>
      <c r="Z237" s="194">
        <v>2026.0</v>
      </c>
      <c r="AA237" s="74" t="s">
        <v>36</v>
      </c>
    </row>
    <row r="238" ht="15.75" hidden="1" customHeight="1">
      <c r="A238" s="340" t="s">
        <v>1626</v>
      </c>
      <c r="B238" s="341">
        <v>5.678060938E9</v>
      </c>
      <c r="C238" s="341">
        <v>46164.0</v>
      </c>
      <c r="D238" s="194">
        <v>22.0</v>
      </c>
      <c r="E238" s="194">
        <v>5.0</v>
      </c>
      <c r="F238" s="194">
        <v>2026.0</v>
      </c>
      <c r="G238" s="341">
        <v>46165.0</v>
      </c>
      <c r="H238" s="194">
        <v>23.0</v>
      </c>
      <c r="I238" s="194">
        <v>5.0</v>
      </c>
      <c r="J238" s="194">
        <v>2026.0</v>
      </c>
      <c r="K238" s="74" t="s">
        <v>36</v>
      </c>
      <c r="L238" s="74" t="s">
        <v>1177</v>
      </c>
      <c r="M238" s="194">
        <v>1.0</v>
      </c>
      <c r="N238" s="194">
        <v>1.0</v>
      </c>
      <c r="O238" s="194"/>
      <c r="P238" s="194">
        <v>2.0</v>
      </c>
      <c r="Q238" s="344">
        <v>46174.0</v>
      </c>
      <c r="R238" s="185">
        <v>1.0</v>
      </c>
      <c r="S238" s="185">
        <v>6.0</v>
      </c>
      <c r="T238" s="194">
        <v>2026.0</v>
      </c>
      <c r="U238" s="74" t="s">
        <v>36</v>
      </c>
      <c r="V238" s="194">
        <v>37.59</v>
      </c>
      <c r="W238" s="344">
        <v>46174.0</v>
      </c>
      <c r="X238" s="194">
        <v>1.0</v>
      </c>
      <c r="Y238" s="194">
        <v>6.0</v>
      </c>
      <c r="Z238" s="194">
        <v>2026.0</v>
      </c>
      <c r="AA238" s="74" t="s">
        <v>36</v>
      </c>
    </row>
    <row r="239" ht="15.75" hidden="1" customHeight="1">
      <c r="A239" s="340" t="s">
        <v>1626</v>
      </c>
      <c r="B239" s="343">
        <v>5.374860878E9</v>
      </c>
      <c r="C239" s="341">
        <v>46172.0</v>
      </c>
      <c r="D239" s="194">
        <v>30.0</v>
      </c>
      <c r="E239" s="194">
        <v>5.0</v>
      </c>
      <c r="F239" s="194">
        <v>2026.0</v>
      </c>
      <c r="G239" s="341">
        <v>46173.0</v>
      </c>
      <c r="H239" s="194">
        <v>31.0</v>
      </c>
      <c r="I239" s="194">
        <v>5.0</v>
      </c>
      <c r="J239" s="194">
        <v>2026.0</v>
      </c>
      <c r="K239" s="74" t="s">
        <v>36</v>
      </c>
      <c r="L239" s="74" t="s">
        <v>1480</v>
      </c>
      <c r="M239" s="194">
        <v>1.0</v>
      </c>
      <c r="N239" s="194">
        <v>1.0</v>
      </c>
      <c r="O239" s="194"/>
      <c r="P239" s="194">
        <v>0.0</v>
      </c>
      <c r="Q239" s="344">
        <v>46174.0</v>
      </c>
      <c r="R239" s="185">
        <v>1.0</v>
      </c>
      <c r="S239" s="185">
        <v>6.0</v>
      </c>
      <c r="T239" s="194">
        <v>2026.0</v>
      </c>
      <c r="U239" s="74" t="s">
        <v>36</v>
      </c>
      <c r="V239" s="194">
        <v>0.0</v>
      </c>
      <c r="W239" s="344">
        <v>46174.0</v>
      </c>
      <c r="X239" s="194">
        <v>1.0</v>
      </c>
      <c r="Y239" s="194">
        <v>6.0</v>
      </c>
      <c r="Z239" s="194">
        <v>2026.0</v>
      </c>
      <c r="AA239" s="74" t="s">
        <v>36</v>
      </c>
    </row>
    <row r="240" ht="15.75" hidden="1" customHeight="1">
      <c r="A240" s="340" t="s">
        <v>1627</v>
      </c>
      <c r="B240" s="343">
        <v>6.861176195E9</v>
      </c>
      <c r="C240" s="341">
        <v>46169.0</v>
      </c>
      <c r="D240" s="194">
        <v>27.0</v>
      </c>
      <c r="E240" s="194">
        <v>5.0</v>
      </c>
      <c r="F240" s="194">
        <v>2026.0</v>
      </c>
      <c r="G240" s="341">
        <v>46172.0</v>
      </c>
      <c r="H240" s="194">
        <v>30.0</v>
      </c>
      <c r="I240" s="194">
        <v>5.0</v>
      </c>
      <c r="J240" s="194">
        <v>2026.0</v>
      </c>
      <c r="K240" s="74" t="s">
        <v>36</v>
      </c>
      <c r="L240" s="74" t="s">
        <v>1480</v>
      </c>
      <c r="M240" s="194">
        <v>1.0</v>
      </c>
      <c r="N240" s="194">
        <v>3.0</v>
      </c>
      <c r="O240" s="194"/>
      <c r="P240" s="194">
        <v>0.0</v>
      </c>
      <c r="Q240" s="344">
        <v>46174.0</v>
      </c>
      <c r="R240" s="185">
        <v>1.0</v>
      </c>
      <c r="S240" s="185">
        <v>6.0</v>
      </c>
      <c r="T240" s="194">
        <v>2026.0</v>
      </c>
      <c r="U240" s="74" t="s">
        <v>36</v>
      </c>
      <c r="V240" s="194">
        <v>0.0</v>
      </c>
      <c r="W240" s="344">
        <v>46174.0</v>
      </c>
      <c r="X240" s="194">
        <v>1.0</v>
      </c>
      <c r="Y240" s="194">
        <v>6.0</v>
      </c>
      <c r="Z240" s="194">
        <v>2026.0</v>
      </c>
      <c r="AA240" s="74" t="s">
        <v>36</v>
      </c>
    </row>
    <row r="241" ht="15.75" hidden="1" customHeight="1">
      <c r="A241" s="340" t="s">
        <v>1628</v>
      </c>
      <c r="B241" s="341">
        <v>6.067275556E9</v>
      </c>
      <c r="C241" s="341">
        <v>46144.0</v>
      </c>
      <c r="D241" s="194">
        <v>2.0</v>
      </c>
      <c r="E241" s="194">
        <v>5.0</v>
      </c>
      <c r="F241" s="194">
        <v>2026.0</v>
      </c>
      <c r="G241" s="341">
        <v>46145.0</v>
      </c>
      <c r="H241" s="194">
        <v>3.0</v>
      </c>
      <c r="I241" s="194">
        <v>5.0</v>
      </c>
      <c r="J241" s="194">
        <v>2026.0</v>
      </c>
      <c r="K241" s="74" t="s">
        <v>36</v>
      </c>
      <c r="L241" s="74" t="s">
        <v>1177</v>
      </c>
      <c r="M241" s="194">
        <v>1.0</v>
      </c>
      <c r="N241" s="194">
        <v>1.0</v>
      </c>
      <c r="O241" s="194"/>
      <c r="P241" s="194">
        <v>2.0</v>
      </c>
      <c r="Q241" s="344">
        <v>46174.0</v>
      </c>
      <c r="R241" s="185">
        <v>1.0</v>
      </c>
      <c r="S241" s="185">
        <v>6.0</v>
      </c>
      <c r="T241" s="194">
        <v>2026.0</v>
      </c>
      <c r="U241" s="74" t="s">
        <v>36</v>
      </c>
      <c r="V241" s="194">
        <v>37.59</v>
      </c>
      <c r="W241" s="344">
        <v>46174.0</v>
      </c>
      <c r="X241" s="194">
        <v>1.0</v>
      </c>
      <c r="Y241" s="194">
        <v>6.0</v>
      </c>
      <c r="Z241" s="194">
        <v>2026.0</v>
      </c>
      <c r="AA241" s="74" t="s">
        <v>36</v>
      </c>
    </row>
    <row r="242" ht="15.75" hidden="1" customHeight="1">
      <c r="A242" s="340" t="s">
        <v>1629</v>
      </c>
      <c r="B242" s="341">
        <v>6.85741346E9</v>
      </c>
      <c r="C242" s="341">
        <v>46147.0</v>
      </c>
      <c r="D242" s="194">
        <v>5.0</v>
      </c>
      <c r="E242" s="194">
        <v>5.0</v>
      </c>
      <c r="F242" s="194">
        <v>2026.0</v>
      </c>
      <c r="G242" s="341">
        <v>46148.0</v>
      </c>
      <c r="H242" s="194">
        <v>6.0</v>
      </c>
      <c r="I242" s="194">
        <v>5.0</v>
      </c>
      <c r="J242" s="194">
        <v>2026.0</v>
      </c>
      <c r="K242" s="74" t="s">
        <v>36</v>
      </c>
      <c r="L242" s="74" t="s">
        <v>1177</v>
      </c>
      <c r="M242" s="194">
        <v>1.0</v>
      </c>
      <c r="N242" s="194">
        <v>1.0</v>
      </c>
      <c r="O242" s="194"/>
      <c r="P242" s="194">
        <v>2.0</v>
      </c>
      <c r="Q242" s="344">
        <v>46174.0</v>
      </c>
      <c r="R242" s="185">
        <v>1.0</v>
      </c>
      <c r="S242" s="185">
        <v>6.0</v>
      </c>
      <c r="T242" s="194">
        <v>2026.0</v>
      </c>
      <c r="U242" s="74" t="s">
        <v>36</v>
      </c>
      <c r="V242" s="194">
        <v>37.59</v>
      </c>
      <c r="W242" s="344">
        <v>46174.0</v>
      </c>
      <c r="X242" s="194">
        <v>1.0</v>
      </c>
      <c r="Y242" s="194">
        <v>6.0</v>
      </c>
      <c r="Z242" s="194">
        <v>2026.0</v>
      </c>
      <c r="AA242" s="74" t="s">
        <v>36</v>
      </c>
    </row>
    <row r="243" ht="15.75" hidden="1" customHeight="1">
      <c r="A243" s="340" t="s">
        <v>1630</v>
      </c>
      <c r="B243" s="341">
        <v>5.804611214E9</v>
      </c>
      <c r="C243" s="341">
        <v>46165.0</v>
      </c>
      <c r="D243" s="194">
        <v>23.0</v>
      </c>
      <c r="E243" s="194">
        <v>5.0</v>
      </c>
      <c r="F243" s="194">
        <v>2026.0</v>
      </c>
      <c r="G243" s="341">
        <v>46166.0</v>
      </c>
      <c r="H243" s="194">
        <v>24.0</v>
      </c>
      <c r="I243" s="194">
        <v>5.0</v>
      </c>
      <c r="J243" s="194">
        <v>2026.0</v>
      </c>
      <c r="K243" s="74" t="s">
        <v>36</v>
      </c>
      <c r="L243" s="74" t="s">
        <v>1177</v>
      </c>
      <c r="M243" s="194">
        <v>1.0</v>
      </c>
      <c r="N243" s="194">
        <v>1.0</v>
      </c>
      <c r="O243" s="194"/>
      <c r="P243" s="194">
        <v>2.0</v>
      </c>
      <c r="Q243" s="344">
        <v>46174.0</v>
      </c>
      <c r="R243" s="185">
        <v>1.0</v>
      </c>
      <c r="S243" s="185">
        <v>6.0</v>
      </c>
      <c r="T243" s="194">
        <v>2026.0</v>
      </c>
      <c r="U243" s="74" t="s">
        <v>36</v>
      </c>
      <c r="V243" s="194">
        <v>37.59</v>
      </c>
      <c r="W243" s="344">
        <v>46174.0</v>
      </c>
      <c r="X243" s="194">
        <v>1.0</v>
      </c>
      <c r="Y243" s="194">
        <v>6.0</v>
      </c>
      <c r="Z243" s="194">
        <v>2026.0</v>
      </c>
      <c r="AA243" s="74" t="s">
        <v>36</v>
      </c>
    </row>
    <row r="244" ht="15.75" hidden="1" customHeight="1">
      <c r="A244" s="340" t="s">
        <v>1631</v>
      </c>
      <c r="B244" s="341">
        <v>5.684616228E9</v>
      </c>
      <c r="C244" s="341">
        <v>46156.0</v>
      </c>
      <c r="D244" s="194">
        <v>14.0</v>
      </c>
      <c r="E244" s="194">
        <v>5.0</v>
      </c>
      <c r="F244" s="194">
        <v>2026.0</v>
      </c>
      <c r="G244" s="341">
        <v>46157.0</v>
      </c>
      <c r="H244" s="194">
        <v>15.0</v>
      </c>
      <c r="I244" s="194">
        <v>5.0</v>
      </c>
      <c r="J244" s="194">
        <v>2026.0</v>
      </c>
      <c r="K244" s="74" t="s">
        <v>36</v>
      </c>
      <c r="L244" s="74" t="s">
        <v>1177</v>
      </c>
      <c r="M244" s="194">
        <v>1.0</v>
      </c>
      <c r="N244" s="194">
        <v>1.0</v>
      </c>
      <c r="O244" s="194"/>
      <c r="P244" s="194">
        <v>2.0</v>
      </c>
      <c r="Q244" s="344">
        <v>46174.0</v>
      </c>
      <c r="R244" s="185">
        <v>1.0</v>
      </c>
      <c r="S244" s="185">
        <v>6.0</v>
      </c>
      <c r="T244" s="194">
        <v>2026.0</v>
      </c>
      <c r="U244" s="74" t="s">
        <v>36</v>
      </c>
      <c r="V244" s="194">
        <v>37.59</v>
      </c>
      <c r="W244" s="344">
        <v>46174.0</v>
      </c>
      <c r="X244" s="194">
        <v>1.0</v>
      </c>
      <c r="Y244" s="194">
        <v>6.0</v>
      </c>
      <c r="Z244" s="194">
        <v>2026.0</v>
      </c>
      <c r="AA244" s="74" t="s">
        <v>36</v>
      </c>
    </row>
    <row r="245" ht="15.75" hidden="1" customHeight="1">
      <c r="A245" s="340" t="s">
        <v>1632</v>
      </c>
      <c r="B245" s="343">
        <v>6.001271215E9</v>
      </c>
      <c r="C245" s="341">
        <v>46149.0</v>
      </c>
      <c r="D245" s="194">
        <v>7.0</v>
      </c>
      <c r="E245" s="194">
        <v>5.0</v>
      </c>
      <c r="F245" s="194">
        <v>2026.0</v>
      </c>
      <c r="G245" s="341">
        <v>46151.0</v>
      </c>
      <c r="H245" s="194">
        <v>9.0</v>
      </c>
      <c r="I245" s="194">
        <v>5.0</v>
      </c>
      <c r="J245" s="194">
        <v>2026.0</v>
      </c>
      <c r="K245" s="74" t="s">
        <v>36</v>
      </c>
      <c r="L245" s="74" t="s">
        <v>1480</v>
      </c>
      <c r="M245" s="194">
        <v>1.0</v>
      </c>
      <c r="N245" s="194">
        <v>2.0</v>
      </c>
      <c r="O245" s="194"/>
      <c r="P245" s="194">
        <v>0.0</v>
      </c>
      <c r="Q245" s="344">
        <v>46174.0</v>
      </c>
      <c r="R245" s="185">
        <v>1.0</v>
      </c>
      <c r="S245" s="185">
        <v>6.0</v>
      </c>
      <c r="T245" s="194">
        <v>2026.0</v>
      </c>
      <c r="U245" s="74" t="s">
        <v>36</v>
      </c>
      <c r="V245" s="194">
        <v>0.0</v>
      </c>
      <c r="W245" s="344">
        <v>46174.0</v>
      </c>
      <c r="X245" s="194">
        <v>1.0</v>
      </c>
      <c r="Y245" s="194">
        <v>6.0</v>
      </c>
      <c r="Z245" s="194">
        <v>2026.0</v>
      </c>
      <c r="AA245" s="74" t="s">
        <v>36</v>
      </c>
    </row>
    <row r="246" ht="15.75" hidden="1" customHeight="1">
      <c r="A246" s="340" t="s">
        <v>1633</v>
      </c>
      <c r="B246" s="341">
        <v>5.991599745E9</v>
      </c>
      <c r="C246" s="341">
        <v>46166.0</v>
      </c>
      <c r="D246" s="194">
        <v>24.0</v>
      </c>
      <c r="E246" s="194">
        <v>5.0</v>
      </c>
      <c r="F246" s="194">
        <v>2026.0</v>
      </c>
      <c r="G246" s="341">
        <v>46168.0</v>
      </c>
      <c r="H246" s="194">
        <v>26.0</v>
      </c>
      <c r="I246" s="194">
        <v>5.0</v>
      </c>
      <c r="J246" s="194">
        <v>2026.0</v>
      </c>
      <c r="K246" s="74" t="s">
        <v>36</v>
      </c>
      <c r="L246" s="74" t="s">
        <v>1177</v>
      </c>
      <c r="M246" s="194">
        <v>1.0</v>
      </c>
      <c r="N246" s="194">
        <v>2.0</v>
      </c>
      <c r="O246" s="194"/>
      <c r="P246" s="194">
        <v>4.0</v>
      </c>
      <c r="Q246" s="344">
        <v>46174.0</v>
      </c>
      <c r="R246" s="185">
        <v>1.0</v>
      </c>
      <c r="S246" s="185">
        <v>6.0</v>
      </c>
      <c r="T246" s="194">
        <v>2026.0</v>
      </c>
      <c r="U246" s="74" t="s">
        <v>36</v>
      </c>
      <c r="V246" s="194">
        <v>75.18</v>
      </c>
      <c r="W246" s="344">
        <v>46174.0</v>
      </c>
      <c r="X246" s="194">
        <v>1.0</v>
      </c>
      <c r="Y246" s="194">
        <v>6.0</v>
      </c>
      <c r="Z246" s="194">
        <v>2026.0</v>
      </c>
      <c r="AA246" s="74" t="s">
        <v>36</v>
      </c>
    </row>
    <row r="247" ht="15.75" hidden="1" customHeight="1">
      <c r="A247" s="340" t="s">
        <v>1634</v>
      </c>
      <c r="B247" s="341">
        <v>5.928543815E9</v>
      </c>
      <c r="C247" s="341">
        <v>46152.0</v>
      </c>
      <c r="D247" s="194">
        <v>10.0</v>
      </c>
      <c r="E247" s="194">
        <v>5.0</v>
      </c>
      <c r="F247" s="194">
        <v>2026.0</v>
      </c>
      <c r="G247" s="341">
        <v>46157.0</v>
      </c>
      <c r="H247" s="194">
        <v>15.0</v>
      </c>
      <c r="I247" s="194">
        <v>5.0</v>
      </c>
      <c r="J247" s="194">
        <v>2026.0</v>
      </c>
      <c r="K247" s="74" t="s">
        <v>36</v>
      </c>
      <c r="L247" s="74" t="s">
        <v>1177</v>
      </c>
      <c r="M247" s="194">
        <v>1.0</v>
      </c>
      <c r="N247" s="194">
        <v>5.0</v>
      </c>
      <c r="O247" s="194"/>
      <c r="P247" s="194">
        <v>10.0</v>
      </c>
      <c r="Q247" s="344">
        <v>46174.0</v>
      </c>
      <c r="R247" s="185">
        <v>1.0</v>
      </c>
      <c r="S247" s="185">
        <v>6.0</v>
      </c>
      <c r="T247" s="194">
        <v>2026.0</v>
      </c>
      <c r="U247" s="74" t="s">
        <v>36</v>
      </c>
      <c r="V247" s="194">
        <v>187.96</v>
      </c>
      <c r="W247" s="344">
        <v>46174.0</v>
      </c>
      <c r="X247" s="194">
        <v>1.0</v>
      </c>
      <c r="Y247" s="194">
        <v>6.0</v>
      </c>
      <c r="Z247" s="194">
        <v>2026.0</v>
      </c>
      <c r="AA247" s="74" t="s">
        <v>36</v>
      </c>
    </row>
    <row r="248" ht="15.75" hidden="1" customHeight="1">
      <c r="A248" s="340" t="s">
        <v>1635</v>
      </c>
      <c r="B248" s="343">
        <v>5.627491066E9</v>
      </c>
      <c r="C248" s="341">
        <v>46157.0</v>
      </c>
      <c r="D248" s="194">
        <v>15.0</v>
      </c>
      <c r="E248" s="194">
        <v>5.0</v>
      </c>
      <c r="F248" s="194">
        <v>2026.0</v>
      </c>
      <c r="G248" s="341">
        <v>46158.0</v>
      </c>
      <c r="H248" s="194">
        <v>16.0</v>
      </c>
      <c r="I248" s="194">
        <v>5.0</v>
      </c>
      <c r="J248" s="194">
        <v>2026.0</v>
      </c>
      <c r="K248" s="74" t="s">
        <v>36</v>
      </c>
      <c r="L248" s="74" t="s">
        <v>1480</v>
      </c>
      <c r="M248" s="194">
        <v>1.0</v>
      </c>
      <c r="N248" s="194">
        <v>1.0</v>
      </c>
      <c r="O248" s="194"/>
      <c r="P248" s="194">
        <v>0.0</v>
      </c>
      <c r="Q248" s="344">
        <v>46174.0</v>
      </c>
      <c r="R248" s="185">
        <v>1.0</v>
      </c>
      <c r="S248" s="185">
        <v>6.0</v>
      </c>
      <c r="T248" s="194">
        <v>2026.0</v>
      </c>
      <c r="U248" s="74" t="s">
        <v>36</v>
      </c>
      <c r="V248" s="194">
        <v>0.0</v>
      </c>
      <c r="W248" s="344">
        <v>46174.0</v>
      </c>
      <c r="X248" s="194">
        <v>1.0</v>
      </c>
      <c r="Y248" s="194">
        <v>6.0</v>
      </c>
      <c r="Z248" s="194">
        <v>2026.0</v>
      </c>
      <c r="AA248" s="74" t="s">
        <v>36</v>
      </c>
    </row>
    <row r="249" ht="15.75" hidden="1" customHeight="1">
      <c r="A249" s="340" t="s">
        <v>1636</v>
      </c>
      <c r="B249" s="343">
        <v>6.960243326E9</v>
      </c>
      <c r="C249" s="341">
        <v>46160.0</v>
      </c>
      <c r="D249" s="194">
        <v>18.0</v>
      </c>
      <c r="E249" s="194">
        <v>5.0</v>
      </c>
      <c r="F249" s="194">
        <v>2026.0</v>
      </c>
      <c r="G249" s="341">
        <v>46162.0</v>
      </c>
      <c r="H249" s="194">
        <v>20.0</v>
      </c>
      <c r="I249" s="194">
        <v>5.0</v>
      </c>
      <c r="J249" s="194">
        <v>2026.0</v>
      </c>
      <c r="K249" s="74" t="s">
        <v>36</v>
      </c>
      <c r="L249" s="74" t="s">
        <v>1480</v>
      </c>
      <c r="M249" s="194">
        <v>1.0</v>
      </c>
      <c r="N249" s="194">
        <v>2.0</v>
      </c>
      <c r="O249" s="194"/>
      <c r="P249" s="194">
        <v>0.0</v>
      </c>
      <c r="Q249" s="344">
        <v>46174.0</v>
      </c>
      <c r="R249" s="185">
        <v>1.0</v>
      </c>
      <c r="S249" s="185">
        <v>6.0</v>
      </c>
      <c r="T249" s="194">
        <v>2026.0</v>
      </c>
      <c r="U249" s="74" t="s">
        <v>36</v>
      </c>
      <c r="V249" s="194">
        <v>0.0</v>
      </c>
      <c r="W249" s="344">
        <v>46174.0</v>
      </c>
      <c r="X249" s="194">
        <v>1.0</v>
      </c>
      <c r="Y249" s="194">
        <v>6.0</v>
      </c>
      <c r="Z249" s="194">
        <v>2026.0</v>
      </c>
      <c r="AA249" s="74" t="s">
        <v>36</v>
      </c>
    </row>
    <row r="250" ht="15.75" hidden="1" customHeight="1">
      <c r="A250" s="340" t="s">
        <v>1637</v>
      </c>
      <c r="B250" s="341">
        <v>6.325097643E9</v>
      </c>
      <c r="C250" s="341">
        <v>46150.0</v>
      </c>
      <c r="D250" s="194">
        <v>8.0</v>
      </c>
      <c r="E250" s="194">
        <v>5.0</v>
      </c>
      <c r="F250" s="194">
        <v>2026.0</v>
      </c>
      <c r="G250" s="341">
        <v>46155.0</v>
      </c>
      <c r="H250" s="194">
        <v>13.0</v>
      </c>
      <c r="I250" s="194">
        <v>5.0</v>
      </c>
      <c r="J250" s="194">
        <v>2026.0</v>
      </c>
      <c r="K250" s="74" t="s">
        <v>36</v>
      </c>
      <c r="L250" s="74" t="s">
        <v>1177</v>
      </c>
      <c r="M250" s="194">
        <v>1.0</v>
      </c>
      <c r="N250" s="194">
        <v>5.0</v>
      </c>
      <c r="O250" s="194"/>
      <c r="P250" s="194">
        <v>10.0</v>
      </c>
      <c r="Q250" s="344">
        <v>46174.0</v>
      </c>
      <c r="R250" s="185">
        <v>1.0</v>
      </c>
      <c r="S250" s="185">
        <v>6.0</v>
      </c>
      <c r="T250" s="194">
        <v>2026.0</v>
      </c>
      <c r="U250" s="74" t="s">
        <v>36</v>
      </c>
      <c r="V250" s="194">
        <v>187.96</v>
      </c>
      <c r="W250" s="344">
        <v>46174.0</v>
      </c>
      <c r="X250" s="194">
        <v>1.0</v>
      </c>
      <c r="Y250" s="194">
        <v>6.0</v>
      </c>
      <c r="Z250" s="194">
        <v>2026.0</v>
      </c>
      <c r="AA250" s="74" t="s">
        <v>36</v>
      </c>
    </row>
    <row r="251" ht="15.75" hidden="1" customHeight="1">
      <c r="A251" s="340" t="s">
        <v>1638</v>
      </c>
      <c r="B251" s="341">
        <v>6.953098081E9</v>
      </c>
      <c r="C251" s="341">
        <v>46157.0</v>
      </c>
      <c r="D251" s="194">
        <v>15.0</v>
      </c>
      <c r="E251" s="194">
        <v>5.0</v>
      </c>
      <c r="F251" s="194">
        <v>2026.0</v>
      </c>
      <c r="G251" s="341">
        <v>46162.0</v>
      </c>
      <c r="H251" s="194">
        <v>20.0</v>
      </c>
      <c r="I251" s="194">
        <v>5.0</v>
      </c>
      <c r="J251" s="194">
        <v>2026.0</v>
      </c>
      <c r="K251" s="74" t="s">
        <v>36</v>
      </c>
      <c r="L251" s="74" t="s">
        <v>1177</v>
      </c>
      <c r="M251" s="194">
        <v>1.0</v>
      </c>
      <c r="N251" s="194">
        <v>5.0</v>
      </c>
      <c r="O251" s="194"/>
      <c r="P251" s="194">
        <v>10.0</v>
      </c>
      <c r="Q251" s="344">
        <v>46174.0</v>
      </c>
      <c r="R251" s="185">
        <v>1.0</v>
      </c>
      <c r="S251" s="185">
        <v>6.0</v>
      </c>
      <c r="T251" s="194">
        <v>2026.0</v>
      </c>
      <c r="U251" s="74" t="s">
        <v>36</v>
      </c>
      <c r="V251" s="194">
        <v>187.96</v>
      </c>
      <c r="W251" s="344">
        <v>46174.0</v>
      </c>
      <c r="X251" s="194">
        <v>1.0</v>
      </c>
      <c r="Y251" s="194">
        <v>6.0</v>
      </c>
      <c r="Z251" s="194">
        <v>2026.0</v>
      </c>
      <c r="AA251" s="74" t="s">
        <v>36</v>
      </c>
    </row>
    <row r="252" ht="15.75" hidden="1" customHeight="1">
      <c r="A252" s="340" t="s">
        <v>1638</v>
      </c>
      <c r="B252" s="343">
        <v>5.254864051E9</v>
      </c>
      <c r="C252" s="341">
        <v>46157.0</v>
      </c>
      <c r="D252" s="194">
        <v>15.0</v>
      </c>
      <c r="E252" s="194">
        <v>5.0</v>
      </c>
      <c r="F252" s="194">
        <v>2026.0</v>
      </c>
      <c r="G252" s="341">
        <v>46162.0</v>
      </c>
      <c r="H252" s="194">
        <v>20.0</v>
      </c>
      <c r="I252" s="194">
        <v>5.0</v>
      </c>
      <c r="J252" s="194">
        <v>2026.0</v>
      </c>
      <c r="K252" s="74" t="s">
        <v>36</v>
      </c>
      <c r="L252" s="74" t="s">
        <v>1480</v>
      </c>
      <c r="M252" s="194">
        <v>1.0</v>
      </c>
      <c r="N252" s="194">
        <v>5.0</v>
      </c>
      <c r="O252" s="194"/>
      <c r="P252" s="194">
        <v>0.0</v>
      </c>
      <c r="Q252" s="344">
        <v>46174.0</v>
      </c>
      <c r="R252" s="185">
        <v>1.0</v>
      </c>
      <c r="S252" s="185">
        <v>6.0</v>
      </c>
      <c r="T252" s="194">
        <v>2026.0</v>
      </c>
      <c r="U252" s="74" t="s">
        <v>36</v>
      </c>
      <c r="V252" s="194">
        <v>0.0</v>
      </c>
      <c r="W252" s="344">
        <v>46174.0</v>
      </c>
      <c r="X252" s="194">
        <v>1.0</v>
      </c>
      <c r="Y252" s="194">
        <v>6.0</v>
      </c>
      <c r="Z252" s="194">
        <v>2026.0</v>
      </c>
      <c r="AA252" s="74" t="s">
        <v>36</v>
      </c>
    </row>
    <row r="253" ht="15.75" hidden="1" customHeight="1">
      <c r="A253" s="340" t="s">
        <v>1639</v>
      </c>
      <c r="B253" s="341">
        <v>6.689614132E9</v>
      </c>
      <c r="C253" s="341">
        <v>46144.0</v>
      </c>
      <c r="D253" s="194">
        <v>2.0</v>
      </c>
      <c r="E253" s="194">
        <v>5.0</v>
      </c>
      <c r="F253" s="194">
        <v>2026.0</v>
      </c>
      <c r="G253" s="341">
        <v>46148.0</v>
      </c>
      <c r="H253" s="194">
        <v>6.0</v>
      </c>
      <c r="I253" s="194">
        <v>5.0</v>
      </c>
      <c r="J253" s="194">
        <v>2026.0</v>
      </c>
      <c r="K253" s="74" t="s">
        <v>36</v>
      </c>
      <c r="L253" s="74" t="s">
        <v>1177</v>
      </c>
      <c r="M253" s="194">
        <v>1.0</v>
      </c>
      <c r="N253" s="194">
        <v>4.0</v>
      </c>
      <c r="O253" s="194"/>
      <c r="P253" s="194">
        <v>8.0</v>
      </c>
      <c r="Q253" s="344">
        <v>46174.0</v>
      </c>
      <c r="R253" s="185">
        <v>1.0</v>
      </c>
      <c r="S253" s="185">
        <v>6.0</v>
      </c>
      <c r="T253" s="194">
        <v>2026.0</v>
      </c>
      <c r="U253" s="74" t="s">
        <v>36</v>
      </c>
      <c r="V253" s="194">
        <v>150.37</v>
      </c>
      <c r="W253" s="344">
        <v>46174.0</v>
      </c>
      <c r="X253" s="194">
        <v>1.0</v>
      </c>
      <c r="Y253" s="194">
        <v>6.0</v>
      </c>
      <c r="Z253" s="194">
        <v>2026.0</v>
      </c>
      <c r="AA253" s="74" t="s">
        <v>36</v>
      </c>
    </row>
    <row r="254" ht="15.75" hidden="1" customHeight="1">
      <c r="A254" s="340" t="s">
        <v>1640</v>
      </c>
      <c r="B254" s="341">
        <v>5.923688092E9</v>
      </c>
      <c r="C254" s="341">
        <v>46170.0</v>
      </c>
      <c r="D254" s="194">
        <v>28.0</v>
      </c>
      <c r="E254" s="194">
        <v>5.0</v>
      </c>
      <c r="F254" s="194">
        <v>2026.0</v>
      </c>
      <c r="G254" s="341">
        <v>46171.0</v>
      </c>
      <c r="H254" s="194">
        <v>29.0</v>
      </c>
      <c r="I254" s="194">
        <v>5.0</v>
      </c>
      <c r="J254" s="194">
        <v>2026.0</v>
      </c>
      <c r="K254" s="74" t="s">
        <v>36</v>
      </c>
      <c r="L254" s="74" t="s">
        <v>1177</v>
      </c>
      <c r="M254" s="194">
        <v>1.0</v>
      </c>
      <c r="N254" s="194">
        <v>1.0</v>
      </c>
      <c r="O254" s="194"/>
      <c r="P254" s="194">
        <v>2.0</v>
      </c>
      <c r="Q254" s="344">
        <v>46174.0</v>
      </c>
      <c r="R254" s="185">
        <v>1.0</v>
      </c>
      <c r="S254" s="185">
        <v>6.0</v>
      </c>
      <c r="T254" s="194">
        <v>2026.0</v>
      </c>
      <c r="U254" s="74" t="s">
        <v>36</v>
      </c>
      <c r="V254" s="194">
        <v>29.23</v>
      </c>
      <c r="W254" s="344">
        <v>46174.0</v>
      </c>
      <c r="X254" s="194">
        <v>1.0</v>
      </c>
      <c r="Y254" s="194">
        <v>6.0</v>
      </c>
      <c r="Z254" s="194">
        <v>2026.0</v>
      </c>
      <c r="AA254" s="74" t="s">
        <v>36</v>
      </c>
    </row>
    <row r="255" ht="15.75" hidden="1" customHeight="1">
      <c r="A255" s="340" t="s">
        <v>1641</v>
      </c>
      <c r="B255" s="341">
        <v>5.089807753E9</v>
      </c>
      <c r="C255" s="341">
        <v>46155.0</v>
      </c>
      <c r="D255" s="194">
        <v>13.0</v>
      </c>
      <c r="E255" s="194">
        <v>5.0</v>
      </c>
      <c r="F255" s="194">
        <v>2026.0</v>
      </c>
      <c r="G255" s="341">
        <v>46160.0</v>
      </c>
      <c r="H255" s="194">
        <v>18.0</v>
      </c>
      <c r="I255" s="194">
        <v>5.0</v>
      </c>
      <c r="J255" s="194">
        <v>2026.0</v>
      </c>
      <c r="K255" s="74" t="s">
        <v>36</v>
      </c>
      <c r="L255" s="74" t="s">
        <v>1177</v>
      </c>
      <c r="M255" s="194">
        <v>1.0</v>
      </c>
      <c r="N255" s="194">
        <v>5.0</v>
      </c>
      <c r="O255" s="194"/>
      <c r="P255" s="194">
        <v>10.0</v>
      </c>
      <c r="Q255" s="344">
        <v>46174.0</v>
      </c>
      <c r="R255" s="185">
        <v>1.0</v>
      </c>
      <c r="S255" s="185">
        <v>6.0</v>
      </c>
      <c r="T255" s="194">
        <v>2026.0</v>
      </c>
      <c r="U255" s="74" t="s">
        <v>36</v>
      </c>
      <c r="V255" s="194">
        <v>187.96</v>
      </c>
      <c r="W255" s="344">
        <v>46174.0</v>
      </c>
      <c r="X255" s="194">
        <v>1.0</v>
      </c>
      <c r="Y255" s="194">
        <v>6.0</v>
      </c>
      <c r="Z255" s="194">
        <v>2026.0</v>
      </c>
      <c r="AA255" s="74" t="s">
        <v>36</v>
      </c>
    </row>
    <row r="256" ht="15.75" hidden="1" customHeight="1">
      <c r="A256" s="340" t="s">
        <v>1642</v>
      </c>
      <c r="B256" s="341">
        <v>6.211821263E9</v>
      </c>
      <c r="C256" s="341">
        <v>46163.0</v>
      </c>
      <c r="D256" s="194">
        <v>21.0</v>
      </c>
      <c r="E256" s="194">
        <v>5.0</v>
      </c>
      <c r="F256" s="194">
        <v>2026.0</v>
      </c>
      <c r="G256" s="341">
        <v>46164.0</v>
      </c>
      <c r="H256" s="194">
        <v>22.0</v>
      </c>
      <c r="I256" s="194">
        <v>5.0</v>
      </c>
      <c r="J256" s="194">
        <v>2026.0</v>
      </c>
      <c r="K256" s="74" t="s">
        <v>36</v>
      </c>
      <c r="L256" s="74" t="s">
        <v>1177</v>
      </c>
      <c r="M256" s="194">
        <v>1.0</v>
      </c>
      <c r="N256" s="194">
        <v>1.0</v>
      </c>
      <c r="O256" s="194"/>
      <c r="P256" s="194">
        <v>2.0</v>
      </c>
      <c r="Q256" s="344">
        <v>46174.0</v>
      </c>
      <c r="R256" s="185">
        <v>1.0</v>
      </c>
      <c r="S256" s="185">
        <v>6.0</v>
      </c>
      <c r="T256" s="194">
        <v>2026.0</v>
      </c>
      <c r="U256" s="74" t="s">
        <v>36</v>
      </c>
      <c r="V256" s="194">
        <v>29.23</v>
      </c>
      <c r="W256" s="344">
        <v>46174.0</v>
      </c>
      <c r="X256" s="194">
        <v>1.0</v>
      </c>
      <c r="Y256" s="194">
        <v>6.0</v>
      </c>
      <c r="Z256" s="194">
        <v>2026.0</v>
      </c>
      <c r="AA256" s="74" t="s">
        <v>36</v>
      </c>
    </row>
    <row r="257" ht="15.75" hidden="1" customHeight="1">
      <c r="A257" s="340" t="s">
        <v>1643</v>
      </c>
      <c r="B257" s="341">
        <v>5.326664414E9</v>
      </c>
      <c r="C257" s="341">
        <v>46171.0</v>
      </c>
      <c r="D257" s="194">
        <v>29.0</v>
      </c>
      <c r="E257" s="194">
        <v>5.0</v>
      </c>
      <c r="F257" s="194">
        <v>2026.0</v>
      </c>
      <c r="G257" s="341">
        <v>46172.0</v>
      </c>
      <c r="H257" s="194">
        <v>30.0</v>
      </c>
      <c r="I257" s="194">
        <v>5.0</v>
      </c>
      <c r="J257" s="194">
        <v>2026.0</v>
      </c>
      <c r="K257" s="74" t="s">
        <v>36</v>
      </c>
      <c r="L257" s="74" t="s">
        <v>1177</v>
      </c>
      <c r="M257" s="194">
        <v>1.0</v>
      </c>
      <c r="N257" s="194">
        <v>1.0</v>
      </c>
      <c r="O257" s="194"/>
      <c r="P257" s="194">
        <v>2.0</v>
      </c>
      <c r="Q257" s="344">
        <v>46174.0</v>
      </c>
      <c r="R257" s="185">
        <v>1.0</v>
      </c>
      <c r="S257" s="185">
        <v>6.0</v>
      </c>
      <c r="T257" s="194">
        <v>2026.0</v>
      </c>
      <c r="U257" s="74" t="s">
        <v>36</v>
      </c>
      <c r="V257" s="194">
        <v>29.23</v>
      </c>
      <c r="W257" s="344">
        <v>46174.0</v>
      </c>
      <c r="X257" s="194">
        <v>1.0</v>
      </c>
      <c r="Y257" s="194">
        <v>6.0</v>
      </c>
      <c r="Z257" s="194">
        <v>2026.0</v>
      </c>
      <c r="AA257" s="74" t="s">
        <v>36</v>
      </c>
    </row>
    <row r="258" ht="15.75" hidden="1" customHeight="1">
      <c r="A258" s="340" t="s">
        <v>1644</v>
      </c>
      <c r="B258" s="341">
        <v>5.270532181E9</v>
      </c>
      <c r="C258" s="341">
        <v>46165.0</v>
      </c>
      <c r="D258" s="194">
        <v>23.0</v>
      </c>
      <c r="E258" s="194">
        <v>5.0</v>
      </c>
      <c r="F258" s="194">
        <v>2026.0</v>
      </c>
      <c r="G258" s="341">
        <v>46166.0</v>
      </c>
      <c r="H258" s="194">
        <v>24.0</v>
      </c>
      <c r="I258" s="194">
        <v>5.0</v>
      </c>
      <c r="J258" s="194">
        <v>2026.0</v>
      </c>
      <c r="K258" s="74" t="s">
        <v>36</v>
      </c>
      <c r="L258" s="74" t="s">
        <v>1177</v>
      </c>
      <c r="M258" s="194">
        <v>1.0</v>
      </c>
      <c r="N258" s="194">
        <v>1.0</v>
      </c>
      <c r="O258" s="194"/>
      <c r="P258" s="194">
        <v>2.0</v>
      </c>
      <c r="Q258" s="344">
        <v>46174.0</v>
      </c>
      <c r="R258" s="185">
        <v>1.0</v>
      </c>
      <c r="S258" s="185">
        <v>6.0</v>
      </c>
      <c r="T258" s="194">
        <v>2026.0</v>
      </c>
      <c r="U258" s="74" t="s">
        <v>36</v>
      </c>
      <c r="V258" s="194">
        <v>37.59</v>
      </c>
      <c r="W258" s="344">
        <v>46174.0</v>
      </c>
      <c r="X258" s="194">
        <v>1.0</v>
      </c>
      <c r="Y258" s="194">
        <v>6.0</v>
      </c>
      <c r="Z258" s="194">
        <v>2026.0</v>
      </c>
      <c r="AA258" s="74" t="s">
        <v>36</v>
      </c>
    </row>
    <row r="259" ht="15.75" hidden="1" customHeight="1">
      <c r="A259" s="340" t="s">
        <v>1645</v>
      </c>
      <c r="B259" s="343">
        <v>6.849067994E9</v>
      </c>
      <c r="C259" s="341">
        <v>46149.0</v>
      </c>
      <c r="D259" s="194">
        <v>7.0</v>
      </c>
      <c r="E259" s="194">
        <v>5.0</v>
      </c>
      <c r="F259" s="194">
        <v>2026.0</v>
      </c>
      <c r="G259" s="341">
        <v>46150.0</v>
      </c>
      <c r="H259" s="194">
        <v>8.0</v>
      </c>
      <c r="I259" s="194">
        <v>5.0</v>
      </c>
      <c r="J259" s="194">
        <v>2026.0</v>
      </c>
      <c r="K259" s="74" t="s">
        <v>36</v>
      </c>
      <c r="L259" s="74" t="s">
        <v>1480</v>
      </c>
      <c r="M259" s="194">
        <v>1.0</v>
      </c>
      <c r="N259" s="194">
        <v>1.0</v>
      </c>
      <c r="O259" s="194"/>
      <c r="P259" s="194">
        <v>0.0</v>
      </c>
      <c r="Q259" s="344">
        <v>46174.0</v>
      </c>
      <c r="R259" s="185">
        <v>1.0</v>
      </c>
      <c r="S259" s="185">
        <v>6.0</v>
      </c>
      <c r="T259" s="194">
        <v>2026.0</v>
      </c>
      <c r="U259" s="74" t="s">
        <v>36</v>
      </c>
      <c r="V259" s="194">
        <v>0.0</v>
      </c>
      <c r="W259" s="344">
        <v>46174.0</v>
      </c>
      <c r="X259" s="194">
        <v>1.0</v>
      </c>
      <c r="Y259" s="194">
        <v>6.0</v>
      </c>
      <c r="Z259" s="194">
        <v>2026.0</v>
      </c>
      <c r="AA259" s="74" t="s">
        <v>36</v>
      </c>
    </row>
    <row r="260" ht="15.75" hidden="1" customHeight="1">
      <c r="A260" s="340" t="s">
        <v>1646</v>
      </c>
      <c r="B260" s="341">
        <v>5.49606626E9</v>
      </c>
      <c r="C260" s="341">
        <v>46151.0</v>
      </c>
      <c r="D260" s="194">
        <v>9.0</v>
      </c>
      <c r="E260" s="194">
        <v>5.0</v>
      </c>
      <c r="F260" s="194">
        <v>2026.0</v>
      </c>
      <c r="G260" s="341">
        <v>46154.0</v>
      </c>
      <c r="H260" s="194">
        <v>12.0</v>
      </c>
      <c r="I260" s="194">
        <v>5.0</v>
      </c>
      <c r="J260" s="194">
        <v>2026.0</v>
      </c>
      <c r="K260" s="74" t="s">
        <v>36</v>
      </c>
      <c r="L260" s="74" t="s">
        <v>1177</v>
      </c>
      <c r="M260" s="194">
        <v>1.0</v>
      </c>
      <c r="N260" s="194">
        <v>3.0</v>
      </c>
      <c r="O260" s="194"/>
      <c r="P260" s="194">
        <v>6.0</v>
      </c>
      <c r="Q260" s="344">
        <v>46174.0</v>
      </c>
      <c r="R260" s="185">
        <v>1.0</v>
      </c>
      <c r="S260" s="185">
        <v>6.0</v>
      </c>
      <c r="T260" s="194">
        <v>2026.0</v>
      </c>
      <c r="U260" s="74" t="s">
        <v>36</v>
      </c>
      <c r="V260" s="194">
        <v>112.78</v>
      </c>
      <c r="W260" s="344">
        <v>46174.0</v>
      </c>
      <c r="X260" s="194">
        <v>1.0</v>
      </c>
      <c r="Y260" s="194">
        <v>6.0</v>
      </c>
      <c r="Z260" s="194">
        <v>2026.0</v>
      </c>
      <c r="AA260" s="74" t="s">
        <v>36</v>
      </c>
    </row>
    <row r="261" ht="15.75" hidden="1" customHeight="1">
      <c r="A261" s="340" t="s">
        <v>1647</v>
      </c>
      <c r="B261" s="341">
        <v>6.238328653E9</v>
      </c>
      <c r="C261" s="341">
        <v>46171.0</v>
      </c>
      <c r="D261" s="194">
        <v>29.0</v>
      </c>
      <c r="E261" s="194">
        <v>5.0</v>
      </c>
      <c r="F261" s="194">
        <v>2026.0</v>
      </c>
      <c r="G261" s="341">
        <v>46172.0</v>
      </c>
      <c r="H261" s="194">
        <v>30.0</v>
      </c>
      <c r="I261" s="194">
        <v>5.0</v>
      </c>
      <c r="J261" s="194">
        <v>2026.0</v>
      </c>
      <c r="K261" s="74" t="s">
        <v>36</v>
      </c>
      <c r="L261" s="74" t="s">
        <v>1177</v>
      </c>
      <c r="M261" s="194">
        <v>1.0</v>
      </c>
      <c r="N261" s="194">
        <v>1.0</v>
      </c>
      <c r="O261" s="194"/>
      <c r="P261" s="194">
        <v>2.0</v>
      </c>
      <c r="Q261" s="344">
        <v>46174.0</v>
      </c>
      <c r="R261" s="185">
        <v>1.0</v>
      </c>
      <c r="S261" s="185">
        <v>6.0</v>
      </c>
      <c r="T261" s="194">
        <v>2026.0</v>
      </c>
      <c r="U261" s="74" t="s">
        <v>36</v>
      </c>
      <c r="V261" s="194">
        <v>29.23</v>
      </c>
      <c r="W261" s="344">
        <v>46174.0</v>
      </c>
      <c r="X261" s="194">
        <v>1.0</v>
      </c>
      <c r="Y261" s="194">
        <v>6.0</v>
      </c>
      <c r="Z261" s="194">
        <v>2026.0</v>
      </c>
      <c r="AA261" s="74" t="s">
        <v>36</v>
      </c>
    </row>
    <row r="262" ht="15.75" hidden="1" customHeight="1">
      <c r="A262" s="340" t="s">
        <v>1648</v>
      </c>
      <c r="B262" s="341">
        <v>6.867119983E9</v>
      </c>
      <c r="C262" s="341">
        <v>46148.0</v>
      </c>
      <c r="D262" s="194">
        <v>6.0</v>
      </c>
      <c r="E262" s="194">
        <v>5.0</v>
      </c>
      <c r="F262" s="194">
        <v>2026.0</v>
      </c>
      <c r="G262" s="341">
        <v>46151.0</v>
      </c>
      <c r="H262" s="194">
        <v>9.0</v>
      </c>
      <c r="I262" s="194">
        <v>5.0</v>
      </c>
      <c r="J262" s="194">
        <v>2026.0</v>
      </c>
      <c r="K262" s="74" t="s">
        <v>36</v>
      </c>
      <c r="L262" s="74" t="s">
        <v>1177</v>
      </c>
      <c r="M262" s="194">
        <v>1.0</v>
      </c>
      <c r="N262" s="194">
        <v>3.0</v>
      </c>
      <c r="O262" s="194"/>
      <c r="P262" s="194">
        <v>6.0</v>
      </c>
      <c r="Q262" s="344">
        <v>46174.0</v>
      </c>
      <c r="R262" s="185">
        <v>1.0</v>
      </c>
      <c r="S262" s="185">
        <v>6.0</v>
      </c>
      <c r="T262" s="194">
        <v>2026.0</v>
      </c>
      <c r="U262" s="74" t="s">
        <v>36</v>
      </c>
      <c r="V262" s="194">
        <v>112.78</v>
      </c>
      <c r="W262" s="344">
        <v>46174.0</v>
      </c>
      <c r="X262" s="194">
        <v>1.0</v>
      </c>
      <c r="Y262" s="194">
        <v>6.0</v>
      </c>
      <c r="Z262" s="194">
        <v>2026.0</v>
      </c>
      <c r="AA262" s="74" t="s">
        <v>36</v>
      </c>
    </row>
    <row r="263" ht="15.75" hidden="1" customHeight="1">
      <c r="A263" s="340" t="s">
        <v>1649</v>
      </c>
      <c r="B263" s="341">
        <v>5.345703847E9</v>
      </c>
      <c r="C263" s="341">
        <v>46159.0</v>
      </c>
      <c r="D263" s="194">
        <v>17.0</v>
      </c>
      <c r="E263" s="194">
        <v>5.0</v>
      </c>
      <c r="F263" s="194">
        <v>2026.0</v>
      </c>
      <c r="G263" s="341">
        <v>46161.0</v>
      </c>
      <c r="H263" s="194">
        <v>19.0</v>
      </c>
      <c r="I263" s="194">
        <v>5.0</v>
      </c>
      <c r="J263" s="194">
        <v>2026.0</v>
      </c>
      <c r="K263" s="74" t="s">
        <v>36</v>
      </c>
      <c r="L263" s="74" t="s">
        <v>1177</v>
      </c>
      <c r="M263" s="194">
        <v>1.0</v>
      </c>
      <c r="N263" s="194">
        <v>2.0</v>
      </c>
      <c r="O263" s="194"/>
      <c r="P263" s="194">
        <v>4.0</v>
      </c>
      <c r="Q263" s="344">
        <v>46174.0</v>
      </c>
      <c r="R263" s="185">
        <v>1.0</v>
      </c>
      <c r="S263" s="185">
        <v>6.0</v>
      </c>
      <c r="T263" s="194">
        <v>2026.0</v>
      </c>
      <c r="U263" s="74" t="s">
        <v>36</v>
      </c>
      <c r="V263" s="194">
        <v>75.18</v>
      </c>
      <c r="W263" s="344">
        <v>46174.0</v>
      </c>
      <c r="X263" s="194">
        <v>1.0</v>
      </c>
      <c r="Y263" s="194">
        <v>6.0</v>
      </c>
      <c r="Z263" s="194">
        <v>2026.0</v>
      </c>
      <c r="AA263" s="74" t="s">
        <v>36</v>
      </c>
    </row>
    <row r="264" ht="15.75" hidden="1" customHeight="1">
      <c r="A264" s="340" t="s">
        <v>1650</v>
      </c>
      <c r="B264" s="191">
        <v>5.950752669E9</v>
      </c>
      <c r="C264" s="343">
        <v>46172.0</v>
      </c>
      <c r="D264" s="194">
        <v>30.0</v>
      </c>
      <c r="E264" s="194">
        <v>5.0</v>
      </c>
      <c r="F264" s="194">
        <v>2026.0</v>
      </c>
      <c r="G264" s="343">
        <v>46175.0</v>
      </c>
      <c r="H264" s="194">
        <v>2.0</v>
      </c>
      <c r="I264" s="194">
        <v>6.0</v>
      </c>
      <c r="J264" s="194">
        <v>2026.0</v>
      </c>
      <c r="K264" s="74" t="s">
        <v>36</v>
      </c>
      <c r="L264" s="74" t="s">
        <v>1177</v>
      </c>
      <c r="M264" s="74">
        <v>1.0</v>
      </c>
      <c r="N264" s="74">
        <v>3.0</v>
      </c>
      <c r="O264" s="74"/>
      <c r="P264" s="74">
        <v>6.0</v>
      </c>
      <c r="Q264" s="343">
        <v>46204.0</v>
      </c>
      <c r="R264" s="185">
        <v>1.0</v>
      </c>
      <c r="S264" s="185">
        <v>7.0</v>
      </c>
      <c r="T264" s="194">
        <v>2026.0</v>
      </c>
      <c r="U264" s="74" t="s">
        <v>36</v>
      </c>
      <c r="V264" s="74">
        <v>112.78</v>
      </c>
      <c r="W264" s="343">
        <v>46204.0</v>
      </c>
      <c r="X264" s="194">
        <v>1.0</v>
      </c>
      <c r="Y264" s="194">
        <v>7.0</v>
      </c>
      <c r="Z264" s="194">
        <v>2026.0</v>
      </c>
      <c r="AA264" s="74" t="s">
        <v>36</v>
      </c>
    </row>
    <row r="265" ht="15.75" hidden="1" customHeight="1">
      <c r="A265" s="340" t="s">
        <v>1651</v>
      </c>
      <c r="B265" s="340">
        <v>5.772699294E9</v>
      </c>
      <c r="C265" s="343">
        <v>46173.0</v>
      </c>
      <c r="D265" s="194">
        <v>31.0</v>
      </c>
      <c r="E265" s="194">
        <v>5.0</v>
      </c>
      <c r="F265" s="194">
        <v>2026.0</v>
      </c>
      <c r="G265" s="343">
        <v>46178.0</v>
      </c>
      <c r="H265" s="194">
        <v>5.0</v>
      </c>
      <c r="I265" s="194">
        <v>6.0</v>
      </c>
      <c r="J265" s="194">
        <v>2026.0</v>
      </c>
      <c r="K265" s="74" t="s">
        <v>36</v>
      </c>
      <c r="L265" s="74" t="s">
        <v>1177</v>
      </c>
      <c r="M265" s="74">
        <v>1.0</v>
      </c>
      <c r="N265" s="74">
        <v>5.0</v>
      </c>
      <c r="O265" s="74"/>
      <c r="P265" s="74">
        <v>10.0</v>
      </c>
      <c r="Q265" s="343">
        <v>46204.0</v>
      </c>
      <c r="R265" s="185">
        <v>1.0</v>
      </c>
      <c r="S265" s="185">
        <v>7.0</v>
      </c>
      <c r="T265" s="194">
        <v>2026.0</v>
      </c>
      <c r="U265" s="74" t="s">
        <v>36</v>
      </c>
      <c r="V265" s="74">
        <v>187.96</v>
      </c>
      <c r="W265" s="343">
        <v>46204.0</v>
      </c>
      <c r="X265" s="194">
        <v>1.0</v>
      </c>
      <c r="Y265" s="194">
        <v>7.0</v>
      </c>
      <c r="Z265" s="194">
        <v>2026.0</v>
      </c>
      <c r="AA265" s="74" t="s">
        <v>36</v>
      </c>
    </row>
    <row r="266" ht="15.75" hidden="1" customHeight="1">
      <c r="A266" s="340" t="s">
        <v>1652</v>
      </c>
      <c r="B266" s="191">
        <v>6.857454029E9</v>
      </c>
      <c r="C266" s="343">
        <v>46173.0</v>
      </c>
      <c r="D266" s="194">
        <v>31.0</v>
      </c>
      <c r="E266" s="194">
        <v>5.0</v>
      </c>
      <c r="F266" s="194">
        <v>2026.0</v>
      </c>
      <c r="G266" s="343">
        <v>46174.0</v>
      </c>
      <c r="H266" s="194">
        <v>1.0</v>
      </c>
      <c r="I266" s="194">
        <v>6.0</v>
      </c>
      <c r="J266" s="194">
        <v>2026.0</v>
      </c>
      <c r="K266" s="74" t="s">
        <v>36</v>
      </c>
      <c r="L266" s="74" t="s">
        <v>1653</v>
      </c>
      <c r="M266" s="74">
        <v>1.0</v>
      </c>
      <c r="N266" s="74">
        <v>1.0</v>
      </c>
      <c r="O266" s="74"/>
      <c r="P266" s="74">
        <v>0.0</v>
      </c>
      <c r="Q266" s="343">
        <v>46204.0</v>
      </c>
      <c r="R266" s="185">
        <v>1.0</v>
      </c>
      <c r="S266" s="185">
        <v>7.0</v>
      </c>
      <c r="T266" s="194">
        <v>2026.0</v>
      </c>
      <c r="U266" s="74" t="s">
        <v>36</v>
      </c>
      <c r="V266" s="74">
        <v>37.62</v>
      </c>
      <c r="W266" s="343">
        <v>46204.0</v>
      </c>
      <c r="X266" s="194">
        <v>1.0</v>
      </c>
      <c r="Y266" s="194">
        <v>7.0</v>
      </c>
      <c r="Z266" s="194">
        <v>2026.0</v>
      </c>
      <c r="AA266" s="74" t="s">
        <v>36</v>
      </c>
    </row>
    <row r="267" ht="15.75" hidden="1" customHeight="1">
      <c r="A267" s="340" t="s">
        <v>1655</v>
      </c>
      <c r="B267" s="340">
        <v>6.367196339E9</v>
      </c>
      <c r="C267" s="343">
        <v>46179.0</v>
      </c>
      <c r="D267" s="194">
        <v>6.0</v>
      </c>
      <c r="E267" s="194">
        <v>6.0</v>
      </c>
      <c r="F267" s="194">
        <v>2026.0</v>
      </c>
      <c r="G267" s="343">
        <v>46181.0</v>
      </c>
      <c r="H267" s="194">
        <v>8.0</v>
      </c>
      <c r="I267" s="194">
        <v>6.0</v>
      </c>
      <c r="J267" s="194">
        <v>2026.0</v>
      </c>
      <c r="K267" s="74" t="s">
        <v>36</v>
      </c>
      <c r="L267" s="74" t="s">
        <v>1177</v>
      </c>
      <c r="M267" s="74">
        <v>2.0</v>
      </c>
      <c r="N267" s="74">
        <v>4.0</v>
      </c>
      <c r="O267" s="74"/>
      <c r="P267" s="74">
        <v>8.0</v>
      </c>
      <c r="Q267" s="343">
        <v>46204.0</v>
      </c>
      <c r="R267" s="185">
        <v>1.0</v>
      </c>
      <c r="S267" s="185">
        <v>7.0</v>
      </c>
      <c r="T267" s="194">
        <v>2026.0</v>
      </c>
      <c r="U267" s="74" t="s">
        <v>36</v>
      </c>
      <c r="V267" s="74">
        <v>116.92</v>
      </c>
      <c r="W267" s="343">
        <v>46204.0</v>
      </c>
      <c r="X267" s="194">
        <v>1.0</v>
      </c>
      <c r="Y267" s="194">
        <v>7.0</v>
      </c>
      <c r="Z267" s="194">
        <v>2026.0</v>
      </c>
      <c r="AA267" s="74" t="s">
        <v>36</v>
      </c>
    </row>
    <row r="268" ht="15.75" hidden="1" customHeight="1">
      <c r="A268" s="340" t="s">
        <v>1656</v>
      </c>
      <c r="B268" s="340">
        <v>6.289307099E9</v>
      </c>
      <c r="C268" s="343">
        <v>46177.0</v>
      </c>
      <c r="D268" s="194">
        <v>4.0</v>
      </c>
      <c r="E268" s="194">
        <v>6.0</v>
      </c>
      <c r="F268" s="194">
        <v>2026.0</v>
      </c>
      <c r="G268" s="343">
        <v>46178.0</v>
      </c>
      <c r="H268" s="194">
        <v>5.0</v>
      </c>
      <c r="I268" s="194">
        <v>6.0</v>
      </c>
      <c r="J268" s="194">
        <v>2026.0</v>
      </c>
      <c r="K268" s="74" t="s">
        <v>36</v>
      </c>
      <c r="L268" s="74" t="s">
        <v>1177</v>
      </c>
      <c r="M268" s="74">
        <v>1.0</v>
      </c>
      <c r="N268" s="74">
        <v>1.0</v>
      </c>
      <c r="O268" s="74"/>
      <c r="P268" s="74">
        <v>2.0</v>
      </c>
      <c r="Q268" s="343">
        <v>46204.0</v>
      </c>
      <c r="R268" s="185">
        <v>1.0</v>
      </c>
      <c r="S268" s="185">
        <v>7.0</v>
      </c>
      <c r="T268" s="194">
        <v>2026.0</v>
      </c>
      <c r="U268" s="74" t="s">
        <v>36</v>
      </c>
      <c r="V268" s="74">
        <v>26.72</v>
      </c>
      <c r="W268" s="343">
        <v>46204.0</v>
      </c>
      <c r="X268" s="194">
        <v>1.0</v>
      </c>
      <c r="Y268" s="194">
        <v>7.0</v>
      </c>
      <c r="Z268" s="194">
        <v>2026.0</v>
      </c>
      <c r="AA268" s="74" t="s">
        <v>36</v>
      </c>
    </row>
    <row r="269" ht="15.75" hidden="1" customHeight="1">
      <c r="A269" s="340" t="s">
        <v>1657</v>
      </c>
      <c r="B269" s="340">
        <v>5.59471737E9</v>
      </c>
      <c r="C269" s="343">
        <v>46181.0</v>
      </c>
      <c r="D269" s="194">
        <v>8.0</v>
      </c>
      <c r="E269" s="194">
        <v>6.0</v>
      </c>
      <c r="F269" s="194">
        <v>2026.0</v>
      </c>
      <c r="G269" s="343">
        <v>46182.0</v>
      </c>
      <c r="H269" s="194">
        <v>9.0</v>
      </c>
      <c r="I269" s="194">
        <v>6.0</v>
      </c>
      <c r="J269" s="194">
        <v>2026.0</v>
      </c>
      <c r="K269" s="74" t="s">
        <v>36</v>
      </c>
      <c r="L269" s="74" t="s">
        <v>1177</v>
      </c>
      <c r="M269" s="74">
        <v>1.0</v>
      </c>
      <c r="N269" s="74">
        <v>1.0</v>
      </c>
      <c r="O269" s="74"/>
      <c r="P269" s="74">
        <v>2.0</v>
      </c>
      <c r="Q269" s="343">
        <v>46204.0</v>
      </c>
      <c r="R269" s="185">
        <v>1.0</v>
      </c>
      <c r="S269" s="185">
        <v>7.0</v>
      </c>
      <c r="T269" s="194">
        <v>2026.0</v>
      </c>
      <c r="U269" s="74" t="s">
        <v>36</v>
      </c>
      <c r="V269" s="74">
        <v>35.08</v>
      </c>
      <c r="W269" s="343">
        <v>46204.0</v>
      </c>
      <c r="X269" s="194">
        <v>1.0</v>
      </c>
      <c r="Y269" s="194">
        <v>7.0</v>
      </c>
      <c r="Z269" s="194">
        <v>2026.0</v>
      </c>
      <c r="AA269" s="74" t="s">
        <v>36</v>
      </c>
    </row>
    <row r="270" ht="15.75" hidden="1" customHeight="1">
      <c r="A270" s="340" t="s">
        <v>1658</v>
      </c>
      <c r="B270" s="191">
        <v>5.627262754E9</v>
      </c>
      <c r="C270" s="343">
        <v>46195.0</v>
      </c>
      <c r="D270" s="194">
        <v>22.0</v>
      </c>
      <c r="E270" s="194">
        <v>6.0</v>
      </c>
      <c r="F270" s="194">
        <v>2026.0</v>
      </c>
      <c r="G270" s="343">
        <v>46196.0</v>
      </c>
      <c r="H270" s="194">
        <v>23.0</v>
      </c>
      <c r="I270" s="194">
        <v>6.0</v>
      </c>
      <c r="J270" s="194">
        <v>2026.0</v>
      </c>
      <c r="K270" s="74" t="s">
        <v>36</v>
      </c>
      <c r="L270" s="74" t="s">
        <v>1177</v>
      </c>
      <c r="M270" s="74">
        <v>1.0</v>
      </c>
      <c r="N270" s="74">
        <v>1.0</v>
      </c>
      <c r="O270" s="74"/>
      <c r="P270" s="74">
        <v>2.0</v>
      </c>
      <c r="Q270" s="343">
        <v>46204.0</v>
      </c>
      <c r="R270" s="185">
        <v>1.0</v>
      </c>
      <c r="S270" s="185">
        <v>7.0</v>
      </c>
      <c r="T270" s="194">
        <v>2026.0</v>
      </c>
      <c r="U270" s="74" t="s">
        <v>36</v>
      </c>
      <c r="V270" s="74">
        <v>29.23</v>
      </c>
      <c r="W270" s="343">
        <v>46204.0</v>
      </c>
      <c r="X270" s="194">
        <v>1.0</v>
      </c>
      <c r="Y270" s="194">
        <v>7.0</v>
      </c>
      <c r="Z270" s="194">
        <v>2026.0</v>
      </c>
      <c r="AA270" s="74" t="s">
        <v>36</v>
      </c>
    </row>
    <row r="271" ht="15.75" hidden="1" customHeight="1">
      <c r="A271" s="340" t="s">
        <v>1659</v>
      </c>
      <c r="B271" s="340">
        <v>5.865942444E9</v>
      </c>
      <c r="C271" s="343">
        <v>46180.0</v>
      </c>
      <c r="D271" s="194">
        <v>7.0</v>
      </c>
      <c r="E271" s="194">
        <v>6.0</v>
      </c>
      <c r="F271" s="194">
        <v>2026.0</v>
      </c>
      <c r="G271" s="343">
        <v>46181.0</v>
      </c>
      <c r="H271" s="194">
        <v>8.0</v>
      </c>
      <c r="I271" s="194">
        <v>6.0</v>
      </c>
      <c r="J271" s="194">
        <v>2026.0</v>
      </c>
      <c r="K271" s="74" t="s">
        <v>36</v>
      </c>
      <c r="L271" s="74" t="s">
        <v>1177</v>
      </c>
      <c r="M271" s="74">
        <v>1.0</v>
      </c>
      <c r="N271" s="74">
        <v>1.0</v>
      </c>
      <c r="O271" s="74"/>
      <c r="P271" s="74">
        <v>2.0</v>
      </c>
      <c r="Q271" s="343">
        <v>46204.0</v>
      </c>
      <c r="R271" s="185">
        <v>1.0</v>
      </c>
      <c r="S271" s="185">
        <v>7.0</v>
      </c>
      <c r="T271" s="194">
        <v>2026.0</v>
      </c>
      <c r="U271" s="74" t="s">
        <v>36</v>
      </c>
      <c r="V271" s="74">
        <v>37.59</v>
      </c>
      <c r="W271" s="343">
        <v>46204.0</v>
      </c>
      <c r="X271" s="194">
        <v>1.0</v>
      </c>
      <c r="Y271" s="194">
        <v>7.0</v>
      </c>
      <c r="Z271" s="194">
        <v>2026.0</v>
      </c>
      <c r="AA271" s="74" t="s">
        <v>36</v>
      </c>
    </row>
    <row r="272" ht="15.75" hidden="1" customHeight="1">
      <c r="A272" s="340" t="s">
        <v>1660</v>
      </c>
      <c r="B272" s="340">
        <v>5.223573433E9</v>
      </c>
      <c r="C272" s="343">
        <v>46184.0</v>
      </c>
      <c r="D272" s="194">
        <v>11.0</v>
      </c>
      <c r="E272" s="194">
        <v>6.0</v>
      </c>
      <c r="F272" s="194">
        <v>2026.0</v>
      </c>
      <c r="G272" s="343">
        <v>46185.0</v>
      </c>
      <c r="H272" s="194">
        <v>12.0</v>
      </c>
      <c r="I272" s="194">
        <v>6.0</v>
      </c>
      <c r="J272" s="194">
        <v>2026.0</v>
      </c>
      <c r="K272" s="74" t="s">
        <v>36</v>
      </c>
      <c r="L272" s="74" t="s">
        <v>1177</v>
      </c>
      <c r="M272" s="74">
        <v>1.0</v>
      </c>
      <c r="N272" s="74">
        <v>1.0</v>
      </c>
      <c r="O272" s="74"/>
      <c r="P272" s="74">
        <v>2.0</v>
      </c>
      <c r="Q272" s="343">
        <v>46204.0</v>
      </c>
      <c r="R272" s="185">
        <v>1.0</v>
      </c>
      <c r="S272" s="185">
        <v>7.0</v>
      </c>
      <c r="T272" s="194">
        <v>2026.0</v>
      </c>
      <c r="U272" s="74" t="s">
        <v>36</v>
      </c>
      <c r="V272" s="74">
        <v>45.95</v>
      </c>
      <c r="W272" s="343">
        <v>46204.0</v>
      </c>
      <c r="X272" s="194">
        <v>1.0</v>
      </c>
      <c r="Y272" s="194">
        <v>7.0</v>
      </c>
      <c r="Z272" s="194">
        <v>2026.0</v>
      </c>
      <c r="AA272" s="74" t="s">
        <v>36</v>
      </c>
    </row>
    <row r="273" ht="15.75" hidden="1" customHeight="1">
      <c r="A273" s="340" t="s">
        <v>1661</v>
      </c>
      <c r="B273" s="191">
        <v>6.057478398E9</v>
      </c>
      <c r="C273" s="343">
        <v>46174.0</v>
      </c>
      <c r="D273" s="194">
        <v>1.0</v>
      </c>
      <c r="E273" s="194">
        <v>6.0</v>
      </c>
      <c r="F273" s="194">
        <v>2026.0</v>
      </c>
      <c r="G273" s="343">
        <v>46175.0</v>
      </c>
      <c r="H273" s="194">
        <v>2.0</v>
      </c>
      <c r="I273" s="194">
        <v>6.0</v>
      </c>
      <c r="J273" s="194">
        <v>2026.0</v>
      </c>
      <c r="K273" s="74" t="s">
        <v>36</v>
      </c>
      <c r="L273" s="74" t="s">
        <v>1177</v>
      </c>
      <c r="M273" s="74">
        <v>1.0</v>
      </c>
      <c r="N273" s="74">
        <v>1.0</v>
      </c>
      <c r="O273" s="74"/>
      <c r="P273" s="74">
        <v>2.0</v>
      </c>
      <c r="Q273" s="343">
        <v>46204.0</v>
      </c>
      <c r="R273" s="185">
        <v>1.0</v>
      </c>
      <c r="S273" s="185">
        <v>7.0</v>
      </c>
      <c r="T273" s="194">
        <v>2026.0</v>
      </c>
      <c r="U273" s="74" t="s">
        <v>36</v>
      </c>
      <c r="V273" s="74">
        <v>45.95</v>
      </c>
      <c r="W273" s="343">
        <v>46204.0</v>
      </c>
      <c r="X273" s="194">
        <v>1.0</v>
      </c>
      <c r="Y273" s="194">
        <v>7.0</v>
      </c>
      <c r="Z273" s="194">
        <v>2026.0</v>
      </c>
      <c r="AA273" s="74" t="s">
        <v>36</v>
      </c>
    </row>
    <row r="274" ht="15.75" hidden="1" customHeight="1">
      <c r="A274" s="340" t="s">
        <v>1663</v>
      </c>
      <c r="B274" s="340">
        <v>5.856674106E9</v>
      </c>
      <c r="C274" s="343">
        <v>46177.0</v>
      </c>
      <c r="D274" s="194">
        <v>4.0</v>
      </c>
      <c r="E274" s="194">
        <v>6.0</v>
      </c>
      <c r="F274" s="194">
        <v>2026.0</v>
      </c>
      <c r="G274" s="343">
        <v>46178.0</v>
      </c>
      <c r="H274" s="194">
        <v>5.0</v>
      </c>
      <c r="I274" s="194">
        <v>6.0</v>
      </c>
      <c r="J274" s="194">
        <v>2026.0</v>
      </c>
      <c r="K274" s="74" t="s">
        <v>36</v>
      </c>
      <c r="L274" s="74" t="s">
        <v>1177</v>
      </c>
      <c r="M274" s="74">
        <v>1.0</v>
      </c>
      <c r="N274" s="74">
        <v>1.0</v>
      </c>
      <c r="O274" s="74"/>
      <c r="P274" s="74">
        <v>2.0</v>
      </c>
      <c r="Q274" s="343">
        <v>46204.0</v>
      </c>
      <c r="R274" s="185">
        <v>1.0</v>
      </c>
      <c r="S274" s="185">
        <v>7.0</v>
      </c>
      <c r="T274" s="194">
        <v>2026.0</v>
      </c>
      <c r="U274" s="74" t="s">
        <v>36</v>
      </c>
      <c r="V274" s="74">
        <v>35.08</v>
      </c>
      <c r="W274" s="343">
        <v>46204.0</v>
      </c>
      <c r="X274" s="194">
        <v>1.0</v>
      </c>
      <c r="Y274" s="194">
        <v>7.0</v>
      </c>
      <c r="Z274" s="194">
        <v>2026.0</v>
      </c>
      <c r="AA274" s="74" t="s">
        <v>36</v>
      </c>
    </row>
    <row r="275" ht="15.75" hidden="1" customHeight="1">
      <c r="A275" s="340" t="s">
        <v>1664</v>
      </c>
      <c r="B275" s="340">
        <v>5.123728762E9</v>
      </c>
      <c r="C275" s="343">
        <v>46187.0</v>
      </c>
      <c r="D275" s="194">
        <v>14.0</v>
      </c>
      <c r="E275" s="194">
        <v>6.0</v>
      </c>
      <c r="F275" s="194">
        <v>2026.0</v>
      </c>
      <c r="G275" s="343">
        <v>46189.0</v>
      </c>
      <c r="H275" s="194">
        <v>16.0</v>
      </c>
      <c r="I275" s="194">
        <v>6.0</v>
      </c>
      <c r="J275" s="194">
        <v>2026.0</v>
      </c>
      <c r="K275" s="74" t="s">
        <v>36</v>
      </c>
      <c r="L275" s="74" t="s">
        <v>1177</v>
      </c>
      <c r="M275" s="74">
        <v>1.0</v>
      </c>
      <c r="N275" s="74">
        <v>2.0</v>
      </c>
      <c r="O275" s="74"/>
      <c r="P275" s="74">
        <v>4.0</v>
      </c>
      <c r="Q275" s="343">
        <v>46204.0</v>
      </c>
      <c r="R275" s="185">
        <v>1.0</v>
      </c>
      <c r="S275" s="185">
        <v>7.0</v>
      </c>
      <c r="T275" s="194">
        <v>2026.0</v>
      </c>
      <c r="U275" s="74" t="s">
        <v>36</v>
      </c>
      <c r="V275" s="74">
        <v>58.46</v>
      </c>
      <c r="W275" s="343">
        <v>46204.0</v>
      </c>
      <c r="X275" s="194">
        <v>1.0</v>
      </c>
      <c r="Y275" s="194">
        <v>7.0</v>
      </c>
      <c r="Z275" s="194">
        <v>2026.0</v>
      </c>
      <c r="AA275" s="74" t="s">
        <v>36</v>
      </c>
    </row>
    <row r="276" ht="15.75" hidden="1" customHeight="1">
      <c r="A276" s="340" t="s">
        <v>1666</v>
      </c>
      <c r="B276" s="340">
        <v>6.506058509E9</v>
      </c>
      <c r="C276" s="343">
        <v>46179.0</v>
      </c>
      <c r="D276" s="194">
        <v>6.0</v>
      </c>
      <c r="E276" s="194">
        <v>6.0</v>
      </c>
      <c r="F276" s="194">
        <v>2026.0</v>
      </c>
      <c r="G276" s="343">
        <v>46182.0</v>
      </c>
      <c r="H276" s="194">
        <v>9.0</v>
      </c>
      <c r="I276" s="194">
        <v>6.0</v>
      </c>
      <c r="J276" s="194">
        <v>2026.0</v>
      </c>
      <c r="K276" s="74" t="s">
        <v>36</v>
      </c>
      <c r="L276" s="74" t="s">
        <v>1177</v>
      </c>
      <c r="M276" s="74">
        <v>1.0</v>
      </c>
      <c r="N276" s="74">
        <v>3.0</v>
      </c>
      <c r="O276" s="74"/>
      <c r="P276" s="74">
        <v>6.0</v>
      </c>
      <c r="Q276" s="343">
        <v>46204.0</v>
      </c>
      <c r="R276" s="185">
        <v>1.0</v>
      </c>
      <c r="S276" s="185">
        <v>7.0</v>
      </c>
      <c r="T276" s="194">
        <v>2026.0</v>
      </c>
      <c r="U276" s="74" t="s">
        <v>36</v>
      </c>
      <c r="V276" s="74">
        <v>87.7</v>
      </c>
      <c r="W276" s="343">
        <v>46204.0</v>
      </c>
      <c r="X276" s="194">
        <v>1.0</v>
      </c>
      <c r="Y276" s="194">
        <v>7.0</v>
      </c>
      <c r="Z276" s="194">
        <v>2026.0</v>
      </c>
      <c r="AA276" s="74" t="s">
        <v>36</v>
      </c>
    </row>
    <row r="277" ht="15.75" hidden="1" customHeight="1">
      <c r="A277" s="340" t="s">
        <v>1666</v>
      </c>
      <c r="B277" s="191">
        <v>5.386182759E9</v>
      </c>
      <c r="C277" s="343">
        <v>46191.0</v>
      </c>
      <c r="D277" s="194">
        <v>18.0</v>
      </c>
      <c r="E277" s="194">
        <v>6.0</v>
      </c>
      <c r="F277" s="194">
        <v>2026.0</v>
      </c>
      <c r="G277" s="343">
        <v>46194.0</v>
      </c>
      <c r="H277" s="194">
        <v>21.0</v>
      </c>
      <c r="I277" s="194">
        <v>6.0</v>
      </c>
      <c r="J277" s="194">
        <v>2026.0</v>
      </c>
      <c r="K277" s="74" t="s">
        <v>36</v>
      </c>
      <c r="L277" s="74" t="s">
        <v>1177</v>
      </c>
      <c r="M277" s="74">
        <v>1.0</v>
      </c>
      <c r="N277" s="74">
        <v>3.0</v>
      </c>
      <c r="O277" s="74"/>
      <c r="P277" s="74">
        <v>6.0</v>
      </c>
      <c r="Q277" s="343">
        <v>46204.0</v>
      </c>
      <c r="R277" s="185">
        <v>1.0</v>
      </c>
      <c r="S277" s="185">
        <v>7.0</v>
      </c>
      <c r="T277" s="194">
        <v>2026.0</v>
      </c>
      <c r="U277" s="74" t="s">
        <v>36</v>
      </c>
      <c r="V277" s="74">
        <v>87.7</v>
      </c>
      <c r="W277" s="343">
        <v>46204.0</v>
      </c>
      <c r="X277" s="194">
        <v>1.0</v>
      </c>
      <c r="Y277" s="194">
        <v>7.0</v>
      </c>
      <c r="Z277" s="194">
        <v>2026.0</v>
      </c>
      <c r="AA277" s="74" t="s">
        <v>36</v>
      </c>
    </row>
    <row r="278" ht="15.75" hidden="1" customHeight="1">
      <c r="A278" s="340" t="s">
        <v>1667</v>
      </c>
      <c r="B278" s="191">
        <v>6.292961789E9</v>
      </c>
      <c r="C278" s="343">
        <v>46192.0</v>
      </c>
      <c r="D278" s="194">
        <v>19.0</v>
      </c>
      <c r="E278" s="194">
        <v>6.0</v>
      </c>
      <c r="F278" s="194">
        <v>2026.0</v>
      </c>
      <c r="G278" s="343">
        <v>46193.0</v>
      </c>
      <c r="H278" s="194">
        <v>20.0</v>
      </c>
      <c r="I278" s="194">
        <v>6.0</v>
      </c>
      <c r="J278" s="194">
        <v>2026.0</v>
      </c>
      <c r="K278" s="74" t="s">
        <v>36</v>
      </c>
      <c r="L278" s="74" t="s">
        <v>1177</v>
      </c>
      <c r="M278" s="74">
        <v>1.0</v>
      </c>
      <c r="N278" s="74">
        <v>1.0</v>
      </c>
      <c r="O278" s="74"/>
      <c r="P278" s="74">
        <v>2.0</v>
      </c>
      <c r="Q278" s="343">
        <v>46204.0</v>
      </c>
      <c r="R278" s="185">
        <v>1.0</v>
      </c>
      <c r="S278" s="185">
        <v>7.0</v>
      </c>
      <c r="T278" s="194">
        <v>2026.0</v>
      </c>
      <c r="U278" s="74" t="s">
        <v>36</v>
      </c>
      <c r="V278" s="74">
        <v>29.23</v>
      </c>
      <c r="W278" s="343">
        <v>46204.0</v>
      </c>
      <c r="X278" s="194">
        <v>1.0</v>
      </c>
      <c r="Y278" s="194">
        <v>7.0</v>
      </c>
      <c r="Z278" s="194">
        <v>2026.0</v>
      </c>
      <c r="AA278" s="74" t="s">
        <v>36</v>
      </c>
    </row>
    <row r="279" ht="15.75" hidden="1" customHeight="1">
      <c r="A279" s="340" t="s">
        <v>1668</v>
      </c>
      <c r="B279" s="191">
        <v>5.66607162E9</v>
      </c>
      <c r="C279" s="343">
        <v>46194.0</v>
      </c>
      <c r="D279" s="194">
        <v>21.0</v>
      </c>
      <c r="E279" s="194">
        <v>6.0</v>
      </c>
      <c r="F279" s="194">
        <v>2026.0</v>
      </c>
      <c r="G279" s="343">
        <v>46197.0</v>
      </c>
      <c r="H279" s="194">
        <v>24.0</v>
      </c>
      <c r="I279" s="194">
        <v>6.0</v>
      </c>
      <c r="J279" s="194">
        <v>2026.0</v>
      </c>
      <c r="K279" s="74" t="s">
        <v>36</v>
      </c>
      <c r="L279" s="74" t="s">
        <v>1177</v>
      </c>
      <c r="M279" s="74">
        <v>1.0</v>
      </c>
      <c r="N279" s="74">
        <v>3.0</v>
      </c>
      <c r="O279" s="74"/>
      <c r="P279" s="74">
        <v>6.0</v>
      </c>
      <c r="Q279" s="343">
        <v>46204.0</v>
      </c>
      <c r="R279" s="185">
        <v>1.0</v>
      </c>
      <c r="S279" s="185">
        <v>7.0</v>
      </c>
      <c r="T279" s="194">
        <v>2026.0</v>
      </c>
      <c r="U279" s="74" t="s">
        <v>36</v>
      </c>
      <c r="V279" s="74">
        <v>87.7</v>
      </c>
      <c r="W279" s="343">
        <v>46204.0</v>
      </c>
      <c r="X279" s="194">
        <v>1.0</v>
      </c>
      <c r="Y279" s="194">
        <v>7.0</v>
      </c>
      <c r="Z279" s="194">
        <v>2026.0</v>
      </c>
      <c r="AA279" s="74" t="s">
        <v>36</v>
      </c>
    </row>
    <row r="280" ht="15.75" hidden="1" customHeight="1">
      <c r="A280" s="340" t="s">
        <v>1669</v>
      </c>
      <c r="B280" s="340">
        <v>6.78933666E9</v>
      </c>
      <c r="C280" s="343">
        <v>46181.0</v>
      </c>
      <c r="D280" s="194">
        <v>8.0</v>
      </c>
      <c r="E280" s="194">
        <v>6.0</v>
      </c>
      <c r="F280" s="194">
        <v>2026.0</v>
      </c>
      <c r="G280" s="343">
        <v>46184.0</v>
      </c>
      <c r="H280" s="194">
        <v>11.0</v>
      </c>
      <c r="I280" s="194">
        <v>6.0</v>
      </c>
      <c r="J280" s="194">
        <v>2026.0</v>
      </c>
      <c r="K280" s="74" t="s">
        <v>36</v>
      </c>
      <c r="L280" s="74" t="s">
        <v>1177</v>
      </c>
      <c r="M280" s="74">
        <v>1.0</v>
      </c>
      <c r="N280" s="74">
        <v>3.0</v>
      </c>
      <c r="O280" s="74"/>
      <c r="P280" s="74">
        <v>6.0</v>
      </c>
      <c r="Q280" s="343">
        <v>46204.0</v>
      </c>
      <c r="R280" s="185">
        <v>1.0</v>
      </c>
      <c r="S280" s="185">
        <v>7.0</v>
      </c>
      <c r="T280" s="194">
        <v>2026.0</v>
      </c>
      <c r="U280" s="74" t="s">
        <v>36</v>
      </c>
      <c r="V280" s="74">
        <v>104.42</v>
      </c>
      <c r="W280" s="343">
        <v>46204.0</v>
      </c>
      <c r="X280" s="194">
        <v>1.0</v>
      </c>
      <c r="Y280" s="194">
        <v>7.0</v>
      </c>
      <c r="Z280" s="194">
        <v>2026.0</v>
      </c>
      <c r="AA280" s="74" t="s">
        <v>36</v>
      </c>
    </row>
    <row r="281" ht="15.75" hidden="1" customHeight="1">
      <c r="A281" s="340" t="s">
        <v>1671</v>
      </c>
      <c r="B281" s="191">
        <v>5.874675055E9</v>
      </c>
      <c r="C281" s="343">
        <v>46195.0</v>
      </c>
      <c r="D281" s="194">
        <v>22.0</v>
      </c>
      <c r="E281" s="194">
        <v>6.0</v>
      </c>
      <c r="F281" s="194">
        <v>2026.0</v>
      </c>
      <c r="G281" s="343">
        <v>46196.0</v>
      </c>
      <c r="H281" s="194">
        <v>23.0</v>
      </c>
      <c r="I281" s="194">
        <v>6.0</v>
      </c>
      <c r="J281" s="194">
        <v>2026.0</v>
      </c>
      <c r="K281" s="74" t="s">
        <v>36</v>
      </c>
      <c r="L281" s="74" t="s">
        <v>1177</v>
      </c>
      <c r="M281" s="74">
        <v>1.0</v>
      </c>
      <c r="N281" s="74">
        <v>1.0</v>
      </c>
      <c r="O281" s="74"/>
      <c r="P281" s="74">
        <v>2.0</v>
      </c>
      <c r="Q281" s="343">
        <v>46204.0</v>
      </c>
      <c r="R281" s="185">
        <v>1.0</v>
      </c>
      <c r="S281" s="185">
        <v>7.0</v>
      </c>
      <c r="T281" s="194">
        <v>2026.0</v>
      </c>
      <c r="U281" s="74" t="s">
        <v>36</v>
      </c>
      <c r="V281" s="74">
        <v>29.23</v>
      </c>
      <c r="W281" s="343">
        <v>46204.0</v>
      </c>
      <c r="X281" s="194">
        <v>1.0</v>
      </c>
      <c r="Y281" s="194">
        <v>7.0</v>
      </c>
      <c r="Z281" s="194">
        <v>2026.0</v>
      </c>
      <c r="AA281" s="74" t="s">
        <v>36</v>
      </c>
    </row>
    <row r="282" ht="15.75" hidden="1" customHeight="1">
      <c r="A282" s="340" t="s">
        <v>1672</v>
      </c>
      <c r="B282" s="191">
        <v>5.711323609E9</v>
      </c>
      <c r="C282" s="343">
        <v>46191.0</v>
      </c>
      <c r="D282" s="194">
        <v>18.0</v>
      </c>
      <c r="E282" s="194">
        <v>6.0</v>
      </c>
      <c r="F282" s="194">
        <v>2026.0</v>
      </c>
      <c r="G282" s="343">
        <v>46192.0</v>
      </c>
      <c r="H282" s="194">
        <v>19.0</v>
      </c>
      <c r="I282" s="194">
        <v>6.0</v>
      </c>
      <c r="J282" s="194">
        <v>2026.0</v>
      </c>
      <c r="K282" s="74" t="s">
        <v>36</v>
      </c>
      <c r="L282" s="74" t="s">
        <v>1177</v>
      </c>
      <c r="M282" s="74">
        <v>3.0</v>
      </c>
      <c r="N282" s="74">
        <v>1.0</v>
      </c>
      <c r="O282" s="74"/>
      <c r="P282" s="74">
        <v>6.0</v>
      </c>
      <c r="Q282" s="343">
        <v>46204.0</v>
      </c>
      <c r="R282" s="185">
        <v>1.0</v>
      </c>
      <c r="S282" s="185">
        <v>7.0</v>
      </c>
      <c r="T282" s="194">
        <v>2026.0</v>
      </c>
      <c r="U282" s="74" t="s">
        <v>36</v>
      </c>
      <c r="V282" s="74">
        <v>112.77</v>
      </c>
      <c r="W282" s="343">
        <v>46204.0</v>
      </c>
      <c r="X282" s="194">
        <v>1.0</v>
      </c>
      <c r="Y282" s="194">
        <v>7.0</v>
      </c>
      <c r="Z282" s="194">
        <v>2026.0</v>
      </c>
      <c r="AA282" s="74" t="s">
        <v>36</v>
      </c>
    </row>
    <row r="283" ht="15.75" hidden="1" customHeight="1">
      <c r="A283" s="340" t="s">
        <v>1673</v>
      </c>
      <c r="B283" s="340">
        <v>6.03003281E9</v>
      </c>
      <c r="C283" s="343">
        <v>46181.0</v>
      </c>
      <c r="D283" s="194">
        <v>8.0</v>
      </c>
      <c r="E283" s="194">
        <v>6.0</v>
      </c>
      <c r="F283" s="194">
        <v>2026.0</v>
      </c>
      <c r="G283" s="343">
        <v>46183.0</v>
      </c>
      <c r="H283" s="194">
        <v>10.0</v>
      </c>
      <c r="I283" s="194">
        <v>6.0</v>
      </c>
      <c r="J283" s="194">
        <v>2026.0</v>
      </c>
      <c r="K283" s="74" t="s">
        <v>36</v>
      </c>
      <c r="L283" s="74" t="s">
        <v>1177</v>
      </c>
      <c r="M283" s="74">
        <v>1.0</v>
      </c>
      <c r="N283" s="74">
        <v>2.0</v>
      </c>
      <c r="O283" s="74"/>
      <c r="P283" s="74">
        <v>4.0</v>
      </c>
      <c r="Q283" s="343">
        <v>46204.0</v>
      </c>
      <c r="R283" s="185">
        <v>1.0</v>
      </c>
      <c r="S283" s="185">
        <v>7.0</v>
      </c>
      <c r="T283" s="194">
        <v>2026.0</v>
      </c>
      <c r="U283" s="74" t="s">
        <v>36</v>
      </c>
      <c r="V283" s="74">
        <v>75.18</v>
      </c>
      <c r="W283" s="343">
        <v>46204.0</v>
      </c>
      <c r="X283" s="194">
        <v>1.0</v>
      </c>
      <c r="Y283" s="194">
        <v>7.0</v>
      </c>
      <c r="Z283" s="194">
        <v>2026.0</v>
      </c>
      <c r="AA283" s="74" t="s">
        <v>36</v>
      </c>
    </row>
    <row r="284" ht="15.75" hidden="1" customHeight="1">
      <c r="A284" s="340" t="s">
        <v>1674</v>
      </c>
      <c r="B284" s="191">
        <v>6.004919211E9</v>
      </c>
      <c r="C284" s="343">
        <v>46190.0</v>
      </c>
      <c r="D284" s="194">
        <v>17.0</v>
      </c>
      <c r="E284" s="194">
        <v>6.0</v>
      </c>
      <c r="F284" s="194">
        <v>2026.0</v>
      </c>
      <c r="G284" s="343">
        <v>46195.0</v>
      </c>
      <c r="H284" s="194">
        <v>22.0</v>
      </c>
      <c r="I284" s="194">
        <v>6.0</v>
      </c>
      <c r="J284" s="194">
        <v>2026.0</v>
      </c>
      <c r="K284" s="74" t="s">
        <v>36</v>
      </c>
      <c r="L284" s="74" t="s">
        <v>1177</v>
      </c>
      <c r="M284" s="74">
        <v>1.0</v>
      </c>
      <c r="N284" s="74">
        <v>5.0</v>
      </c>
      <c r="O284" s="74"/>
      <c r="P284" s="74">
        <v>10.0</v>
      </c>
      <c r="Q284" s="343">
        <v>46204.0</v>
      </c>
      <c r="R284" s="185">
        <v>1.0</v>
      </c>
      <c r="S284" s="185">
        <v>7.0</v>
      </c>
      <c r="T284" s="194">
        <v>2026.0</v>
      </c>
      <c r="U284" s="74" t="s">
        <v>36</v>
      </c>
      <c r="V284" s="74">
        <v>146.16</v>
      </c>
      <c r="W284" s="343">
        <v>46204.0</v>
      </c>
      <c r="X284" s="194">
        <v>1.0</v>
      </c>
      <c r="Y284" s="194">
        <v>7.0</v>
      </c>
      <c r="Z284" s="194">
        <v>2026.0</v>
      </c>
      <c r="AA284" s="74" t="s">
        <v>36</v>
      </c>
    </row>
    <row r="285" ht="15.75" hidden="1" customHeight="1">
      <c r="A285" s="340" t="s">
        <v>1675</v>
      </c>
      <c r="B285" s="340">
        <v>5.843944054E9</v>
      </c>
      <c r="C285" s="343">
        <v>46179.0</v>
      </c>
      <c r="D285" s="194">
        <v>6.0</v>
      </c>
      <c r="E285" s="194">
        <v>6.0</v>
      </c>
      <c r="F285" s="194">
        <v>2026.0</v>
      </c>
      <c r="G285" s="343">
        <v>46180.0</v>
      </c>
      <c r="H285" s="194">
        <v>7.0</v>
      </c>
      <c r="I285" s="194">
        <v>6.0</v>
      </c>
      <c r="J285" s="194">
        <v>2026.0</v>
      </c>
      <c r="K285" s="74" t="s">
        <v>36</v>
      </c>
      <c r="L285" s="74" t="s">
        <v>1177</v>
      </c>
      <c r="M285" s="74">
        <v>1.0</v>
      </c>
      <c r="N285" s="74">
        <v>1.0</v>
      </c>
      <c r="O285" s="74"/>
      <c r="P285" s="74">
        <v>2.0</v>
      </c>
      <c r="Q285" s="343">
        <v>46204.0</v>
      </c>
      <c r="R285" s="185">
        <v>1.0</v>
      </c>
      <c r="S285" s="185">
        <v>7.0</v>
      </c>
      <c r="T285" s="194">
        <v>2026.0</v>
      </c>
      <c r="U285" s="74" t="s">
        <v>36</v>
      </c>
      <c r="V285" s="74">
        <v>29.23</v>
      </c>
      <c r="W285" s="343">
        <v>46204.0</v>
      </c>
      <c r="X285" s="194">
        <v>1.0</v>
      </c>
      <c r="Y285" s="194">
        <v>7.0</v>
      </c>
      <c r="Z285" s="194">
        <v>2026.0</v>
      </c>
      <c r="AA285" s="74" t="s">
        <v>36</v>
      </c>
    </row>
    <row r="286" ht="15.75" hidden="1" customHeight="1">
      <c r="A286" s="340" t="s">
        <v>1676</v>
      </c>
      <c r="B286" s="340">
        <v>5.059264716E9</v>
      </c>
      <c r="C286" s="343">
        <v>46188.0</v>
      </c>
      <c r="D286" s="194">
        <v>15.0</v>
      </c>
      <c r="E286" s="194">
        <v>6.0</v>
      </c>
      <c r="F286" s="194">
        <v>2026.0</v>
      </c>
      <c r="G286" s="343">
        <v>46189.0</v>
      </c>
      <c r="H286" s="194">
        <v>16.0</v>
      </c>
      <c r="I286" s="194">
        <v>6.0</v>
      </c>
      <c r="J286" s="194">
        <v>2026.0</v>
      </c>
      <c r="K286" s="74" t="s">
        <v>36</v>
      </c>
      <c r="L286" s="74" t="s">
        <v>1177</v>
      </c>
      <c r="M286" s="74">
        <v>1.0</v>
      </c>
      <c r="N286" s="74">
        <v>1.0</v>
      </c>
      <c r="O286" s="74"/>
      <c r="P286" s="74">
        <v>2.0</v>
      </c>
      <c r="Q286" s="343">
        <v>46204.0</v>
      </c>
      <c r="R286" s="185">
        <v>1.0</v>
      </c>
      <c r="S286" s="185">
        <v>7.0</v>
      </c>
      <c r="T286" s="194">
        <v>2026.0</v>
      </c>
      <c r="U286" s="74" t="s">
        <v>36</v>
      </c>
      <c r="V286" s="74">
        <v>29.23</v>
      </c>
      <c r="W286" s="343">
        <v>46204.0</v>
      </c>
      <c r="X286" s="194">
        <v>1.0</v>
      </c>
      <c r="Y286" s="194">
        <v>7.0</v>
      </c>
      <c r="Z286" s="194">
        <v>2026.0</v>
      </c>
      <c r="AA286" s="74" t="s">
        <v>36</v>
      </c>
    </row>
    <row r="287" ht="15.75" hidden="1" customHeight="1">
      <c r="A287" s="340" t="s">
        <v>1677</v>
      </c>
      <c r="B287" s="340">
        <v>5.292701445E9</v>
      </c>
      <c r="C287" s="343">
        <v>46182.0</v>
      </c>
      <c r="D287" s="194">
        <v>9.0</v>
      </c>
      <c r="E287" s="194">
        <v>6.0</v>
      </c>
      <c r="F287" s="194">
        <v>2026.0</v>
      </c>
      <c r="G287" s="343">
        <v>46186.0</v>
      </c>
      <c r="H287" s="194">
        <v>13.0</v>
      </c>
      <c r="I287" s="194">
        <v>6.0</v>
      </c>
      <c r="J287" s="194">
        <v>2026.0</v>
      </c>
      <c r="K287" s="74" t="s">
        <v>36</v>
      </c>
      <c r="L287" s="74" t="s">
        <v>1177</v>
      </c>
      <c r="M287" s="74">
        <v>1.0</v>
      </c>
      <c r="N287" s="74">
        <v>4.0</v>
      </c>
      <c r="O287" s="74"/>
      <c r="P287" s="74">
        <v>7.99999999999997</v>
      </c>
      <c r="Q287" s="343">
        <v>46204.0</v>
      </c>
      <c r="R287" s="185">
        <v>1.0</v>
      </c>
      <c r="S287" s="185">
        <v>7.0</v>
      </c>
      <c r="T287" s="194">
        <v>2026.0</v>
      </c>
      <c r="U287" s="74" t="s">
        <v>36</v>
      </c>
      <c r="V287" s="74">
        <v>136.99</v>
      </c>
      <c r="W287" s="343">
        <v>46204.0</v>
      </c>
      <c r="X287" s="194">
        <v>1.0</v>
      </c>
      <c r="Y287" s="194">
        <v>7.0</v>
      </c>
      <c r="Z287" s="194">
        <v>2026.0</v>
      </c>
      <c r="AA287" s="74" t="s">
        <v>36</v>
      </c>
    </row>
    <row r="288" ht="15.75" hidden="1" customHeight="1">
      <c r="A288" s="340" t="s">
        <v>1677</v>
      </c>
      <c r="B288" s="340">
        <v>6.358094793E9</v>
      </c>
      <c r="C288" s="343">
        <v>46186.0</v>
      </c>
      <c r="D288" s="194">
        <v>13.0</v>
      </c>
      <c r="E288" s="194">
        <v>6.0</v>
      </c>
      <c r="F288" s="194">
        <v>2026.0</v>
      </c>
      <c r="G288" s="343">
        <v>46187.0</v>
      </c>
      <c r="H288" s="194">
        <v>14.0</v>
      </c>
      <c r="I288" s="194">
        <v>6.0</v>
      </c>
      <c r="J288" s="194">
        <v>2026.0</v>
      </c>
      <c r="K288" s="74" t="s">
        <v>36</v>
      </c>
      <c r="L288" s="74" t="s">
        <v>1177</v>
      </c>
      <c r="M288" s="74">
        <v>1.0</v>
      </c>
      <c r="N288" s="74">
        <v>1.0</v>
      </c>
      <c r="O288" s="74"/>
      <c r="P288" s="74">
        <v>2.0</v>
      </c>
      <c r="Q288" s="343">
        <v>46204.0</v>
      </c>
      <c r="R288" s="185">
        <v>1.0</v>
      </c>
      <c r="S288" s="185">
        <v>7.0</v>
      </c>
      <c r="T288" s="194">
        <v>2026.0</v>
      </c>
      <c r="U288" s="74" t="s">
        <v>36</v>
      </c>
      <c r="V288" s="74">
        <v>29.23</v>
      </c>
      <c r="W288" s="343">
        <v>46204.0</v>
      </c>
      <c r="X288" s="194">
        <v>1.0</v>
      </c>
      <c r="Y288" s="194">
        <v>7.0</v>
      </c>
      <c r="Z288" s="194">
        <v>2026.0</v>
      </c>
      <c r="AA288" s="74" t="s">
        <v>36</v>
      </c>
    </row>
    <row r="289" ht="15.75" hidden="1" customHeight="1">
      <c r="A289" s="340" t="s">
        <v>1678</v>
      </c>
      <c r="B289" s="191">
        <v>6.437121873E9</v>
      </c>
      <c r="C289" s="343">
        <v>46197.0</v>
      </c>
      <c r="D289" s="194">
        <v>24.0</v>
      </c>
      <c r="E289" s="194">
        <v>6.0</v>
      </c>
      <c r="F289" s="194">
        <v>2026.0</v>
      </c>
      <c r="G289" s="343">
        <v>46200.0</v>
      </c>
      <c r="H289" s="194">
        <v>27.0</v>
      </c>
      <c r="I289" s="194">
        <v>6.0</v>
      </c>
      <c r="J289" s="194">
        <v>2026.0</v>
      </c>
      <c r="K289" s="74" t="s">
        <v>36</v>
      </c>
      <c r="L289" s="74" t="s">
        <v>1177</v>
      </c>
      <c r="M289" s="74">
        <v>1.0</v>
      </c>
      <c r="N289" s="74">
        <v>3.0</v>
      </c>
      <c r="O289" s="74"/>
      <c r="P289" s="74">
        <v>6.0</v>
      </c>
      <c r="Q289" s="343">
        <v>46204.0</v>
      </c>
      <c r="R289" s="185">
        <v>1.0</v>
      </c>
      <c r="S289" s="185">
        <v>7.0</v>
      </c>
      <c r="T289" s="194">
        <v>2026.0</v>
      </c>
      <c r="U289" s="74" t="s">
        <v>36</v>
      </c>
      <c r="V289" s="74">
        <v>112.78</v>
      </c>
      <c r="W289" s="343">
        <v>46204.0</v>
      </c>
      <c r="X289" s="194">
        <v>1.0</v>
      </c>
      <c r="Y289" s="194">
        <v>7.0</v>
      </c>
      <c r="Z289" s="194">
        <v>2026.0</v>
      </c>
      <c r="AA289" s="74" t="s">
        <v>36</v>
      </c>
    </row>
    <row r="290" ht="15.75" hidden="1" customHeight="1">
      <c r="A290" s="340" t="s">
        <v>1679</v>
      </c>
      <c r="B290" s="191">
        <v>5.528969029E9</v>
      </c>
      <c r="C290" s="343">
        <v>46176.0</v>
      </c>
      <c r="D290" s="194">
        <v>3.0</v>
      </c>
      <c r="E290" s="194">
        <v>6.0</v>
      </c>
      <c r="F290" s="194">
        <v>2026.0</v>
      </c>
      <c r="G290" s="343">
        <v>46178.0</v>
      </c>
      <c r="H290" s="194">
        <v>5.0</v>
      </c>
      <c r="I290" s="194">
        <v>6.0</v>
      </c>
      <c r="J290" s="194">
        <v>2026.0</v>
      </c>
      <c r="K290" s="74" t="s">
        <v>36</v>
      </c>
      <c r="L290" s="74" t="s">
        <v>1177</v>
      </c>
      <c r="M290" s="74">
        <v>1.0</v>
      </c>
      <c r="N290" s="74">
        <v>2.0</v>
      </c>
      <c r="O290" s="74"/>
      <c r="P290" s="74">
        <v>4.0</v>
      </c>
      <c r="Q290" s="343">
        <v>46204.0</v>
      </c>
      <c r="R290" s="185">
        <v>1.0</v>
      </c>
      <c r="S290" s="185">
        <v>7.0</v>
      </c>
      <c r="T290" s="194">
        <v>2026.0</v>
      </c>
      <c r="U290" s="74" t="s">
        <v>36</v>
      </c>
      <c r="V290" s="74">
        <v>53.45</v>
      </c>
      <c r="W290" s="343">
        <v>46204.0</v>
      </c>
      <c r="X290" s="194">
        <v>1.0</v>
      </c>
      <c r="Y290" s="194">
        <v>7.0</v>
      </c>
      <c r="Z290" s="194">
        <v>2026.0</v>
      </c>
      <c r="AA290" s="74" t="s">
        <v>36</v>
      </c>
    </row>
    <row r="291" ht="15.75" hidden="1" customHeight="1">
      <c r="A291" s="340" t="s">
        <v>1680</v>
      </c>
      <c r="B291" s="191">
        <v>6.478928763E9</v>
      </c>
      <c r="C291" s="343">
        <v>46191.0</v>
      </c>
      <c r="D291" s="194">
        <v>18.0</v>
      </c>
      <c r="E291" s="194">
        <v>6.0</v>
      </c>
      <c r="F291" s="194">
        <v>2026.0</v>
      </c>
      <c r="G291" s="343">
        <v>46194.0</v>
      </c>
      <c r="H291" s="194">
        <v>21.0</v>
      </c>
      <c r="I291" s="194">
        <v>6.0</v>
      </c>
      <c r="J291" s="194">
        <v>2026.0</v>
      </c>
      <c r="K291" s="74" t="s">
        <v>36</v>
      </c>
      <c r="L291" s="74" t="s">
        <v>1177</v>
      </c>
      <c r="M291" s="74">
        <v>1.0</v>
      </c>
      <c r="N291" s="74">
        <v>3.0</v>
      </c>
      <c r="O291" s="74"/>
      <c r="P291" s="74">
        <v>6.0</v>
      </c>
      <c r="Q291" s="343">
        <v>46204.0</v>
      </c>
      <c r="R291" s="185">
        <v>1.0</v>
      </c>
      <c r="S291" s="185">
        <v>7.0</v>
      </c>
      <c r="T291" s="194">
        <v>2026.0</v>
      </c>
      <c r="U291" s="74" t="s">
        <v>36</v>
      </c>
      <c r="V291" s="74">
        <v>112.78</v>
      </c>
      <c r="W291" s="343">
        <v>46204.0</v>
      </c>
      <c r="X291" s="194">
        <v>1.0</v>
      </c>
      <c r="Y291" s="194">
        <v>7.0</v>
      </c>
      <c r="Z291" s="194">
        <v>2026.0</v>
      </c>
      <c r="AA291" s="74" t="s">
        <v>36</v>
      </c>
    </row>
    <row r="292" ht="15.75" hidden="1" customHeight="1">
      <c r="A292" s="340" t="s">
        <v>1681</v>
      </c>
      <c r="B292" s="340">
        <v>6.789397752E9</v>
      </c>
      <c r="C292" s="343">
        <v>46182.0</v>
      </c>
      <c r="D292" s="194">
        <v>9.0</v>
      </c>
      <c r="E292" s="194">
        <v>6.0</v>
      </c>
      <c r="F292" s="194">
        <v>2026.0</v>
      </c>
      <c r="G292" s="343">
        <v>46183.0</v>
      </c>
      <c r="H292" s="194">
        <v>10.0</v>
      </c>
      <c r="I292" s="194">
        <v>6.0</v>
      </c>
      <c r="J292" s="194">
        <v>2026.0</v>
      </c>
      <c r="K292" s="74" t="s">
        <v>36</v>
      </c>
      <c r="L292" s="74" t="s">
        <v>1177</v>
      </c>
      <c r="M292" s="74">
        <v>1.0</v>
      </c>
      <c r="N292" s="74">
        <v>1.0</v>
      </c>
      <c r="O292" s="74"/>
      <c r="P292" s="74">
        <v>2.0</v>
      </c>
      <c r="Q292" s="343">
        <v>46204.0</v>
      </c>
      <c r="R292" s="185">
        <v>1.0</v>
      </c>
      <c r="S292" s="185">
        <v>7.0</v>
      </c>
      <c r="T292" s="194">
        <v>2026.0</v>
      </c>
      <c r="U292" s="74" t="s">
        <v>36</v>
      </c>
      <c r="V292" s="74">
        <v>26.72</v>
      </c>
      <c r="W292" s="343">
        <v>46204.0</v>
      </c>
      <c r="X292" s="194">
        <v>1.0</v>
      </c>
      <c r="Y292" s="194">
        <v>7.0</v>
      </c>
      <c r="Z292" s="194">
        <v>2026.0</v>
      </c>
      <c r="AA292" s="74" t="s">
        <v>36</v>
      </c>
    </row>
    <row r="293" ht="15.75" hidden="1" customHeight="1">
      <c r="A293" s="340" t="s">
        <v>1682</v>
      </c>
      <c r="B293" s="191">
        <v>5.158021624E9</v>
      </c>
      <c r="C293" s="343">
        <v>46190.0</v>
      </c>
      <c r="D293" s="194">
        <v>17.0</v>
      </c>
      <c r="E293" s="194">
        <v>6.0</v>
      </c>
      <c r="F293" s="194">
        <v>2026.0</v>
      </c>
      <c r="G293" s="343">
        <v>46196.0</v>
      </c>
      <c r="H293" s="194">
        <v>23.0</v>
      </c>
      <c r="I293" s="194">
        <v>6.0</v>
      </c>
      <c r="J293" s="194">
        <v>2026.0</v>
      </c>
      <c r="K293" s="74" t="s">
        <v>36</v>
      </c>
      <c r="L293" s="74" t="s">
        <v>1177</v>
      </c>
      <c r="M293" s="74">
        <v>1.0</v>
      </c>
      <c r="N293" s="74">
        <v>6.0</v>
      </c>
      <c r="O293" s="74"/>
      <c r="P293" s="74">
        <v>12.0</v>
      </c>
      <c r="Q293" s="343">
        <v>46204.0</v>
      </c>
      <c r="R293" s="185">
        <v>1.0</v>
      </c>
      <c r="S293" s="185">
        <v>7.0</v>
      </c>
      <c r="T293" s="194">
        <v>2026.0</v>
      </c>
      <c r="U293" s="74" t="s">
        <v>36</v>
      </c>
      <c r="V293" s="74">
        <v>225.55</v>
      </c>
      <c r="W293" s="343">
        <v>46204.0</v>
      </c>
      <c r="X293" s="194">
        <v>1.0</v>
      </c>
      <c r="Y293" s="194">
        <v>7.0</v>
      </c>
      <c r="Z293" s="194">
        <v>2026.0</v>
      </c>
      <c r="AA293" s="74" t="s">
        <v>36</v>
      </c>
    </row>
    <row r="294" ht="15.75" hidden="1" customHeight="1">
      <c r="A294" s="340" t="s">
        <v>1683</v>
      </c>
      <c r="B294" s="340">
        <v>5.169015063E9</v>
      </c>
      <c r="C294" s="343">
        <v>46189.0</v>
      </c>
      <c r="D294" s="194">
        <v>16.0</v>
      </c>
      <c r="E294" s="194">
        <v>6.0</v>
      </c>
      <c r="F294" s="194">
        <v>2026.0</v>
      </c>
      <c r="G294" s="343">
        <v>46191.0</v>
      </c>
      <c r="H294" s="194">
        <v>18.0</v>
      </c>
      <c r="I294" s="194">
        <v>6.0</v>
      </c>
      <c r="J294" s="194">
        <v>2026.0</v>
      </c>
      <c r="K294" s="74" t="s">
        <v>36</v>
      </c>
      <c r="L294" s="74" t="s">
        <v>1177</v>
      </c>
      <c r="M294" s="74">
        <v>2.0</v>
      </c>
      <c r="N294" s="74">
        <v>4.0</v>
      </c>
      <c r="O294" s="74"/>
      <c r="P294" s="74">
        <v>8.0</v>
      </c>
      <c r="Q294" s="343">
        <v>46204.0</v>
      </c>
      <c r="R294" s="185">
        <v>1.0</v>
      </c>
      <c r="S294" s="185">
        <v>7.0</v>
      </c>
      <c r="T294" s="194">
        <v>2026.0</v>
      </c>
      <c r="U294" s="74" t="s">
        <v>36</v>
      </c>
      <c r="V294" s="74">
        <v>150.36</v>
      </c>
      <c r="W294" s="343">
        <v>46204.0</v>
      </c>
      <c r="X294" s="194">
        <v>1.0</v>
      </c>
      <c r="Y294" s="194">
        <v>7.0</v>
      </c>
      <c r="Z294" s="194">
        <v>2026.0</v>
      </c>
      <c r="AA294" s="74" t="s">
        <v>36</v>
      </c>
    </row>
    <row r="295" ht="15.75" hidden="1" customHeight="1">
      <c r="A295" s="340" t="s">
        <v>1683</v>
      </c>
      <c r="B295" s="340">
        <v>5.8868265E9</v>
      </c>
      <c r="C295" s="343">
        <v>46188.0</v>
      </c>
      <c r="D295" s="194">
        <v>15.0</v>
      </c>
      <c r="E295" s="194">
        <v>6.0</v>
      </c>
      <c r="F295" s="194">
        <v>2026.0</v>
      </c>
      <c r="G295" s="343">
        <v>46189.0</v>
      </c>
      <c r="H295" s="194">
        <v>16.0</v>
      </c>
      <c r="I295" s="194">
        <v>6.0</v>
      </c>
      <c r="J295" s="194">
        <v>2026.0</v>
      </c>
      <c r="K295" s="74" t="s">
        <v>36</v>
      </c>
      <c r="L295" s="74" t="s">
        <v>1177</v>
      </c>
      <c r="M295" s="74">
        <v>1.0</v>
      </c>
      <c r="N295" s="74">
        <v>1.0</v>
      </c>
      <c r="O295" s="74"/>
      <c r="P295" s="74">
        <v>2.0</v>
      </c>
      <c r="Q295" s="343">
        <v>46204.0</v>
      </c>
      <c r="R295" s="185">
        <v>1.0</v>
      </c>
      <c r="S295" s="185">
        <v>7.0</v>
      </c>
      <c r="T295" s="194">
        <v>2026.0</v>
      </c>
      <c r="U295" s="74" t="s">
        <v>36</v>
      </c>
      <c r="V295" s="74">
        <v>37.59</v>
      </c>
      <c r="W295" s="343">
        <v>46204.0</v>
      </c>
      <c r="X295" s="194">
        <v>1.0</v>
      </c>
      <c r="Y295" s="194">
        <v>7.0</v>
      </c>
      <c r="Z295" s="194">
        <v>2026.0</v>
      </c>
      <c r="AA295" s="74" t="s">
        <v>36</v>
      </c>
    </row>
    <row r="296" ht="15.75" hidden="1" customHeight="1">
      <c r="A296" s="340" t="s">
        <v>1684</v>
      </c>
      <c r="B296" s="191">
        <v>5.431931311E9</v>
      </c>
      <c r="C296" s="343">
        <v>46197.0</v>
      </c>
      <c r="D296" s="194">
        <v>24.0</v>
      </c>
      <c r="E296" s="194">
        <v>6.0</v>
      </c>
      <c r="F296" s="194">
        <v>2026.0</v>
      </c>
      <c r="G296" s="343">
        <v>46198.0</v>
      </c>
      <c r="H296" s="194">
        <v>25.0</v>
      </c>
      <c r="I296" s="194">
        <v>6.0</v>
      </c>
      <c r="J296" s="194">
        <v>2026.0</v>
      </c>
      <c r="K296" s="74" t="s">
        <v>36</v>
      </c>
      <c r="L296" s="74" t="s">
        <v>1653</v>
      </c>
      <c r="M296" s="74">
        <v>1.0</v>
      </c>
      <c r="N296" s="74">
        <v>1.0</v>
      </c>
      <c r="O296" s="74"/>
      <c r="P296" s="74">
        <v>0.0</v>
      </c>
      <c r="Q296" s="343">
        <v>46204.0</v>
      </c>
      <c r="R296" s="185">
        <v>1.0</v>
      </c>
      <c r="S296" s="185">
        <v>7.0</v>
      </c>
      <c r="T296" s="194">
        <v>2026.0</v>
      </c>
      <c r="U296" s="74" t="s">
        <v>36</v>
      </c>
      <c r="V296" s="74">
        <v>29.26</v>
      </c>
      <c r="W296" s="343">
        <v>46204.0</v>
      </c>
      <c r="X296" s="194">
        <v>1.0</v>
      </c>
      <c r="Y296" s="194">
        <v>7.0</v>
      </c>
      <c r="Z296" s="194">
        <v>2026.0</v>
      </c>
      <c r="AA296" s="74" t="s">
        <v>36</v>
      </c>
    </row>
    <row r="297" ht="15.75" hidden="1" customHeight="1">
      <c r="A297" s="340" t="s">
        <v>1685</v>
      </c>
      <c r="B297" s="340">
        <v>6.392952214E9</v>
      </c>
      <c r="C297" s="343">
        <v>46188.0</v>
      </c>
      <c r="D297" s="194">
        <v>15.0</v>
      </c>
      <c r="E297" s="194">
        <v>6.0</v>
      </c>
      <c r="F297" s="194">
        <v>2026.0</v>
      </c>
      <c r="G297" s="343">
        <v>46191.0</v>
      </c>
      <c r="H297" s="194">
        <v>18.0</v>
      </c>
      <c r="I297" s="194">
        <v>6.0</v>
      </c>
      <c r="J297" s="194">
        <v>2026.0</v>
      </c>
      <c r="K297" s="74" t="s">
        <v>36</v>
      </c>
      <c r="L297" s="74" t="s">
        <v>1177</v>
      </c>
      <c r="M297" s="74">
        <v>1.0</v>
      </c>
      <c r="N297" s="74">
        <v>3.0</v>
      </c>
      <c r="O297" s="74"/>
      <c r="P297" s="74">
        <v>6.0</v>
      </c>
      <c r="Q297" s="343">
        <v>46204.0</v>
      </c>
      <c r="R297" s="185">
        <v>1.0</v>
      </c>
      <c r="S297" s="185">
        <v>7.0</v>
      </c>
      <c r="T297" s="194">
        <v>2026.0</v>
      </c>
      <c r="U297" s="74" t="s">
        <v>36</v>
      </c>
      <c r="V297" s="74">
        <v>104.42</v>
      </c>
      <c r="W297" s="343">
        <v>46204.0</v>
      </c>
      <c r="X297" s="194">
        <v>1.0</v>
      </c>
      <c r="Y297" s="194">
        <v>7.0</v>
      </c>
      <c r="Z297" s="194">
        <v>2026.0</v>
      </c>
      <c r="AA297" s="74" t="s">
        <v>36</v>
      </c>
    </row>
    <row r="298" ht="15.75" hidden="1" customHeight="1">
      <c r="A298" s="340" t="s">
        <v>1686</v>
      </c>
      <c r="B298" s="340">
        <v>5.043378817E9</v>
      </c>
      <c r="C298" s="343">
        <v>46178.0</v>
      </c>
      <c r="D298" s="194">
        <v>5.0</v>
      </c>
      <c r="E298" s="194">
        <v>6.0</v>
      </c>
      <c r="F298" s="194">
        <v>2026.0</v>
      </c>
      <c r="G298" s="343">
        <v>46180.0</v>
      </c>
      <c r="H298" s="194">
        <v>7.0</v>
      </c>
      <c r="I298" s="194">
        <v>6.0</v>
      </c>
      <c r="J298" s="194">
        <v>2026.0</v>
      </c>
      <c r="K298" s="74" t="s">
        <v>36</v>
      </c>
      <c r="L298" s="74" t="s">
        <v>1177</v>
      </c>
      <c r="M298" s="74">
        <v>1.0</v>
      </c>
      <c r="N298" s="74">
        <v>2.0</v>
      </c>
      <c r="O298" s="74"/>
      <c r="P298" s="74">
        <v>4.0</v>
      </c>
      <c r="Q298" s="343">
        <v>46204.0</v>
      </c>
      <c r="R298" s="185">
        <v>1.0</v>
      </c>
      <c r="S298" s="185">
        <v>7.0</v>
      </c>
      <c r="T298" s="194">
        <v>2026.0</v>
      </c>
      <c r="U298" s="74" t="s">
        <v>36</v>
      </c>
      <c r="V298" s="74">
        <v>66.82</v>
      </c>
      <c r="W298" s="343">
        <v>46204.0</v>
      </c>
      <c r="X298" s="194">
        <v>1.0</v>
      </c>
      <c r="Y298" s="194">
        <v>7.0</v>
      </c>
      <c r="Z298" s="194">
        <v>2026.0</v>
      </c>
      <c r="AA298" s="74" t="s">
        <v>36</v>
      </c>
    </row>
    <row r="299" ht="15.75" hidden="1" customHeight="1">
      <c r="A299" s="340" t="s">
        <v>1687</v>
      </c>
      <c r="B299" s="340">
        <v>5.062841345E9</v>
      </c>
      <c r="C299" s="343">
        <v>46178.0</v>
      </c>
      <c r="D299" s="194">
        <v>5.0</v>
      </c>
      <c r="E299" s="194">
        <v>6.0</v>
      </c>
      <c r="F299" s="194">
        <v>2026.0</v>
      </c>
      <c r="G299" s="343">
        <v>46180.0</v>
      </c>
      <c r="H299" s="194">
        <v>7.0</v>
      </c>
      <c r="I299" s="194">
        <v>6.0</v>
      </c>
      <c r="J299" s="194">
        <v>2026.0</v>
      </c>
      <c r="K299" s="74" t="s">
        <v>36</v>
      </c>
      <c r="L299" s="74" t="s">
        <v>1177</v>
      </c>
      <c r="M299" s="74">
        <v>1.0</v>
      </c>
      <c r="N299" s="74">
        <v>2.0</v>
      </c>
      <c r="O299" s="74"/>
      <c r="P299" s="74">
        <v>4.0</v>
      </c>
      <c r="Q299" s="343">
        <v>46204.0</v>
      </c>
      <c r="R299" s="185">
        <v>1.0</v>
      </c>
      <c r="S299" s="185">
        <v>7.0</v>
      </c>
      <c r="T299" s="194">
        <v>2026.0</v>
      </c>
      <c r="U299" s="74" t="s">
        <v>36</v>
      </c>
      <c r="V299" s="74">
        <v>58.46</v>
      </c>
      <c r="W299" s="343">
        <v>46204.0</v>
      </c>
      <c r="X299" s="194">
        <v>1.0</v>
      </c>
      <c r="Y299" s="194">
        <v>7.0</v>
      </c>
      <c r="Z299" s="194">
        <v>2026.0</v>
      </c>
      <c r="AA299" s="74" t="s">
        <v>36</v>
      </c>
    </row>
    <row r="300" ht="15.75" hidden="1" customHeight="1">
      <c r="A300" s="340" t="s">
        <v>1687</v>
      </c>
      <c r="B300" s="340">
        <v>5.678497085E9</v>
      </c>
      <c r="C300" s="343">
        <v>46178.0</v>
      </c>
      <c r="D300" s="194">
        <v>5.0</v>
      </c>
      <c r="E300" s="194">
        <v>6.0</v>
      </c>
      <c r="F300" s="194">
        <v>2026.0</v>
      </c>
      <c r="G300" s="343">
        <v>46180.0</v>
      </c>
      <c r="H300" s="194">
        <v>7.0</v>
      </c>
      <c r="I300" s="194">
        <v>6.0</v>
      </c>
      <c r="J300" s="194">
        <v>2026.0</v>
      </c>
      <c r="K300" s="74" t="s">
        <v>36</v>
      </c>
      <c r="L300" s="74" t="s">
        <v>1480</v>
      </c>
      <c r="M300" s="74">
        <v>1.0</v>
      </c>
      <c r="N300" s="74">
        <v>0.0</v>
      </c>
      <c r="O300" s="74"/>
      <c r="P300" s="74">
        <v>0.0</v>
      </c>
      <c r="Q300" s="343">
        <v>46204.0</v>
      </c>
      <c r="R300" s="185">
        <v>1.0</v>
      </c>
      <c r="S300" s="185">
        <v>7.0</v>
      </c>
      <c r="T300" s="194">
        <v>2026.0</v>
      </c>
      <c r="U300" s="74" t="s">
        <v>36</v>
      </c>
      <c r="V300" s="74">
        <v>34.51</v>
      </c>
      <c r="W300" s="343">
        <v>46204.0</v>
      </c>
      <c r="X300" s="194">
        <v>1.0</v>
      </c>
      <c r="Y300" s="194">
        <v>7.0</v>
      </c>
      <c r="Z300" s="194">
        <v>2026.0</v>
      </c>
      <c r="AA300" s="74" t="s">
        <v>36</v>
      </c>
    </row>
    <row r="301" ht="15.75" hidden="1" customHeight="1">
      <c r="A301" s="340" t="s">
        <v>1688</v>
      </c>
      <c r="B301" s="191">
        <v>5.2087192E9</v>
      </c>
      <c r="C301" s="343">
        <v>46176.0</v>
      </c>
      <c r="D301" s="194">
        <v>3.0</v>
      </c>
      <c r="E301" s="194">
        <v>6.0</v>
      </c>
      <c r="F301" s="194">
        <v>2026.0</v>
      </c>
      <c r="G301" s="343">
        <v>46177.0</v>
      </c>
      <c r="H301" s="194">
        <v>4.0</v>
      </c>
      <c r="I301" s="194">
        <v>6.0</v>
      </c>
      <c r="J301" s="194">
        <v>2026.0</v>
      </c>
      <c r="K301" s="74" t="s">
        <v>36</v>
      </c>
      <c r="L301" s="74" t="s">
        <v>1177</v>
      </c>
      <c r="M301" s="74">
        <v>1.0</v>
      </c>
      <c r="N301" s="74">
        <v>1.0</v>
      </c>
      <c r="O301" s="74"/>
      <c r="P301" s="74">
        <v>2.0</v>
      </c>
      <c r="Q301" s="343">
        <v>46204.0</v>
      </c>
      <c r="R301" s="185">
        <v>1.0</v>
      </c>
      <c r="S301" s="185">
        <v>7.0</v>
      </c>
      <c r="T301" s="194">
        <v>2026.0</v>
      </c>
      <c r="U301" s="74" t="s">
        <v>36</v>
      </c>
      <c r="V301" s="74">
        <v>37.59</v>
      </c>
      <c r="W301" s="343">
        <v>46204.0</v>
      </c>
      <c r="X301" s="194">
        <v>1.0</v>
      </c>
      <c r="Y301" s="194">
        <v>7.0</v>
      </c>
      <c r="Z301" s="194">
        <v>2026.0</v>
      </c>
      <c r="AA301" s="74" t="s">
        <v>36</v>
      </c>
    </row>
    <row r="302" ht="15.75" hidden="1" customHeight="1">
      <c r="A302" s="340" t="s">
        <v>1688</v>
      </c>
      <c r="B302" s="340">
        <v>6.257381906E9</v>
      </c>
      <c r="C302" s="343">
        <v>46180.0</v>
      </c>
      <c r="D302" s="194">
        <v>7.0</v>
      </c>
      <c r="E302" s="194">
        <v>6.0</v>
      </c>
      <c r="F302" s="194">
        <v>2026.0</v>
      </c>
      <c r="G302" s="343">
        <v>46181.0</v>
      </c>
      <c r="H302" s="194">
        <v>8.0</v>
      </c>
      <c r="I302" s="194">
        <v>6.0</v>
      </c>
      <c r="J302" s="194">
        <v>2026.0</v>
      </c>
      <c r="K302" s="74" t="s">
        <v>36</v>
      </c>
      <c r="L302" s="74" t="s">
        <v>1177</v>
      </c>
      <c r="M302" s="74">
        <v>1.0</v>
      </c>
      <c r="N302" s="74">
        <v>1.0</v>
      </c>
      <c r="O302" s="74"/>
      <c r="P302" s="74">
        <v>2.0</v>
      </c>
      <c r="Q302" s="343">
        <v>46204.0</v>
      </c>
      <c r="R302" s="185">
        <v>1.0</v>
      </c>
      <c r="S302" s="185">
        <v>7.0</v>
      </c>
      <c r="T302" s="194">
        <v>2026.0</v>
      </c>
      <c r="U302" s="74" t="s">
        <v>36</v>
      </c>
      <c r="V302" s="74">
        <v>29.23</v>
      </c>
      <c r="W302" s="343">
        <v>46204.0</v>
      </c>
      <c r="X302" s="194">
        <v>1.0</v>
      </c>
      <c r="Y302" s="194">
        <v>7.0</v>
      </c>
      <c r="Z302" s="194">
        <v>2026.0</v>
      </c>
      <c r="AA302" s="74" t="s">
        <v>36</v>
      </c>
    </row>
    <row r="303" ht="15.75" hidden="1" customHeight="1">
      <c r="A303" s="340" t="s">
        <v>1689</v>
      </c>
      <c r="B303" s="340">
        <v>6.883266807E9</v>
      </c>
      <c r="C303" s="343">
        <v>46186.0</v>
      </c>
      <c r="D303" s="194">
        <v>13.0</v>
      </c>
      <c r="E303" s="194">
        <v>6.0</v>
      </c>
      <c r="F303" s="194">
        <v>2026.0</v>
      </c>
      <c r="G303" s="343">
        <v>46190.0</v>
      </c>
      <c r="H303" s="194">
        <v>17.0</v>
      </c>
      <c r="I303" s="194">
        <v>6.0</v>
      </c>
      <c r="J303" s="194">
        <v>2026.0</v>
      </c>
      <c r="K303" s="74" t="s">
        <v>36</v>
      </c>
      <c r="L303" s="74" t="s">
        <v>1177</v>
      </c>
      <c r="M303" s="74">
        <v>1.0</v>
      </c>
      <c r="N303" s="74">
        <v>4.0</v>
      </c>
      <c r="O303" s="74"/>
      <c r="P303" s="74">
        <v>8.0</v>
      </c>
      <c r="Q303" s="343">
        <v>46204.0</v>
      </c>
      <c r="R303" s="185">
        <v>1.0</v>
      </c>
      <c r="S303" s="185">
        <v>7.0</v>
      </c>
      <c r="T303" s="194">
        <v>2026.0</v>
      </c>
      <c r="U303" s="74" t="s">
        <v>36</v>
      </c>
      <c r="V303" s="74">
        <v>150.37</v>
      </c>
      <c r="W303" s="343">
        <v>46204.0</v>
      </c>
      <c r="X303" s="194">
        <v>1.0</v>
      </c>
      <c r="Y303" s="194">
        <v>7.0</v>
      </c>
      <c r="Z303" s="194">
        <v>2026.0</v>
      </c>
      <c r="AA303" s="74" t="s">
        <v>36</v>
      </c>
    </row>
    <row r="304" ht="15.75" hidden="1" customHeight="1">
      <c r="A304" s="340" t="s">
        <v>1690</v>
      </c>
      <c r="B304" s="340">
        <v>6.93585326E9</v>
      </c>
      <c r="C304" s="343">
        <v>46189.0</v>
      </c>
      <c r="D304" s="194">
        <v>16.0</v>
      </c>
      <c r="E304" s="194">
        <v>6.0</v>
      </c>
      <c r="F304" s="194">
        <v>2026.0</v>
      </c>
      <c r="G304" s="343">
        <v>46190.0</v>
      </c>
      <c r="H304" s="194">
        <v>17.0</v>
      </c>
      <c r="I304" s="194">
        <v>6.0</v>
      </c>
      <c r="J304" s="194">
        <v>2026.0</v>
      </c>
      <c r="K304" s="74" t="s">
        <v>36</v>
      </c>
      <c r="L304" s="74" t="s">
        <v>1177</v>
      </c>
      <c r="M304" s="74">
        <v>1.0</v>
      </c>
      <c r="N304" s="74">
        <v>1.0</v>
      </c>
      <c r="O304" s="74"/>
      <c r="P304" s="74">
        <v>2.0</v>
      </c>
      <c r="Q304" s="343">
        <v>46204.0</v>
      </c>
      <c r="R304" s="185">
        <v>1.0</v>
      </c>
      <c r="S304" s="185">
        <v>7.0</v>
      </c>
      <c r="T304" s="194">
        <v>2026.0</v>
      </c>
      <c r="U304" s="74" t="s">
        <v>36</v>
      </c>
      <c r="V304" s="74">
        <v>37.59</v>
      </c>
      <c r="W304" s="343">
        <v>46204.0</v>
      </c>
      <c r="X304" s="194">
        <v>1.0</v>
      </c>
      <c r="Y304" s="194">
        <v>7.0</v>
      </c>
      <c r="Z304" s="194">
        <v>2026.0</v>
      </c>
      <c r="AA304" s="74" t="s">
        <v>36</v>
      </c>
    </row>
    <row r="305" ht="15.75" hidden="1" customHeight="1">
      <c r="A305" s="340" t="s">
        <v>1691</v>
      </c>
      <c r="B305" s="191">
        <v>6.394325673E9</v>
      </c>
      <c r="C305" s="343">
        <v>46190.0</v>
      </c>
      <c r="D305" s="194">
        <v>17.0</v>
      </c>
      <c r="E305" s="194">
        <v>6.0</v>
      </c>
      <c r="F305" s="194">
        <v>2026.0</v>
      </c>
      <c r="G305" s="343">
        <v>46196.0</v>
      </c>
      <c r="H305" s="194">
        <v>23.0</v>
      </c>
      <c r="I305" s="194">
        <v>6.0</v>
      </c>
      <c r="J305" s="194">
        <v>2026.0</v>
      </c>
      <c r="K305" s="74" t="s">
        <v>36</v>
      </c>
      <c r="L305" s="74" t="s">
        <v>1177</v>
      </c>
      <c r="M305" s="74">
        <v>1.0</v>
      </c>
      <c r="N305" s="74">
        <v>6.0</v>
      </c>
      <c r="O305" s="74"/>
      <c r="P305" s="74">
        <v>12.0</v>
      </c>
      <c r="Q305" s="343">
        <v>46204.0</v>
      </c>
      <c r="R305" s="185">
        <v>1.0</v>
      </c>
      <c r="S305" s="185">
        <v>7.0</v>
      </c>
      <c r="T305" s="194">
        <v>2026.0</v>
      </c>
      <c r="U305" s="74" t="s">
        <v>36</v>
      </c>
      <c r="V305" s="74">
        <v>225.55</v>
      </c>
      <c r="W305" s="343">
        <v>46204.0</v>
      </c>
      <c r="X305" s="194">
        <v>1.0</v>
      </c>
      <c r="Y305" s="194">
        <v>7.0</v>
      </c>
      <c r="Z305" s="194">
        <v>2026.0</v>
      </c>
      <c r="AA305" s="74" t="s">
        <v>36</v>
      </c>
    </row>
    <row r="306" ht="15.75" hidden="1" customHeight="1">
      <c r="A306" s="340" t="s">
        <v>1692</v>
      </c>
      <c r="B306" s="191">
        <v>5.355336243E9</v>
      </c>
      <c r="C306" s="343">
        <v>46191.0</v>
      </c>
      <c r="D306" s="194">
        <v>18.0</v>
      </c>
      <c r="E306" s="194">
        <v>6.0</v>
      </c>
      <c r="F306" s="194">
        <v>2026.0</v>
      </c>
      <c r="G306" s="343">
        <v>46194.0</v>
      </c>
      <c r="H306" s="194">
        <v>21.0</v>
      </c>
      <c r="I306" s="194">
        <v>6.0</v>
      </c>
      <c r="J306" s="194">
        <v>2026.0</v>
      </c>
      <c r="K306" s="74" t="s">
        <v>36</v>
      </c>
      <c r="L306" s="74" t="s">
        <v>1177</v>
      </c>
      <c r="M306" s="74">
        <v>1.0</v>
      </c>
      <c r="N306" s="74">
        <v>3.0</v>
      </c>
      <c r="O306" s="74"/>
      <c r="P306" s="74">
        <v>6.0</v>
      </c>
      <c r="Q306" s="343">
        <v>46204.0</v>
      </c>
      <c r="R306" s="185">
        <v>1.0</v>
      </c>
      <c r="S306" s="185">
        <v>7.0</v>
      </c>
      <c r="T306" s="194">
        <v>2026.0</v>
      </c>
      <c r="U306" s="74" t="s">
        <v>36</v>
      </c>
      <c r="V306" s="74">
        <v>112.78</v>
      </c>
      <c r="W306" s="343">
        <v>46204.0</v>
      </c>
      <c r="X306" s="194">
        <v>1.0</v>
      </c>
      <c r="Y306" s="194">
        <v>7.0</v>
      </c>
      <c r="Z306" s="194">
        <v>2026.0</v>
      </c>
      <c r="AA306" s="74" t="s">
        <v>36</v>
      </c>
    </row>
    <row r="307" ht="15.75" hidden="1" customHeight="1">
      <c r="A307" s="340" t="s">
        <v>1693</v>
      </c>
      <c r="B307" s="191">
        <v>6.155368318E9</v>
      </c>
      <c r="C307" s="343">
        <v>46200.0</v>
      </c>
      <c r="D307" s="194">
        <v>27.0</v>
      </c>
      <c r="E307" s="194">
        <v>6.0</v>
      </c>
      <c r="F307" s="194">
        <v>2026.0</v>
      </c>
      <c r="G307" s="343">
        <v>46201.0</v>
      </c>
      <c r="H307" s="194">
        <v>28.0</v>
      </c>
      <c r="I307" s="194">
        <v>6.0</v>
      </c>
      <c r="J307" s="194">
        <v>2026.0</v>
      </c>
      <c r="K307" s="74" t="s">
        <v>36</v>
      </c>
      <c r="L307" s="74" t="s">
        <v>1177</v>
      </c>
      <c r="M307" s="74">
        <v>1.0</v>
      </c>
      <c r="N307" s="74">
        <v>1.0</v>
      </c>
      <c r="O307" s="74"/>
      <c r="P307" s="74">
        <v>2.0</v>
      </c>
      <c r="Q307" s="343">
        <v>46204.0</v>
      </c>
      <c r="R307" s="185">
        <v>1.0</v>
      </c>
      <c r="S307" s="185">
        <v>7.0</v>
      </c>
      <c r="T307" s="194">
        <v>2026.0</v>
      </c>
      <c r="U307" s="74" t="s">
        <v>36</v>
      </c>
      <c r="V307" s="74">
        <v>29.23</v>
      </c>
      <c r="W307" s="343">
        <v>46204.0</v>
      </c>
      <c r="X307" s="194">
        <v>1.0</v>
      </c>
      <c r="Y307" s="194">
        <v>7.0</v>
      </c>
      <c r="Z307" s="194">
        <v>2026.0</v>
      </c>
      <c r="AA307" s="74" t="s">
        <v>36</v>
      </c>
    </row>
    <row r="308" ht="15.75" hidden="1" customHeight="1">
      <c r="A308" s="340" t="s">
        <v>1694</v>
      </c>
      <c r="B308" s="191">
        <v>5.915920764E9</v>
      </c>
      <c r="C308" s="343">
        <v>46175.0</v>
      </c>
      <c r="D308" s="194">
        <v>2.0</v>
      </c>
      <c r="E308" s="194">
        <v>6.0</v>
      </c>
      <c r="F308" s="194">
        <v>2026.0</v>
      </c>
      <c r="G308" s="343">
        <v>46176.0</v>
      </c>
      <c r="H308" s="194">
        <v>3.0</v>
      </c>
      <c r="I308" s="194">
        <v>6.0</v>
      </c>
      <c r="J308" s="194">
        <v>2026.0</v>
      </c>
      <c r="K308" s="74" t="s">
        <v>36</v>
      </c>
      <c r="L308" s="74" t="s">
        <v>1177</v>
      </c>
      <c r="M308" s="74">
        <v>1.0</v>
      </c>
      <c r="N308" s="74">
        <v>1.0</v>
      </c>
      <c r="O308" s="74"/>
      <c r="P308" s="74">
        <v>2.0</v>
      </c>
      <c r="Q308" s="343">
        <v>46204.0</v>
      </c>
      <c r="R308" s="185">
        <v>1.0</v>
      </c>
      <c r="S308" s="185">
        <v>7.0</v>
      </c>
      <c r="T308" s="194">
        <v>2026.0</v>
      </c>
      <c r="U308" s="74" t="s">
        <v>36</v>
      </c>
      <c r="V308" s="74">
        <v>29.23</v>
      </c>
      <c r="W308" s="343">
        <v>46204.0</v>
      </c>
      <c r="X308" s="194">
        <v>1.0</v>
      </c>
      <c r="Y308" s="194">
        <v>7.0</v>
      </c>
      <c r="Z308" s="194">
        <v>2026.0</v>
      </c>
      <c r="AA308" s="74" t="s">
        <v>36</v>
      </c>
    </row>
    <row r="309" ht="15.75" hidden="1" customHeight="1">
      <c r="A309" s="340" t="s">
        <v>1695</v>
      </c>
      <c r="B309" s="191">
        <v>5.125151784E9</v>
      </c>
      <c r="C309" s="343">
        <v>46191.0</v>
      </c>
      <c r="D309" s="194">
        <v>18.0</v>
      </c>
      <c r="E309" s="194">
        <v>6.0</v>
      </c>
      <c r="F309" s="194">
        <v>2026.0</v>
      </c>
      <c r="G309" s="343">
        <v>46193.0</v>
      </c>
      <c r="H309" s="194">
        <v>20.0</v>
      </c>
      <c r="I309" s="194">
        <v>6.0</v>
      </c>
      <c r="J309" s="194">
        <v>2026.0</v>
      </c>
      <c r="K309" s="74" t="s">
        <v>36</v>
      </c>
      <c r="L309" s="74" t="s">
        <v>1177</v>
      </c>
      <c r="M309" s="74">
        <v>1.0</v>
      </c>
      <c r="N309" s="74">
        <v>2.0</v>
      </c>
      <c r="O309" s="74"/>
      <c r="P309" s="74">
        <v>4.0</v>
      </c>
      <c r="Q309" s="343">
        <v>46204.0</v>
      </c>
      <c r="R309" s="185">
        <v>1.0</v>
      </c>
      <c r="S309" s="185">
        <v>7.0</v>
      </c>
      <c r="T309" s="194">
        <v>2026.0</v>
      </c>
      <c r="U309" s="74" t="s">
        <v>36</v>
      </c>
      <c r="V309" s="74">
        <v>75.18</v>
      </c>
      <c r="W309" s="343">
        <v>46204.0</v>
      </c>
      <c r="X309" s="194">
        <v>1.0</v>
      </c>
      <c r="Y309" s="194">
        <v>7.0</v>
      </c>
      <c r="Z309" s="194">
        <v>2026.0</v>
      </c>
      <c r="AA309" s="74" t="s">
        <v>36</v>
      </c>
    </row>
    <row r="310" ht="15.75" hidden="1" customHeight="1">
      <c r="A310" s="340" t="s">
        <v>1696</v>
      </c>
      <c r="B310" s="191">
        <v>5.573462406E9</v>
      </c>
      <c r="C310" s="343">
        <v>46198.0</v>
      </c>
      <c r="D310" s="194">
        <v>25.0</v>
      </c>
      <c r="E310" s="194">
        <v>6.0</v>
      </c>
      <c r="F310" s="194">
        <v>2026.0</v>
      </c>
      <c r="G310" s="343">
        <v>46200.0</v>
      </c>
      <c r="H310" s="194">
        <v>27.0</v>
      </c>
      <c r="I310" s="194">
        <v>6.0</v>
      </c>
      <c r="J310" s="194">
        <v>2026.0</v>
      </c>
      <c r="K310" s="74" t="s">
        <v>36</v>
      </c>
      <c r="L310" s="74" t="s">
        <v>1177</v>
      </c>
      <c r="M310" s="74">
        <v>1.0</v>
      </c>
      <c r="N310" s="74">
        <v>2.0</v>
      </c>
      <c r="O310" s="74"/>
      <c r="P310" s="74">
        <v>4.0</v>
      </c>
      <c r="Q310" s="343">
        <v>46204.0</v>
      </c>
      <c r="R310" s="185">
        <v>1.0</v>
      </c>
      <c r="S310" s="185">
        <v>7.0</v>
      </c>
      <c r="T310" s="194">
        <v>2026.0</v>
      </c>
      <c r="U310" s="74" t="s">
        <v>36</v>
      </c>
      <c r="V310" s="74">
        <v>75.18</v>
      </c>
      <c r="W310" s="343">
        <v>46204.0</v>
      </c>
      <c r="X310" s="194">
        <v>1.0</v>
      </c>
      <c r="Y310" s="194">
        <v>7.0</v>
      </c>
      <c r="Z310" s="194">
        <v>2026.0</v>
      </c>
      <c r="AA310" s="74" t="s">
        <v>36</v>
      </c>
    </row>
    <row r="311" ht="15.75" hidden="1" customHeight="1">
      <c r="A311" s="340" t="s">
        <v>1697</v>
      </c>
      <c r="B311" s="191">
        <v>5.28824523E9</v>
      </c>
      <c r="C311" s="343">
        <v>46196.0</v>
      </c>
      <c r="D311" s="194">
        <v>23.0</v>
      </c>
      <c r="E311" s="194">
        <v>6.0</v>
      </c>
      <c r="F311" s="194">
        <v>2026.0</v>
      </c>
      <c r="G311" s="343">
        <v>46198.0</v>
      </c>
      <c r="H311" s="194">
        <v>25.0</v>
      </c>
      <c r="I311" s="194">
        <v>6.0</v>
      </c>
      <c r="J311" s="194">
        <v>2026.0</v>
      </c>
      <c r="K311" s="74" t="s">
        <v>36</v>
      </c>
      <c r="L311" s="74" t="s">
        <v>1177</v>
      </c>
      <c r="M311" s="74">
        <v>1.0</v>
      </c>
      <c r="N311" s="74">
        <v>2.0</v>
      </c>
      <c r="O311" s="74"/>
      <c r="P311" s="74">
        <v>4.0</v>
      </c>
      <c r="Q311" s="343">
        <v>46204.0</v>
      </c>
      <c r="R311" s="185">
        <v>1.0</v>
      </c>
      <c r="S311" s="185">
        <v>7.0</v>
      </c>
      <c r="T311" s="194">
        <v>2026.0</v>
      </c>
      <c r="U311" s="74" t="s">
        <v>36</v>
      </c>
      <c r="V311" s="74">
        <v>58.46</v>
      </c>
      <c r="W311" s="343">
        <v>46204.0</v>
      </c>
      <c r="X311" s="194">
        <v>1.0</v>
      </c>
      <c r="Y311" s="194">
        <v>7.0</v>
      </c>
      <c r="Z311" s="194">
        <v>2026.0</v>
      </c>
      <c r="AA311" s="74" t="s">
        <v>36</v>
      </c>
    </row>
    <row r="312" ht="15.75" hidden="1" customHeight="1">
      <c r="A312" s="340" t="s">
        <v>1698</v>
      </c>
      <c r="B312" s="191">
        <v>5.958433317E9</v>
      </c>
      <c r="C312" s="343">
        <v>46197.0</v>
      </c>
      <c r="D312" s="194">
        <v>24.0</v>
      </c>
      <c r="E312" s="194">
        <v>6.0</v>
      </c>
      <c r="F312" s="194">
        <v>2026.0</v>
      </c>
      <c r="G312" s="343">
        <v>46199.0</v>
      </c>
      <c r="H312" s="194">
        <v>26.0</v>
      </c>
      <c r="I312" s="194">
        <v>6.0</v>
      </c>
      <c r="J312" s="194">
        <v>2026.0</v>
      </c>
      <c r="K312" s="74" t="s">
        <v>36</v>
      </c>
      <c r="L312" s="74" t="s">
        <v>1177</v>
      </c>
      <c r="M312" s="74">
        <v>1.0</v>
      </c>
      <c r="N312" s="74">
        <v>2.0</v>
      </c>
      <c r="O312" s="74"/>
      <c r="P312" s="74">
        <v>4.0</v>
      </c>
      <c r="Q312" s="343">
        <v>46204.0</v>
      </c>
      <c r="R312" s="185">
        <v>1.0</v>
      </c>
      <c r="S312" s="185">
        <v>7.0</v>
      </c>
      <c r="T312" s="194">
        <v>2026.0</v>
      </c>
      <c r="U312" s="74" t="s">
        <v>36</v>
      </c>
      <c r="V312" s="74">
        <v>66.82</v>
      </c>
      <c r="W312" s="343">
        <v>46204.0</v>
      </c>
      <c r="X312" s="194">
        <v>1.0</v>
      </c>
      <c r="Y312" s="194">
        <v>7.0</v>
      </c>
      <c r="Z312" s="194">
        <v>2026.0</v>
      </c>
      <c r="AA312" s="74" t="s">
        <v>36</v>
      </c>
    </row>
    <row r="313" ht="15.75" hidden="1" customHeight="1">
      <c r="A313" s="340" t="s">
        <v>1699</v>
      </c>
      <c r="B313" s="191">
        <v>6.008980113E9</v>
      </c>
      <c r="C313" s="343">
        <v>46196.0</v>
      </c>
      <c r="D313" s="194">
        <v>23.0</v>
      </c>
      <c r="E313" s="194">
        <v>6.0</v>
      </c>
      <c r="F313" s="194">
        <v>2026.0</v>
      </c>
      <c r="G313" s="343">
        <v>46197.0</v>
      </c>
      <c r="H313" s="194">
        <v>24.0</v>
      </c>
      <c r="I313" s="194">
        <v>6.0</v>
      </c>
      <c r="J313" s="194">
        <v>2026.0</v>
      </c>
      <c r="K313" s="74" t="s">
        <v>36</v>
      </c>
      <c r="L313" s="74" t="s">
        <v>1177</v>
      </c>
      <c r="M313" s="74">
        <v>1.0</v>
      </c>
      <c r="N313" s="74">
        <v>1.0</v>
      </c>
      <c r="O313" s="74"/>
      <c r="P313" s="74">
        <v>2.0</v>
      </c>
      <c r="Q313" s="343">
        <v>46204.0</v>
      </c>
      <c r="R313" s="185">
        <v>1.0</v>
      </c>
      <c r="S313" s="185">
        <v>7.0</v>
      </c>
      <c r="T313" s="194">
        <v>2026.0</v>
      </c>
      <c r="U313" s="74" t="s">
        <v>36</v>
      </c>
      <c r="V313" s="74">
        <v>29.23</v>
      </c>
      <c r="W313" s="343">
        <v>46204.0</v>
      </c>
      <c r="X313" s="194">
        <v>1.0</v>
      </c>
      <c r="Y313" s="194">
        <v>7.0</v>
      </c>
      <c r="Z313" s="194">
        <v>2026.0</v>
      </c>
      <c r="AA313" s="74" t="s">
        <v>36</v>
      </c>
    </row>
    <row r="314" ht="15.75" hidden="1" customHeight="1">
      <c r="A314" s="340" t="s">
        <v>1700</v>
      </c>
      <c r="B314" s="340">
        <v>5.512062287E9</v>
      </c>
      <c r="C314" s="343">
        <v>46183.0</v>
      </c>
      <c r="D314" s="194">
        <v>10.0</v>
      </c>
      <c r="E314" s="194">
        <v>6.0</v>
      </c>
      <c r="F314" s="194">
        <v>2026.0</v>
      </c>
      <c r="G314" s="343">
        <v>46184.0</v>
      </c>
      <c r="H314" s="194">
        <v>11.0</v>
      </c>
      <c r="I314" s="194">
        <v>6.0</v>
      </c>
      <c r="J314" s="194">
        <v>2026.0</v>
      </c>
      <c r="K314" s="74" t="s">
        <v>36</v>
      </c>
      <c r="L314" s="74" t="s">
        <v>1177</v>
      </c>
      <c r="M314" s="74">
        <v>1.0</v>
      </c>
      <c r="N314" s="74">
        <v>1.0</v>
      </c>
      <c r="O314" s="74"/>
      <c r="P314" s="74">
        <v>2.0</v>
      </c>
      <c r="Q314" s="343">
        <v>46204.0</v>
      </c>
      <c r="R314" s="185">
        <v>1.0</v>
      </c>
      <c r="S314" s="185">
        <v>7.0</v>
      </c>
      <c r="T314" s="194">
        <v>2026.0</v>
      </c>
      <c r="U314" s="74" t="s">
        <v>36</v>
      </c>
      <c r="V314" s="74">
        <v>37.59</v>
      </c>
      <c r="W314" s="343">
        <v>46204.0</v>
      </c>
      <c r="X314" s="194">
        <v>1.0</v>
      </c>
      <c r="Y314" s="194">
        <v>7.0</v>
      </c>
      <c r="Z314" s="194">
        <v>2026.0</v>
      </c>
      <c r="AA314" s="74" t="s">
        <v>36</v>
      </c>
    </row>
    <row r="315" ht="15.75" hidden="1" customHeight="1">
      <c r="A315" s="340" t="s">
        <v>1701</v>
      </c>
      <c r="B315" s="191">
        <v>6.911272936E9</v>
      </c>
      <c r="C315" s="343">
        <v>46175.0</v>
      </c>
      <c r="D315" s="194">
        <v>2.0</v>
      </c>
      <c r="E315" s="194">
        <v>6.0</v>
      </c>
      <c r="F315" s="194">
        <v>2026.0</v>
      </c>
      <c r="G315" s="343">
        <v>46176.0</v>
      </c>
      <c r="H315" s="194">
        <v>3.0</v>
      </c>
      <c r="I315" s="194">
        <v>6.0</v>
      </c>
      <c r="J315" s="194">
        <v>2026.0</v>
      </c>
      <c r="K315" s="74" t="s">
        <v>36</v>
      </c>
      <c r="L315" s="74" t="s">
        <v>1177</v>
      </c>
      <c r="M315" s="74">
        <v>1.0</v>
      </c>
      <c r="N315" s="74">
        <v>1.0</v>
      </c>
      <c r="O315" s="74"/>
      <c r="P315" s="74">
        <v>2.0</v>
      </c>
      <c r="Q315" s="343">
        <v>46204.0</v>
      </c>
      <c r="R315" s="185">
        <v>1.0</v>
      </c>
      <c r="S315" s="185">
        <v>7.0</v>
      </c>
      <c r="T315" s="194">
        <v>2026.0</v>
      </c>
      <c r="U315" s="74" t="s">
        <v>36</v>
      </c>
      <c r="V315" s="74">
        <v>26.72</v>
      </c>
      <c r="W315" s="343">
        <v>46204.0</v>
      </c>
      <c r="X315" s="194">
        <v>1.0</v>
      </c>
      <c r="Y315" s="194">
        <v>7.0</v>
      </c>
      <c r="Z315" s="194">
        <v>2026.0</v>
      </c>
      <c r="AA315" s="74" t="s">
        <v>36</v>
      </c>
    </row>
    <row r="316" ht="15.75" hidden="1" customHeight="1">
      <c r="A316" s="340" t="s">
        <v>1702</v>
      </c>
      <c r="B316" s="191">
        <v>6.303141848E9</v>
      </c>
      <c r="C316" s="343">
        <v>46193.0</v>
      </c>
      <c r="D316" s="194">
        <v>20.0</v>
      </c>
      <c r="E316" s="194">
        <v>6.0</v>
      </c>
      <c r="F316" s="194">
        <v>2026.0</v>
      </c>
      <c r="G316" s="343">
        <v>46197.0</v>
      </c>
      <c r="H316" s="194">
        <v>24.0</v>
      </c>
      <c r="I316" s="194">
        <v>6.0</v>
      </c>
      <c r="J316" s="194">
        <v>2026.0</v>
      </c>
      <c r="K316" s="74" t="s">
        <v>36</v>
      </c>
      <c r="L316" s="74" t="s">
        <v>1177</v>
      </c>
      <c r="M316" s="74">
        <v>1.0</v>
      </c>
      <c r="N316" s="74">
        <v>4.0</v>
      </c>
      <c r="O316" s="74"/>
      <c r="P316" s="74">
        <v>8.0</v>
      </c>
      <c r="Q316" s="343">
        <v>46204.0</v>
      </c>
      <c r="R316" s="185">
        <v>1.0</v>
      </c>
      <c r="S316" s="185">
        <v>7.0</v>
      </c>
      <c r="T316" s="194">
        <v>2026.0</v>
      </c>
      <c r="U316" s="74" t="s">
        <v>36</v>
      </c>
      <c r="V316" s="74">
        <v>116.93</v>
      </c>
      <c r="W316" s="343">
        <v>46204.0</v>
      </c>
      <c r="X316" s="194">
        <v>1.0</v>
      </c>
      <c r="Y316" s="194">
        <v>7.0</v>
      </c>
      <c r="Z316" s="194">
        <v>2026.0</v>
      </c>
      <c r="AA316" s="74" t="s">
        <v>36</v>
      </c>
    </row>
    <row r="317" ht="15.75" hidden="1" customHeight="1">
      <c r="A317" s="340" t="s">
        <v>1703</v>
      </c>
      <c r="B317" s="191">
        <v>5.249874207E9</v>
      </c>
      <c r="C317" s="343">
        <v>46176.0</v>
      </c>
      <c r="D317" s="194">
        <v>3.0</v>
      </c>
      <c r="E317" s="194">
        <v>6.0</v>
      </c>
      <c r="F317" s="194">
        <v>2026.0</v>
      </c>
      <c r="G317" s="343">
        <v>46177.0</v>
      </c>
      <c r="H317" s="194">
        <v>4.0</v>
      </c>
      <c r="I317" s="194">
        <v>6.0</v>
      </c>
      <c r="J317" s="194">
        <v>2026.0</v>
      </c>
      <c r="K317" s="74" t="s">
        <v>36</v>
      </c>
      <c r="L317" s="74" t="s">
        <v>1177</v>
      </c>
      <c r="M317" s="74">
        <v>1.0</v>
      </c>
      <c r="N317" s="74">
        <v>1.0</v>
      </c>
      <c r="O317" s="74"/>
      <c r="P317" s="74">
        <v>2.0</v>
      </c>
      <c r="Q317" s="343">
        <v>46204.0</v>
      </c>
      <c r="R317" s="185">
        <v>1.0</v>
      </c>
      <c r="S317" s="185">
        <v>7.0</v>
      </c>
      <c r="T317" s="194">
        <v>2026.0</v>
      </c>
      <c r="U317" s="74" t="s">
        <v>36</v>
      </c>
      <c r="V317" s="74">
        <v>26.72</v>
      </c>
      <c r="W317" s="343">
        <v>46204.0</v>
      </c>
      <c r="X317" s="194">
        <v>1.0</v>
      </c>
      <c r="Y317" s="194">
        <v>7.0</v>
      </c>
      <c r="Z317" s="194">
        <v>2026.0</v>
      </c>
      <c r="AA317" s="74" t="s">
        <v>36</v>
      </c>
    </row>
    <row r="318" ht="15.75" hidden="1" customHeight="1">
      <c r="A318" s="340" t="s">
        <v>1704</v>
      </c>
      <c r="B318" s="191">
        <v>5.057062412E9</v>
      </c>
      <c r="C318" s="343">
        <v>46191.0</v>
      </c>
      <c r="D318" s="194">
        <v>18.0</v>
      </c>
      <c r="E318" s="194">
        <v>6.0</v>
      </c>
      <c r="F318" s="194">
        <v>2026.0</v>
      </c>
      <c r="G318" s="343">
        <v>46193.0</v>
      </c>
      <c r="H318" s="194">
        <v>20.0</v>
      </c>
      <c r="I318" s="194">
        <v>6.0</v>
      </c>
      <c r="J318" s="194">
        <v>2026.0</v>
      </c>
      <c r="K318" s="74" t="s">
        <v>36</v>
      </c>
      <c r="L318" s="74" t="s">
        <v>1177</v>
      </c>
      <c r="M318" s="74">
        <v>1.0</v>
      </c>
      <c r="N318" s="74">
        <v>2.0</v>
      </c>
      <c r="O318" s="74"/>
      <c r="P318" s="74">
        <v>4.0</v>
      </c>
      <c r="Q318" s="343">
        <v>46204.0</v>
      </c>
      <c r="R318" s="185">
        <v>1.0</v>
      </c>
      <c r="S318" s="185">
        <v>7.0</v>
      </c>
      <c r="T318" s="194">
        <v>2026.0</v>
      </c>
      <c r="U318" s="74" t="s">
        <v>36</v>
      </c>
      <c r="V318" s="74">
        <v>75.18</v>
      </c>
      <c r="W318" s="343">
        <v>46204.0</v>
      </c>
      <c r="X318" s="194">
        <v>1.0</v>
      </c>
      <c r="Y318" s="194">
        <v>7.0</v>
      </c>
      <c r="Z318" s="194">
        <v>2026.0</v>
      </c>
      <c r="AA318" s="74" t="s">
        <v>36</v>
      </c>
    </row>
    <row r="319" ht="15.75" hidden="1" customHeight="1">
      <c r="A319" s="340" t="s">
        <v>1705</v>
      </c>
      <c r="B319" s="191">
        <v>6.534332663E9</v>
      </c>
      <c r="C319" s="343">
        <v>46192.0</v>
      </c>
      <c r="D319" s="194">
        <v>19.0</v>
      </c>
      <c r="E319" s="194">
        <v>6.0</v>
      </c>
      <c r="F319" s="194">
        <v>2026.0</v>
      </c>
      <c r="G319" s="343">
        <v>46193.0</v>
      </c>
      <c r="H319" s="194">
        <v>20.0</v>
      </c>
      <c r="I319" s="194">
        <v>6.0</v>
      </c>
      <c r="J319" s="194">
        <v>2026.0</v>
      </c>
      <c r="K319" s="74" t="s">
        <v>36</v>
      </c>
      <c r="L319" s="74" t="s">
        <v>1177</v>
      </c>
      <c r="M319" s="74">
        <v>1.0</v>
      </c>
      <c r="N319" s="74">
        <v>1.0</v>
      </c>
      <c r="O319" s="74"/>
      <c r="P319" s="74">
        <v>2.0</v>
      </c>
      <c r="Q319" s="343">
        <v>46204.0</v>
      </c>
      <c r="R319" s="185">
        <v>1.0</v>
      </c>
      <c r="S319" s="185">
        <v>7.0</v>
      </c>
      <c r="T319" s="194">
        <v>2026.0</v>
      </c>
      <c r="U319" s="74" t="s">
        <v>36</v>
      </c>
      <c r="V319" s="74">
        <v>37.59</v>
      </c>
      <c r="W319" s="343">
        <v>46204.0</v>
      </c>
      <c r="X319" s="194">
        <v>1.0</v>
      </c>
      <c r="Y319" s="194">
        <v>7.0</v>
      </c>
      <c r="Z319" s="194">
        <v>2026.0</v>
      </c>
      <c r="AA319" s="74" t="s">
        <v>36</v>
      </c>
    </row>
    <row r="320" ht="15.75" hidden="1" customHeight="1">
      <c r="A320" s="340" t="s">
        <v>1706</v>
      </c>
      <c r="B320" s="340">
        <v>6.664273406E9</v>
      </c>
      <c r="C320" s="343">
        <v>46185.0</v>
      </c>
      <c r="D320" s="194">
        <v>12.0</v>
      </c>
      <c r="E320" s="194">
        <v>6.0</v>
      </c>
      <c r="F320" s="194">
        <v>2026.0</v>
      </c>
      <c r="G320" s="343">
        <v>46187.0</v>
      </c>
      <c r="H320" s="194">
        <v>14.0</v>
      </c>
      <c r="I320" s="194">
        <v>6.0</v>
      </c>
      <c r="J320" s="194">
        <v>2026.0</v>
      </c>
      <c r="K320" s="74" t="s">
        <v>36</v>
      </c>
      <c r="L320" s="74" t="s">
        <v>1177</v>
      </c>
      <c r="M320" s="74">
        <v>1.0</v>
      </c>
      <c r="N320" s="74">
        <v>2.0</v>
      </c>
      <c r="O320" s="74"/>
      <c r="P320" s="74">
        <v>4.0</v>
      </c>
      <c r="Q320" s="343">
        <v>46204.0</v>
      </c>
      <c r="R320" s="185">
        <v>1.0</v>
      </c>
      <c r="S320" s="185">
        <v>7.0</v>
      </c>
      <c r="T320" s="194">
        <v>2026.0</v>
      </c>
      <c r="U320" s="74" t="s">
        <v>36</v>
      </c>
      <c r="V320" s="74">
        <v>75.18</v>
      </c>
      <c r="W320" s="343">
        <v>46204.0</v>
      </c>
      <c r="X320" s="194">
        <v>1.0</v>
      </c>
      <c r="Y320" s="194">
        <v>7.0</v>
      </c>
      <c r="Z320" s="194">
        <v>2026.0</v>
      </c>
      <c r="AA320" s="74" t="s">
        <v>36</v>
      </c>
    </row>
    <row r="321" ht="15.75" hidden="1" customHeight="1">
      <c r="A321" s="340" t="s">
        <v>1707</v>
      </c>
      <c r="B321" s="340">
        <v>5.433534474E9</v>
      </c>
      <c r="C321" s="343">
        <v>46187.0</v>
      </c>
      <c r="D321" s="194">
        <v>14.0</v>
      </c>
      <c r="E321" s="194">
        <v>6.0</v>
      </c>
      <c r="F321" s="194">
        <v>2026.0</v>
      </c>
      <c r="G321" s="343">
        <v>46190.0</v>
      </c>
      <c r="H321" s="194">
        <v>17.0</v>
      </c>
      <c r="I321" s="194">
        <v>6.0</v>
      </c>
      <c r="J321" s="194">
        <v>2026.0</v>
      </c>
      <c r="K321" s="74" t="s">
        <v>36</v>
      </c>
      <c r="L321" s="74" t="s">
        <v>1177</v>
      </c>
      <c r="M321" s="74">
        <v>1.0</v>
      </c>
      <c r="N321" s="74">
        <v>3.0</v>
      </c>
      <c r="O321" s="74"/>
      <c r="P321" s="74">
        <v>6.0</v>
      </c>
      <c r="Q321" s="343">
        <v>46204.0</v>
      </c>
      <c r="R321" s="185">
        <v>1.0</v>
      </c>
      <c r="S321" s="185">
        <v>7.0</v>
      </c>
      <c r="T321" s="194">
        <v>2026.0</v>
      </c>
      <c r="U321" s="74" t="s">
        <v>36</v>
      </c>
      <c r="V321" s="74">
        <v>104.42</v>
      </c>
      <c r="W321" s="343">
        <v>46204.0</v>
      </c>
      <c r="X321" s="194">
        <v>1.0</v>
      </c>
      <c r="Y321" s="194">
        <v>7.0</v>
      </c>
      <c r="Z321" s="194">
        <v>2026.0</v>
      </c>
      <c r="AA321" s="74" t="s">
        <v>36</v>
      </c>
    </row>
    <row r="322" ht="15.75" hidden="1" customHeight="1">
      <c r="A322" s="340" t="s">
        <v>1708</v>
      </c>
      <c r="B322" s="191">
        <v>6.531137921E9</v>
      </c>
      <c r="C322" s="343">
        <v>46198.0</v>
      </c>
      <c r="D322" s="194">
        <v>25.0</v>
      </c>
      <c r="E322" s="194">
        <v>6.0</v>
      </c>
      <c r="F322" s="194">
        <v>2026.0</v>
      </c>
      <c r="G322" s="343">
        <v>46199.0</v>
      </c>
      <c r="H322" s="194">
        <v>26.0</v>
      </c>
      <c r="I322" s="194">
        <v>6.0</v>
      </c>
      <c r="J322" s="194">
        <v>2026.0</v>
      </c>
      <c r="K322" s="74" t="s">
        <v>36</v>
      </c>
      <c r="L322" s="74" t="s">
        <v>1177</v>
      </c>
      <c r="M322" s="74">
        <v>1.0</v>
      </c>
      <c r="N322" s="74">
        <v>1.0</v>
      </c>
      <c r="O322" s="74"/>
      <c r="P322" s="74">
        <v>2.0</v>
      </c>
      <c r="Q322" s="343">
        <v>46204.0</v>
      </c>
      <c r="R322" s="185">
        <v>1.0</v>
      </c>
      <c r="S322" s="185">
        <v>7.0</v>
      </c>
      <c r="T322" s="194">
        <v>2026.0</v>
      </c>
      <c r="U322" s="74" t="s">
        <v>36</v>
      </c>
      <c r="V322" s="74">
        <v>37.59</v>
      </c>
      <c r="W322" s="343">
        <v>46204.0</v>
      </c>
      <c r="X322" s="194">
        <v>1.0</v>
      </c>
      <c r="Y322" s="194">
        <v>7.0</v>
      </c>
      <c r="Z322" s="194">
        <v>2026.0</v>
      </c>
      <c r="AA322" s="74" t="s">
        <v>36</v>
      </c>
    </row>
    <row r="323" ht="15.75" hidden="1" customHeight="1">
      <c r="A323" s="340" t="s">
        <v>1709</v>
      </c>
      <c r="B323" s="191">
        <v>6.633626401E9</v>
      </c>
      <c r="C323" s="343">
        <v>46188.0</v>
      </c>
      <c r="D323" s="194">
        <v>15.0</v>
      </c>
      <c r="E323" s="194">
        <v>6.0</v>
      </c>
      <c r="F323" s="194">
        <v>2026.0</v>
      </c>
      <c r="G323" s="343">
        <v>46194.0</v>
      </c>
      <c r="H323" s="194">
        <v>21.0</v>
      </c>
      <c r="I323" s="194">
        <v>6.0</v>
      </c>
      <c r="J323" s="194">
        <v>2026.0</v>
      </c>
      <c r="K323" s="74" t="s">
        <v>36</v>
      </c>
      <c r="L323" s="74" t="s">
        <v>1177</v>
      </c>
      <c r="M323" s="74">
        <v>1.0</v>
      </c>
      <c r="N323" s="74">
        <v>6.0</v>
      </c>
      <c r="O323" s="74"/>
      <c r="P323" s="74">
        <v>12.0</v>
      </c>
      <c r="Q323" s="343">
        <v>46204.0</v>
      </c>
      <c r="R323" s="185">
        <v>1.0</v>
      </c>
      <c r="S323" s="185">
        <v>7.0</v>
      </c>
      <c r="T323" s="194">
        <v>2026.0</v>
      </c>
      <c r="U323" s="74" t="s">
        <v>36</v>
      </c>
      <c r="V323" s="74">
        <v>225.55</v>
      </c>
      <c r="W323" s="343">
        <v>46204.0</v>
      </c>
      <c r="X323" s="194">
        <v>1.0</v>
      </c>
      <c r="Y323" s="194">
        <v>7.0</v>
      </c>
      <c r="Z323" s="194">
        <v>2026.0</v>
      </c>
      <c r="AA323" s="74" t="s">
        <v>36</v>
      </c>
    </row>
    <row r="324" ht="15.75" hidden="1" customHeight="1">
      <c r="A324" s="340" t="s">
        <v>1711</v>
      </c>
      <c r="B324" s="340">
        <v>6.805437011E9</v>
      </c>
      <c r="C324" s="343">
        <v>46181.0</v>
      </c>
      <c r="D324" s="194">
        <v>8.0</v>
      </c>
      <c r="E324" s="194">
        <v>6.0</v>
      </c>
      <c r="F324" s="194">
        <v>2026.0</v>
      </c>
      <c r="G324" s="343">
        <v>46182.0</v>
      </c>
      <c r="H324" s="194">
        <v>9.0</v>
      </c>
      <c r="I324" s="194">
        <v>6.0</v>
      </c>
      <c r="J324" s="194">
        <v>2026.0</v>
      </c>
      <c r="K324" s="74" t="s">
        <v>36</v>
      </c>
      <c r="L324" s="74" t="s">
        <v>1177</v>
      </c>
      <c r="M324" s="74">
        <v>1.0</v>
      </c>
      <c r="N324" s="74">
        <v>1.0</v>
      </c>
      <c r="O324" s="74"/>
      <c r="P324" s="74">
        <v>2.0</v>
      </c>
      <c r="Q324" s="343">
        <v>46204.0</v>
      </c>
      <c r="R324" s="185">
        <v>1.0</v>
      </c>
      <c r="S324" s="185">
        <v>7.0</v>
      </c>
      <c r="T324" s="194">
        <v>2026.0</v>
      </c>
      <c r="U324" s="74" t="s">
        <v>36</v>
      </c>
      <c r="V324" s="74">
        <v>29.23</v>
      </c>
      <c r="W324" s="343">
        <v>46204.0</v>
      </c>
      <c r="X324" s="194">
        <v>1.0</v>
      </c>
      <c r="Y324" s="194">
        <v>7.0</v>
      </c>
      <c r="Z324" s="194">
        <v>2026.0</v>
      </c>
      <c r="AA324" s="74" t="s">
        <v>36</v>
      </c>
    </row>
    <row r="325" ht="15.75" hidden="1" customHeight="1">
      <c r="A325" s="340" t="s">
        <v>1465</v>
      </c>
      <c r="B325" s="191">
        <v>5.39688305E9</v>
      </c>
      <c r="C325" s="343">
        <v>46196.0</v>
      </c>
      <c r="D325" s="194">
        <v>23.0</v>
      </c>
      <c r="E325" s="194">
        <v>6.0</v>
      </c>
      <c r="F325" s="194">
        <v>2026.0</v>
      </c>
      <c r="G325" s="343">
        <v>46197.0</v>
      </c>
      <c r="H325" s="194">
        <v>24.0</v>
      </c>
      <c r="I325" s="194">
        <v>6.0</v>
      </c>
      <c r="J325" s="194">
        <v>2026.0</v>
      </c>
      <c r="K325" s="74" t="s">
        <v>36</v>
      </c>
      <c r="L325" s="74" t="s">
        <v>1177</v>
      </c>
      <c r="M325" s="74">
        <v>1.0</v>
      </c>
      <c r="N325" s="74">
        <v>1.0</v>
      </c>
      <c r="O325" s="74"/>
      <c r="P325" s="74">
        <v>2.0</v>
      </c>
      <c r="Q325" s="343">
        <v>46204.0</v>
      </c>
      <c r="R325" s="185">
        <v>1.0</v>
      </c>
      <c r="S325" s="185">
        <v>7.0</v>
      </c>
      <c r="T325" s="194">
        <v>2026.0</v>
      </c>
      <c r="U325" s="74" t="s">
        <v>36</v>
      </c>
      <c r="V325" s="74">
        <v>37.59</v>
      </c>
      <c r="W325" s="343">
        <v>46204.0</v>
      </c>
      <c r="X325" s="194">
        <v>1.0</v>
      </c>
      <c r="Y325" s="194">
        <v>7.0</v>
      </c>
      <c r="Z325" s="194">
        <v>2026.0</v>
      </c>
      <c r="AA325" s="74" t="s">
        <v>36</v>
      </c>
    </row>
    <row r="326" ht="15.75" hidden="1" customHeight="1">
      <c r="A326" s="340" t="s">
        <v>1713</v>
      </c>
      <c r="B326" s="340">
        <v>5.575603979E9</v>
      </c>
      <c r="C326" s="343">
        <v>46177.0</v>
      </c>
      <c r="D326" s="194">
        <v>4.0</v>
      </c>
      <c r="E326" s="194">
        <v>6.0</v>
      </c>
      <c r="F326" s="194">
        <v>2026.0</v>
      </c>
      <c r="G326" s="343">
        <v>46178.0</v>
      </c>
      <c r="H326" s="194">
        <v>5.0</v>
      </c>
      <c r="I326" s="194">
        <v>6.0</v>
      </c>
      <c r="J326" s="194">
        <v>2026.0</v>
      </c>
      <c r="K326" s="74" t="s">
        <v>36</v>
      </c>
      <c r="L326" s="74" t="s">
        <v>1177</v>
      </c>
      <c r="M326" s="74">
        <v>1.0</v>
      </c>
      <c r="N326" s="74">
        <v>1.0</v>
      </c>
      <c r="O326" s="74"/>
      <c r="P326" s="74">
        <v>2.0</v>
      </c>
      <c r="Q326" s="343">
        <v>46204.0</v>
      </c>
      <c r="R326" s="185">
        <v>1.0</v>
      </c>
      <c r="S326" s="185">
        <v>7.0</v>
      </c>
      <c r="T326" s="194">
        <v>2026.0</v>
      </c>
      <c r="U326" s="74" t="s">
        <v>36</v>
      </c>
      <c r="V326" s="74">
        <v>37.59</v>
      </c>
      <c r="W326" s="343">
        <v>46204.0</v>
      </c>
      <c r="X326" s="194">
        <v>1.0</v>
      </c>
      <c r="Y326" s="194">
        <v>7.0</v>
      </c>
      <c r="Z326" s="194">
        <v>2026.0</v>
      </c>
      <c r="AA326" s="74" t="s">
        <v>36</v>
      </c>
    </row>
    <row r="327" ht="15.75" hidden="1" customHeight="1">
      <c r="A327" s="340" t="s">
        <v>1714</v>
      </c>
      <c r="B327" s="340">
        <v>5.119861004E9</v>
      </c>
      <c r="C327" s="343">
        <v>46183.0</v>
      </c>
      <c r="D327" s="194">
        <v>10.0</v>
      </c>
      <c r="E327" s="194">
        <v>6.0</v>
      </c>
      <c r="F327" s="194">
        <v>2026.0</v>
      </c>
      <c r="G327" s="343">
        <v>46184.0</v>
      </c>
      <c r="H327" s="194">
        <v>11.0</v>
      </c>
      <c r="I327" s="194">
        <v>6.0</v>
      </c>
      <c r="J327" s="194">
        <v>2026.0</v>
      </c>
      <c r="K327" s="74" t="s">
        <v>36</v>
      </c>
      <c r="L327" s="74" t="s">
        <v>1177</v>
      </c>
      <c r="M327" s="74">
        <v>1.0</v>
      </c>
      <c r="N327" s="74">
        <v>1.0</v>
      </c>
      <c r="O327" s="74"/>
      <c r="P327" s="74">
        <v>2.0</v>
      </c>
      <c r="Q327" s="343">
        <v>46204.0</v>
      </c>
      <c r="R327" s="185">
        <v>1.0</v>
      </c>
      <c r="S327" s="185">
        <v>7.0</v>
      </c>
      <c r="T327" s="194">
        <v>2026.0</v>
      </c>
      <c r="U327" s="74" t="s">
        <v>36</v>
      </c>
      <c r="V327" s="74">
        <v>37.59</v>
      </c>
      <c r="W327" s="343">
        <v>46204.0</v>
      </c>
      <c r="X327" s="194">
        <v>1.0</v>
      </c>
      <c r="Y327" s="194">
        <v>7.0</v>
      </c>
      <c r="Z327" s="194">
        <v>2026.0</v>
      </c>
      <c r="AA327" s="74" t="s">
        <v>36</v>
      </c>
    </row>
    <row r="328" ht="15.75" hidden="1" customHeight="1">
      <c r="A328" s="340" t="s">
        <v>1715</v>
      </c>
      <c r="B328" s="191">
        <v>5.808320022E9</v>
      </c>
      <c r="C328" s="343">
        <v>46191.0</v>
      </c>
      <c r="D328" s="194">
        <v>18.0</v>
      </c>
      <c r="E328" s="194">
        <v>6.0</v>
      </c>
      <c r="F328" s="194">
        <v>2026.0</v>
      </c>
      <c r="G328" s="343">
        <v>46192.0</v>
      </c>
      <c r="H328" s="194">
        <v>19.0</v>
      </c>
      <c r="I328" s="194">
        <v>6.0</v>
      </c>
      <c r="J328" s="194">
        <v>2026.0</v>
      </c>
      <c r="K328" s="74" t="s">
        <v>36</v>
      </c>
      <c r="L328" s="74" t="s">
        <v>1177</v>
      </c>
      <c r="M328" s="74">
        <v>1.0</v>
      </c>
      <c r="N328" s="74">
        <v>1.0</v>
      </c>
      <c r="O328" s="74"/>
      <c r="P328" s="74">
        <v>2.0</v>
      </c>
      <c r="Q328" s="343">
        <v>46204.0</v>
      </c>
      <c r="R328" s="185">
        <v>1.0</v>
      </c>
      <c r="S328" s="185">
        <v>7.0</v>
      </c>
      <c r="T328" s="194">
        <v>2026.0</v>
      </c>
      <c r="U328" s="74" t="s">
        <v>36</v>
      </c>
      <c r="V328" s="74">
        <v>29.23</v>
      </c>
      <c r="W328" s="343">
        <v>46204.0</v>
      </c>
      <c r="X328" s="194">
        <v>1.0</v>
      </c>
      <c r="Y328" s="194">
        <v>7.0</v>
      </c>
      <c r="Z328" s="194">
        <v>2026.0</v>
      </c>
      <c r="AA328" s="74" t="s">
        <v>36</v>
      </c>
    </row>
    <row r="329" ht="15.75" hidden="1" customHeight="1">
      <c r="A329" s="340" t="s">
        <v>1717</v>
      </c>
      <c r="B329" s="340">
        <v>6.947502596E9</v>
      </c>
      <c r="C329" s="343">
        <v>46188.0</v>
      </c>
      <c r="D329" s="194">
        <v>15.0</v>
      </c>
      <c r="E329" s="194">
        <v>6.0</v>
      </c>
      <c r="F329" s="194">
        <v>2026.0</v>
      </c>
      <c r="G329" s="343">
        <v>46189.0</v>
      </c>
      <c r="H329" s="194">
        <v>16.0</v>
      </c>
      <c r="I329" s="194">
        <v>6.0</v>
      </c>
      <c r="J329" s="194">
        <v>2026.0</v>
      </c>
      <c r="K329" s="74" t="s">
        <v>36</v>
      </c>
      <c r="L329" s="74" t="s">
        <v>1177</v>
      </c>
      <c r="M329" s="74">
        <v>1.0</v>
      </c>
      <c r="N329" s="74">
        <v>1.0</v>
      </c>
      <c r="O329" s="74"/>
      <c r="P329" s="74">
        <v>2.0</v>
      </c>
      <c r="Q329" s="343">
        <v>46204.0</v>
      </c>
      <c r="R329" s="185">
        <v>1.0</v>
      </c>
      <c r="S329" s="185">
        <v>7.0</v>
      </c>
      <c r="T329" s="194">
        <v>2026.0</v>
      </c>
      <c r="U329" s="74" t="s">
        <v>36</v>
      </c>
      <c r="V329" s="74">
        <v>29.23</v>
      </c>
      <c r="W329" s="343">
        <v>46204.0</v>
      </c>
      <c r="X329" s="194">
        <v>1.0</v>
      </c>
      <c r="Y329" s="194">
        <v>7.0</v>
      </c>
      <c r="Z329" s="194">
        <v>2026.0</v>
      </c>
      <c r="AA329" s="74" t="s">
        <v>36</v>
      </c>
    </row>
    <row r="330" ht="15.75" hidden="1" customHeight="1">
      <c r="A330" s="340" t="s">
        <v>1718</v>
      </c>
      <c r="B330" s="191">
        <v>6.094255775E9</v>
      </c>
      <c r="C330" s="343">
        <v>46192.0</v>
      </c>
      <c r="D330" s="194">
        <v>19.0</v>
      </c>
      <c r="E330" s="194">
        <v>6.0</v>
      </c>
      <c r="F330" s="194">
        <v>2026.0</v>
      </c>
      <c r="G330" s="343">
        <v>46193.0</v>
      </c>
      <c r="H330" s="194">
        <v>20.0</v>
      </c>
      <c r="I330" s="194">
        <v>6.0</v>
      </c>
      <c r="J330" s="194">
        <v>2026.0</v>
      </c>
      <c r="K330" s="74" t="s">
        <v>36</v>
      </c>
      <c r="L330" s="74" t="s">
        <v>1177</v>
      </c>
      <c r="M330" s="74">
        <v>1.0</v>
      </c>
      <c r="N330" s="74">
        <v>1.0</v>
      </c>
      <c r="O330" s="74"/>
      <c r="P330" s="74">
        <v>2.0</v>
      </c>
      <c r="Q330" s="343">
        <v>46204.0</v>
      </c>
      <c r="R330" s="185">
        <v>1.0</v>
      </c>
      <c r="S330" s="185">
        <v>7.0</v>
      </c>
      <c r="T330" s="194">
        <v>2026.0</v>
      </c>
      <c r="U330" s="74" t="s">
        <v>36</v>
      </c>
      <c r="V330" s="74">
        <v>37.59</v>
      </c>
      <c r="W330" s="343">
        <v>46204.0</v>
      </c>
      <c r="X330" s="194">
        <v>1.0</v>
      </c>
      <c r="Y330" s="194">
        <v>7.0</v>
      </c>
      <c r="Z330" s="194">
        <v>2026.0</v>
      </c>
      <c r="AA330" s="74" t="s">
        <v>36</v>
      </c>
    </row>
    <row r="331" ht="15.75" hidden="1" customHeight="1">
      <c r="A331" s="340" t="s">
        <v>1719</v>
      </c>
      <c r="B331" s="340">
        <v>5.02462454E9</v>
      </c>
      <c r="C331" s="343">
        <v>46186.0</v>
      </c>
      <c r="D331" s="194">
        <v>13.0</v>
      </c>
      <c r="E331" s="194">
        <v>6.0</v>
      </c>
      <c r="F331" s="194">
        <v>2026.0</v>
      </c>
      <c r="G331" s="343">
        <v>46188.0</v>
      </c>
      <c r="H331" s="194">
        <v>15.0</v>
      </c>
      <c r="I331" s="194">
        <v>6.0</v>
      </c>
      <c r="J331" s="194">
        <v>2026.0</v>
      </c>
      <c r="K331" s="74" t="s">
        <v>36</v>
      </c>
      <c r="L331" s="74" t="s">
        <v>1653</v>
      </c>
      <c r="M331" s="74">
        <v>1.0</v>
      </c>
      <c r="N331" s="74">
        <v>2.0</v>
      </c>
      <c r="O331" s="74"/>
      <c r="P331" s="74">
        <v>0.0</v>
      </c>
      <c r="Q331" s="343">
        <v>46204.0</v>
      </c>
      <c r="R331" s="185">
        <v>1.0</v>
      </c>
      <c r="S331" s="185">
        <v>7.0</v>
      </c>
      <c r="T331" s="194">
        <v>2026.0</v>
      </c>
      <c r="U331" s="74" t="s">
        <v>36</v>
      </c>
      <c r="V331" s="74">
        <v>37.62</v>
      </c>
      <c r="W331" s="343">
        <v>46204.0</v>
      </c>
      <c r="X331" s="194">
        <v>1.0</v>
      </c>
      <c r="Y331" s="194">
        <v>7.0</v>
      </c>
      <c r="Z331" s="194">
        <v>2026.0</v>
      </c>
      <c r="AA331" s="74" t="s">
        <v>36</v>
      </c>
    </row>
    <row r="332" ht="15.75" hidden="1" customHeight="1">
      <c r="A332" s="340" t="s">
        <v>1720</v>
      </c>
      <c r="B332" s="340">
        <v>5.03110073E9</v>
      </c>
      <c r="C332" s="343">
        <v>46178.0</v>
      </c>
      <c r="D332" s="194">
        <v>5.0</v>
      </c>
      <c r="E332" s="194">
        <v>6.0</v>
      </c>
      <c r="F332" s="194">
        <v>2026.0</v>
      </c>
      <c r="G332" s="343">
        <v>46179.0</v>
      </c>
      <c r="H332" s="194">
        <v>6.0</v>
      </c>
      <c r="I332" s="194">
        <v>6.0</v>
      </c>
      <c r="J332" s="194">
        <v>2026.0</v>
      </c>
      <c r="K332" s="74" t="s">
        <v>36</v>
      </c>
      <c r="L332" s="74" t="s">
        <v>1177</v>
      </c>
      <c r="M332" s="74">
        <v>1.0</v>
      </c>
      <c r="N332" s="74">
        <v>1.0</v>
      </c>
      <c r="O332" s="74"/>
      <c r="P332" s="74">
        <v>2.0</v>
      </c>
      <c r="Q332" s="343">
        <v>46204.0</v>
      </c>
      <c r="R332" s="185">
        <v>1.0</v>
      </c>
      <c r="S332" s="185">
        <v>7.0</v>
      </c>
      <c r="T332" s="194">
        <v>2026.0</v>
      </c>
      <c r="U332" s="74" t="s">
        <v>36</v>
      </c>
      <c r="V332" s="74">
        <v>29.23</v>
      </c>
      <c r="W332" s="343">
        <v>46204.0</v>
      </c>
      <c r="X332" s="194">
        <v>1.0</v>
      </c>
      <c r="Y332" s="194">
        <v>7.0</v>
      </c>
      <c r="Z332" s="194">
        <v>2026.0</v>
      </c>
      <c r="AA332" s="74" t="s">
        <v>36</v>
      </c>
    </row>
    <row r="333" ht="15.75" hidden="1" customHeight="1">
      <c r="A333" s="340" t="s">
        <v>1721</v>
      </c>
      <c r="B333" s="340">
        <v>5.246760148E9</v>
      </c>
      <c r="C333" s="343">
        <v>46184.0</v>
      </c>
      <c r="D333" s="194">
        <v>11.0</v>
      </c>
      <c r="E333" s="194">
        <v>6.0</v>
      </c>
      <c r="F333" s="194">
        <v>2026.0</v>
      </c>
      <c r="G333" s="343">
        <v>46187.0</v>
      </c>
      <c r="H333" s="194">
        <v>14.0</v>
      </c>
      <c r="I333" s="194">
        <v>6.0</v>
      </c>
      <c r="J333" s="194">
        <v>2026.0</v>
      </c>
      <c r="K333" s="74" t="s">
        <v>36</v>
      </c>
      <c r="L333" s="74" t="s">
        <v>1177</v>
      </c>
      <c r="M333" s="74">
        <v>1.0</v>
      </c>
      <c r="N333" s="74">
        <v>3.0</v>
      </c>
      <c r="O333" s="74"/>
      <c r="P333" s="74">
        <v>6.0</v>
      </c>
      <c r="Q333" s="343">
        <v>46204.0</v>
      </c>
      <c r="R333" s="185">
        <v>1.0</v>
      </c>
      <c r="S333" s="185">
        <v>7.0</v>
      </c>
      <c r="T333" s="194">
        <v>2026.0</v>
      </c>
      <c r="U333" s="74" t="s">
        <v>36</v>
      </c>
      <c r="V333" s="74">
        <v>121.14</v>
      </c>
      <c r="W333" s="343">
        <v>46204.0</v>
      </c>
      <c r="X333" s="194">
        <v>1.0</v>
      </c>
      <c r="Y333" s="194">
        <v>7.0</v>
      </c>
      <c r="Z333" s="194">
        <v>2026.0</v>
      </c>
      <c r="AA333" s="74" t="s">
        <v>36</v>
      </c>
    </row>
    <row r="334" ht="15.75" hidden="1" customHeight="1">
      <c r="A334" s="340" t="s">
        <v>1722</v>
      </c>
      <c r="B334" s="191">
        <v>5.711309913E9</v>
      </c>
      <c r="C334" s="343">
        <v>46199.0</v>
      </c>
      <c r="D334" s="194">
        <v>26.0</v>
      </c>
      <c r="E334" s="194">
        <v>6.0</v>
      </c>
      <c r="F334" s="194">
        <v>2026.0</v>
      </c>
      <c r="G334" s="343">
        <v>46202.0</v>
      </c>
      <c r="H334" s="194">
        <v>29.0</v>
      </c>
      <c r="I334" s="194">
        <v>6.0</v>
      </c>
      <c r="J334" s="194">
        <v>2026.0</v>
      </c>
      <c r="K334" s="74" t="s">
        <v>36</v>
      </c>
      <c r="L334" s="74" t="s">
        <v>1177</v>
      </c>
      <c r="M334" s="74">
        <v>1.0</v>
      </c>
      <c r="N334" s="74">
        <v>3.0</v>
      </c>
      <c r="O334" s="74"/>
      <c r="P334" s="74">
        <v>6.0</v>
      </c>
      <c r="Q334" s="343">
        <v>46204.0</v>
      </c>
      <c r="R334" s="185">
        <v>1.0</v>
      </c>
      <c r="S334" s="185">
        <v>7.0</v>
      </c>
      <c r="T334" s="194">
        <v>2026.0</v>
      </c>
      <c r="U334" s="74" t="s">
        <v>36</v>
      </c>
      <c r="V334" s="74">
        <v>87.7</v>
      </c>
      <c r="W334" s="343">
        <v>46204.0</v>
      </c>
      <c r="X334" s="194">
        <v>1.0</v>
      </c>
      <c r="Y334" s="194">
        <v>7.0</v>
      </c>
      <c r="Z334" s="194">
        <v>2026.0</v>
      </c>
      <c r="AA334" s="74" t="s">
        <v>36</v>
      </c>
    </row>
    <row r="335" ht="15.75" hidden="1" customHeight="1">
      <c r="A335" s="340" t="s">
        <v>1723</v>
      </c>
      <c r="B335" s="340">
        <v>5.67537971E9</v>
      </c>
      <c r="C335" s="343">
        <v>46181.0</v>
      </c>
      <c r="D335" s="194">
        <v>8.0</v>
      </c>
      <c r="E335" s="194">
        <v>6.0</v>
      </c>
      <c r="F335" s="194">
        <v>2026.0</v>
      </c>
      <c r="G335" s="343">
        <v>46185.0</v>
      </c>
      <c r="H335" s="194">
        <v>12.0</v>
      </c>
      <c r="I335" s="194">
        <v>6.0</v>
      </c>
      <c r="J335" s="194">
        <v>2026.0</v>
      </c>
      <c r="K335" s="74" t="s">
        <v>36</v>
      </c>
      <c r="L335" s="74" t="s">
        <v>1177</v>
      </c>
      <c r="M335" s="74">
        <v>1.0</v>
      </c>
      <c r="N335" s="74">
        <v>4.0</v>
      </c>
      <c r="O335" s="74"/>
      <c r="P335" s="74">
        <v>8.0</v>
      </c>
      <c r="Q335" s="343">
        <v>46204.0</v>
      </c>
      <c r="R335" s="185">
        <v>1.0</v>
      </c>
      <c r="S335" s="185">
        <v>7.0</v>
      </c>
      <c r="T335" s="194">
        <v>2026.0</v>
      </c>
      <c r="U335" s="74" t="s">
        <v>36</v>
      </c>
      <c r="V335" s="74">
        <v>167.09</v>
      </c>
      <c r="W335" s="343">
        <v>46204.0</v>
      </c>
      <c r="X335" s="194">
        <v>1.0</v>
      </c>
      <c r="Y335" s="194">
        <v>7.0</v>
      </c>
      <c r="Z335" s="194">
        <v>2026.0</v>
      </c>
      <c r="AA335" s="74" t="s">
        <v>36</v>
      </c>
    </row>
    <row r="336" ht="15.75" hidden="1" customHeight="1">
      <c r="A336" s="340" t="s">
        <v>1724</v>
      </c>
      <c r="B336" s="191">
        <v>6.90527761E9</v>
      </c>
      <c r="C336" s="343">
        <v>46196.0</v>
      </c>
      <c r="D336" s="194">
        <v>23.0</v>
      </c>
      <c r="E336" s="194">
        <v>6.0</v>
      </c>
      <c r="F336" s="194">
        <v>2026.0</v>
      </c>
      <c r="G336" s="343">
        <v>46197.0</v>
      </c>
      <c r="H336" s="194">
        <v>24.0</v>
      </c>
      <c r="I336" s="194">
        <v>6.0</v>
      </c>
      <c r="J336" s="194">
        <v>2026.0</v>
      </c>
      <c r="K336" s="74" t="s">
        <v>36</v>
      </c>
      <c r="L336" s="74" t="s">
        <v>1177</v>
      </c>
      <c r="M336" s="74">
        <v>1.0</v>
      </c>
      <c r="N336" s="74">
        <v>1.0</v>
      </c>
      <c r="O336" s="74"/>
      <c r="P336" s="74">
        <v>2.0</v>
      </c>
      <c r="Q336" s="343">
        <v>46204.0</v>
      </c>
      <c r="R336" s="185">
        <v>1.0</v>
      </c>
      <c r="S336" s="185">
        <v>7.0</v>
      </c>
      <c r="T336" s="194">
        <v>2026.0</v>
      </c>
      <c r="U336" s="74" t="s">
        <v>36</v>
      </c>
      <c r="V336" s="74">
        <v>29.23</v>
      </c>
      <c r="W336" s="343">
        <v>46204.0</v>
      </c>
      <c r="X336" s="194">
        <v>1.0</v>
      </c>
      <c r="Y336" s="194">
        <v>7.0</v>
      </c>
      <c r="Z336" s="194">
        <v>2026.0</v>
      </c>
      <c r="AA336" s="74" t="s">
        <v>36</v>
      </c>
    </row>
    <row r="337" ht="15.75" hidden="1" customHeight="1">
      <c r="A337" s="340" t="s">
        <v>1725</v>
      </c>
      <c r="B337" s="340">
        <v>6.083445804E9</v>
      </c>
      <c r="C337" s="343">
        <v>46182.0</v>
      </c>
      <c r="D337" s="194">
        <v>9.0</v>
      </c>
      <c r="E337" s="194">
        <v>6.0</v>
      </c>
      <c r="F337" s="194">
        <v>2026.0</v>
      </c>
      <c r="G337" s="343">
        <v>46183.0</v>
      </c>
      <c r="H337" s="194">
        <v>10.0</v>
      </c>
      <c r="I337" s="194">
        <v>6.0</v>
      </c>
      <c r="J337" s="194">
        <v>2026.0</v>
      </c>
      <c r="K337" s="74" t="s">
        <v>36</v>
      </c>
      <c r="L337" s="74" t="s">
        <v>1177</v>
      </c>
      <c r="M337" s="74">
        <v>1.0</v>
      </c>
      <c r="N337" s="74">
        <v>1.0</v>
      </c>
      <c r="O337" s="74"/>
      <c r="P337" s="74">
        <v>2.0</v>
      </c>
      <c r="Q337" s="343">
        <v>46204.0</v>
      </c>
      <c r="R337" s="185">
        <v>1.0</v>
      </c>
      <c r="S337" s="185">
        <v>7.0</v>
      </c>
      <c r="T337" s="194">
        <v>2026.0</v>
      </c>
      <c r="U337" s="74" t="s">
        <v>36</v>
      </c>
      <c r="V337" s="74">
        <v>37.59</v>
      </c>
      <c r="W337" s="343">
        <v>46204.0</v>
      </c>
      <c r="X337" s="194">
        <v>1.0</v>
      </c>
      <c r="Y337" s="194">
        <v>7.0</v>
      </c>
      <c r="Z337" s="194">
        <v>2026.0</v>
      </c>
      <c r="AA337" s="74" t="s">
        <v>36</v>
      </c>
    </row>
    <row r="338" ht="15.75" hidden="1" customHeight="1">
      <c r="A338" s="340" t="s">
        <v>1726</v>
      </c>
      <c r="B338" s="340">
        <v>5.089411131E9</v>
      </c>
      <c r="C338" s="343">
        <v>46178.0</v>
      </c>
      <c r="D338" s="194">
        <v>5.0</v>
      </c>
      <c r="E338" s="194">
        <v>6.0</v>
      </c>
      <c r="F338" s="194">
        <v>2026.0</v>
      </c>
      <c r="G338" s="343">
        <v>46179.0</v>
      </c>
      <c r="H338" s="194">
        <v>6.0</v>
      </c>
      <c r="I338" s="194">
        <v>6.0</v>
      </c>
      <c r="J338" s="194">
        <v>2026.0</v>
      </c>
      <c r="K338" s="74" t="s">
        <v>36</v>
      </c>
      <c r="L338" s="74" t="s">
        <v>1177</v>
      </c>
      <c r="M338" s="74">
        <v>1.0</v>
      </c>
      <c r="N338" s="74">
        <v>1.0</v>
      </c>
      <c r="O338" s="74"/>
      <c r="P338" s="74">
        <v>2.0</v>
      </c>
      <c r="Q338" s="343">
        <v>46204.0</v>
      </c>
      <c r="R338" s="185">
        <v>1.0</v>
      </c>
      <c r="S338" s="185">
        <v>7.0</v>
      </c>
      <c r="T338" s="194">
        <v>2026.0</v>
      </c>
      <c r="U338" s="74" t="s">
        <v>36</v>
      </c>
      <c r="V338" s="74">
        <v>37.59</v>
      </c>
      <c r="W338" s="343">
        <v>46204.0</v>
      </c>
      <c r="X338" s="194">
        <v>1.0</v>
      </c>
      <c r="Y338" s="194">
        <v>7.0</v>
      </c>
      <c r="Z338" s="194">
        <v>2026.0</v>
      </c>
      <c r="AA338" s="74" t="s">
        <v>36</v>
      </c>
    </row>
    <row r="339" ht="15.75" hidden="1" customHeight="1">
      <c r="A339" s="340" t="s">
        <v>1727</v>
      </c>
      <c r="B339" s="340">
        <v>5.292767278E9</v>
      </c>
      <c r="C339" s="343">
        <v>46182.0</v>
      </c>
      <c r="D339" s="194">
        <v>9.0</v>
      </c>
      <c r="E339" s="194">
        <v>6.0</v>
      </c>
      <c r="F339" s="194">
        <v>2026.0</v>
      </c>
      <c r="G339" s="343">
        <v>46187.0</v>
      </c>
      <c r="H339" s="194">
        <v>14.0</v>
      </c>
      <c r="I339" s="194">
        <v>6.0</v>
      </c>
      <c r="J339" s="194">
        <v>2026.0</v>
      </c>
      <c r="K339" s="74" t="s">
        <v>36</v>
      </c>
      <c r="L339" s="74" t="s">
        <v>1177</v>
      </c>
      <c r="M339" s="74">
        <v>1.0</v>
      </c>
      <c r="N339" s="74">
        <v>5.0</v>
      </c>
      <c r="O339" s="74"/>
      <c r="P339" s="74">
        <v>9.99999999999997</v>
      </c>
      <c r="Q339" s="343">
        <v>46204.0</v>
      </c>
      <c r="R339" s="185">
        <v>1.0</v>
      </c>
      <c r="S339" s="185">
        <v>7.0</v>
      </c>
      <c r="T339" s="194">
        <v>2026.0</v>
      </c>
      <c r="U339" s="74" t="s">
        <v>36</v>
      </c>
      <c r="V339" s="74">
        <v>174.58</v>
      </c>
      <c r="W339" s="343">
        <v>46204.0</v>
      </c>
      <c r="X339" s="194">
        <v>1.0</v>
      </c>
      <c r="Y339" s="194">
        <v>7.0</v>
      </c>
      <c r="Z339" s="194">
        <v>2026.0</v>
      </c>
      <c r="AA339" s="74" t="s">
        <v>36</v>
      </c>
    </row>
    <row r="340" ht="15.75" hidden="1" customHeight="1">
      <c r="A340" s="340" t="s">
        <v>1728</v>
      </c>
      <c r="B340" s="340">
        <v>6.81479453E9</v>
      </c>
      <c r="C340" s="343">
        <v>46186.0</v>
      </c>
      <c r="D340" s="194">
        <v>13.0</v>
      </c>
      <c r="E340" s="194">
        <v>6.0</v>
      </c>
      <c r="F340" s="194">
        <v>2026.0</v>
      </c>
      <c r="G340" s="343">
        <v>46188.0</v>
      </c>
      <c r="H340" s="194">
        <v>15.0</v>
      </c>
      <c r="I340" s="194">
        <v>6.0</v>
      </c>
      <c r="J340" s="194">
        <v>2026.0</v>
      </c>
      <c r="K340" s="74" t="s">
        <v>36</v>
      </c>
      <c r="L340" s="74" t="s">
        <v>1177</v>
      </c>
      <c r="M340" s="74">
        <v>1.0</v>
      </c>
      <c r="N340" s="74">
        <v>2.0</v>
      </c>
      <c r="O340" s="74"/>
      <c r="P340" s="74">
        <v>4.0</v>
      </c>
      <c r="Q340" s="343">
        <v>46204.0</v>
      </c>
      <c r="R340" s="185">
        <v>1.0</v>
      </c>
      <c r="S340" s="185">
        <v>7.0</v>
      </c>
      <c r="T340" s="194">
        <v>2026.0</v>
      </c>
      <c r="U340" s="74" t="s">
        <v>36</v>
      </c>
      <c r="V340" s="74">
        <v>66.82</v>
      </c>
      <c r="W340" s="343">
        <v>46204.0</v>
      </c>
      <c r="X340" s="194">
        <v>1.0</v>
      </c>
      <c r="Y340" s="194">
        <v>7.0</v>
      </c>
      <c r="Z340" s="194">
        <v>2026.0</v>
      </c>
      <c r="AA340" s="74" t="s">
        <v>36</v>
      </c>
    </row>
    <row r="341" ht="15.75" hidden="1" customHeight="1">
      <c r="A341" s="340" t="s">
        <v>1729</v>
      </c>
      <c r="B341" s="191">
        <v>5.056252535E9</v>
      </c>
      <c r="C341" s="343">
        <v>46197.0</v>
      </c>
      <c r="D341" s="194">
        <v>24.0</v>
      </c>
      <c r="E341" s="194">
        <v>6.0</v>
      </c>
      <c r="F341" s="194">
        <v>2026.0</v>
      </c>
      <c r="G341" s="343">
        <v>46200.0</v>
      </c>
      <c r="H341" s="194">
        <v>27.0</v>
      </c>
      <c r="I341" s="194">
        <v>6.0</v>
      </c>
      <c r="J341" s="194">
        <v>2026.0</v>
      </c>
      <c r="K341" s="74" t="s">
        <v>36</v>
      </c>
      <c r="L341" s="74" t="s">
        <v>1177</v>
      </c>
      <c r="M341" s="74">
        <v>1.0</v>
      </c>
      <c r="N341" s="74">
        <v>3.0</v>
      </c>
      <c r="O341" s="74"/>
      <c r="P341" s="74">
        <v>6.0</v>
      </c>
      <c r="Q341" s="343">
        <v>46204.0</v>
      </c>
      <c r="R341" s="185">
        <v>1.0</v>
      </c>
      <c r="S341" s="185">
        <v>7.0</v>
      </c>
      <c r="T341" s="194">
        <v>2026.0</v>
      </c>
      <c r="U341" s="74" t="s">
        <v>36</v>
      </c>
      <c r="V341" s="74">
        <v>96.06</v>
      </c>
      <c r="W341" s="343">
        <v>46204.0</v>
      </c>
      <c r="X341" s="194">
        <v>1.0</v>
      </c>
      <c r="Y341" s="194">
        <v>7.0</v>
      </c>
      <c r="Z341" s="194">
        <v>2026.0</v>
      </c>
      <c r="AA341" s="74" t="s">
        <v>36</v>
      </c>
    </row>
    <row r="342" ht="15.75" hidden="1" customHeight="1">
      <c r="A342" s="340" t="s">
        <v>1730</v>
      </c>
      <c r="B342" s="340">
        <v>5.657477897E9</v>
      </c>
      <c r="C342" s="343">
        <v>46181.0</v>
      </c>
      <c r="D342" s="194">
        <v>8.0</v>
      </c>
      <c r="E342" s="194">
        <v>6.0</v>
      </c>
      <c r="F342" s="194">
        <v>2026.0</v>
      </c>
      <c r="G342" s="343">
        <v>46182.0</v>
      </c>
      <c r="H342" s="194">
        <v>9.0</v>
      </c>
      <c r="I342" s="194">
        <v>6.0</v>
      </c>
      <c r="J342" s="194">
        <v>2026.0</v>
      </c>
      <c r="K342" s="74" t="s">
        <v>36</v>
      </c>
      <c r="L342" s="74" t="s">
        <v>1177</v>
      </c>
      <c r="M342" s="74">
        <v>1.0</v>
      </c>
      <c r="N342" s="74">
        <v>1.0</v>
      </c>
      <c r="O342" s="74"/>
      <c r="P342" s="74">
        <v>2.0</v>
      </c>
      <c r="Q342" s="343">
        <v>46204.0</v>
      </c>
      <c r="R342" s="185">
        <v>1.0</v>
      </c>
      <c r="S342" s="185">
        <v>7.0</v>
      </c>
      <c r="T342" s="194">
        <v>2026.0</v>
      </c>
      <c r="U342" s="74" t="s">
        <v>36</v>
      </c>
      <c r="V342" s="74">
        <v>29.23</v>
      </c>
      <c r="W342" s="343">
        <v>46204.0</v>
      </c>
      <c r="X342" s="194">
        <v>1.0</v>
      </c>
      <c r="Y342" s="194">
        <v>7.0</v>
      </c>
      <c r="Z342" s="194">
        <v>2026.0</v>
      </c>
      <c r="AA342" s="74" t="s">
        <v>36</v>
      </c>
    </row>
    <row r="343" ht="15.75" hidden="1" customHeight="1">
      <c r="A343" s="340" t="s">
        <v>1731</v>
      </c>
      <c r="B343" s="191">
        <v>6.094340104E9</v>
      </c>
      <c r="C343" s="343">
        <v>46194.0</v>
      </c>
      <c r="D343" s="194">
        <v>21.0</v>
      </c>
      <c r="E343" s="194">
        <v>6.0</v>
      </c>
      <c r="F343" s="194">
        <v>2026.0</v>
      </c>
      <c r="G343" s="343">
        <v>46195.0</v>
      </c>
      <c r="H343" s="194">
        <v>22.0</v>
      </c>
      <c r="I343" s="194">
        <v>6.0</v>
      </c>
      <c r="J343" s="194">
        <v>2026.0</v>
      </c>
      <c r="K343" s="74" t="s">
        <v>36</v>
      </c>
      <c r="L343" s="74" t="s">
        <v>1177</v>
      </c>
      <c r="M343" s="74">
        <v>1.0</v>
      </c>
      <c r="N343" s="74">
        <v>1.0</v>
      </c>
      <c r="O343" s="74"/>
      <c r="P343" s="74">
        <v>2.0</v>
      </c>
      <c r="Q343" s="343">
        <v>46204.0</v>
      </c>
      <c r="R343" s="185">
        <v>1.0</v>
      </c>
      <c r="S343" s="185">
        <v>7.0</v>
      </c>
      <c r="T343" s="194">
        <v>2026.0</v>
      </c>
      <c r="U343" s="74" t="s">
        <v>36</v>
      </c>
      <c r="V343" s="74">
        <v>37.59</v>
      </c>
      <c r="W343" s="343">
        <v>46204.0</v>
      </c>
      <c r="X343" s="194">
        <v>1.0</v>
      </c>
      <c r="Y343" s="194">
        <v>7.0</v>
      </c>
      <c r="Z343" s="194">
        <v>2026.0</v>
      </c>
      <c r="AA343" s="74" t="s">
        <v>36</v>
      </c>
    </row>
    <row r="344" ht="15.75" hidden="1" customHeight="1">
      <c r="A344" s="340" t="s">
        <v>1732</v>
      </c>
      <c r="B344" s="340">
        <v>6.952636839E9</v>
      </c>
      <c r="C344" s="343">
        <v>46190.0</v>
      </c>
      <c r="D344" s="194">
        <v>17.0</v>
      </c>
      <c r="E344" s="194">
        <v>6.0</v>
      </c>
      <c r="F344" s="194">
        <v>2026.0</v>
      </c>
      <c r="G344" s="343">
        <v>46191.0</v>
      </c>
      <c r="H344" s="194">
        <v>18.0</v>
      </c>
      <c r="I344" s="194">
        <v>6.0</v>
      </c>
      <c r="J344" s="194">
        <v>2026.0</v>
      </c>
      <c r="K344" s="74" t="s">
        <v>36</v>
      </c>
      <c r="L344" s="74" t="s">
        <v>1177</v>
      </c>
      <c r="M344" s="74">
        <v>1.0</v>
      </c>
      <c r="N344" s="74">
        <v>1.0</v>
      </c>
      <c r="O344" s="74"/>
      <c r="P344" s="74">
        <v>2.0</v>
      </c>
      <c r="Q344" s="343">
        <v>46204.0</v>
      </c>
      <c r="R344" s="185">
        <v>1.0</v>
      </c>
      <c r="S344" s="185">
        <v>7.0</v>
      </c>
      <c r="T344" s="194">
        <v>2026.0</v>
      </c>
      <c r="U344" s="74" t="s">
        <v>36</v>
      </c>
      <c r="V344" s="74">
        <v>37.59</v>
      </c>
      <c r="W344" s="343">
        <v>46204.0</v>
      </c>
      <c r="X344" s="194">
        <v>1.0</v>
      </c>
      <c r="Y344" s="194">
        <v>7.0</v>
      </c>
      <c r="Z344" s="194">
        <v>2026.0</v>
      </c>
      <c r="AA344" s="74" t="s">
        <v>36</v>
      </c>
    </row>
    <row r="345" ht="15.75" hidden="1" customHeight="1">
      <c r="A345" s="340" t="s">
        <v>1732</v>
      </c>
      <c r="B345" s="191">
        <v>5.01906843E9</v>
      </c>
      <c r="C345" s="343">
        <v>46199.0</v>
      </c>
      <c r="D345" s="194">
        <v>26.0</v>
      </c>
      <c r="E345" s="194">
        <v>6.0</v>
      </c>
      <c r="F345" s="194">
        <v>2026.0</v>
      </c>
      <c r="G345" s="343">
        <v>46200.0</v>
      </c>
      <c r="H345" s="194">
        <v>27.0</v>
      </c>
      <c r="I345" s="194">
        <v>6.0</v>
      </c>
      <c r="J345" s="194">
        <v>2026.0</v>
      </c>
      <c r="K345" s="74" t="s">
        <v>36</v>
      </c>
      <c r="L345" s="74" t="s">
        <v>1177</v>
      </c>
      <c r="M345" s="74">
        <v>1.0</v>
      </c>
      <c r="N345" s="74">
        <v>1.0</v>
      </c>
      <c r="O345" s="74"/>
      <c r="P345" s="74">
        <v>2.0</v>
      </c>
      <c r="Q345" s="343">
        <v>46204.0</v>
      </c>
      <c r="R345" s="185">
        <v>1.0</v>
      </c>
      <c r="S345" s="185">
        <v>7.0</v>
      </c>
      <c r="T345" s="194">
        <v>2026.0</v>
      </c>
      <c r="U345" s="74" t="s">
        <v>36</v>
      </c>
      <c r="V345" s="74">
        <v>29.23</v>
      </c>
      <c r="W345" s="343">
        <v>46204.0</v>
      </c>
      <c r="X345" s="194">
        <v>1.0</v>
      </c>
      <c r="Y345" s="194">
        <v>7.0</v>
      </c>
      <c r="Z345" s="194">
        <v>2026.0</v>
      </c>
      <c r="AA345" s="74" t="s">
        <v>36</v>
      </c>
    </row>
    <row r="346" ht="15.75" hidden="1" customHeight="1">
      <c r="A346" s="340" t="s">
        <v>1733</v>
      </c>
      <c r="B346" s="340">
        <v>5.112339628E9</v>
      </c>
      <c r="C346" s="343">
        <v>46179.0</v>
      </c>
      <c r="D346" s="194">
        <v>6.0</v>
      </c>
      <c r="E346" s="194">
        <v>6.0</v>
      </c>
      <c r="F346" s="194">
        <v>2026.0</v>
      </c>
      <c r="G346" s="343">
        <v>46181.0</v>
      </c>
      <c r="H346" s="194">
        <v>8.0</v>
      </c>
      <c r="I346" s="194">
        <v>6.0</v>
      </c>
      <c r="J346" s="194">
        <v>2026.0</v>
      </c>
      <c r="K346" s="74" t="s">
        <v>36</v>
      </c>
      <c r="L346" s="74" t="s">
        <v>1177</v>
      </c>
      <c r="M346" s="74">
        <v>1.0</v>
      </c>
      <c r="N346" s="74">
        <v>2.0</v>
      </c>
      <c r="O346" s="74"/>
      <c r="P346" s="74">
        <v>4.0</v>
      </c>
      <c r="Q346" s="343">
        <v>46204.0</v>
      </c>
      <c r="R346" s="185">
        <v>1.0</v>
      </c>
      <c r="S346" s="185">
        <v>7.0</v>
      </c>
      <c r="T346" s="194">
        <v>2026.0</v>
      </c>
      <c r="U346" s="74" t="s">
        <v>36</v>
      </c>
      <c r="V346" s="74">
        <v>83.54</v>
      </c>
      <c r="W346" s="343">
        <v>46204.0</v>
      </c>
      <c r="X346" s="194">
        <v>1.0</v>
      </c>
      <c r="Y346" s="194">
        <v>7.0</v>
      </c>
      <c r="Z346" s="194">
        <v>2026.0</v>
      </c>
      <c r="AA346" s="74" t="s">
        <v>36</v>
      </c>
    </row>
    <row r="347" ht="15.75" hidden="1" customHeight="1">
      <c r="A347" s="340" t="s">
        <v>1734</v>
      </c>
      <c r="B347" s="191">
        <v>6.930338712E9</v>
      </c>
      <c r="C347" s="343">
        <v>46198.0</v>
      </c>
      <c r="D347" s="194">
        <v>25.0</v>
      </c>
      <c r="E347" s="194">
        <v>6.0</v>
      </c>
      <c r="F347" s="194">
        <v>2026.0</v>
      </c>
      <c r="G347" s="343">
        <v>46199.0</v>
      </c>
      <c r="H347" s="194">
        <v>26.0</v>
      </c>
      <c r="I347" s="194">
        <v>6.0</v>
      </c>
      <c r="J347" s="194">
        <v>2026.0</v>
      </c>
      <c r="K347" s="74" t="s">
        <v>36</v>
      </c>
      <c r="L347" s="74" t="s">
        <v>1177</v>
      </c>
      <c r="M347" s="74">
        <v>1.0</v>
      </c>
      <c r="N347" s="74">
        <v>1.0</v>
      </c>
      <c r="O347" s="74"/>
      <c r="P347" s="74">
        <v>2.0</v>
      </c>
      <c r="Q347" s="343">
        <v>46204.0</v>
      </c>
      <c r="R347" s="185">
        <v>1.0</v>
      </c>
      <c r="S347" s="185">
        <v>7.0</v>
      </c>
      <c r="T347" s="194">
        <v>2026.0</v>
      </c>
      <c r="U347" s="74" t="s">
        <v>36</v>
      </c>
      <c r="V347" s="74">
        <v>37.59</v>
      </c>
      <c r="W347" s="343">
        <v>46204.0</v>
      </c>
      <c r="X347" s="194">
        <v>1.0</v>
      </c>
      <c r="Y347" s="194">
        <v>7.0</v>
      </c>
      <c r="Z347" s="194">
        <v>2026.0</v>
      </c>
      <c r="AA347" s="74" t="s">
        <v>36</v>
      </c>
    </row>
    <row r="348" ht="15.75" hidden="1" customHeight="1">
      <c r="A348" s="340" t="s">
        <v>1735</v>
      </c>
      <c r="B348" s="340">
        <v>5.158119362E9</v>
      </c>
      <c r="C348" s="343">
        <v>46184.0</v>
      </c>
      <c r="D348" s="194">
        <v>11.0</v>
      </c>
      <c r="E348" s="194">
        <v>6.0</v>
      </c>
      <c r="F348" s="194">
        <v>2026.0</v>
      </c>
      <c r="G348" s="343">
        <v>46186.0</v>
      </c>
      <c r="H348" s="194">
        <v>13.0</v>
      </c>
      <c r="I348" s="194">
        <v>6.0</v>
      </c>
      <c r="J348" s="194">
        <v>2026.0</v>
      </c>
      <c r="K348" s="74" t="s">
        <v>36</v>
      </c>
      <c r="L348" s="74" t="s">
        <v>1177</v>
      </c>
      <c r="M348" s="74">
        <v>1.0</v>
      </c>
      <c r="N348" s="74">
        <v>2.0</v>
      </c>
      <c r="O348" s="74"/>
      <c r="P348" s="74">
        <v>4.0</v>
      </c>
      <c r="Q348" s="343">
        <v>46204.0</v>
      </c>
      <c r="R348" s="185">
        <v>1.0</v>
      </c>
      <c r="S348" s="185">
        <v>7.0</v>
      </c>
      <c r="T348" s="194">
        <v>2026.0</v>
      </c>
      <c r="U348" s="74" t="s">
        <v>36</v>
      </c>
      <c r="V348" s="74">
        <v>84.06</v>
      </c>
      <c r="W348" s="343">
        <v>46204.0</v>
      </c>
      <c r="X348" s="194">
        <v>1.0</v>
      </c>
      <c r="Y348" s="194">
        <v>7.0</v>
      </c>
      <c r="Z348" s="194">
        <v>2026.0</v>
      </c>
      <c r="AA348" s="74" t="s">
        <v>36</v>
      </c>
    </row>
    <row r="349" ht="15.75" hidden="1" customHeight="1">
      <c r="A349" s="340" t="s">
        <v>1736</v>
      </c>
      <c r="B349" s="191">
        <v>6.067167612E9</v>
      </c>
      <c r="C349" s="343">
        <v>46193.0</v>
      </c>
      <c r="D349" s="194">
        <v>20.0</v>
      </c>
      <c r="E349" s="194">
        <v>6.0</v>
      </c>
      <c r="F349" s="194">
        <v>2026.0</v>
      </c>
      <c r="G349" s="343">
        <v>46194.0</v>
      </c>
      <c r="H349" s="194">
        <v>21.0</v>
      </c>
      <c r="I349" s="194">
        <v>6.0</v>
      </c>
      <c r="J349" s="194">
        <v>2026.0</v>
      </c>
      <c r="K349" s="74" t="s">
        <v>36</v>
      </c>
      <c r="L349" s="74" t="s">
        <v>1177</v>
      </c>
      <c r="M349" s="74">
        <v>1.0</v>
      </c>
      <c r="N349" s="74">
        <v>1.0</v>
      </c>
      <c r="O349" s="74"/>
      <c r="P349" s="74">
        <v>2.0</v>
      </c>
      <c r="Q349" s="343">
        <v>46204.0</v>
      </c>
      <c r="R349" s="185">
        <v>1.0</v>
      </c>
      <c r="S349" s="185">
        <v>7.0</v>
      </c>
      <c r="T349" s="194">
        <v>2026.0</v>
      </c>
      <c r="U349" s="74" t="s">
        <v>36</v>
      </c>
      <c r="V349" s="74">
        <v>37.59</v>
      </c>
      <c r="W349" s="343">
        <v>46204.0</v>
      </c>
      <c r="X349" s="194">
        <v>1.0</v>
      </c>
      <c r="Y349" s="194">
        <v>7.0</v>
      </c>
      <c r="Z349" s="194">
        <v>2026.0</v>
      </c>
      <c r="AA349" s="74" t="s">
        <v>36</v>
      </c>
    </row>
    <row r="350" ht="15.75" hidden="1" customHeight="1">
      <c r="A350" s="340" t="s">
        <v>1737</v>
      </c>
      <c r="B350" s="191">
        <v>5.255134514E9</v>
      </c>
      <c r="C350" s="343">
        <v>46200.0</v>
      </c>
      <c r="D350" s="194">
        <v>27.0</v>
      </c>
      <c r="E350" s="194">
        <v>6.0</v>
      </c>
      <c r="F350" s="194">
        <v>2026.0</v>
      </c>
      <c r="G350" s="343">
        <v>46201.0</v>
      </c>
      <c r="H350" s="194">
        <v>28.0</v>
      </c>
      <c r="I350" s="194">
        <v>6.0</v>
      </c>
      <c r="J350" s="194">
        <v>2026.0</v>
      </c>
      <c r="K350" s="74" t="s">
        <v>36</v>
      </c>
      <c r="L350" s="74" t="s">
        <v>1177</v>
      </c>
      <c r="M350" s="74">
        <v>1.0</v>
      </c>
      <c r="N350" s="74">
        <v>1.0</v>
      </c>
      <c r="O350" s="74"/>
      <c r="P350" s="74">
        <v>2.0</v>
      </c>
      <c r="Q350" s="343">
        <v>46204.0</v>
      </c>
      <c r="R350" s="185">
        <v>1.0</v>
      </c>
      <c r="S350" s="185">
        <v>7.0</v>
      </c>
      <c r="T350" s="194">
        <v>2026.0</v>
      </c>
      <c r="U350" s="74" t="s">
        <v>36</v>
      </c>
      <c r="V350" s="74">
        <v>29.23</v>
      </c>
      <c r="W350" s="343">
        <v>46204.0</v>
      </c>
      <c r="X350" s="194">
        <v>1.0</v>
      </c>
      <c r="Y350" s="194">
        <v>7.0</v>
      </c>
      <c r="Z350" s="194">
        <v>2026.0</v>
      </c>
      <c r="AA350" s="74" t="s">
        <v>36</v>
      </c>
    </row>
    <row r="351" ht="15.75" hidden="1" customHeight="1">
      <c r="A351" s="340" t="s">
        <v>1738</v>
      </c>
      <c r="B351" s="340">
        <v>6.72657306E9</v>
      </c>
      <c r="C351" s="343">
        <v>46187.0</v>
      </c>
      <c r="D351" s="194">
        <v>14.0</v>
      </c>
      <c r="E351" s="194">
        <v>6.0</v>
      </c>
      <c r="F351" s="194">
        <v>2026.0</v>
      </c>
      <c r="G351" s="343">
        <v>46188.0</v>
      </c>
      <c r="H351" s="194">
        <v>15.0</v>
      </c>
      <c r="I351" s="194">
        <v>6.0</v>
      </c>
      <c r="J351" s="194">
        <v>2026.0</v>
      </c>
      <c r="K351" s="74" t="s">
        <v>36</v>
      </c>
      <c r="L351" s="74" t="s">
        <v>1177</v>
      </c>
      <c r="M351" s="74">
        <v>1.0</v>
      </c>
      <c r="N351" s="74">
        <v>1.0</v>
      </c>
      <c r="O351" s="74"/>
      <c r="P351" s="74">
        <v>2.0</v>
      </c>
      <c r="Q351" s="343">
        <v>46204.0</v>
      </c>
      <c r="R351" s="185">
        <v>1.0</v>
      </c>
      <c r="S351" s="185">
        <v>7.0</v>
      </c>
      <c r="T351" s="194">
        <v>2026.0</v>
      </c>
      <c r="U351" s="74" t="s">
        <v>36</v>
      </c>
      <c r="V351" s="74">
        <v>37.59</v>
      </c>
      <c r="W351" s="343">
        <v>46204.0</v>
      </c>
      <c r="X351" s="194">
        <v>1.0</v>
      </c>
      <c r="Y351" s="194">
        <v>7.0</v>
      </c>
      <c r="Z351" s="194">
        <v>2026.0</v>
      </c>
      <c r="AA351" s="74" t="s">
        <v>36</v>
      </c>
    </row>
    <row r="352" ht="15.75" hidden="1" customHeight="1">
      <c r="A352" s="340" t="s">
        <v>1739</v>
      </c>
      <c r="B352" s="340">
        <v>5.939881537E9</v>
      </c>
      <c r="C352" s="343">
        <v>46178.0</v>
      </c>
      <c r="D352" s="194">
        <v>5.0</v>
      </c>
      <c r="E352" s="194">
        <v>6.0</v>
      </c>
      <c r="F352" s="194">
        <v>2026.0</v>
      </c>
      <c r="G352" s="343">
        <v>46179.0</v>
      </c>
      <c r="H352" s="194">
        <v>6.0</v>
      </c>
      <c r="I352" s="194">
        <v>6.0</v>
      </c>
      <c r="J352" s="194">
        <v>2026.0</v>
      </c>
      <c r="K352" s="74" t="s">
        <v>36</v>
      </c>
      <c r="L352" s="74" t="s">
        <v>1177</v>
      </c>
      <c r="M352" s="74">
        <v>1.0</v>
      </c>
      <c r="N352" s="74">
        <v>1.0</v>
      </c>
      <c r="O352" s="74"/>
      <c r="P352" s="74">
        <v>2.0</v>
      </c>
      <c r="Q352" s="343">
        <v>46204.0</v>
      </c>
      <c r="R352" s="185">
        <v>1.0</v>
      </c>
      <c r="S352" s="185">
        <v>7.0</v>
      </c>
      <c r="T352" s="194">
        <v>2026.0</v>
      </c>
      <c r="U352" s="74" t="s">
        <v>36</v>
      </c>
      <c r="V352" s="74">
        <v>29.23</v>
      </c>
      <c r="W352" s="343">
        <v>46204.0</v>
      </c>
      <c r="X352" s="194">
        <v>1.0</v>
      </c>
      <c r="Y352" s="194">
        <v>7.0</v>
      </c>
      <c r="Z352" s="194">
        <v>2026.0</v>
      </c>
      <c r="AA352" s="74" t="s">
        <v>36</v>
      </c>
    </row>
    <row r="353" ht="15.75" hidden="1" customHeight="1">
      <c r="A353" s="340" t="s">
        <v>1740</v>
      </c>
      <c r="B353" s="191">
        <v>5.266239674E9</v>
      </c>
      <c r="C353" s="343">
        <v>46192.0</v>
      </c>
      <c r="D353" s="194">
        <v>19.0</v>
      </c>
      <c r="E353" s="194">
        <v>6.0</v>
      </c>
      <c r="F353" s="194">
        <v>2026.0</v>
      </c>
      <c r="G353" s="343">
        <v>46194.0</v>
      </c>
      <c r="H353" s="194">
        <v>21.0</v>
      </c>
      <c r="I353" s="194">
        <v>6.0</v>
      </c>
      <c r="J353" s="194">
        <v>2026.0</v>
      </c>
      <c r="K353" s="74" t="s">
        <v>36</v>
      </c>
      <c r="L353" s="74" t="s">
        <v>1177</v>
      </c>
      <c r="M353" s="74">
        <v>1.0</v>
      </c>
      <c r="N353" s="74">
        <v>2.0</v>
      </c>
      <c r="O353" s="74"/>
      <c r="P353" s="74">
        <v>4.0</v>
      </c>
      <c r="Q353" s="343">
        <v>46204.0</v>
      </c>
      <c r="R353" s="185">
        <v>1.0</v>
      </c>
      <c r="S353" s="185">
        <v>7.0</v>
      </c>
      <c r="T353" s="194">
        <v>2026.0</v>
      </c>
      <c r="U353" s="74" t="s">
        <v>36</v>
      </c>
      <c r="V353" s="74">
        <v>58.46</v>
      </c>
      <c r="W353" s="343">
        <v>46204.0</v>
      </c>
      <c r="X353" s="194">
        <v>1.0</v>
      </c>
      <c r="Y353" s="194">
        <v>7.0</v>
      </c>
      <c r="Z353" s="194">
        <v>2026.0</v>
      </c>
      <c r="AA353" s="74" t="s">
        <v>36</v>
      </c>
    </row>
    <row r="354" ht="15.75" hidden="1" customHeight="1">
      <c r="A354" s="340" t="s">
        <v>1742</v>
      </c>
      <c r="B354" s="191">
        <v>6.914980604E9</v>
      </c>
      <c r="C354" s="343">
        <v>46192.0</v>
      </c>
      <c r="D354" s="194">
        <v>19.0</v>
      </c>
      <c r="E354" s="194">
        <v>6.0</v>
      </c>
      <c r="F354" s="194">
        <v>2026.0</v>
      </c>
      <c r="G354" s="343">
        <v>46194.0</v>
      </c>
      <c r="H354" s="194">
        <v>21.0</v>
      </c>
      <c r="I354" s="194">
        <v>6.0</v>
      </c>
      <c r="J354" s="194">
        <v>2026.0</v>
      </c>
      <c r="K354" s="74" t="s">
        <v>36</v>
      </c>
      <c r="L354" s="74" t="s">
        <v>1177</v>
      </c>
      <c r="M354" s="74">
        <v>1.0</v>
      </c>
      <c r="N354" s="74">
        <v>2.0</v>
      </c>
      <c r="O354" s="74"/>
      <c r="P354" s="74">
        <v>4.0</v>
      </c>
      <c r="Q354" s="343">
        <v>46204.0</v>
      </c>
      <c r="R354" s="185">
        <v>1.0</v>
      </c>
      <c r="S354" s="185">
        <v>7.0</v>
      </c>
      <c r="T354" s="194">
        <v>2026.0</v>
      </c>
      <c r="U354" s="74" t="s">
        <v>36</v>
      </c>
      <c r="V354" s="74">
        <v>83.54</v>
      </c>
      <c r="W354" s="343">
        <v>46204.0</v>
      </c>
      <c r="X354" s="194">
        <v>1.0</v>
      </c>
      <c r="Y354" s="194">
        <v>7.0</v>
      </c>
      <c r="Z354" s="194">
        <v>2026.0</v>
      </c>
      <c r="AA354" s="74" t="s">
        <v>36</v>
      </c>
    </row>
    <row r="355" ht="15.75" hidden="1" customHeight="1">
      <c r="A355" s="340" t="s">
        <v>1743</v>
      </c>
      <c r="B355" s="340">
        <v>5.343832278E9</v>
      </c>
      <c r="C355" s="343">
        <v>46189.0</v>
      </c>
      <c r="D355" s="194">
        <v>16.0</v>
      </c>
      <c r="E355" s="194">
        <v>6.0</v>
      </c>
      <c r="F355" s="194">
        <v>2026.0</v>
      </c>
      <c r="G355" s="343">
        <v>46190.0</v>
      </c>
      <c r="H355" s="194">
        <v>17.0</v>
      </c>
      <c r="I355" s="194">
        <v>6.0</v>
      </c>
      <c r="J355" s="194">
        <v>2026.0</v>
      </c>
      <c r="K355" s="74" t="s">
        <v>36</v>
      </c>
      <c r="L355" s="74" t="s">
        <v>1177</v>
      </c>
      <c r="M355" s="74">
        <v>1.0</v>
      </c>
      <c r="N355" s="74">
        <v>1.0</v>
      </c>
      <c r="O355" s="74"/>
      <c r="P355" s="74">
        <v>2.0</v>
      </c>
      <c r="Q355" s="343">
        <v>46204.0</v>
      </c>
      <c r="R355" s="185">
        <v>1.0</v>
      </c>
      <c r="S355" s="185">
        <v>7.0</v>
      </c>
      <c r="T355" s="194">
        <v>2026.0</v>
      </c>
      <c r="U355" s="74" t="s">
        <v>36</v>
      </c>
      <c r="V355" s="74">
        <v>37.59</v>
      </c>
      <c r="W355" s="343">
        <v>46204.0</v>
      </c>
      <c r="X355" s="194">
        <v>1.0</v>
      </c>
      <c r="Y355" s="194">
        <v>7.0</v>
      </c>
      <c r="Z355" s="194">
        <v>2026.0</v>
      </c>
      <c r="AA355" s="74" t="s">
        <v>36</v>
      </c>
    </row>
    <row r="356" ht="15.75" hidden="1" customHeight="1">
      <c r="A356" s="340" t="s">
        <v>1744</v>
      </c>
      <c r="B356" s="340">
        <v>6.306176245E9</v>
      </c>
      <c r="C356" s="343">
        <v>46182.0</v>
      </c>
      <c r="D356" s="194">
        <v>9.0</v>
      </c>
      <c r="E356" s="194">
        <v>6.0</v>
      </c>
      <c r="F356" s="194">
        <v>2026.0</v>
      </c>
      <c r="G356" s="343">
        <v>46186.0</v>
      </c>
      <c r="H356" s="194">
        <v>13.0</v>
      </c>
      <c r="I356" s="194">
        <v>6.0</v>
      </c>
      <c r="J356" s="194">
        <v>2026.0</v>
      </c>
      <c r="K356" s="74" t="s">
        <v>36</v>
      </c>
      <c r="L356" s="74" t="s">
        <v>1177</v>
      </c>
      <c r="M356" s="74">
        <v>1.0</v>
      </c>
      <c r="N356" s="74">
        <v>4.0</v>
      </c>
      <c r="O356" s="74"/>
      <c r="P356" s="74">
        <v>8.0</v>
      </c>
      <c r="Q356" s="343">
        <v>46204.0</v>
      </c>
      <c r="R356" s="185">
        <v>1.0</v>
      </c>
      <c r="S356" s="185">
        <v>7.0</v>
      </c>
      <c r="T356" s="194">
        <v>2026.0</v>
      </c>
      <c r="U356" s="74" t="s">
        <v>36</v>
      </c>
      <c r="V356" s="74">
        <v>150.37</v>
      </c>
      <c r="W356" s="343">
        <v>46204.0</v>
      </c>
      <c r="X356" s="194">
        <v>1.0</v>
      </c>
      <c r="Y356" s="194">
        <v>7.0</v>
      </c>
      <c r="Z356" s="194">
        <v>2026.0</v>
      </c>
      <c r="AA356" s="74" t="s">
        <v>36</v>
      </c>
    </row>
    <row r="357" ht="15.75" hidden="1" customHeight="1">
      <c r="A357" s="340" t="s">
        <v>1745</v>
      </c>
      <c r="B357" s="191">
        <v>6.86109326E9</v>
      </c>
      <c r="C357" s="343">
        <v>46191.0</v>
      </c>
      <c r="D357" s="194">
        <v>18.0</v>
      </c>
      <c r="E357" s="194">
        <v>6.0</v>
      </c>
      <c r="F357" s="194">
        <v>2026.0</v>
      </c>
      <c r="G357" s="343">
        <v>46192.0</v>
      </c>
      <c r="H357" s="194">
        <v>19.0</v>
      </c>
      <c r="I357" s="194">
        <v>6.0</v>
      </c>
      <c r="J357" s="194">
        <v>2026.0</v>
      </c>
      <c r="K357" s="74" t="s">
        <v>36</v>
      </c>
      <c r="L357" s="74" t="s">
        <v>1177</v>
      </c>
      <c r="M357" s="74">
        <v>1.0</v>
      </c>
      <c r="N357" s="74">
        <v>1.0</v>
      </c>
      <c r="O357" s="74"/>
      <c r="P357" s="74">
        <v>2.0</v>
      </c>
      <c r="Q357" s="343">
        <v>46204.0</v>
      </c>
      <c r="R357" s="185">
        <v>1.0</v>
      </c>
      <c r="S357" s="185">
        <v>7.0</v>
      </c>
      <c r="T357" s="194">
        <v>2026.0</v>
      </c>
      <c r="U357" s="74" t="s">
        <v>36</v>
      </c>
      <c r="V357" s="74">
        <v>29.23</v>
      </c>
      <c r="W357" s="343">
        <v>46204.0</v>
      </c>
      <c r="X357" s="194">
        <v>1.0</v>
      </c>
      <c r="Y357" s="194">
        <v>7.0</v>
      </c>
      <c r="Z357" s="194">
        <v>2026.0</v>
      </c>
      <c r="AA357" s="74" t="s">
        <v>36</v>
      </c>
    </row>
    <row r="358" ht="15.75" hidden="1" customHeight="1">
      <c r="A358" s="340" t="s">
        <v>1746</v>
      </c>
      <c r="B358" s="340">
        <v>5.847075393E9</v>
      </c>
      <c r="C358" s="343">
        <v>46188.0</v>
      </c>
      <c r="D358" s="194">
        <v>15.0</v>
      </c>
      <c r="E358" s="194">
        <v>6.0</v>
      </c>
      <c r="F358" s="194">
        <v>2026.0</v>
      </c>
      <c r="G358" s="343">
        <v>46190.0</v>
      </c>
      <c r="H358" s="194">
        <v>17.0</v>
      </c>
      <c r="I358" s="194">
        <v>6.0</v>
      </c>
      <c r="J358" s="194">
        <v>2026.0</v>
      </c>
      <c r="K358" s="74" t="s">
        <v>36</v>
      </c>
      <c r="L358" s="74" t="s">
        <v>1177</v>
      </c>
      <c r="M358" s="74">
        <v>1.0</v>
      </c>
      <c r="N358" s="74">
        <v>2.0</v>
      </c>
      <c r="O358" s="74"/>
      <c r="P358" s="74">
        <v>4.0</v>
      </c>
      <c r="Q358" s="343">
        <v>46204.0</v>
      </c>
      <c r="R358" s="185">
        <v>1.0</v>
      </c>
      <c r="S358" s="185">
        <v>7.0</v>
      </c>
      <c r="T358" s="194">
        <v>2026.0</v>
      </c>
      <c r="U358" s="74" t="s">
        <v>36</v>
      </c>
      <c r="V358" s="74">
        <v>66.82</v>
      </c>
      <c r="W358" s="343">
        <v>46204.0</v>
      </c>
      <c r="X358" s="194">
        <v>1.0</v>
      </c>
      <c r="Y358" s="194">
        <v>7.0</v>
      </c>
      <c r="Z358" s="194">
        <v>2026.0</v>
      </c>
      <c r="AA358" s="74" t="s">
        <v>36</v>
      </c>
    </row>
    <row r="359" ht="15.75" hidden="1" customHeight="1">
      <c r="A359" s="340" t="s">
        <v>1747</v>
      </c>
      <c r="B359" s="340">
        <v>6.17447792E9</v>
      </c>
      <c r="C359" s="343">
        <v>46183.0</v>
      </c>
      <c r="D359" s="194">
        <v>10.0</v>
      </c>
      <c r="E359" s="194">
        <v>6.0</v>
      </c>
      <c r="F359" s="194">
        <v>2026.0</v>
      </c>
      <c r="G359" s="343">
        <v>46184.0</v>
      </c>
      <c r="H359" s="194">
        <v>11.0</v>
      </c>
      <c r="I359" s="194">
        <v>6.0</v>
      </c>
      <c r="J359" s="194">
        <v>2026.0</v>
      </c>
      <c r="K359" s="74" t="s">
        <v>36</v>
      </c>
      <c r="L359" s="74" t="s">
        <v>1177</v>
      </c>
      <c r="M359" s="74">
        <v>1.0</v>
      </c>
      <c r="N359" s="74">
        <v>1.0</v>
      </c>
      <c r="O359" s="74"/>
      <c r="P359" s="74">
        <v>2.0</v>
      </c>
      <c r="Q359" s="343">
        <v>46204.0</v>
      </c>
      <c r="R359" s="185">
        <v>1.0</v>
      </c>
      <c r="S359" s="185">
        <v>7.0</v>
      </c>
      <c r="T359" s="194">
        <v>2026.0</v>
      </c>
      <c r="U359" s="74" t="s">
        <v>36</v>
      </c>
      <c r="V359" s="74">
        <v>37.59</v>
      </c>
      <c r="W359" s="343">
        <v>46204.0</v>
      </c>
      <c r="X359" s="194">
        <v>1.0</v>
      </c>
      <c r="Y359" s="194">
        <v>7.0</v>
      </c>
      <c r="Z359" s="194">
        <v>2026.0</v>
      </c>
      <c r="AA359" s="74" t="s">
        <v>36</v>
      </c>
    </row>
    <row r="360" ht="15.75" hidden="1" customHeight="1">
      <c r="A360" s="340" t="s">
        <v>1748</v>
      </c>
      <c r="B360" s="191">
        <v>5.628755792E9</v>
      </c>
      <c r="C360" s="343">
        <v>46201.0</v>
      </c>
      <c r="D360" s="194">
        <v>28.0</v>
      </c>
      <c r="E360" s="194">
        <v>6.0</v>
      </c>
      <c r="F360" s="194">
        <v>2026.0</v>
      </c>
      <c r="G360" s="343">
        <v>46203.0</v>
      </c>
      <c r="H360" s="194">
        <v>30.0</v>
      </c>
      <c r="I360" s="194">
        <v>6.0</v>
      </c>
      <c r="J360" s="194">
        <v>2026.0</v>
      </c>
      <c r="K360" s="74" t="s">
        <v>36</v>
      </c>
      <c r="L360" s="74" t="s">
        <v>1177</v>
      </c>
      <c r="M360" s="74">
        <v>1.0</v>
      </c>
      <c r="N360" s="74">
        <v>2.0</v>
      </c>
      <c r="O360" s="74"/>
      <c r="P360" s="74">
        <v>4.0</v>
      </c>
      <c r="Q360" s="343">
        <v>46204.0</v>
      </c>
      <c r="R360" s="185">
        <v>1.0</v>
      </c>
      <c r="S360" s="185">
        <v>7.0</v>
      </c>
      <c r="T360" s="194">
        <v>2026.0</v>
      </c>
      <c r="U360" s="74" t="s">
        <v>36</v>
      </c>
      <c r="V360" s="74">
        <v>75.18</v>
      </c>
      <c r="W360" s="343">
        <v>46204.0</v>
      </c>
      <c r="X360" s="194">
        <v>1.0</v>
      </c>
      <c r="Y360" s="194">
        <v>7.0</v>
      </c>
      <c r="Z360" s="194">
        <v>2026.0</v>
      </c>
      <c r="AA360" s="74" t="s">
        <v>36</v>
      </c>
    </row>
    <row r="361" ht="15.75" hidden="1" customHeight="1">
      <c r="A361" s="340" t="s">
        <v>1749</v>
      </c>
      <c r="B361" s="191">
        <v>5.642823453E9</v>
      </c>
      <c r="C361" s="343">
        <v>46194.0</v>
      </c>
      <c r="D361" s="194">
        <v>21.0</v>
      </c>
      <c r="E361" s="194">
        <v>6.0</v>
      </c>
      <c r="F361" s="194">
        <v>2026.0</v>
      </c>
      <c r="G361" s="343">
        <v>46195.0</v>
      </c>
      <c r="H361" s="194">
        <v>22.0</v>
      </c>
      <c r="I361" s="194">
        <v>6.0</v>
      </c>
      <c r="J361" s="194">
        <v>2026.0</v>
      </c>
      <c r="K361" s="74" t="s">
        <v>36</v>
      </c>
      <c r="L361" s="74" t="s">
        <v>1177</v>
      </c>
      <c r="M361" s="74">
        <v>1.0</v>
      </c>
      <c r="N361" s="74">
        <v>1.0</v>
      </c>
      <c r="O361" s="74"/>
      <c r="P361" s="74">
        <v>2.0</v>
      </c>
      <c r="Q361" s="343">
        <v>46204.0</v>
      </c>
      <c r="R361" s="185">
        <v>1.0</v>
      </c>
      <c r="S361" s="185">
        <v>7.0</v>
      </c>
      <c r="T361" s="194">
        <v>2026.0</v>
      </c>
      <c r="U361" s="74" t="s">
        <v>36</v>
      </c>
      <c r="V361" s="74">
        <v>29.23</v>
      </c>
      <c r="W361" s="343">
        <v>46204.0</v>
      </c>
      <c r="X361" s="194">
        <v>1.0</v>
      </c>
      <c r="Y361" s="194">
        <v>7.0</v>
      </c>
      <c r="Z361" s="194">
        <v>2026.0</v>
      </c>
      <c r="AA361" s="74" t="s">
        <v>36</v>
      </c>
    </row>
    <row r="362" ht="15.75" hidden="1" customHeight="1">
      <c r="A362" s="340" t="s">
        <v>1750</v>
      </c>
      <c r="B362" s="191">
        <v>5.320913041E9</v>
      </c>
      <c r="C362" s="343">
        <v>46200.0</v>
      </c>
      <c r="D362" s="194">
        <v>27.0</v>
      </c>
      <c r="E362" s="194">
        <v>6.0</v>
      </c>
      <c r="F362" s="194">
        <v>2026.0</v>
      </c>
      <c r="G362" s="343">
        <v>46202.0</v>
      </c>
      <c r="H362" s="194">
        <v>29.0</v>
      </c>
      <c r="I362" s="194">
        <v>6.0</v>
      </c>
      <c r="J362" s="194">
        <v>2026.0</v>
      </c>
      <c r="K362" s="74" t="s">
        <v>36</v>
      </c>
      <c r="L362" s="74" t="s">
        <v>1177</v>
      </c>
      <c r="M362" s="74">
        <v>1.0</v>
      </c>
      <c r="N362" s="74">
        <v>2.0</v>
      </c>
      <c r="O362" s="74"/>
      <c r="P362" s="74">
        <v>4.0</v>
      </c>
      <c r="Q362" s="343">
        <v>46204.0</v>
      </c>
      <c r="R362" s="185">
        <v>1.0</v>
      </c>
      <c r="S362" s="185">
        <v>7.0</v>
      </c>
      <c r="T362" s="194">
        <v>2026.0</v>
      </c>
      <c r="U362" s="74" t="s">
        <v>36</v>
      </c>
      <c r="V362" s="74">
        <v>75.18</v>
      </c>
      <c r="W362" s="343">
        <v>46204.0</v>
      </c>
      <c r="X362" s="194">
        <v>1.0</v>
      </c>
      <c r="Y362" s="194">
        <v>7.0</v>
      </c>
      <c r="Z362" s="194">
        <v>2026.0</v>
      </c>
      <c r="AA362" s="74" t="s">
        <v>36</v>
      </c>
    </row>
    <row r="363" ht="15.75" hidden="1" customHeight="1">
      <c r="A363" s="340" t="s">
        <v>1751</v>
      </c>
      <c r="B363" s="191">
        <v>5.344703326E9</v>
      </c>
      <c r="C363" s="343">
        <v>46175.0</v>
      </c>
      <c r="D363" s="194">
        <v>2.0</v>
      </c>
      <c r="E363" s="194">
        <v>6.0</v>
      </c>
      <c r="F363" s="194">
        <v>2026.0</v>
      </c>
      <c r="G363" s="343">
        <v>46178.0</v>
      </c>
      <c r="H363" s="194">
        <v>5.0</v>
      </c>
      <c r="I363" s="194">
        <v>6.0</v>
      </c>
      <c r="J363" s="194">
        <v>2026.0</v>
      </c>
      <c r="K363" s="74" t="s">
        <v>36</v>
      </c>
      <c r="L363" s="74" t="s">
        <v>1177</v>
      </c>
      <c r="M363" s="74">
        <v>1.0</v>
      </c>
      <c r="N363" s="74">
        <v>3.0</v>
      </c>
      <c r="O363" s="74"/>
      <c r="P363" s="74">
        <v>6.0</v>
      </c>
      <c r="Q363" s="343">
        <v>46204.0</v>
      </c>
      <c r="R363" s="185">
        <v>1.0</v>
      </c>
      <c r="S363" s="185">
        <v>7.0</v>
      </c>
      <c r="T363" s="194">
        <v>2026.0</v>
      </c>
      <c r="U363" s="74" t="s">
        <v>36</v>
      </c>
      <c r="V363" s="74">
        <v>87.7</v>
      </c>
      <c r="W363" s="343">
        <v>46204.0</v>
      </c>
      <c r="X363" s="194">
        <v>1.0</v>
      </c>
      <c r="Y363" s="194">
        <v>7.0</v>
      </c>
      <c r="Z363" s="194">
        <v>2026.0</v>
      </c>
      <c r="AA363" s="74" t="s">
        <v>36</v>
      </c>
    </row>
    <row r="364" ht="15.75" hidden="1" customHeight="1">
      <c r="A364" s="340" t="s">
        <v>1752</v>
      </c>
      <c r="B364" s="340">
        <v>6.452751416E9</v>
      </c>
      <c r="C364" s="343">
        <v>46174.0</v>
      </c>
      <c r="D364" s="194">
        <v>1.0</v>
      </c>
      <c r="E364" s="194">
        <v>6.0</v>
      </c>
      <c r="F364" s="194">
        <v>2026.0</v>
      </c>
      <c r="G364" s="343">
        <v>46179.0</v>
      </c>
      <c r="H364" s="194">
        <v>6.0</v>
      </c>
      <c r="I364" s="194">
        <v>6.0</v>
      </c>
      <c r="J364" s="194">
        <v>2026.0</v>
      </c>
      <c r="K364" s="74" t="s">
        <v>36</v>
      </c>
      <c r="L364" s="74" t="s">
        <v>1177</v>
      </c>
      <c r="M364" s="74">
        <v>1.0</v>
      </c>
      <c r="N364" s="74">
        <v>5.0</v>
      </c>
      <c r="O364" s="74"/>
      <c r="P364" s="74">
        <v>10.0</v>
      </c>
      <c r="Q364" s="343">
        <v>46204.0</v>
      </c>
      <c r="R364" s="185">
        <v>1.0</v>
      </c>
      <c r="S364" s="185">
        <v>7.0</v>
      </c>
      <c r="T364" s="194">
        <v>2026.0</v>
      </c>
      <c r="U364" s="74" t="s">
        <v>36</v>
      </c>
      <c r="V364" s="74">
        <v>187.96</v>
      </c>
      <c r="W364" s="343">
        <v>46204.0</v>
      </c>
      <c r="X364" s="194">
        <v>1.0</v>
      </c>
      <c r="Y364" s="194">
        <v>7.0</v>
      </c>
      <c r="Z364" s="194">
        <v>2026.0</v>
      </c>
      <c r="AA364" s="74" t="s">
        <v>36</v>
      </c>
    </row>
    <row r="365" ht="15.75" hidden="1" customHeight="1">
      <c r="A365" s="340" t="s">
        <v>1753</v>
      </c>
      <c r="B365" s="340">
        <v>5.866259518E9</v>
      </c>
      <c r="C365" s="343">
        <v>46189.0</v>
      </c>
      <c r="D365" s="194">
        <v>16.0</v>
      </c>
      <c r="E365" s="194">
        <v>6.0</v>
      </c>
      <c r="F365" s="194">
        <v>2026.0</v>
      </c>
      <c r="G365" s="343">
        <v>46190.0</v>
      </c>
      <c r="H365" s="194">
        <v>17.0</v>
      </c>
      <c r="I365" s="194">
        <v>6.0</v>
      </c>
      <c r="J365" s="194">
        <v>2026.0</v>
      </c>
      <c r="K365" s="74" t="s">
        <v>36</v>
      </c>
      <c r="L365" s="74" t="s">
        <v>1177</v>
      </c>
      <c r="M365" s="74">
        <v>1.0</v>
      </c>
      <c r="N365" s="74">
        <v>1.0</v>
      </c>
      <c r="O365" s="74"/>
      <c r="P365" s="74">
        <v>2.0</v>
      </c>
      <c r="Q365" s="343">
        <v>46204.0</v>
      </c>
      <c r="R365" s="185">
        <v>1.0</v>
      </c>
      <c r="S365" s="185">
        <v>7.0</v>
      </c>
      <c r="T365" s="194">
        <v>2026.0</v>
      </c>
      <c r="U365" s="74" t="s">
        <v>36</v>
      </c>
      <c r="V365" s="74">
        <v>37.59</v>
      </c>
      <c r="W365" s="343">
        <v>46204.0</v>
      </c>
      <c r="X365" s="194">
        <v>1.0</v>
      </c>
      <c r="Y365" s="194">
        <v>7.0</v>
      </c>
      <c r="Z365" s="194">
        <v>2026.0</v>
      </c>
      <c r="AA365" s="74" t="s">
        <v>36</v>
      </c>
    </row>
    <row r="366" ht="15.75" hidden="1" customHeight="1">
      <c r="A366" s="340" t="s">
        <v>1754</v>
      </c>
      <c r="B366" s="340">
        <v>6.523634169E9</v>
      </c>
      <c r="C366" s="343">
        <v>46181.0</v>
      </c>
      <c r="D366" s="194">
        <v>8.0</v>
      </c>
      <c r="E366" s="194">
        <v>6.0</v>
      </c>
      <c r="F366" s="194">
        <v>2026.0</v>
      </c>
      <c r="G366" s="343">
        <v>46182.0</v>
      </c>
      <c r="H366" s="194">
        <v>9.0</v>
      </c>
      <c r="I366" s="194">
        <v>6.0</v>
      </c>
      <c r="J366" s="194">
        <v>2026.0</v>
      </c>
      <c r="K366" s="74" t="s">
        <v>36</v>
      </c>
      <c r="L366" s="74" t="s">
        <v>1177</v>
      </c>
      <c r="M366" s="74">
        <v>1.0</v>
      </c>
      <c r="N366" s="74">
        <v>1.0</v>
      </c>
      <c r="O366" s="74"/>
      <c r="P366" s="74">
        <v>2.0</v>
      </c>
      <c r="Q366" s="343">
        <v>46204.0</v>
      </c>
      <c r="R366" s="185">
        <v>1.0</v>
      </c>
      <c r="S366" s="185">
        <v>7.0</v>
      </c>
      <c r="T366" s="194">
        <v>2026.0</v>
      </c>
      <c r="U366" s="74" t="s">
        <v>36</v>
      </c>
      <c r="V366" s="74">
        <v>37.59</v>
      </c>
      <c r="W366" s="343">
        <v>46204.0</v>
      </c>
      <c r="X366" s="194">
        <v>1.0</v>
      </c>
      <c r="Y366" s="194">
        <v>7.0</v>
      </c>
      <c r="Z366" s="194">
        <v>2026.0</v>
      </c>
      <c r="AA366" s="74" t="s">
        <v>36</v>
      </c>
    </row>
    <row r="367" ht="15.75" hidden="1" customHeight="1">
      <c r="A367" s="340" t="s">
        <v>1755</v>
      </c>
      <c r="B367" s="191">
        <v>6.749161314E9</v>
      </c>
      <c r="C367" s="343">
        <v>46196.0</v>
      </c>
      <c r="D367" s="194">
        <v>23.0</v>
      </c>
      <c r="E367" s="194">
        <v>6.0</v>
      </c>
      <c r="F367" s="194">
        <v>2026.0</v>
      </c>
      <c r="G367" s="343">
        <v>46198.0</v>
      </c>
      <c r="H367" s="194">
        <v>25.0</v>
      </c>
      <c r="I367" s="194">
        <v>6.0</v>
      </c>
      <c r="J367" s="194">
        <v>2026.0</v>
      </c>
      <c r="K367" s="74" t="s">
        <v>36</v>
      </c>
      <c r="L367" s="74" t="s">
        <v>1177</v>
      </c>
      <c r="M367" s="74">
        <v>1.0</v>
      </c>
      <c r="N367" s="74">
        <v>2.0</v>
      </c>
      <c r="O367" s="74"/>
      <c r="P367" s="74">
        <v>4.0</v>
      </c>
      <c r="Q367" s="343">
        <v>46204.0</v>
      </c>
      <c r="R367" s="185">
        <v>1.0</v>
      </c>
      <c r="S367" s="185">
        <v>7.0</v>
      </c>
      <c r="T367" s="194">
        <v>2026.0</v>
      </c>
      <c r="U367" s="74" t="s">
        <v>36</v>
      </c>
      <c r="V367" s="74">
        <v>58.46</v>
      </c>
      <c r="W367" s="343">
        <v>46204.0</v>
      </c>
      <c r="X367" s="194">
        <v>1.0</v>
      </c>
      <c r="Y367" s="194">
        <v>7.0</v>
      </c>
      <c r="Z367" s="194">
        <v>2026.0</v>
      </c>
      <c r="AA367" s="74" t="s">
        <v>36</v>
      </c>
    </row>
    <row r="368" ht="15.75" hidden="1" customHeight="1">
      <c r="A368" s="340" t="s">
        <v>1756</v>
      </c>
      <c r="B368" s="340">
        <v>5.359691801E9</v>
      </c>
      <c r="C368" s="343">
        <v>46179.0</v>
      </c>
      <c r="D368" s="194">
        <v>6.0</v>
      </c>
      <c r="E368" s="194">
        <v>6.0</v>
      </c>
      <c r="F368" s="194">
        <v>2026.0</v>
      </c>
      <c r="G368" s="343">
        <v>46181.0</v>
      </c>
      <c r="H368" s="194">
        <v>8.0</v>
      </c>
      <c r="I368" s="194">
        <v>6.0</v>
      </c>
      <c r="J368" s="194">
        <v>2026.0</v>
      </c>
      <c r="K368" s="74" t="s">
        <v>36</v>
      </c>
      <c r="L368" s="74" t="s">
        <v>1177</v>
      </c>
      <c r="M368" s="74">
        <v>1.0</v>
      </c>
      <c r="N368" s="74">
        <v>2.0</v>
      </c>
      <c r="O368" s="74"/>
      <c r="P368" s="74">
        <v>4.0</v>
      </c>
      <c r="Q368" s="343">
        <v>46204.0</v>
      </c>
      <c r="R368" s="185">
        <v>1.0</v>
      </c>
      <c r="S368" s="185">
        <v>7.0</v>
      </c>
      <c r="T368" s="194">
        <v>2026.0</v>
      </c>
      <c r="U368" s="74" t="s">
        <v>36</v>
      </c>
      <c r="V368" s="74">
        <v>75.18</v>
      </c>
      <c r="W368" s="343">
        <v>46204.0</v>
      </c>
      <c r="X368" s="194">
        <v>1.0</v>
      </c>
      <c r="Y368" s="194">
        <v>7.0</v>
      </c>
      <c r="Z368" s="194">
        <v>2026.0</v>
      </c>
      <c r="AA368" s="74" t="s">
        <v>36</v>
      </c>
    </row>
    <row r="369" ht="15.75" hidden="1" customHeight="1">
      <c r="A369" s="340" t="s">
        <v>1757</v>
      </c>
      <c r="B369" s="191">
        <v>6.795913826E9</v>
      </c>
      <c r="C369" s="343">
        <v>46189.0</v>
      </c>
      <c r="D369" s="194">
        <v>16.0</v>
      </c>
      <c r="E369" s="194">
        <v>6.0</v>
      </c>
      <c r="F369" s="194">
        <v>2026.0</v>
      </c>
      <c r="G369" s="343">
        <v>46192.0</v>
      </c>
      <c r="H369" s="194">
        <v>19.0</v>
      </c>
      <c r="I369" s="194">
        <v>6.0</v>
      </c>
      <c r="J369" s="194">
        <v>2026.0</v>
      </c>
      <c r="K369" s="74" t="s">
        <v>36</v>
      </c>
      <c r="L369" s="74" t="s">
        <v>1653</v>
      </c>
      <c r="M369" s="74">
        <v>1.0</v>
      </c>
      <c r="N369" s="74">
        <v>3.0</v>
      </c>
      <c r="O369" s="74"/>
      <c r="P369" s="74">
        <v>0.0</v>
      </c>
      <c r="Q369" s="343">
        <v>46204.0</v>
      </c>
      <c r="R369" s="185">
        <v>1.0</v>
      </c>
      <c r="S369" s="185">
        <v>7.0</v>
      </c>
      <c r="T369" s="194">
        <v>2026.0</v>
      </c>
      <c r="U369" s="74" t="s">
        <v>36</v>
      </c>
      <c r="V369" s="74">
        <v>37.62</v>
      </c>
      <c r="W369" s="343">
        <v>46204.0</v>
      </c>
      <c r="X369" s="194">
        <v>1.0</v>
      </c>
      <c r="Y369" s="194">
        <v>7.0</v>
      </c>
      <c r="Z369" s="194">
        <v>2026.0</v>
      </c>
      <c r="AA369" s="74" t="s">
        <v>36</v>
      </c>
    </row>
    <row r="370" ht="15.75" hidden="1" customHeight="1">
      <c r="A370" s="340" t="s">
        <v>1758</v>
      </c>
      <c r="B370" s="340">
        <v>5.361507687E9</v>
      </c>
      <c r="C370" s="343">
        <v>46180.0</v>
      </c>
      <c r="D370" s="194">
        <v>7.0</v>
      </c>
      <c r="E370" s="194">
        <v>6.0</v>
      </c>
      <c r="F370" s="194">
        <v>2026.0</v>
      </c>
      <c r="G370" s="343">
        <v>46184.0</v>
      </c>
      <c r="H370" s="194">
        <v>11.0</v>
      </c>
      <c r="I370" s="194">
        <v>6.0</v>
      </c>
      <c r="J370" s="194">
        <v>2026.0</v>
      </c>
      <c r="K370" s="74" t="s">
        <v>36</v>
      </c>
      <c r="L370" s="74" t="s">
        <v>1177</v>
      </c>
      <c r="M370" s="74">
        <v>1.0</v>
      </c>
      <c r="N370" s="74">
        <v>4.0</v>
      </c>
      <c r="O370" s="74"/>
      <c r="P370" s="74">
        <v>8.0</v>
      </c>
      <c r="Q370" s="343">
        <v>46204.0</v>
      </c>
      <c r="R370" s="185">
        <v>1.0</v>
      </c>
      <c r="S370" s="185">
        <v>7.0</v>
      </c>
      <c r="T370" s="194">
        <v>2026.0</v>
      </c>
      <c r="U370" s="74" t="s">
        <v>36</v>
      </c>
      <c r="V370" s="74">
        <v>167.09</v>
      </c>
      <c r="W370" s="343">
        <v>46204.0</v>
      </c>
      <c r="X370" s="194">
        <v>1.0</v>
      </c>
      <c r="Y370" s="194">
        <v>7.0</v>
      </c>
      <c r="Z370" s="194">
        <v>2026.0</v>
      </c>
      <c r="AA370" s="74" t="s">
        <v>36</v>
      </c>
    </row>
    <row r="371" ht="15.75" hidden="1" customHeight="1">
      <c r="A371" s="340" t="s">
        <v>1761</v>
      </c>
      <c r="B371" s="340">
        <v>5.711860982E9</v>
      </c>
      <c r="C371" s="343">
        <v>46175.0</v>
      </c>
      <c r="D371" s="194">
        <v>2.0</v>
      </c>
      <c r="E371" s="194">
        <v>6.0</v>
      </c>
      <c r="F371" s="194">
        <v>2026.0</v>
      </c>
      <c r="G371" s="343">
        <v>46178.0</v>
      </c>
      <c r="H371" s="194">
        <v>5.0</v>
      </c>
      <c r="I371" s="194">
        <v>6.0</v>
      </c>
      <c r="J371" s="194">
        <v>2026.0</v>
      </c>
      <c r="K371" s="74" t="s">
        <v>36</v>
      </c>
      <c r="L371" s="74" t="s">
        <v>1177</v>
      </c>
      <c r="M371" s="74">
        <v>1.0</v>
      </c>
      <c r="N371" s="74">
        <v>3.0</v>
      </c>
      <c r="O371" s="74"/>
      <c r="P371" s="74">
        <v>6.0</v>
      </c>
      <c r="Q371" s="343">
        <v>46204.0</v>
      </c>
      <c r="R371" s="185">
        <v>1.0</v>
      </c>
      <c r="S371" s="185">
        <v>7.0</v>
      </c>
      <c r="T371" s="194">
        <v>2026.0</v>
      </c>
      <c r="U371" s="74" t="s">
        <v>36</v>
      </c>
      <c r="V371" s="74">
        <v>87.7</v>
      </c>
      <c r="W371" s="343">
        <v>46204.0</v>
      </c>
      <c r="X371" s="194">
        <v>1.0</v>
      </c>
      <c r="Y371" s="194">
        <v>7.0</v>
      </c>
      <c r="Z371" s="194">
        <v>2026.0</v>
      </c>
      <c r="AA371" s="74" t="s">
        <v>36</v>
      </c>
    </row>
    <row r="372" ht="15.75" hidden="1" customHeight="1">
      <c r="A372" s="340" t="s">
        <v>1762</v>
      </c>
      <c r="B372" s="191">
        <v>5.368695626E9</v>
      </c>
      <c r="C372" s="343">
        <v>46194.0</v>
      </c>
      <c r="D372" s="194">
        <v>21.0</v>
      </c>
      <c r="E372" s="194">
        <v>6.0</v>
      </c>
      <c r="F372" s="194">
        <v>2026.0</v>
      </c>
      <c r="G372" s="343">
        <v>46195.0</v>
      </c>
      <c r="H372" s="194">
        <v>22.0</v>
      </c>
      <c r="I372" s="194">
        <v>6.0</v>
      </c>
      <c r="J372" s="194">
        <v>2026.0</v>
      </c>
      <c r="K372" s="74" t="s">
        <v>36</v>
      </c>
      <c r="L372" s="74" t="s">
        <v>1177</v>
      </c>
      <c r="M372" s="74">
        <v>1.0</v>
      </c>
      <c r="N372" s="74">
        <v>1.0</v>
      </c>
      <c r="O372" s="74"/>
      <c r="P372" s="74">
        <v>2.0</v>
      </c>
      <c r="Q372" s="343">
        <v>46204.0</v>
      </c>
      <c r="R372" s="185">
        <v>1.0</v>
      </c>
      <c r="S372" s="185">
        <v>7.0</v>
      </c>
      <c r="T372" s="194">
        <v>2026.0</v>
      </c>
      <c r="U372" s="74" t="s">
        <v>36</v>
      </c>
      <c r="V372" s="74">
        <v>29.23</v>
      </c>
      <c r="W372" s="343">
        <v>46204.0</v>
      </c>
      <c r="X372" s="194">
        <v>1.0</v>
      </c>
      <c r="Y372" s="194">
        <v>7.0</v>
      </c>
      <c r="Z372" s="194">
        <v>2026.0</v>
      </c>
      <c r="AA372" s="74" t="s">
        <v>36</v>
      </c>
    </row>
    <row r="373" ht="15.75" hidden="1" customHeight="1">
      <c r="A373" s="340" t="s">
        <v>1763</v>
      </c>
      <c r="B373" s="340">
        <v>6.122977976E9</v>
      </c>
      <c r="C373" s="343">
        <v>46184.0</v>
      </c>
      <c r="D373" s="194">
        <v>11.0</v>
      </c>
      <c r="E373" s="194">
        <v>6.0</v>
      </c>
      <c r="F373" s="194">
        <v>2026.0</v>
      </c>
      <c r="G373" s="343">
        <v>46185.0</v>
      </c>
      <c r="H373" s="194">
        <v>12.0</v>
      </c>
      <c r="I373" s="194">
        <v>6.0</v>
      </c>
      <c r="J373" s="194">
        <v>2026.0</v>
      </c>
      <c r="K373" s="74" t="s">
        <v>36</v>
      </c>
      <c r="L373" s="74" t="s">
        <v>1177</v>
      </c>
      <c r="M373" s="74">
        <v>1.0</v>
      </c>
      <c r="N373" s="74">
        <v>1.0</v>
      </c>
      <c r="O373" s="74"/>
      <c r="P373" s="74">
        <v>2.0</v>
      </c>
      <c r="Q373" s="343">
        <v>46204.0</v>
      </c>
      <c r="R373" s="185">
        <v>1.0</v>
      </c>
      <c r="S373" s="185">
        <v>7.0</v>
      </c>
      <c r="T373" s="194">
        <v>2026.0</v>
      </c>
      <c r="U373" s="74" t="s">
        <v>36</v>
      </c>
      <c r="V373" s="74">
        <v>37.59</v>
      </c>
      <c r="W373" s="343">
        <v>46204.0</v>
      </c>
      <c r="X373" s="194">
        <v>1.0</v>
      </c>
      <c r="Y373" s="194">
        <v>7.0</v>
      </c>
      <c r="Z373" s="194">
        <v>2026.0</v>
      </c>
      <c r="AA373" s="74" t="s">
        <v>36</v>
      </c>
    </row>
    <row r="374" ht="15.75" hidden="1" customHeight="1">
      <c r="A374" s="340" t="s">
        <v>1764</v>
      </c>
      <c r="B374" s="340">
        <v>5.295895167E9</v>
      </c>
      <c r="C374" s="343">
        <v>46181.0</v>
      </c>
      <c r="D374" s="194">
        <v>8.0</v>
      </c>
      <c r="E374" s="194">
        <v>6.0</v>
      </c>
      <c r="F374" s="194">
        <v>2026.0</v>
      </c>
      <c r="G374" s="343">
        <v>46182.0</v>
      </c>
      <c r="H374" s="194">
        <v>9.0</v>
      </c>
      <c r="I374" s="194">
        <v>6.0</v>
      </c>
      <c r="J374" s="194">
        <v>2026.0</v>
      </c>
      <c r="K374" s="74" t="s">
        <v>36</v>
      </c>
      <c r="L374" s="74" t="s">
        <v>1177</v>
      </c>
      <c r="M374" s="74">
        <v>1.0</v>
      </c>
      <c r="N374" s="74">
        <v>1.0</v>
      </c>
      <c r="O374" s="74"/>
      <c r="P374" s="74">
        <v>2.0</v>
      </c>
      <c r="Q374" s="343">
        <v>46204.0</v>
      </c>
      <c r="R374" s="185">
        <v>1.0</v>
      </c>
      <c r="S374" s="185">
        <v>7.0</v>
      </c>
      <c r="T374" s="194">
        <v>2026.0</v>
      </c>
      <c r="U374" s="74" t="s">
        <v>36</v>
      </c>
      <c r="V374" s="74">
        <v>35.08</v>
      </c>
      <c r="W374" s="343">
        <v>46204.0</v>
      </c>
      <c r="X374" s="194">
        <v>1.0</v>
      </c>
      <c r="Y374" s="194">
        <v>7.0</v>
      </c>
      <c r="Z374" s="194">
        <v>2026.0</v>
      </c>
      <c r="AA374" s="74" t="s">
        <v>36</v>
      </c>
    </row>
    <row r="375" ht="15.75" hidden="1" customHeight="1">
      <c r="A375" s="340" t="s">
        <v>1765</v>
      </c>
      <c r="B375" s="340">
        <v>5.496088262E9</v>
      </c>
      <c r="C375" s="343">
        <v>46184.0</v>
      </c>
      <c r="D375" s="194">
        <v>11.0</v>
      </c>
      <c r="E375" s="194">
        <v>6.0</v>
      </c>
      <c r="F375" s="194">
        <v>2026.0</v>
      </c>
      <c r="G375" s="343">
        <v>46189.0</v>
      </c>
      <c r="H375" s="194">
        <v>16.0</v>
      </c>
      <c r="I375" s="194">
        <v>6.0</v>
      </c>
      <c r="J375" s="194">
        <v>2026.0</v>
      </c>
      <c r="K375" s="74" t="s">
        <v>36</v>
      </c>
      <c r="L375" s="74" t="s">
        <v>1177</v>
      </c>
      <c r="M375" s="74">
        <v>1.0</v>
      </c>
      <c r="N375" s="74">
        <v>5.0</v>
      </c>
      <c r="O375" s="74"/>
      <c r="P375" s="74">
        <v>10.0</v>
      </c>
      <c r="Q375" s="343">
        <v>46204.0</v>
      </c>
      <c r="R375" s="185">
        <v>1.0</v>
      </c>
      <c r="S375" s="185">
        <v>7.0</v>
      </c>
      <c r="T375" s="194">
        <v>2026.0</v>
      </c>
      <c r="U375" s="74" t="s">
        <v>36</v>
      </c>
      <c r="V375" s="74">
        <v>196.32</v>
      </c>
      <c r="W375" s="343">
        <v>46204.0</v>
      </c>
      <c r="X375" s="194">
        <v>1.0</v>
      </c>
      <c r="Y375" s="194">
        <v>7.0</v>
      </c>
      <c r="Z375" s="194">
        <v>2026.0</v>
      </c>
      <c r="AA375" s="74" t="s">
        <v>36</v>
      </c>
    </row>
    <row r="376" ht="15.75" hidden="1" customHeight="1">
      <c r="A376" s="340" t="s">
        <v>1766</v>
      </c>
      <c r="B376" s="191">
        <v>5.84399933E9</v>
      </c>
      <c r="C376" s="343">
        <v>46174.0</v>
      </c>
      <c r="D376" s="194">
        <v>1.0</v>
      </c>
      <c r="E376" s="194">
        <v>6.0</v>
      </c>
      <c r="F376" s="194">
        <v>2026.0</v>
      </c>
      <c r="G376" s="343">
        <v>46175.0</v>
      </c>
      <c r="H376" s="194">
        <v>2.0</v>
      </c>
      <c r="I376" s="194">
        <v>6.0</v>
      </c>
      <c r="J376" s="194">
        <v>2026.0</v>
      </c>
      <c r="K376" s="74" t="s">
        <v>36</v>
      </c>
      <c r="L376" s="74" t="s">
        <v>1177</v>
      </c>
      <c r="M376" s="74">
        <v>1.0</v>
      </c>
      <c r="N376" s="74">
        <v>1.0</v>
      </c>
      <c r="O376" s="74"/>
      <c r="P376" s="74">
        <v>2.0</v>
      </c>
      <c r="Q376" s="343">
        <v>46204.0</v>
      </c>
      <c r="R376" s="185">
        <v>1.0</v>
      </c>
      <c r="S376" s="185">
        <v>7.0</v>
      </c>
      <c r="T376" s="194">
        <v>2026.0</v>
      </c>
      <c r="U376" s="74" t="s">
        <v>36</v>
      </c>
      <c r="V376" s="74">
        <v>29.23</v>
      </c>
      <c r="W376" s="343">
        <v>46204.0</v>
      </c>
      <c r="X376" s="194">
        <v>1.0</v>
      </c>
      <c r="Y376" s="194">
        <v>7.0</v>
      </c>
      <c r="Z376" s="194">
        <v>2026.0</v>
      </c>
      <c r="AA376" s="74" t="s">
        <v>36</v>
      </c>
    </row>
    <row r="377" ht="15.75" hidden="1" customHeight="1">
      <c r="A377" s="340" t="s">
        <v>1767</v>
      </c>
      <c r="B377" s="191">
        <v>6.991294496E9</v>
      </c>
      <c r="C377" s="343">
        <v>46196.0</v>
      </c>
      <c r="D377" s="194">
        <v>23.0</v>
      </c>
      <c r="E377" s="194">
        <v>6.0</v>
      </c>
      <c r="F377" s="194">
        <v>2026.0</v>
      </c>
      <c r="G377" s="343">
        <v>46198.0</v>
      </c>
      <c r="H377" s="194">
        <v>25.0</v>
      </c>
      <c r="I377" s="194">
        <v>6.0</v>
      </c>
      <c r="J377" s="194">
        <v>2026.0</v>
      </c>
      <c r="K377" s="74" t="s">
        <v>36</v>
      </c>
      <c r="L377" s="74" t="s">
        <v>1177</v>
      </c>
      <c r="M377" s="74">
        <v>1.0</v>
      </c>
      <c r="N377" s="74">
        <v>2.0</v>
      </c>
      <c r="O377" s="74"/>
      <c r="P377" s="74">
        <v>4.0</v>
      </c>
      <c r="Q377" s="343">
        <v>46204.0</v>
      </c>
      <c r="R377" s="185">
        <v>1.0</v>
      </c>
      <c r="S377" s="185">
        <v>7.0</v>
      </c>
      <c r="T377" s="194">
        <v>2026.0</v>
      </c>
      <c r="U377" s="74" t="s">
        <v>36</v>
      </c>
      <c r="V377" s="74">
        <v>75.18</v>
      </c>
      <c r="W377" s="343">
        <v>46204.0</v>
      </c>
      <c r="X377" s="194">
        <v>1.0</v>
      </c>
      <c r="Y377" s="194">
        <v>7.0</v>
      </c>
      <c r="Z377" s="194">
        <v>2026.0</v>
      </c>
      <c r="AA377" s="74" t="s">
        <v>36</v>
      </c>
    </row>
    <row r="378" ht="15.75" hidden="1" customHeight="1">
      <c r="A378" s="340" t="s">
        <v>1768</v>
      </c>
      <c r="B378" s="191">
        <v>5.6693112E9</v>
      </c>
      <c r="C378" s="343">
        <v>46197.0</v>
      </c>
      <c r="D378" s="194">
        <v>24.0</v>
      </c>
      <c r="E378" s="194">
        <v>6.0</v>
      </c>
      <c r="F378" s="194">
        <v>2026.0</v>
      </c>
      <c r="G378" s="343">
        <v>46198.0</v>
      </c>
      <c r="H378" s="194">
        <v>25.0</v>
      </c>
      <c r="I378" s="194">
        <v>6.0</v>
      </c>
      <c r="J378" s="194">
        <v>2026.0</v>
      </c>
      <c r="K378" s="74" t="s">
        <v>36</v>
      </c>
      <c r="L378" s="74" t="s">
        <v>1177</v>
      </c>
      <c r="M378" s="74">
        <v>1.0</v>
      </c>
      <c r="N378" s="74">
        <v>1.0</v>
      </c>
      <c r="O378" s="74"/>
      <c r="P378" s="74">
        <v>2.0</v>
      </c>
      <c r="Q378" s="343">
        <v>46204.0</v>
      </c>
      <c r="R378" s="185">
        <v>1.0</v>
      </c>
      <c r="S378" s="185">
        <v>7.0</v>
      </c>
      <c r="T378" s="194">
        <v>2026.0</v>
      </c>
      <c r="U378" s="74" t="s">
        <v>36</v>
      </c>
      <c r="V378" s="74">
        <v>29.23</v>
      </c>
      <c r="W378" s="343">
        <v>46204.0</v>
      </c>
      <c r="X378" s="194">
        <v>1.0</v>
      </c>
      <c r="Y378" s="194">
        <v>7.0</v>
      </c>
      <c r="Z378" s="194">
        <v>2026.0</v>
      </c>
      <c r="AA378" s="74" t="s">
        <v>36</v>
      </c>
    </row>
    <row r="379" ht="15.75" hidden="1" customHeight="1">
      <c r="A379" s="340" t="s">
        <v>1769</v>
      </c>
      <c r="B379" s="191">
        <v>5.31910419E9</v>
      </c>
      <c r="C379" s="343">
        <v>46176.0</v>
      </c>
      <c r="D379" s="194">
        <v>3.0</v>
      </c>
      <c r="E379" s="194">
        <v>6.0</v>
      </c>
      <c r="F379" s="194">
        <v>2026.0</v>
      </c>
      <c r="G379" s="343">
        <v>46177.0</v>
      </c>
      <c r="H379" s="194">
        <v>4.0</v>
      </c>
      <c r="I379" s="194">
        <v>6.0</v>
      </c>
      <c r="J379" s="194">
        <v>2026.0</v>
      </c>
      <c r="K379" s="74" t="s">
        <v>36</v>
      </c>
      <c r="L379" s="74" t="s">
        <v>1177</v>
      </c>
      <c r="M379" s="74">
        <v>1.0</v>
      </c>
      <c r="N379" s="74">
        <v>1.0</v>
      </c>
      <c r="O379" s="74"/>
      <c r="P379" s="74">
        <v>2.0</v>
      </c>
      <c r="Q379" s="343">
        <v>46204.0</v>
      </c>
      <c r="R379" s="185">
        <v>1.0</v>
      </c>
      <c r="S379" s="185">
        <v>7.0</v>
      </c>
      <c r="T379" s="194">
        <v>2026.0</v>
      </c>
      <c r="U379" s="74" t="s">
        <v>36</v>
      </c>
      <c r="V379" s="74">
        <v>26.72</v>
      </c>
      <c r="W379" s="343">
        <v>46204.0</v>
      </c>
      <c r="X379" s="194">
        <v>1.0</v>
      </c>
      <c r="Y379" s="194">
        <v>7.0</v>
      </c>
      <c r="Z379" s="194">
        <v>2026.0</v>
      </c>
      <c r="AA379" s="74" t="s">
        <v>36</v>
      </c>
    </row>
    <row r="380" ht="15.75" hidden="1" customHeight="1">
      <c r="A380" s="340" t="s">
        <v>1770</v>
      </c>
      <c r="B380" s="191">
        <v>5.912840762E9</v>
      </c>
      <c r="C380" s="343">
        <v>46175.0</v>
      </c>
      <c r="D380" s="194">
        <v>2.0</v>
      </c>
      <c r="E380" s="194">
        <v>6.0</v>
      </c>
      <c r="F380" s="194">
        <v>2026.0</v>
      </c>
      <c r="G380" s="343">
        <v>46176.0</v>
      </c>
      <c r="H380" s="194">
        <v>3.0</v>
      </c>
      <c r="I380" s="194">
        <v>6.0</v>
      </c>
      <c r="J380" s="194">
        <v>2026.0</v>
      </c>
      <c r="K380" s="74" t="s">
        <v>36</v>
      </c>
      <c r="L380" s="74" t="s">
        <v>1177</v>
      </c>
      <c r="M380" s="74">
        <v>1.0</v>
      </c>
      <c r="N380" s="74">
        <v>1.0</v>
      </c>
      <c r="O380" s="74"/>
      <c r="P380" s="74">
        <v>2.0</v>
      </c>
      <c r="Q380" s="343">
        <v>46204.0</v>
      </c>
      <c r="R380" s="185">
        <v>1.0</v>
      </c>
      <c r="S380" s="185">
        <v>7.0</v>
      </c>
      <c r="T380" s="194">
        <v>2026.0</v>
      </c>
      <c r="U380" s="74" t="s">
        <v>36</v>
      </c>
      <c r="V380" s="74">
        <v>26.72</v>
      </c>
      <c r="W380" s="343">
        <v>46204.0</v>
      </c>
      <c r="X380" s="194">
        <v>1.0</v>
      </c>
      <c r="Y380" s="194">
        <v>7.0</v>
      </c>
      <c r="Z380" s="194">
        <v>2026.0</v>
      </c>
      <c r="AA380" s="74" t="s">
        <v>36</v>
      </c>
    </row>
    <row r="381" ht="15.75" hidden="1" customHeight="1">
      <c r="A381" s="340" t="s">
        <v>1771</v>
      </c>
      <c r="B381" s="340">
        <v>6.66465316E9</v>
      </c>
      <c r="C381" s="343">
        <v>46177.0</v>
      </c>
      <c r="D381" s="194">
        <v>4.0</v>
      </c>
      <c r="E381" s="194">
        <v>6.0</v>
      </c>
      <c r="F381" s="194">
        <v>2026.0</v>
      </c>
      <c r="G381" s="343">
        <v>46178.0</v>
      </c>
      <c r="H381" s="194">
        <v>5.0</v>
      </c>
      <c r="I381" s="194">
        <v>6.0</v>
      </c>
      <c r="J381" s="194">
        <v>2026.0</v>
      </c>
      <c r="K381" s="74" t="s">
        <v>36</v>
      </c>
      <c r="L381" s="74" t="s">
        <v>1177</v>
      </c>
      <c r="M381" s="74">
        <v>1.0</v>
      </c>
      <c r="N381" s="74">
        <v>1.0</v>
      </c>
      <c r="O381" s="74"/>
      <c r="P381" s="74">
        <v>2.0</v>
      </c>
      <c r="Q381" s="343">
        <v>46204.0</v>
      </c>
      <c r="R381" s="185">
        <v>1.0</v>
      </c>
      <c r="S381" s="185">
        <v>7.0</v>
      </c>
      <c r="T381" s="194">
        <v>2026.0</v>
      </c>
      <c r="U381" s="74" t="s">
        <v>36</v>
      </c>
      <c r="V381" s="74">
        <v>26.72</v>
      </c>
      <c r="W381" s="343">
        <v>46204.0</v>
      </c>
      <c r="X381" s="194">
        <v>1.0</v>
      </c>
      <c r="Y381" s="194">
        <v>7.0</v>
      </c>
      <c r="Z381" s="194">
        <v>2026.0</v>
      </c>
      <c r="AA381" s="74" t="s">
        <v>36</v>
      </c>
    </row>
    <row r="382" ht="15.75" hidden="1" customHeight="1">
      <c r="A382" s="340" t="s">
        <v>1772</v>
      </c>
      <c r="B382" s="191">
        <v>6.024852881E9</v>
      </c>
      <c r="C382" s="343">
        <v>46198.0</v>
      </c>
      <c r="D382" s="194">
        <v>25.0</v>
      </c>
      <c r="E382" s="194">
        <v>6.0</v>
      </c>
      <c r="F382" s="194">
        <v>2026.0</v>
      </c>
      <c r="G382" s="343">
        <v>46200.0</v>
      </c>
      <c r="H382" s="194">
        <v>27.0</v>
      </c>
      <c r="I382" s="194">
        <v>6.0</v>
      </c>
      <c r="J382" s="194">
        <v>2026.0</v>
      </c>
      <c r="K382" s="74" t="s">
        <v>36</v>
      </c>
      <c r="L382" s="74" t="s">
        <v>1177</v>
      </c>
      <c r="M382" s="74">
        <v>1.0</v>
      </c>
      <c r="N382" s="74">
        <v>2.0</v>
      </c>
      <c r="O382" s="74"/>
      <c r="P382" s="74">
        <v>4.0</v>
      </c>
      <c r="Q382" s="343">
        <v>46204.0</v>
      </c>
      <c r="R382" s="185">
        <v>1.0</v>
      </c>
      <c r="S382" s="185">
        <v>7.0</v>
      </c>
      <c r="T382" s="194">
        <v>2026.0</v>
      </c>
      <c r="U382" s="74" t="s">
        <v>36</v>
      </c>
      <c r="V382" s="74">
        <v>58.46</v>
      </c>
      <c r="W382" s="343">
        <v>46204.0</v>
      </c>
      <c r="X382" s="194">
        <v>1.0</v>
      </c>
      <c r="Y382" s="194">
        <v>7.0</v>
      </c>
      <c r="Z382" s="194">
        <v>2026.0</v>
      </c>
      <c r="AA382" s="74" t="s">
        <v>36</v>
      </c>
    </row>
    <row r="383" ht="15.75" hidden="1" customHeight="1">
      <c r="A383" s="189" t="s">
        <v>1773</v>
      </c>
      <c r="B383" s="189">
        <v>5.841829641E9</v>
      </c>
      <c r="C383" s="361">
        <v>46203.0</v>
      </c>
      <c r="D383" s="201">
        <v>30.0</v>
      </c>
      <c r="E383" s="201">
        <v>6.0</v>
      </c>
      <c r="F383" s="201">
        <v>2026.0</v>
      </c>
      <c r="G383" s="361">
        <v>46207.0</v>
      </c>
      <c r="H383" s="201">
        <v>4.0</v>
      </c>
      <c r="I383" s="201">
        <v>7.0</v>
      </c>
      <c r="J383" s="201">
        <v>2026.0</v>
      </c>
      <c r="K383" s="189" t="s">
        <v>36</v>
      </c>
      <c r="L383" s="189" t="s">
        <v>1774</v>
      </c>
      <c r="M383" s="189">
        <v>1.0</v>
      </c>
      <c r="N383" s="189">
        <v>4.0</v>
      </c>
      <c r="O383" s="189"/>
      <c r="P383" s="189">
        <v>8.0</v>
      </c>
      <c r="Q383" s="361">
        <v>46235.0</v>
      </c>
      <c r="R383" s="362">
        <v>1.0</v>
      </c>
      <c r="S383" s="362">
        <v>8.0</v>
      </c>
      <c r="T383" s="201">
        <v>2026.0</v>
      </c>
      <c r="U383" s="189" t="s">
        <v>36</v>
      </c>
      <c r="V383" s="189">
        <v>116.93</v>
      </c>
      <c r="W383" s="361">
        <v>46235.0</v>
      </c>
      <c r="X383" s="201">
        <v>1.0</v>
      </c>
      <c r="Y383" s="201">
        <v>8.0</v>
      </c>
      <c r="Z383" s="201">
        <v>2026.0</v>
      </c>
      <c r="AA383" s="189" t="s">
        <v>36</v>
      </c>
    </row>
    <row r="384" ht="15.75" hidden="1" customHeight="1">
      <c r="A384" s="189" t="s">
        <v>1775</v>
      </c>
      <c r="B384" s="189">
        <v>6.309166947E9</v>
      </c>
      <c r="C384" s="361">
        <v>46202.0</v>
      </c>
      <c r="D384" s="201">
        <v>29.0</v>
      </c>
      <c r="E384" s="201">
        <v>6.0</v>
      </c>
      <c r="F384" s="201">
        <v>2026.0</v>
      </c>
      <c r="G384" s="361">
        <v>46206.0</v>
      </c>
      <c r="H384" s="201">
        <v>3.0</v>
      </c>
      <c r="I384" s="201">
        <v>7.0</v>
      </c>
      <c r="J384" s="201">
        <v>2026.0</v>
      </c>
      <c r="K384" s="189" t="s">
        <v>36</v>
      </c>
      <c r="L384" s="189" t="s">
        <v>1774</v>
      </c>
      <c r="M384" s="189">
        <v>1.0</v>
      </c>
      <c r="N384" s="189">
        <v>4.0</v>
      </c>
      <c r="O384" s="189"/>
      <c r="P384" s="189">
        <v>8.0</v>
      </c>
      <c r="Q384" s="361">
        <v>46235.0</v>
      </c>
      <c r="R384" s="362">
        <v>1.0</v>
      </c>
      <c r="S384" s="362">
        <v>8.0</v>
      </c>
      <c r="T384" s="201">
        <v>2026.0</v>
      </c>
      <c r="U384" s="189" t="s">
        <v>36</v>
      </c>
      <c r="V384" s="189">
        <v>116.93</v>
      </c>
      <c r="W384" s="361">
        <v>46235.0</v>
      </c>
      <c r="X384" s="201">
        <v>1.0</v>
      </c>
      <c r="Y384" s="201">
        <v>8.0</v>
      </c>
      <c r="Z384" s="201">
        <v>2026.0</v>
      </c>
      <c r="AA384" s="189" t="s">
        <v>36</v>
      </c>
    </row>
    <row r="385" ht="15.75" hidden="1" customHeight="1">
      <c r="A385" s="189" t="s">
        <v>1776</v>
      </c>
      <c r="B385" s="189">
        <v>6.227810998E9</v>
      </c>
      <c r="C385" s="361">
        <v>46202.0</v>
      </c>
      <c r="D385" s="201">
        <v>29.0</v>
      </c>
      <c r="E385" s="201">
        <v>6.0</v>
      </c>
      <c r="F385" s="201">
        <v>2026.0</v>
      </c>
      <c r="G385" s="361">
        <v>46206.0</v>
      </c>
      <c r="H385" s="201">
        <v>3.0</v>
      </c>
      <c r="I385" s="201">
        <v>7.0</v>
      </c>
      <c r="J385" s="201">
        <v>2026.0</v>
      </c>
      <c r="K385" s="189" t="s">
        <v>36</v>
      </c>
      <c r="L385" s="189" t="s">
        <v>1774</v>
      </c>
      <c r="M385" s="189">
        <v>1.0</v>
      </c>
      <c r="N385" s="189">
        <v>2.0</v>
      </c>
      <c r="O385" s="189"/>
      <c r="P385" s="189">
        <v>4.0</v>
      </c>
      <c r="Q385" s="361">
        <v>46235.0</v>
      </c>
      <c r="R385" s="362">
        <v>1.0</v>
      </c>
      <c r="S385" s="362">
        <v>8.0</v>
      </c>
      <c r="T385" s="201">
        <v>2026.0</v>
      </c>
      <c r="U385" s="189" t="s">
        <v>36</v>
      </c>
      <c r="V385" s="189">
        <v>120.93</v>
      </c>
      <c r="W385" s="361">
        <v>46235.0</v>
      </c>
      <c r="X385" s="201">
        <v>1.0</v>
      </c>
      <c r="Y385" s="201">
        <v>8.0</v>
      </c>
      <c r="Z385" s="201">
        <v>2026.0</v>
      </c>
      <c r="AA385" s="189" t="s">
        <v>36</v>
      </c>
    </row>
    <row r="386" ht="15.75" hidden="1" customHeight="1">
      <c r="A386" s="189" t="s">
        <v>1779</v>
      </c>
      <c r="B386" s="189">
        <v>5.960861189E9</v>
      </c>
      <c r="C386" s="361">
        <v>46202.0</v>
      </c>
      <c r="D386" s="201">
        <v>29.0</v>
      </c>
      <c r="E386" s="201">
        <v>6.0</v>
      </c>
      <c r="F386" s="201">
        <v>2026.0</v>
      </c>
      <c r="G386" s="361">
        <v>46206.0</v>
      </c>
      <c r="H386" s="201">
        <v>3.0</v>
      </c>
      <c r="I386" s="201">
        <v>7.0</v>
      </c>
      <c r="J386" s="201">
        <v>2026.0</v>
      </c>
      <c r="K386" s="189" t="s">
        <v>36</v>
      </c>
      <c r="L386" s="189" t="s">
        <v>1774</v>
      </c>
      <c r="M386" s="189">
        <v>1.0</v>
      </c>
      <c r="N386" s="189">
        <v>4.0</v>
      </c>
      <c r="O386" s="189"/>
      <c r="P386" s="189">
        <v>8.0</v>
      </c>
      <c r="Q386" s="361">
        <v>46235.0</v>
      </c>
      <c r="R386" s="362">
        <v>1.0</v>
      </c>
      <c r="S386" s="362">
        <v>8.0</v>
      </c>
      <c r="T386" s="201">
        <v>2026.0</v>
      </c>
      <c r="U386" s="189" t="s">
        <v>36</v>
      </c>
      <c r="V386" s="189">
        <v>133.65</v>
      </c>
      <c r="W386" s="361">
        <v>46235.0</v>
      </c>
      <c r="X386" s="201">
        <v>1.0</v>
      </c>
      <c r="Y386" s="201">
        <v>8.0</v>
      </c>
      <c r="Z386" s="201">
        <v>2026.0</v>
      </c>
      <c r="AA386" s="189" t="s">
        <v>36</v>
      </c>
    </row>
    <row r="387" ht="15.75" hidden="1" customHeight="1">
      <c r="A387" s="189" t="s">
        <v>1780</v>
      </c>
      <c r="B387" s="189">
        <v>6.919043422E9</v>
      </c>
      <c r="C387" s="361">
        <v>46203.0</v>
      </c>
      <c r="D387" s="201">
        <v>30.0</v>
      </c>
      <c r="E387" s="201">
        <v>6.0</v>
      </c>
      <c r="F387" s="201">
        <v>2026.0</v>
      </c>
      <c r="G387" s="361">
        <v>46204.0</v>
      </c>
      <c r="H387" s="201">
        <v>1.0</v>
      </c>
      <c r="I387" s="201">
        <v>7.0</v>
      </c>
      <c r="J387" s="201">
        <v>2026.0</v>
      </c>
      <c r="K387" s="189" t="s">
        <v>36</v>
      </c>
      <c r="L387" s="189" t="s">
        <v>1774</v>
      </c>
      <c r="M387" s="189">
        <v>1.0</v>
      </c>
      <c r="N387" s="189">
        <v>1.0</v>
      </c>
      <c r="O387" s="189"/>
      <c r="P387" s="189">
        <v>2.0</v>
      </c>
      <c r="Q387" s="361">
        <v>46235.0</v>
      </c>
      <c r="R387" s="362">
        <v>1.0</v>
      </c>
      <c r="S387" s="362">
        <v>8.0</v>
      </c>
      <c r="T387" s="201">
        <v>2026.0</v>
      </c>
      <c r="U387" s="189" t="s">
        <v>36</v>
      </c>
      <c r="V387" s="189">
        <v>35.08</v>
      </c>
      <c r="W387" s="361">
        <v>46235.0</v>
      </c>
      <c r="X387" s="201">
        <v>1.0</v>
      </c>
      <c r="Y387" s="201">
        <v>8.0</v>
      </c>
      <c r="Z387" s="201">
        <v>2026.0</v>
      </c>
      <c r="AA387" s="189" t="s">
        <v>36</v>
      </c>
    </row>
    <row r="388" ht="15.75" hidden="1" customHeight="1">
      <c r="A388" s="189" t="s">
        <v>1678</v>
      </c>
      <c r="B388" s="189">
        <v>5.808322398E9</v>
      </c>
      <c r="C388" s="361">
        <v>46202.0</v>
      </c>
      <c r="D388" s="201">
        <v>29.0</v>
      </c>
      <c r="E388" s="201">
        <v>6.0</v>
      </c>
      <c r="F388" s="201">
        <v>2026.0</v>
      </c>
      <c r="G388" s="361">
        <v>46204.0</v>
      </c>
      <c r="H388" s="201">
        <v>1.0</v>
      </c>
      <c r="I388" s="201">
        <v>7.0</v>
      </c>
      <c r="J388" s="201">
        <v>2026.0</v>
      </c>
      <c r="K388" s="189" t="s">
        <v>36</v>
      </c>
      <c r="L388" s="189" t="s">
        <v>1774</v>
      </c>
      <c r="M388" s="189">
        <v>1.0</v>
      </c>
      <c r="N388" s="189">
        <v>2.0</v>
      </c>
      <c r="O388" s="189"/>
      <c r="P388" s="189">
        <v>4.0</v>
      </c>
      <c r="Q388" s="361">
        <v>46235.0</v>
      </c>
      <c r="R388" s="362">
        <v>1.0</v>
      </c>
      <c r="S388" s="362">
        <v>8.0</v>
      </c>
      <c r="T388" s="201">
        <v>2026.0</v>
      </c>
      <c r="U388" s="189" t="s">
        <v>36</v>
      </c>
      <c r="V388" s="189">
        <v>58.46</v>
      </c>
      <c r="W388" s="361">
        <v>46235.0</v>
      </c>
      <c r="X388" s="201">
        <v>1.0</v>
      </c>
      <c r="Y388" s="201">
        <v>8.0</v>
      </c>
      <c r="Z388" s="201">
        <v>2026.0</v>
      </c>
      <c r="AA388" s="189" t="s">
        <v>36</v>
      </c>
    </row>
    <row r="389" ht="15.75" hidden="1" customHeight="1">
      <c r="A389" s="189" t="s">
        <v>1785</v>
      </c>
      <c r="B389" s="189">
        <v>5.28820002E9</v>
      </c>
      <c r="C389" s="361">
        <v>46202.0</v>
      </c>
      <c r="D389" s="201">
        <v>29.0</v>
      </c>
      <c r="E389" s="201">
        <v>6.0</v>
      </c>
      <c r="F389" s="201">
        <v>2026.0</v>
      </c>
      <c r="G389" s="361">
        <v>46204.0</v>
      </c>
      <c r="H389" s="201">
        <v>1.0</v>
      </c>
      <c r="I389" s="201">
        <v>7.0</v>
      </c>
      <c r="J389" s="201">
        <v>2026.0</v>
      </c>
      <c r="K389" s="189" t="s">
        <v>36</v>
      </c>
      <c r="L389" s="189" t="s">
        <v>1774</v>
      </c>
      <c r="M389" s="189">
        <v>1.0</v>
      </c>
      <c r="N389" s="189">
        <v>2.0</v>
      </c>
      <c r="O389" s="189"/>
      <c r="P389" s="189">
        <v>4.0</v>
      </c>
      <c r="Q389" s="361">
        <v>46235.0</v>
      </c>
      <c r="R389" s="362">
        <v>1.0</v>
      </c>
      <c r="S389" s="362">
        <v>8.0</v>
      </c>
      <c r="T389" s="201">
        <v>2026.0</v>
      </c>
      <c r="U389" s="189" t="s">
        <v>36</v>
      </c>
      <c r="V389" s="189">
        <v>58.46</v>
      </c>
      <c r="W389" s="361">
        <v>46235.0</v>
      </c>
      <c r="X389" s="201">
        <v>1.0</v>
      </c>
      <c r="Y389" s="201">
        <v>8.0</v>
      </c>
      <c r="Z389" s="201">
        <v>2026.0</v>
      </c>
      <c r="AA389" s="189" t="s">
        <v>36</v>
      </c>
    </row>
    <row r="390" ht="15.75" hidden="1" customHeight="1">
      <c r="A390" s="189" t="s">
        <v>1787</v>
      </c>
      <c r="B390" s="189">
        <v>5.203037075E9</v>
      </c>
      <c r="C390" s="361">
        <v>46201.0</v>
      </c>
      <c r="D390" s="201">
        <v>28.0</v>
      </c>
      <c r="E390" s="201">
        <v>6.0</v>
      </c>
      <c r="F390" s="201">
        <v>2026.0</v>
      </c>
      <c r="G390" s="361">
        <v>46204.0</v>
      </c>
      <c r="H390" s="201">
        <v>1.0</v>
      </c>
      <c r="I390" s="201">
        <v>7.0</v>
      </c>
      <c r="J390" s="201">
        <v>2026.0</v>
      </c>
      <c r="K390" s="189" t="s">
        <v>36</v>
      </c>
      <c r="L390" s="189" t="s">
        <v>1774</v>
      </c>
      <c r="M390" s="189">
        <v>1.0</v>
      </c>
      <c r="N390" s="189">
        <v>3.0</v>
      </c>
      <c r="O390" s="189"/>
      <c r="P390" s="189">
        <v>6.0</v>
      </c>
      <c r="Q390" s="361">
        <v>46235.0</v>
      </c>
      <c r="R390" s="362">
        <v>1.0</v>
      </c>
      <c r="S390" s="362">
        <v>8.0</v>
      </c>
      <c r="T390" s="201">
        <v>2026.0</v>
      </c>
      <c r="U390" s="189" t="s">
        <v>36</v>
      </c>
      <c r="V390" s="189">
        <v>99.4</v>
      </c>
      <c r="W390" s="361">
        <v>46235.0</v>
      </c>
      <c r="X390" s="201">
        <v>1.0</v>
      </c>
      <c r="Y390" s="201">
        <v>8.0</v>
      </c>
      <c r="Z390" s="201">
        <v>2026.0</v>
      </c>
      <c r="AA390" s="189" t="s">
        <v>36</v>
      </c>
    </row>
    <row r="391" ht="15.75" hidden="1" customHeight="1">
      <c r="A391" s="189" t="s">
        <v>1735</v>
      </c>
      <c r="B391" s="189">
        <v>5.158119362E9</v>
      </c>
      <c r="C391" s="361">
        <v>46184.0</v>
      </c>
      <c r="D391" s="201">
        <v>11.0</v>
      </c>
      <c r="E391" s="201">
        <v>6.0</v>
      </c>
      <c r="F391" s="201">
        <v>2026.0</v>
      </c>
      <c r="G391" s="361">
        <v>46188.0</v>
      </c>
      <c r="H391" s="201">
        <v>15.0</v>
      </c>
      <c r="I391" s="201">
        <v>6.0</v>
      </c>
      <c r="J391" s="201">
        <v>2026.0</v>
      </c>
      <c r="K391" s="189" t="s">
        <v>36</v>
      </c>
      <c r="L391" s="202"/>
      <c r="M391" s="189">
        <v>0.0</v>
      </c>
      <c r="N391" s="189">
        <v>0.0</v>
      </c>
      <c r="O391" s="189"/>
      <c r="P391" s="189">
        <v>0.0</v>
      </c>
      <c r="Q391" s="361">
        <v>46235.0</v>
      </c>
      <c r="R391" s="362">
        <v>1.0</v>
      </c>
      <c r="S391" s="362">
        <v>8.0</v>
      </c>
      <c r="T391" s="201">
        <v>2026.0</v>
      </c>
      <c r="U391" s="189" t="s">
        <v>36</v>
      </c>
      <c r="V391" s="189">
        <v>-14.22</v>
      </c>
      <c r="W391" s="361">
        <v>46235.0</v>
      </c>
      <c r="X391" s="201">
        <v>1.0</v>
      </c>
      <c r="Y391" s="201">
        <v>8.0</v>
      </c>
      <c r="Z391" s="201">
        <v>2026.0</v>
      </c>
      <c r="AA391" s="189" t="s">
        <v>36</v>
      </c>
    </row>
    <row r="392" ht="15.75" hidden="1" customHeight="1">
      <c r="A392" s="189" t="s">
        <v>1792</v>
      </c>
      <c r="B392" s="189">
        <v>6.716481168E9</v>
      </c>
      <c r="C392" s="361">
        <v>46231.0</v>
      </c>
      <c r="D392" s="201">
        <v>28.0</v>
      </c>
      <c r="E392" s="201">
        <v>7.0</v>
      </c>
      <c r="F392" s="201">
        <v>2026.0</v>
      </c>
      <c r="G392" s="361">
        <v>46234.0</v>
      </c>
      <c r="H392" s="201">
        <v>31.0</v>
      </c>
      <c r="I392" s="201">
        <v>7.0</v>
      </c>
      <c r="J392" s="201">
        <v>2026.0</v>
      </c>
      <c r="K392" s="189" t="s">
        <v>36</v>
      </c>
      <c r="L392" s="189" t="s">
        <v>1774</v>
      </c>
      <c r="M392" s="189">
        <v>1.0</v>
      </c>
      <c r="N392" s="189">
        <v>2.0</v>
      </c>
      <c r="O392" s="189"/>
      <c r="P392" s="189">
        <v>4.0</v>
      </c>
      <c r="Q392" s="361">
        <v>46235.0</v>
      </c>
      <c r="R392" s="362">
        <v>1.0</v>
      </c>
      <c r="S392" s="362">
        <v>8.0</v>
      </c>
      <c r="T392" s="201">
        <v>2026.0</v>
      </c>
      <c r="U392" s="189" t="s">
        <v>36</v>
      </c>
      <c r="V392" s="189">
        <v>89.7</v>
      </c>
      <c r="W392" s="361">
        <v>46235.0</v>
      </c>
      <c r="X392" s="362">
        <v>1.0</v>
      </c>
      <c r="Y392" s="362">
        <v>8.0</v>
      </c>
      <c r="Z392" s="201">
        <v>2026.0</v>
      </c>
      <c r="AA392" s="189" t="s">
        <v>36</v>
      </c>
    </row>
    <row r="393" ht="15.75" hidden="1" customHeight="1">
      <c r="A393" s="189" t="s">
        <v>1794</v>
      </c>
      <c r="B393" s="189">
        <v>5.386094883E9</v>
      </c>
      <c r="C393" s="361">
        <v>46233.0</v>
      </c>
      <c r="D393" s="201">
        <v>30.0</v>
      </c>
      <c r="E393" s="201">
        <v>7.0</v>
      </c>
      <c r="F393" s="201">
        <v>2026.0</v>
      </c>
      <c r="G393" s="361">
        <v>46234.0</v>
      </c>
      <c r="H393" s="201">
        <v>31.0</v>
      </c>
      <c r="I393" s="201">
        <v>7.0</v>
      </c>
      <c r="J393" s="201">
        <v>2026.0</v>
      </c>
      <c r="K393" s="189" t="s">
        <v>36</v>
      </c>
      <c r="L393" s="189" t="s">
        <v>1774</v>
      </c>
      <c r="M393" s="189">
        <v>1.0</v>
      </c>
      <c r="N393" s="189">
        <v>1.0</v>
      </c>
      <c r="O393" s="189"/>
      <c r="P393" s="189">
        <v>2.0</v>
      </c>
      <c r="Q393" s="361">
        <v>46235.0</v>
      </c>
      <c r="R393" s="362">
        <v>1.0</v>
      </c>
      <c r="S393" s="362">
        <v>8.0</v>
      </c>
      <c r="T393" s="201">
        <v>2026.0</v>
      </c>
      <c r="U393" s="189" t="s">
        <v>36</v>
      </c>
      <c r="V393" s="189">
        <v>29.23</v>
      </c>
      <c r="W393" s="361">
        <v>46235.0</v>
      </c>
      <c r="X393" s="362">
        <v>1.0</v>
      </c>
      <c r="Y393" s="362">
        <v>8.0</v>
      </c>
      <c r="Z393" s="201">
        <v>2026.0</v>
      </c>
      <c r="AA393" s="189" t="s">
        <v>36</v>
      </c>
    </row>
    <row r="394" ht="15.75" hidden="1" customHeight="1">
      <c r="A394" s="189" t="s">
        <v>1798</v>
      </c>
      <c r="B394" s="189">
        <v>6.999484135E9</v>
      </c>
      <c r="C394" s="361">
        <v>46232.0</v>
      </c>
      <c r="D394" s="201">
        <v>29.0</v>
      </c>
      <c r="E394" s="201">
        <v>7.0</v>
      </c>
      <c r="F394" s="201">
        <v>2026.0</v>
      </c>
      <c r="G394" s="361">
        <v>46233.0</v>
      </c>
      <c r="H394" s="201">
        <v>30.0</v>
      </c>
      <c r="I394" s="201">
        <v>7.0</v>
      </c>
      <c r="J394" s="201">
        <v>2026.0</v>
      </c>
      <c r="K394" s="189" t="s">
        <v>36</v>
      </c>
      <c r="L394" s="189" t="s">
        <v>1774</v>
      </c>
      <c r="M394" s="189">
        <v>1.0</v>
      </c>
      <c r="N394" s="189">
        <v>1.0</v>
      </c>
      <c r="O394" s="189"/>
      <c r="P394" s="189">
        <v>2.0</v>
      </c>
      <c r="Q394" s="361">
        <v>46235.0</v>
      </c>
      <c r="R394" s="362">
        <v>1.0</v>
      </c>
      <c r="S394" s="362">
        <v>8.0</v>
      </c>
      <c r="T394" s="201">
        <v>2026.0</v>
      </c>
      <c r="U394" s="189" t="s">
        <v>36</v>
      </c>
      <c r="V394" s="189">
        <v>37.59</v>
      </c>
      <c r="W394" s="361">
        <v>46235.0</v>
      </c>
      <c r="X394" s="201">
        <v>1.0</v>
      </c>
      <c r="Y394" s="201">
        <v>8.0</v>
      </c>
      <c r="Z394" s="201">
        <v>2026.0</v>
      </c>
      <c r="AA394" s="189" t="s">
        <v>36</v>
      </c>
    </row>
    <row r="395" ht="15.75" hidden="1" customHeight="1">
      <c r="A395" s="189" t="s">
        <v>1800</v>
      </c>
      <c r="B395" s="189">
        <v>6.452214075E9</v>
      </c>
      <c r="C395" s="361">
        <v>46231.0</v>
      </c>
      <c r="D395" s="201">
        <v>28.0</v>
      </c>
      <c r="E395" s="201">
        <v>7.0</v>
      </c>
      <c r="F395" s="201">
        <v>2026.0</v>
      </c>
      <c r="G395" s="361">
        <v>46233.0</v>
      </c>
      <c r="H395" s="201">
        <v>30.0</v>
      </c>
      <c r="I395" s="201">
        <v>7.0</v>
      </c>
      <c r="J395" s="201">
        <v>2026.0</v>
      </c>
      <c r="K395" s="189" t="s">
        <v>36</v>
      </c>
      <c r="L395" s="189" t="s">
        <v>1774</v>
      </c>
      <c r="M395" s="189">
        <v>1.0</v>
      </c>
      <c r="N395" s="189">
        <v>2.0</v>
      </c>
      <c r="O395" s="189"/>
      <c r="P395" s="189">
        <v>4.0</v>
      </c>
      <c r="Q395" s="361">
        <v>46235.0</v>
      </c>
      <c r="R395" s="362">
        <v>1.0</v>
      </c>
      <c r="S395" s="362">
        <v>8.0</v>
      </c>
      <c r="T395" s="201">
        <v>2026.0</v>
      </c>
      <c r="U395" s="189" t="s">
        <v>36</v>
      </c>
      <c r="V395" s="189">
        <v>58.46</v>
      </c>
      <c r="W395" s="361">
        <v>46235.0</v>
      </c>
      <c r="X395" s="201">
        <v>1.0</v>
      </c>
      <c r="Y395" s="201">
        <v>8.0</v>
      </c>
      <c r="Z395" s="201">
        <v>2026.0</v>
      </c>
      <c r="AA395" s="189" t="s">
        <v>36</v>
      </c>
    </row>
    <row r="396" ht="15.75" hidden="1" customHeight="1">
      <c r="A396" s="189" t="s">
        <v>1802</v>
      </c>
      <c r="B396" s="189">
        <v>6.351572881E9</v>
      </c>
      <c r="C396" s="361">
        <v>46226.0</v>
      </c>
      <c r="D396" s="201">
        <v>23.0</v>
      </c>
      <c r="E396" s="201">
        <v>7.0</v>
      </c>
      <c r="F396" s="201">
        <v>2026.0</v>
      </c>
      <c r="G396" s="361">
        <v>46233.0</v>
      </c>
      <c r="H396" s="201">
        <v>30.0</v>
      </c>
      <c r="I396" s="201">
        <v>7.0</v>
      </c>
      <c r="J396" s="201">
        <v>2026.0</v>
      </c>
      <c r="K396" s="189" t="s">
        <v>36</v>
      </c>
      <c r="L396" s="189" t="s">
        <v>1774</v>
      </c>
      <c r="M396" s="189">
        <v>1.0</v>
      </c>
      <c r="N396" s="189">
        <v>7.0</v>
      </c>
      <c r="O396" s="189"/>
      <c r="P396" s="189">
        <v>14.0</v>
      </c>
      <c r="Q396" s="361">
        <v>46235.0</v>
      </c>
      <c r="R396" s="362">
        <v>1.0</v>
      </c>
      <c r="S396" s="362">
        <v>8.0</v>
      </c>
      <c r="T396" s="201">
        <v>2026.0</v>
      </c>
      <c r="U396" s="189" t="s">
        <v>36</v>
      </c>
      <c r="V396" s="189">
        <v>204.62</v>
      </c>
      <c r="W396" s="361">
        <v>46235.0</v>
      </c>
      <c r="X396" s="201">
        <v>1.0</v>
      </c>
      <c r="Y396" s="201">
        <v>8.0</v>
      </c>
      <c r="Z396" s="201">
        <v>2026.0</v>
      </c>
      <c r="AA396" s="189" t="s">
        <v>36</v>
      </c>
    </row>
    <row r="397" ht="15.75" hidden="1" customHeight="1">
      <c r="A397" s="189" t="s">
        <v>1804</v>
      </c>
      <c r="B397" s="189">
        <v>5.843034818E9</v>
      </c>
      <c r="C397" s="361">
        <v>46230.0</v>
      </c>
      <c r="D397" s="201">
        <v>27.0</v>
      </c>
      <c r="E397" s="201">
        <v>7.0</v>
      </c>
      <c r="F397" s="201">
        <v>2026.0</v>
      </c>
      <c r="G397" s="361">
        <v>46233.0</v>
      </c>
      <c r="H397" s="201">
        <v>30.0</v>
      </c>
      <c r="I397" s="201">
        <v>7.0</v>
      </c>
      <c r="J397" s="201">
        <v>2026.0</v>
      </c>
      <c r="K397" s="189" t="s">
        <v>36</v>
      </c>
      <c r="L397" s="189" t="s">
        <v>1774</v>
      </c>
      <c r="M397" s="189">
        <v>1.0</v>
      </c>
      <c r="N397" s="189">
        <v>3.0</v>
      </c>
      <c r="O397" s="189"/>
      <c r="P397" s="189">
        <v>6.0</v>
      </c>
      <c r="Q397" s="361">
        <v>46235.0</v>
      </c>
      <c r="R397" s="362">
        <v>1.0</v>
      </c>
      <c r="S397" s="362">
        <v>8.0</v>
      </c>
      <c r="T397" s="201">
        <v>2026.0</v>
      </c>
      <c r="U397" s="189" t="s">
        <v>36</v>
      </c>
      <c r="V397" s="189">
        <v>112.78</v>
      </c>
      <c r="W397" s="361">
        <v>46235.0</v>
      </c>
      <c r="X397" s="201">
        <v>1.0</v>
      </c>
      <c r="Y397" s="201">
        <v>8.0</v>
      </c>
      <c r="Z397" s="201">
        <v>2026.0</v>
      </c>
      <c r="AA397" s="189" t="s">
        <v>36</v>
      </c>
    </row>
    <row r="398" ht="15.75" hidden="1" customHeight="1">
      <c r="A398" s="189" t="s">
        <v>1806</v>
      </c>
      <c r="B398" s="189">
        <v>5.760326213E9</v>
      </c>
      <c r="C398" s="361">
        <v>46231.0</v>
      </c>
      <c r="D398" s="201">
        <v>28.0</v>
      </c>
      <c r="E398" s="201">
        <v>7.0</v>
      </c>
      <c r="F398" s="201">
        <v>2026.0</v>
      </c>
      <c r="G398" s="361">
        <v>46233.0</v>
      </c>
      <c r="H398" s="201">
        <v>30.0</v>
      </c>
      <c r="I398" s="201">
        <v>7.0</v>
      </c>
      <c r="J398" s="201">
        <v>2026.0</v>
      </c>
      <c r="K398" s="189" t="s">
        <v>36</v>
      </c>
      <c r="L398" s="189" t="s">
        <v>1774</v>
      </c>
      <c r="M398" s="189">
        <v>1.0</v>
      </c>
      <c r="N398" s="189">
        <v>2.0</v>
      </c>
      <c r="O398" s="189"/>
      <c r="P398" s="189">
        <v>4.0</v>
      </c>
      <c r="Q398" s="361">
        <v>46235.0</v>
      </c>
      <c r="R398" s="362">
        <v>1.0</v>
      </c>
      <c r="S398" s="362">
        <v>8.0</v>
      </c>
      <c r="T398" s="201">
        <v>2026.0</v>
      </c>
      <c r="U398" s="189" t="s">
        <v>36</v>
      </c>
      <c r="V398" s="189">
        <v>58.46</v>
      </c>
      <c r="W398" s="361">
        <v>46235.0</v>
      </c>
      <c r="X398" s="201">
        <v>1.0</v>
      </c>
      <c r="Y398" s="201">
        <v>8.0</v>
      </c>
      <c r="Z398" s="201">
        <v>2026.0</v>
      </c>
      <c r="AA398" s="189" t="s">
        <v>36</v>
      </c>
    </row>
    <row r="399" ht="15.75" hidden="1" customHeight="1">
      <c r="A399" s="189" t="s">
        <v>1808</v>
      </c>
      <c r="B399" s="189">
        <v>5.331544597E9</v>
      </c>
      <c r="C399" s="361">
        <v>46232.0</v>
      </c>
      <c r="D399" s="201">
        <v>29.0</v>
      </c>
      <c r="E399" s="201">
        <v>7.0</v>
      </c>
      <c r="F399" s="201">
        <v>2026.0</v>
      </c>
      <c r="G399" s="361">
        <v>46233.0</v>
      </c>
      <c r="H399" s="201">
        <v>30.0</v>
      </c>
      <c r="I399" s="201">
        <v>7.0</v>
      </c>
      <c r="J399" s="201">
        <v>2026.0</v>
      </c>
      <c r="K399" s="189" t="s">
        <v>36</v>
      </c>
      <c r="L399" s="189" t="s">
        <v>1774</v>
      </c>
      <c r="M399" s="189">
        <v>1.0</v>
      </c>
      <c r="N399" s="189">
        <v>1.0</v>
      </c>
      <c r="O399" s="189"/>
      <c r="P399" s="189">
        <v>2.0</v>
      </c>
      <c r="Q399" s="361">
        <v>46235.0</v>
      </c>
      <c r="R399" s="362">
        <v>1.0</v>
      </c>
      <c r="S399" s="362">
        <v>8.0</v>
      </c>
      <c r="T399" s="201">
        <v>2026.0</v>
      </c>
      <c r="U399" s="189" t="s">
        <v>36</v>
      </c>
      <c r="V399" s="189">
        <v>37.59</v>
      </c>
      <c r="W399" s="361">
        <v>46235.0</v>
      </c>
      <c r="X399" s="201">
        <v>1.0</v>
      </c>
      <c r="Y399" s="201">
        <v>8.0</v>
      </c>
      <c r="Z399" s="201">
        <v>2026.0</v>
      </c>
      <c r="AA399" s="189" t="s">
        <v>36</v>
      </c>
    </row>
    <row r="400" ht="15.75" hidden="1" customHeight="1">
      <c r="A400" s="189" t="s">
        <v>1810</v>
      </c>
      <c r="B400" s="189">
        <v>6.542003452E9</v>
      </c>
      <c r="C400" s="361">
        <v>46231.0</v>
      </c>
      <c r="D400" s="201">
        <v>28.0</v>
      </c>
      <c r="E400" s="201">
        <v>7.0</v>
      </c>
      <c r="F400" s="201">
        <v>2026.0</v>
      </c>
      <c r="G400" s="361">
        <v>46232.0</v>
      </c>
      <c r="H400" s="201">
        <v>29.0</v>
      </c>
      <c r="I400" s="201">
        <v>7.0</v>
      </c>
      <c r="J400" s="201">
        <v>2026.0</v>
      </c>
      <c r="K400" s="189" t="s">
        <v>36</v>
      </c>
      <c r="L400" s="189" t="s">
        <v>1774</v>
      </c>
      <c r="M400" s="189">
        <v>1.0</v>
      </c>
      <c r="N400" s="189">
        <v>1.0</v>
      </c>
      <c r="O400" s="189"/>
      <c r="P400" s="189">
        <v>2.0</v>
      </c>
      <c r="Q400" s="361">
        <v>46235.0</v>
      </c>
      <c r="R400" s="362">
        <v>1.0</v>
      </c>
      <c r="S400" s="362">
        <v>8.0</v>
      </c>
      <c r="T400" s="201">
        <v>2026.0</v>
      </c>
      <c r="U400" s="189" t="s">
        <v>36</v>
      </c>
      <c r="V400" s="189">
        <v>29.23</v>
      </c>
      <c r="W400" s="361">
        <v>46235.0</v>
      </c>
      <c r="X400" s="201">
        <v>1.0</v>
      </c>
      <c r="Y400" s="201">
        <v>8.0</v>
      </c>
      <c r="Z400" s="201">
        <v>2026.0</v>
      </c>
      <c r="AA400" s="189" t="s">
        <v>36</v>
      </c>
    </row>
    <row r="401" ht="15.75" hidden="1" customHeight="1">
      <c r="A401" s="189" t="s">
        <v>1812</v>
      </c>
      <c r="B401" s="189">
        <v>6.040967437E9</v>
      </c>
      <c r="C401" s="361">
        <v>46231.0</v>
      </c>
      <c r="D401" s="201">
        <v>28.0</v>
      </c>
      <c r="E401" s="201">
        <v>7.0</v>
      </c>
      <c r="F401" s="201">
        <v>2026.0</v>
      </c>
      <c r="G401" s="361">
        <v>46232.0</v>
      </c>
      <c r="H401" s="201">
        <v>29.0</v>
      </c>
      <c r="I401" s="201">
        <v>7.0</v>
      </c>
      <c r="J401" s="201">
        <v>2026.0</v>
      </c>
      <c r="K401" s="189" t="s">
        <v>36</v>
      </c>
      <c r="L401" s="189" t="s">
        <v>1774</v>
      </c>
      <c r="M401" s="189">
        <v>1.0</v>
      </c>
      <c r="N401" s="189">
        <v>1.0</v>
      </c>
      <c r="O401" s="189"/>
      <c r="P401" s="189">
        <v>2.0</v>
      </c>
      <c r="Q401" s="361">
        <v>46235.0</v>
      </c>
      <c r="R401" s="362">
        <v>1.0</v>
      </c>
      <c r="S401" s="362">
        <v>8.0</v>
      </c>
      <c r="T401" s="201">
        <v>2026.0</v>
      </c>
      <c r="U401" s="189" t="s">
        <v>36</v>
      </c>
      <c r="V401" s="189">
        <v>29.23</v>
      </c>
      <c r="W401" s="361">
        <v>46235.0</v>
      </c>
      <c r="X401" s="201">
        <v>1.0</v>
      </c>
      <c r="Y401" s="201">
        <v>8.0</v>
      </c>
      <c r="Z401" s="201">
        <v>2026.0</v>
      </c>
      <c r="AA401" s="189" t="s">
        <v>36</v>
      </c>
    </row>
    <row r="402" ht="15.75" hidden="1" customHeight="1">
      <c r="A402" s="189" t="s">
        <v>1814</v>
      </c>
      <c r="B402" s="189">
        <v>5.60564682E9</v>
      </c>
      <c r="C402" s="361">
        <v>46231.0</v>
      </c>
      <c r="D402" s="201">
        <v>28.0</v>
      </c>
      <c r="E402" s="201">
        <v>7.0</v>
      </c>
      <c r="F402" s="201">
        <v>2026.0</v>
      </c>
      <c r="G402" s="361">
        <v>46232.0</v>
      </c>
      <c r="H402" s="201">
        <v>29.0</v>
      </c>
      <c r="I402" s="201">
        <v>7.0</v>
      </c>
      <c r="J402" s="201">
        <v>2026.0</v>
      </c>
      <c r="K402" s="189" t="s">
        <v>36</v>
      </c>
      <c r="L402" s="189" t="s">
        <v>1774</v>
      </c>
      <c r="M402" s="189">
        <v>1.0</v>
      </c>
      <c r="N402" s="189">
        <v>1.0</v>
      </c>
      <c r="O402" s="189"/>
      <c r="P402" s="189">
        <v>2.0</v>
      </c>
      <c r="Q402" s="361">
        <v>46235.0</v>
      </c>
      <c r="R402" s="362">
        <v>1.0</v>
      </c>
      <c r="S402" s="362">
        <v>8.0</v>
      </c>
      <c r="T402" s="201">
        <v>2026.0</v>
      </c>
      <c r="U402" s="189" t="s">
        <v>36</v>
      </c>
      <c r="V402" s="189">
        <v>37.59</v>
      </c>
      <c r="W402" s="361">
        <v>46235.0</v>
      </c>
      <c r="X402" s="201">
        <v>1.0</v>
      </c>
      <c r="Y402" s="201">
        <v>8.0</v>
      </c>
      <c r="Z402" s="201">
        <v>2026.0</v>
      </c>
      <c r="AA402" s="189" t="s">
        <v>36</v>
      </c>
    </row>
    <row r="403" ht="15.75" hidden="1" customHeight="1">
      <c r="A403" s="189" t="s">
        <v>1808</v>
      </c>
      <c r="B403" s="189">
        <v>5.077677211E9</v>
      </c>
      <c r="C403" s="361">
        <v>46231.0</v>
      </c>
      <c r="D403" s="201">
        <v>28.0</v>
      </c>
      <c r="E403" s="201">
        <v>7.0</v>
      </c>
      <c r="F403" s="201">
        <v>2026.0</v>
      </c>
      <c r="G403" s="361">
        <v>46232.0</v>
      </c>
      <c r="H403" s="201">
        <v>29.0</v>
      </c>
      <c r="I403" s="201">
        <v>7.0</v>
      </c>
      <c r="J403" s="201">
        <v>2026.0</v>
      </c>
      <c r="K403" s="189" t="s">
        <v>36</v>
      </c>
      <c r="L403" s="189" t="s">
        <v>1774</v>
      </c>
      <c r="M403" s="189">
        <v>1.0</v>
      </c>
      <c r="N403" s="189">
        <v>1.0</v>
      </c>
      <c r="O403" s="189"/>
      <c r="P403" s="189">
        <v>2.0</v>
      </c>
      <c r="Q403" s="361">
        <v>46235.0</v>
      </c>
      <c r="R403" s="362">
        <v>1.0</v>
      </c>
      <c r="S403" s="362">
        <v>8.0</v>
      </c>
      <c r="T403" s="201">
        <v>2026.0</v>
      </c>
      <c r="U403" s="189" t="s">
        <v>36</v>
      </c>
      <c r="V403" s="189">
        <v>29.23</v>
      </c>
      <c r="W403" s="361">
        <v>46235.0</v>
      </c>
      <c r="X403" s="201">
        <v>1.0</v>
      </c>
      <c r="Y403" s="201">
        <v>8.0</v>
      </c>
      <c r="Z403" s="201">
        <v>2026.0</v>
      </c>
      <c r="AA403" s="189" t="s">
        <v>36</v>
      </c>
    </row>
    <row r="404" ht="15.75" hidden="1" customHeight="1">
      <c r="A404" s="189" t="s">
        <v>1819</v>
      </c>
      <c r="B404" s="189">
        <v>6.664869832E9</v>
      </c>
      <c r="C404" s="361">
        <v>46227.0</v>
      </c>
      <c r="D404" s="201">
        <v>24.0</v>
      </c>
      <c r="E404" s="201">
        <v>7.0</v>
      </c>
      <c r="F404" s="201">
        <v>2026.0</v>
      </c>
      <c r="G404" s="361">
        <v>46231.0</v>
      </c>
      <c r="H404" s="201">
        <v>28.0</v>
      </c>
      <c r="I404" s="201">
        <v>7.0</v>
      </c>
      <c r="J404" s="201">
        <v>2026.0</v>
      </c>
      <c r="K404" s="189" t="s">
        <v>36</v>
      </c>
      <c r="L404" s="189" t="s">
        <v>1774</v>
      </c>
      <c r="M404" s="189">
        <v>1.0</v>
      </c>
      <c r="N404" s="189">
        <v>4.0</v>
      </c>
      <c r="O404" s="189"/>
      <c r="P404" s="189">
        <v>8.0</v>
      </c>
      <c r="Q404" s="361">
        <v>46235.0</v>
      </c>
      <c r="R404" s="362">
        <v>1.0</v>
      </c>
      <c r="S404" s="362">
        <v>8.0</v>
      </c>
      <c r="T404" s="201">
        <v>2026.0</v>
      </c>
      <c r="U404" s="189" t="s">
        <v>36</v>
      </c>
      <c r="V404" s="189">
        <v>132.81</v>
      </c>
      <c r="W404" s="361">
        <v>46235.0</v>
      </c>
      <c r="X404" s="201">
        <v>1.0</v>
      </c>
      <c r="Y404" s="201">
        <v>8.0</v>
      </c>
      <c r="Z404" s="201">
        <v>2026.0</v>
      </c>
      <c r="AA404" s="189" t="s">
        <v>36</v>
      </c>
    </row>
    <row r="405" ht="15.75" hidden="1" customHeight="1">
      <c r="A405" s="189" t="s">
        <v>1821</v>
      </c>
      <c r="B405" s="189">
        <v>6.05217823E9</v>
      </c>
      <c r="C405" s="361">
        <v>46230.0</v>
      </c>
      <c r="D405" s="201">
        <v>27.0</v>
      </c>
      <c r="E405" s="201">
        <v>7.0</v>
      </c>
      <c r="F405" s="201">
        <v>2026.0</v>
      </c>
      <c r="G405" s="361">
        <v>46231.0</v>
      </c>
      <c r="H405" s="201">
        <v>28.0</v>
      </c>
      <c r="I405" s="201">
        <v>7.0</v>
      </c>
      <c r="J405" s="201">
        <v>2026.0</v>
      </c>
      <c r="K405" s="189" t="s">
        <v>36</v>
      </c>
      <c r="L405" s="189" t="s">
        <v>1774</v>
      </c>
      <c r="M405" s="189">
        <v>1.0</v>
      </c>
      <c r="N405" s="189">
        <v>1.0</v>
      </c>
      <c r="O405" s="189"/>
      <c r="P405" s="189">
        <v>2.0</v>
      </c>
      <c r="Q405" s="361">
        <v>46235.0</v>
      </c>
      <c r="R405" s="362">
        <v>1.0</v>
      </c>
      <c r="S405" s="362">
        <v>8.0</v>
      </c>
      <c r="T405" s="201">
        <v>2026.0</v>
      </c>
      <c r="U405" s="189" t="s">
        <v>36</v>
      </c>
      <c r="V405" s="189">
        <v>45.95</v>
      </c>
      <c r="W405" s="361">
        <v>46235.0</v>
      </c>
      <c r="X405" s="201">
        <v>1.0</v>
      </c>
      <c r="Y405" s="201">
        <v>8.0</v>
      </c>
      <c r="Z405" s="201">
        <v>2026.0</v>
      </c>
      <c r="AA405" s="189" t="s">
        <v>36</v>
      </c>
    </row>
    <row r="406" ht="15.75" hidden="1" customHeight="1">
      <c r="A406" s="189" t="s">
        <v>1824</v>
      </c>
      <c r="B406" s="189">
        <v>5.413103537E9</v>
      </c>
      <c r="C406" s="361">
        <v>46227.0</v>
      </c>
      <c r="D406" s="201">
        <v>24.0</v>
      </c>
      <c r="E406" s="201">
        <v>7.0</v>
      </c>
      <c r="F406" s="201">
        <v>2026.0</v>
      </c>
      <c r="G406" s="361">
        <v>46231.0</v>
      </c>
      <c r="H406" s="201">
        <v>28.0</v>
      </c>
      <c r="I406" s="201">
        <v>7.0</v>
      </c>
      <c r="J406" s="201">
        <v>2026.0</v>
      </c>
      <c r="K406" s="189" t="s">
        <v>36</v>
      </c>
      <c r="L406" s="189" t="s">
        <v>1774</v>
      </c>
      <c r="M406" s="189">
        <v>1.0</v>
      </c>
      <c r="N406" s="189">
        <v>4.0</v>
      </c>
      <c r="O406" s="189"/>
      <c r="P406" s="189">
        <v>8.0</v>
      </c>
      <c r="Q406" s="361">
        <v>46235.0</v>
      </c>
      <c r="R406" s="362">
        <v>1.0</v>
      </c>
      <c r="S406" s="362">
        <v>8.0</v>
      </c>
      <c r="T406" s="201">
        <v>2026.0</v>
      </c>
      <c r="U406" s="189" t="s">
        <v>36</v>
      </c>
      <c r="V406" s="189">
        <v>139.5</v>
      </c>
      <c r="W406" s="361">
        <v>46235.0</v>
      </c>
      <c r="X406" s="201">
        <v>1.0</v>
      </c>
      <c r="Y406" s="201">
        <v>8.0</v>
      </c>
      <c r="Z406" s="201">
        <v>2026.0</v>
      </c>
      <c r="AA406" s="189" t="s">
        <v>36</v>
      </c>
    </row>
    <row r="407" ht="15.75" hidden="1" customHeight="1">
      <c r="A407" s="189" t="s">
        <v>1826</v>
      </c>
      <c r="B407" s="189">
        <v>5.081604046E9</v>
      </c>
      <c r="C407" s="361">
        <v>46229.0</v>
      </c>
      <c r="D407" s="201">
        <v>26.0</v>
      </c>
      <c r="E407" s="201">
        <v>7.0</v>
      </c>
      <c r="F407" s="201">
        <v>2026.0</v>
      </c>
      <c r="G407" s="361">
        <v>46231.0</v>
      </c>
      <c r="H407" s="201">
        <v>28.0</v>
      </c>
      <c r="I407" s="201">
        <v>7.0</v>
      </c>
      <c r="J407" s="201">
        <v>2026.0</v>
      </c>
      <c r="K407" s="189" t="s">
        <v>36</v>
      </c>
      <c r="L407" s="189" t="s">
        <v>1774</v>
      </c>
      <c r="M407" s="189">
        <v>2.0</v>
      </c>
      <c r="N407" s="189">
        <v>2.0</v>
      </c>
      <c r="O407" s="189"/>
      <c r="P407" s="189">
        <v>8.0</v>
      </c>
      <c r="Q407" s="361">
        <v>46235.0</v>
      </c>
      <c r="R407" s="362">
        <v>1.0</v>
      </c>
      <c r="S407" s="362">
        <v>8.0</v>
      </c>
      <c r="T407" s="201">
        <v>2026.0</v>
      </c>
      <c r="U407" s="189" t="s">
        <v>36</v>
      </c>
      <c r="V407" s="189">
        <v>116.92</v>
      </c>
      <c r="W407" s="361">
        <v>46235.0</v>
      </c>
      <c r="X407" s="201">
        <v>1.0</v>
      </c>
      <c r="Y407" s="201">
        <v>8.0</v>
      </c>
      <c r="Z407" s="201">
        <v>2026.0</v>
      </c>
      <c r="AA407" s="189" t="s">
        <v>36</v>
      </c>
    </row>
    <row r="408" ht="15.75" hidden="1" customHeight="1">
      <c r="A408" s="189" t="s">
        <v>1828</v>
      </c>
      <c r="B408" s="189">
        <v>6.953749871E9</v>
      </c>
      <c r="C408" s="361">
        <v>46228.0</v>
      </c>
      <c r="D408" s="201">
        <v>25.0</v>
      </c>
      <c r="E408" s="201">
        <v>7.0</v>
      </c>
      <c r="F408" s="201">
        <v>2026.0</v>
      </c>
      <c r="G408" s="361">
        <v>46230.0</v>
      </c>
      <c r="H408" s="201">
        <v>27.0</v>
      </c>
      <c r="I408" s="201">
        <v>7.0</v>
      </c>
      <c r="J408" s="201">
        <v>2026.0</v>
      </c>
      <c r="K408" s="189" t="s">
        <v>36</v>
      </c>
      <c r="L408" s="189" t="s">
        <v>1774</v>
      </c>
      <c r="M408" s="189">
        <v>2.0</v>
      </c>
      <c r="N408" s="189">
        <v>2.0</v>
      </c>
      <c r="O408" s="189"/>
      <c r="P408" s="189">
        <v>8.0</v>
      </c>
      <c r="Q408" s="361">
        <v>46235.0</v>
      </c>
      <c r="R408" s="362">
        <v>1.0</v>
      </c>
      <c r="S408" s="362">
        <v>8.0</v>
      </c>
      <c r="T408" s="201">
        <v>2026.0</v>
      </c>
      <c r="U408" s="189" t="s">
        <v>36</v>
      </c>
      <c r="V408" s="189">
        <v>183.8</v>
      </c>
      <c r="W408" s="361">
        <v>46235.0</v>
      </c>
      <c r="X408" s="201">
        <v>1.0</v>
      </c>
      <c r="Y408" s="201">
        <v>8.0</v>
      </c>
      <c r="Z408" s="201">
        <v>2026.0</v>
      </c>
      <c r="AA408" s="189" t="s">
        <v>36</v>
      </c>
    </row>
    <row r="409" ht="15.75" hidden="1" customHeight="1">
      <c r="A409" s="189" t="s">
        <v>1831</v>
      </c>
      <c r="B409" s="189">
        <v>6.33941418E9</v>
      </c>
      <c r="C409" s="361">
        <v>46229.0</v>
      </c>
      <c r="D409" s="201">
        <v>26.0</v>
      </c>
      <c r="E409" s="201">
        <v>7.0</v>
      </c>
      <c r="F409" s="201">
        <v>2026.0</v>
      </c>
      <c r="G409" s="361">
        <v>46230.0</v>
      </c>
      <c r="H409" s="201">
        <v>27.0</v>
      </c>
      <c r="I409" s="201">
        <v>7.0</v>
      </c>
      <c r="J409" s="201">
        <v>2026.0</v>
      </c>
      <c r="K409" s="189" t="s">
        <v>36</v>
      </c>
      <c r="L409" s="189" t="s">
        <v>1774</v>
      </c>
      <c r="M409" s="189">
        <v>1.0</v>
      </c>
      <c r="N409" s="189">
        <v>1.0</v>
      </c>
      <c r="O409" s="189"/>
      <c r="P409" s="189">
        <v>2.0</v>
      </c>
      <c r="Q409" s="361">
        <v>46235.0</v>
      </c>
      <c r="R409" s="362">
        <v>1.0</v>
      </c>
      <c r="S409" s="362">
        <v>8.0</v>
      </c>
      <c r="T409" s="201">
        <v>2026.0</v>
      </c>
      <c r="U409" s="189" t="s">
        <v>36</v>
      </c>
      <c r="V409" s="189">
        <v>36.76</v>
      </c>
      <c r="W409" s="361">
        <v>46235.0</v>
      </c>
      <c r="X409" s="201">
        <v>1.0</v>
      </c>
      <c r="Y409" s="201">
        <v>8.0</v>
      </c>
      <c r="Z409" s="201">
        <v>2026.0</v>
      </c>
      <c r="AA409" s="189" t="s">
        <v>36</v>
      </c>
    </row>
    <row r="410" ht="15.75" hidden="1" customHeight="1">
      <c r="A410" s="189" t="s">
        <v>1833</v>
      </c>
      <c r="B410" s="189">
        <v>5.481661716E9</v>
      </c>
      <c r="C410" s="361">
        <v>46227.0</v>
      </c>
      <c r="D410" s="201">
        <v>24.0</v>
      </c>
      <c r="E410" s="201">
        <v>7.0</v>
      </c>
      <c r="F410" s="201">
        <v>2026.0</v>
      </c>
      <c r="G410" s="361">
        <v>46230.0</v>
      </c>
      <c r="H410" s="201">
        <v>27.0</v>
      </c>
      <c r="I410" s="201">
        <v>7.0</v>
      </c>
      <c r="J410" s="201">
        <v>2026.0</v>
      </c>
      <c r="K410" s="189" t="s">
        <v>36</v>
      </c>
      <c r="L410" s="189" t="s">
        <v>1774</v>
      </c>
      <c r="M410" s="189">
        <v>1.0</v>
      </c>
      <c r="N410" s="189">
        <v>3.0</v>
      </c>
      <c r="O410" s="189"/>
      <c r="P410" s="189">
        <v>6.0</v>
      </c>
      <c r="Q410" s="361">
        <v>46235.0</v>
      </c>
      <c r="R410" s="362">
        <v>1.0</v>
      </c>
      <c r="S410" s="362">
        <v>8.0</v>
      </c>
      <c r="T410" s="201">
        <v>2026.0</v>
      </c>
      <c r="U410" s="189" t="s">
        <v>36</v>
      </c>
      <c r="V410" s="189">
        <v>102.74</v>
      </c>
      <c r="W410" s="361">
        <v>46235.0</v>
      </c>
      <c r="X410" s="201">
        <v>1.0</v>
      </c>
      <c r="Y410" s="201">
        <v>8.0</v>
      </c>
      <c r="Z410" s="201">
        <v>2026.0</v>
      </c>
      <c r="AA410" s="189" t="s">
        <v>36</v>
      </c>
    </row>
    <row r="411" ht="15.75" hidden="1" customHeight="1">
      <c r="A411" s="189" t="s">
        <v>1835</v>
      </c>
      <c r="B411" s="189">
        <v>5.397651587E9</v>
      </c>
      <c r="C411" s="361">
        <v>46226.0</v>
      </c>
      <c r="D411" s="201">
        <v>23.0</v>
      </c>
      <c r="E411" s="201">
        <v>7.0</v>
      </c>
      <c r="F411" s="201">
        <v>2026.0</v>
      </c>
      <c r="G411" s="361">
        <v>46230.0</v>
      </c>
      <c r="H411" s="201">
        <v>27.0</v>
      </c>
      <c r="I411" s="201">
        <v>7.0</v>
      </c>
      <c r="J411" s="201">
        <v>2026.0</v>
      </c>
      <c r="K411" s="189" t="s">
        <v>36</v>
      </c>
      <c r="L411" s="189" t="s">
        <v>1774</v>
      </c>
      <c r="M411" s="189">
        <v>1.0</v>
      </c>
      <c r="N411" s="189">
        <v>4.0</v>
      </c>
      <c r="O411" s="189"/>
      <c r="P411" s="189">
        <v>8.0</v>
      </c>
      <c r="Q411" s="361">
        <v>46235.0</v>
      </c>
      <c r="R411" s="362">
        <v>1.0</v>
      </c>
      <c r="S411" s="362">
        <v>8.0</v>
      </c>
      <c r="T411" s="201">
        <v>2026.0</v>
      </c>
      <c r="U411" s="189" t="s">
        <v>36</v>
      </c>
      <c r="V411" s="189">
        <v>141.17</v>
      </c>
      <c r="W411" s="361">
        <v>46235.0</v>
      </c>
      <c r="X411" s="201">
        <v>1.0</v>
      </c>
      <c r="Y411" s="201">
        <v>8.0</v>
      </c>
      <c r="Z411" s="201">
        <v>2026.0</v>
      </c>
      <c r="AA411" s="189" t="s">
        <v>36</v>
      </c>
    </row>
    <row r="412" ht="15.75" hidden="1" customHeight="1">
      <c r="A412" s="189" t="s">
        <v>1838</v>
      </c>
      <c r="B412" s="189">
        <v>6.709752168E9</v>
      </c>
      <c r="C412" s="361">
        <v>46228.0</v>
      </c>
      <c r="D412" s="201">
        <v>25.0</v>
      </c>
      <c r="E412" s="201">
        <v>7.0</v>
      </c>
      <c r="F412" s="201">
        <v>2026.0</v>
      </c>
      <c r="G412" s="361">
        <v>46229.0</v>
      </c>
      <c r="H412" s="201">
        <v>26.0</v>
      </c>
      <c r="I412" s="201">
        <v>7.0</v>
      </c>
      <c r="J412" s="201">
        <v>2026.0</v>
      </c>
      <c r="K412" s="189" t="s">
        <v>36</v>
      </c>
      <c r="L412" s="189" t="s">
        <v>1774</v>
      </c>
      <c r="M412" s="189">
        <v>1.0</v>
      </c>
      <c r="N412" s="189">
        <v>1.0</v>
      </c>
      <c r="O412" s="189"/>
      <c r="P412" s="189">
        <v>2.0</v>
      </c>
      <c r="Q412" s="361">
        <v>46235.0</v>
      </c>
      <c r="R412" s="362">
        <v>1.0</v>
      </c>
      <c r="S412" s="362">
        <v>8.0</v>
      </c>
      <c r="T412" s="201">
        <v>2026.0</v>
      </c>
      <c r="U412" s="189" t="s">
        <v>36</v>
      </c>
      <c r="V412" s="189">
        <v>45.95</v>
      </c>
      <c r="W412" s="361">
        <v>46235.0</v>
      </c>
      <c r="X412" s="201">
        <v>1.0</v>
      </c>
      <c r="Y412" s="201">
        <v>8.0</v>
      </c>
      <c r="Z412" s="201">
        <v>2026.0</v>
      </c>
      <c r="AA412" s="189" t="s">
        <v>36</v>
      </c>
    </row>
    <row r="413" ht="15.75" hidden="1" customHeight="1">
      <c r="A413" s="189" t="s">
        <v>1840</v>
      </c>
      <c r="B413" s="189">
        <v>6.357404551E9</v>
      </c>
      <c r="C413" s="361">
        <v>46228.0</v>
      </c>
      <c r="D413" s="201">
        <v>25.0</v>
      </c>
      <c r="E413" s="201">
        <v>7.0</v>
      </c>
      <c r="F413" s="201">
        <v>2026.0</v>
      </c>
      <c r="G413" s="361">
        <v>46229.0</v>
      </c>
      <c r="H413" s="201">
        <v>26.0</v>
      </c>
      <c r="I413" s="201">
        <v>7.0</v>
      </c>
      <c r="J413" s="201">
        <v>2026.0</v>
      </c>
      <c r="K413" s="189" t="s">
        <v>36</v>
      </c>
      <c r="L413" s="189" t="s">
        <v>1774</v>
      </c>
      <c r="M413" s="189">
        <v>2.0</v>
      </c>
      <c r="N413" s="189">
        <v>1.0</v>
      </c>
      <c r="O413" s="189"/>
      <c r="P413" s="189">
        <v>4.0</v>
      </c>
      <c r="Q413" s="361">
        <v>46235.0</v>
      </c>
      <c r="R413" s="362">
        <v>1.0</v>
      </c>
      <c r="S413" s="362">
        <v>8.0</v>
      </c>
      <c r="T413" s="201">
        <v>2026.0</v>
      </c>
      <c r="U413" s="189" t="s">
        <v>36</v>
      </c>
      <c r="V413" s="189">
        <v>58.46</v>
      </c>
      <c r="W413" s="361">
        <v>46235.0</v>
      </c>
      <c r="X413" s="201">
        <v>1.0</v>
      </c>
      <c r="Y413" s="201">
        <v>8.0</v>
      </c>
      <c r="Z413" s="201">
        <v>2026.0</v>
      </c>
      <c r="AA413" s="189" t="s">
        <v>36</v>
      </c>
    </row>
    <row r="414" ht="15.75" hidden="1" customHeight="1">
      <c r="A414" s="189" t="s">
        <v>1842</v>
      </c>
      <c r="B414" s="189">
        <v>5.479906632E9</v>
      </c>
      <c r="C414" s="361">
        <v>46226.0</v>
      </c>
      <c r="D414" s="201">
        <v>23.0</v>
      </c>
      <c r="E414" s="201">
        <v>7.0</v>
      </c>
      <c r="F414" s="201">
        <v>2026.0</v>
      </c>
      <c r="G414" s="361">
        <v>46229.0</v>
      </c>
      <c r="H414" s="201">
        <v>26.0</v>
      </c>
      <c r="I414" s="201">
        <v>7.0</v>
      </c>
      <c r="J414" s="201">
        <v>2026.0</v>
      </c>
      <c r="K414" s="189" t="s">
        <v>36</v>
      </c>
      <c r="L414" s="189" t="s">
        <v>1774</v>
      </c>
      <c r="M414" s="189">
        <v>1.0</v>
      </c>
      <c r="N414" s="189">
        <v>3.0</v>
      </c>
      <c r="O414" s="189"/>
      <c r="P414" s="189">
        <v>6.0</v>
      </c>
      <c r="Q414" s="361">
        <v>46235.0</v>
      </c>
      <c r="R414" s="362">
        <v>1.0</v>
      </c>
      <c r="S414" s="362">
        <v>8.0</v>
      </c>
      <c r="T414" s="201">
        <v>2026.0</v>
      </c>
      <c r="U414" s="189" t="s">
        <v>36</v>
      </c>
      <c r="V414" s="189">
        <v>87.7</v>
      </c>
      <c r="W414" s="361">
        <v>46235.0</v>
      </c>
      <c r="X414" s="201">
        <v>1.0</v>
      </c>
      <c r="Y414" s="201">
        <v>8.0</v>
      </c>
      <c r="Z414" s="201">
        <v>2026.0</v>
      </c>
      <c r="AA414" s="189" t="s">
        <v>36</v>
      </c>
    </row>
    <row r="415" ht="15.75" hidden="1" customHeight="1">
      <c r="A415" s="189" t="s">
        <v>1843</v>
      </c>
      <c r="B415" s="189">
        <v>5.729395447E9</v>
      </c>
      <c r="C415" s="361">
        <v>46225.0</v>
      </c>
      <c r="D415" s="201">
        <v>22.0</v>
      </c>
      <c r="E415" s="201">
        <v>7.0</v>
      </c>
      <c r="F415" s="201">
        <v>2026.0</v>
      </c>
      <c r="G415" s="361">
        <v>46228.0</v>
      </c>
      <c r="H415" s="201">
        <v>25.0</v>
      </c>
      <c r="I415" s="201">
        <v>7.0</v>
      </c>
      <c r="J415" s="201">
        <v>2026.0</v>
      </c>
      <c r="K415" s="189" t="s">
        <v>36</v>
      </c>
      <c r="L415" s="189" t="s">
        <v>1774</v>
      </c>
      <c r="M415" s="189">
        <v>1.0</v>
      </c>
      <c r="N415" s="189">
        <v>3.0</v>
      </c>
      <c r="O415" s="189"/>
      <c r="P415" s="189">
        <v>6.0</v>
      </c>
      <c r="Q415" s="361">
        <v>46235.0</v>
      </c>
      <c r="R415" s="362">
        <v>1.0</v>
      </c>
      <c r="S415" s="362">
        <v>8.0</v>
      </c>
      <c r="T415" s="201">
        <v>2026.0</v>
      </c>
      <c r="U415" s="189" t="s">
        <v>36</v>
      </c>
      <c r="V415" s="189">
        <v>103.58</v>
      </c>
      <c r="W415" s="361">
        <v>46235.0</v>
      </c>
      <c r="X415" s="201">
        <v>1.0</v>
      </c>
      <c r="Y415" s="201">
        <v>8.0</v>
      </c>
      <c r="Z415" s="201">
        <v>2026.0</v>
      </c>
      <c r="AA415" s="189" t="s">
        <v>36</v>
      </c>
    </row>
    <row r="416" ht="15.75" hidden="1" customHeight="1">
      <c r="A416" s="189" t="s">
        <v>1844</v>
      </c>
      <c r="B416" s="189">
        <v>6.502721199E9</v>
      </c>
      <c r="C416" s="361">
        <v>46226.0</v>
      </c>
      <c r="D416" s="201">
        <v>23.0</v>
      </c>
      <c r="E416" s="201">
        <v>7.0</v>
      </c>
      <c r="F416" s="201">
        <v>2026.0</v>
      </c>
      <c r="G416" s="361">
        <v>46227.0</v>
      </c>
      <c r="H416" s="201">
        <v>24.0</v>
      </c>
      <c r="I416" s="201">
        <v>7.0</v>
      </c>
      <c r="J416" s="201">
        <v>2026.0</v>
      </c>
      <c r="K416" s="189" t="s">
        <v>36</v>
      </c>
      <c r="L416" s="189" t="s">
        <v>1774</v>
      </c>
      <c r="M416" s="189">
        <v>1.0</v>
      </c>
      <c r="N416" s="189">
        <v>1.0</v>
      </c>
      <c r="O416" s="189"/>
      <c r="P416" s="189">
        <v>2.0</v>
      </c>
      <c r="Q416" s="361">
        <v>46235.0</v>
      </c>
      <c r="R416" s="362">
        <v>1.0</v>
      </c>
      <c r="S416" s="362">
        <v>8.0</v>
      </c>
      <c r="T416" s="201">
        <v>2026.0</v>
      </c>
      <c r="U416" s="189" t="s">
        <v>36</v>
      </c>
      <c r="V416" s="189">
        <v>37.59</v>
      </c>
      <c r="W416" s="361">
        <v>46235.0</v>
      </c>
      <c r="X416" s="201">
        <v>1.0</v>
      </c>
      <c r="Y416" s="201">
        <v>8.0</v>
      </c>
      <c r="Z416" s="201">
        <v>2026.0</v>
      </c>
      <c r="AA416" s="189" t="s">
        <v>36</v>
      </c>
    </row>
    <row r="417" ht="15.75" hidden="1" customHeight="1">
      <c r="A417" s="189" t="s">
        <v>1845</v>
      </c>
      <c r="B417" s="189">
        <v>5.175403527E9</v>
      </c>
      <c r="C417" s="361">
        <v>46226.0</v>
      </c>
      <c r="D417" s="201">
        <v>23.0</v>
      </c>
      <c r="E417" s="201">
        <v>7.0</v>
      </c>
      <c r="F417" s="201">
        <v>2026.0</v>
      </c>
      <c r="G417" s="361">
        <v>46227.0</v>
      </c>
      <c r="H417" s="201">
        <v>24.0</v>
      </c>
      <c r="I417" s="201">
        <v>7.0</v>
      </c>
      <c r="J417" s="201">
        <v>2026.0</v>
      </c>
      <c r="K417" s="189" t="s">
        <v>36</v>
      </c>
      <c r="L417" s="189" t="s">
        <v>1774</v>
      </c>
      <c r="M417" s="189">
        <v>1.0</v>
      </c>
      <c r="N417" s="189">
        <v>1.0</v>
      </c>
      <c r="O417" s="189"/>
      <c r="P417" s="189">
        <v>2.0</v>
      </c>
      <c r="Q417" s="361">
        <v>46235.0</v>
      </c>
      <c r="R417" s="362">
        <v>1.0</v>
      </c>
      <c r="S417" s="362">
        <v>8.0</v>
      </c>
      <c r="T417" s="201">
        <v>2026.0</v>
      </c>
      <c r="U417" s="189" t="s">
        <v>36</v>
      </c>
      <c r="V417" s="189">
        <v>45.95</v>
      </c>
      <c r="W417" s="361">
        <v>46235.0</v>
      </c>
      <c r="X417" s="201">
        <v>1.0</v>
      </c>
      <c r="Y417" s="201">
        <v>8.0</v>
      </c>
      <c r="Z417" s="201">
        <v>2026.0</v>
      </c>
      <c r="AA417" s="189" t="s">
        <v>36</v>
      </c>
    </row>
    <row r="418" ht="15.75" hidden="1" customHeight="1">
      <c r="A418" s="189" t="s">
        <v>1846</v>
      </c>
      <c r="B418" s="189">
        <v>5.561133159E9</v>
      </c>
      <c r="C418" s="361">
        <v>46223.0</v>
      </c>
      <c r="D418" s="201">
        <v>20.0</v>
      </c>
      <c r="E418" s="201">
        <v>7.0</v>
      </c>
      <c r="F418" s="201">
        <v>2026.0</v>
      </c>
      <c r="G418" s="361">
        <v>46226.0</v>
      </c>
      <c r="H418" s="201">
        <v>23.0</v>
      </c>
      <c r="I418" s="201">
        <v>7.0</v>
      </c>
      <c r="J418" s="201">
        <v>2026.0</v>
      </c>
      <c r="K418" s="189" t="s">
        <v>36</v>
      </c>
      <c r="L418" s="189" t="s">
        <v>1774</v>
      </c>
      <c r="M418" s="189">
        <v>1.0</v>
      </c>
      <c r="N418" s="189">
        <v>3.0</v>
      </c>
      <c r="O418" s="189"/>
      <c r="P418" s="189">
        <v>6.0</v>
      </c>
      <c r="Q418" s="361">
        <v>46235.0</v>
      </c>
      <c r="R418" s="362">
        <v>1.0</v>
      </c>
      <c r="S418" s="362">
        <v>8.0</v>
      </c>
      <c r="T418" s="201">
        <v>2026.0</v>
      </c>
      <c r="U418" s="189" t="s">
        <v>36</v>
      </c>
      <c r="V418" s="189">
        <v>112.78</v>
      </c>
      <c r="W418" s="361">
        <v>46235.0</v>
      </c>
      <c r="X418" s="201">
        <v>1.0</v>
      </c>
      <c r="Y418" s="201">
        <v>8.0</v>
      </c>
      <c r="Z418" s="201">
        <v>2026.0</v>
      </c>
      <c r="AA418" s="189" t="s">
        <v>36</v>
      </c>
    </row>
    <row r="419" ht="15.75" hidden="1" customHeight="1">
      <c r="A419" s="189" t="s">
        <v>1847</v>
      </c>
      <c r="B419" s="189">
        <v>5.386047052E9</v>
      </c>
      <c r="C419" s="361">
        <v>46224.0</v>
      </c>
      <c r="D419" s="201">
        <v>21.0</v>
      </c>
      <c r="E419" s="201">
        <v>7.0</v>
      </c>
      <c r="F419" s="201">
        <v>2026.0</v>
      </c>
      <c r="G419" s="361">
        <v>46226.0</v>
      </c>
      <c r="H419" s="201">
        <v>23.0</v>
      </c>
      <c r="I419" s="201">
        <v>7.0</v>
      </c>
      <c r="J419" s="201">
        <v>2026.0</v>
      </c>
      <c r="K419" s="189" t="s">
        <v>36</v>
      </c>
      <c r="L419" s="189" t="s">
        <v>1774</v>
      </c>
      <c r="M419" s="189">
        <v>1.0</v>
      </c>
      <c r="N419" s="189">
        <v>2.0</v>
      </c>
      <c r="O419" s="189"/>
      <c r="P419" s="189">
        <v>4.0</v>
      </c>
      <c r="Q419" s="361">
        <v>46235.0</v>
      </c>
      <c r="R419" s="362">
        <v>1.0</v>
      </c>
      <c r="S419" s="362">
        <v>8.0</v>
      </c>
      <c r="T419" s="201">
        <v>2026.0</v>
      </c>
      <c r="U419" s="189" t="s">
        <v>36</v>
      </c>
      <c r="V419" s="189">
        <v>55.96</v>
      </c>
      <c r="W419" s="361">
        <v>46235.0</v>
      </c>
      <c r="X419" s="201">
        <v>1.0</v>
      </c>
      <c r="Y419" s="201">
        <v>8.0</v>
      </c>
      <c r="Z419" s="201">
        <v>2026.0</v>
      </c>
      <c r="AA419" s="189" t="s">
        <v>36</v>
      </c>
    </row>
    <row r="420" ht="15.75" hidden="1" customHeight="1">
      <c r="A420" s="189" t="s">
        <v>1848</v>
      </c>
      <c r="B420" s="189">
        <v>5.270094679E9</v>
      </c>
      <c r="C420" s="361">
        <v>46224.0</v>
      </c>
      <c r="D420" s="201">
        <v>21.0</v>
      </c>
      <c r="E420" s="201">
        <v>7.0</v>
      </c>
      <c r="F420" s="201">
        <v>2026.0</v>
      </c>
      <c r="G420" s="361">
        <v>46226.0</v>
      </c>
      <c r="H420" s="201">
        <v>23.0</v>
      </c>
      <c r="I420" s="201">
        <v>7.0</v>
      </c>
      <c r="J420" s="201">
        <v>2026.0</v>
      </c>
      <c r="K420" s="189" t="s">
        <v>36</v>
      </c>
      <c r="L420" s="189" t="s">
        <v>1774</v>
      </c>
      <c r="M420" s="189">
        <v>1.0</v>
      </c>
      <c r="N420" s="189">
        <v>2.0</v>
      </c>
      <c r="O420" s="189"/>
      <c r="P420" s="189">
        <v>4.0</v>
      </c>
      <c r="Q420" s="361">
        <v>46235.0</v>
      </c>
      <c r="R420" s="362">
        <v>1.0</v>
      </c>
      <c r="S420" s="362">
        <v>8.0</v>
      </c>
      <c r="T420" s="201">
        <v>2026.0</v>
      </c>
      <c r="U420" s="189" t="s">
        <v>36</v>
      </c>
      <c r="V420" s="189">
        <v>55.96</v>
      </c>
      <c r="W420" s="361">
        <v>46235.0</v>
      </c>
      <c r="X420" s="201">
        <v>1.0</v>
      </c>
      <c r="Y420" s="201">
        <v>8.0</v>
      </c>
      <c r="Z420" s="201">
        <v>2026.0</v>
      </c>
      <c r="AA420" s="189" t="s">
        <v>36</v>
      </c>
    </row>
    <row r="421" ht="15.75" hidden="1" customHeight="1">
      <c r="A421" s="189" t="s">
        <v>1849</v>
      </c>
      <c r="B421" s="189">
        <v>6.806663372E9</v>
      </c>
      <c r="C421" s="361">
        <v>46224.0</v>
      </c>
      <c r="D421" s="201">
        <v>21.0</v>
      </c>
      <c r="E421" s="201">
        <v>7.0</v>
      </c>
      <c r="F421" s="201">
        <v>2026.0</v>
      </c>
      <c r="G421" s="361">
        <v>46225.0</v>
      </c>
      <c r="H421" s="201">
        <v>22.0</v>
      </c>
      <c r="I421" s="201">
        <v>7.0</v>
      </c>
      <c r="J421" s="201">
        <v>2026.0</v>
      </c>
      <c r="K421" s="189" t="s">
        <v>36</v>
      </c>
      <c r="L421" s="189" t="s">
        <v>1774</v>
      </c>
      <c r="M421" s="189">
        <v>1.0</v>
      </c>
      <c r="N421" s="189">
        <v>1.0</v>
      </c>
      <c r="O421" s="189"/>
      <c r="P421" s="189">
        <v>2.0</v>
      </c>
      <c r="Q421" s="361">
        <v>46235.0</v>
      </c>
      <c r="R421" s="362">
        <v>1.0</v>
      </c>
      <c r="S421" s="362">
        <v>8.0</v>
      </c>
      <c r="T421" s="201">
        <v>2026.0</v>
      </c>
      <c r="U421" s="189" t="s">
        <v>36</v>
      </c>
      <c r="V421" s="189">
        <v>29.23</v>
      </c>
      <c r="W421" s="361">
        <v>46235.0</v>
      </c>
      <c r="X421" s="201">
        <v>1.0</v>
      </c>
      <c r="Y421" s="201">
        <v>8.0</v>
      </c>
      <c r="Z421" s="201">
        <v>2026.0</v>
      </c>
      <c r="AA421" s="189" t="s">
        <v>36</v>
      </c>
    </row>
    <row r="422" ht="15.75" hidden="1" customHeight="1">
      <c r="A422" s="189" t="s">
        <v>1850</v>
      </c>
      <c r="B422" s="189">
        <v>6.804381381E9</v>
      </c>
      <c r="C422" s="361">
        <v>46224.0</v>
      </c>
      <c r="D422" s="201">
        <v>21.0</v>
      </c>
      <c r="E422" s="201">
        <v>7.0</v>
      </c>
      <c r="F422" s="201">
        <v>2026.0</v>
      </c>
      <c r="G422" s="361">
        <v>46225.0</v>
      </c>
      <c r="H422" s="201">
        <v>22.0</v>
      </c>
      <c r="I422" s="201">
        <v>7.0</v>
      </c>
      <c r="J422" s="201">
        <v>2026.0</v>
      </c>
      <c r="K422" s="189" t="s">
        <v>36</v>
      </c>
      <c r="L422" s="189" t="s">
        <v>1774</v>
      </c>
      <c r="M422" s="189">
        <v>1.0</v>
      </c>
      <c r="N422" s="189">
        <v>1.0</v>
      </c>
      <c r="O422" s="189"/>
      <c r="P422" s="189">
        <v>2.0</v>
      </c>
      <c r="Q422" s="361">
        <v>46235.0</v>
      </c>
      <c r="R422" s="362">
        <v>1.0</v>
      </c>
      <c r="S422" s="362">
        <v>8.0</v>
      </c>
      <c r="T422" s="201">
        <v>2026.0</v>
      </c>
      <c r="U422" s="189" t="s">
        <v>36</v>
      </c>
      <c r="V422" s="189">
        <v>29.23</v>
      </c>
      <c r="W422" s="361">
        <v>46235.0</v>
      </c>
      <c r="X422" s="201">
        <v>1.0</v>
      </c>
      <c r="Y422" s="201">
        <v>8.0</v>
      </c>
      <c r="Z422" s="201">
        <v>2026.0</v>
      </c>
      <c r="AA422" s="189" t="s">
        <v>36</v>
      </c>
    </row>
    <row r="423" ht="15.75" hidden="1" customHeight="1">
      <c r="A423" s="189" t="s">
        <v>1851</v>
      </c>
      <c r="B423" s="189">
        <v>6.524774784E9</v>
      </c>
      <c r="C423" s="361">
        <v>46222.0</v>
      </c>
      <c r="D423" s="201">
        <v>19.0</v>
      </c>
      <c r="E423" s="201">
        <v>7.0</v>
      </c>
      <c r="F423" s="201">
        <v>2026.0</v>
      </c>
      <c r="G423" s="361">
        <v>46224.0</v>
      </c>
      <c r="H423" s="201">
        <v>21.0</v>
      </c>
      <c r="I423" s="201">
        <v>7.0</v>
      </c>
      <c r="J423" s="201">
        <v>2026.0</v>
      </c>
      <c r="K423" s="189" t="s">
        <v>36</v>
      </c>
      <c r="L423" s="189" t="s">
        <v>1774</v>
      </c>
      <c r="M423" s="189">
        <v>1.0</v>
      </c>
      <c r="N423" s="189">
        <v>2.0</v>
      </c>
      <c r="O423" s="189"/>
      <c r="P423" s="189">
        <v>4.0</v>
      </c>
      <c r="Q423" s="361">
        <v>46235.0</v>
      </c>
      <c r="R423" s="362">
        <v>1.0</v>
      </c>
      <c r="S423" s="362">
        <v>8.0</v>
      </c>
      <c r="T423" s="201">
        <v>2026.0</v>
      </c>
      <c r="U423" s="189" t="s">
        <v>36</v>
      </c>
      <c r="V423" s="189">
        <v>66.82</v>
      </c>
      <c r="W423" s="361">
        <v>46235.0</v>
      </c>
      <c r="X423" s="201">
        <v>1.0</v>
      </c>
      <c r="Y423" s="201">
        <v>8.0</v>
      </c>
      <c r="Z423" s="201">
        <v>2026.0</v>
      </c>
      <c r="AA423" s="189" t="s">
        <v>36</v>
      </c>
    </row>
    <row r="424" ht="15.75" hidden="1" customHeight="1">
      <c r="A424" s="189" t="s">
        <v>1852</v>
      </c>
      <c r="B424" s="189">
        <v>5.760385273E9</v>
      </c>
      <c r="C424" s="361">
        <v>46222.0</v>
      </c>
      <c r="D424" s="201">
        <v>19.0</v>
      </c>
      <c r="E424" s="201">
        <v>7.0</v>
      </c>
      <c r="F424" s="201">
        <v>2026.0</v>
      </c>
      <c r="G424" s="361">
        <v>46224.0</v>
      </c>
      <c r="H424" s="201">
        <v>21.0</v>
      </c>
      <c r="I424" s="201">
        <v>7.0</v>
      </c>
      <c r="J424" s="201">
        <v>2026.0</v>
      </c>
      <c r="K424" s="189" t="s">
        <v>36</v>
      </c>
      <c r="L424" s="189" t="s">
        <v>1774</v>
      </c>
      <c r="M424" s="189">
        <v>1.0</v>
      </c>
      <c r="N424" s="189">
        <v>2.0</v>
      </c>
      <c r="O424" s="189"/>
      <c r="P424" s="189">
        <v>4.0</v>
      </c>
      <c r="Q424" s="361">
        <v>46235.0</v>
      </c>
      <c r="R424" s="362">
        <v>1.0</v>
      </c>
      <c r="S424" s="362">
        <v>8.0</v>
      </c>
      <c r="T424" s="201">
        <v>2026.0</v>
      </c>
      <c r="U424" s="189" t="s">
        <v>36</v>
      </c>
      <c r="V424" s="189">
        <v>53.45</v>
      </c>
      <c r="W424" s="361">
        <v>46235.0</v>
      </c>
      <c r="X424" s="201">
        <v>1.0</v>
      </c>
      <c r="Y424" s="201">
        <v>8.0</v>
      </c>
      <c r="Z424" s="201">
        <v>2026.0</v>
      </c>
      <c r="AA424" s="189" t="s">
        <v>36</v>
      </c>
    </row>
    <row r="425" ht="15.75" hidden="1" customHeight="1">
      <c r="A425" s="189" t="s">
        <v>1853</v>
      </c>
      <c r="B425" s="189">
        <v>5.40577618E9</v>
      </c>
      <c r="C425" s="361">
        <v>46223.0</v>
      </c>
      <c r="D425" s="201">
        <v>20.0</v>
      </c>
      <c r="E425" s="201">
        <v>7.0</v>
      </c>
      <c r="F425" s="201">
        <v>2026.0</v>
      </c>
      <c r="G425" s="361">
        <v>46224.0</v>
      </c>
      <c r="H425" s="201">
        <v>21.0</v>
      </c>
      <c r="I425" s="201">
        <v>7.0</v>
      </c>
      <c r="J425" s="201">
        <v>2026.0</v>
      </c>
      <c r="K425" s="189" t="s">
        <v>36</v>
      </c>
      <c r="L425" s="189" t="s">
        <v>1774</v>
      </c>
      <c r="M425" s="189">
        <v>1.0</v>
      </c>
      <c r="N425" s="189">
        <v>1.0</v>
      </c>
      <c r="O425" s="189"/>
      <c r="P425" s="189">
        <v>2.0</v>
      </c>
      <c r="Q425" s="361">
        <v>46235.0</v>
      </c>
      <c r="R425" s="362">
        <v>1.0</v>
      </c>
      <c r="S425" s="362">
        <v>8.0</v>
      </c>
      <c r="T425" s="201">
        <v>2026.0</v>
      </c>
      <c r="U425" s="189" t="s">
        <v>36</v>
      </c>
      <c r="V425" s="189">
        <v>29.23</v>
      </c>
      <c r="W425" s="361">
        <v>46235.0</v>
      </c>
      <c r="X425" s="201">
        <v>1.0</v>
      </c>
      <c r="Y425" s="201">
        <v>8.0</v>
      </c>
      <c r="Z425" s="201">
        <v>2026.0</v>
      </c>
      <c r="AA425" s="189" t="s">
        <v>36</v>
      </c>
    </row>
    <row r="426" ht="15.75" hidden="1" customHeight="1">
      <c r="A426" s="189" t="s">
        <v>1854</v>
      </c>
      <c r="B426" s="189">
        <v>5.380316604E9</v>
      </c>
      <c r="C426" s="361">
        <v>46223.0</v>
      </c>
      <c r="D426" s="201">
        <v>20.0</v>
      </c>
      <c r="E426" s="201">
        <v>7.0</v>
      </c>
      <c r="F426" s="201">
        <v>2026.0</v>
      </c>
      <c r="G426" s="361">
        <v>46224.0</v>
      </c>
      <c r="H426" s="201">
        <v>21.0</v>
      </c>
      <c r="I426" s="201">
        <v>7.0</v>
      </c>
      <c r="J426" s="201">
        <v>2026.0</v>
      </c>
      <c r="K426" s="189" t="s">
        <v>36</v>
      </c>
      <c r="L426" s="189" t="s">
        <v>1774</v>
      </c>
      <c r="M426" s="189">
        <v>1.0</v>
      </c>
      <c r="N426" s="189">
        <v>1.0</v>
      </c>
      <c r="O426" s="189"/>
      <c r="P426" s="189">
        <v>2.0</v>
      </c>
      <c r="Q426" s="361">
        <v>46235.0</v>
      </c>
      <c r="R426" s="362">
        <v>1.0</v>
      </c>
      <c r="S426" s="362">
        <v>8.0</v>
      </c>
      <c r="T426" s="201">
        <v>2026.0</v>
      </c>
      <c r="U426" s="189" t="s">
        <v>36</v>
      </c>
      <c r="V426" s="189">
        <v>29.23</v>
      </c>
      <c r="W426" s="361">
        <v>46235.0</v>
      </c>
      <c r="X426" s="201">
        <v>1.0</v>
      </c>
      <c r="Y426" s="201">
        <v>8.0</v>
      </c>
      <c r="Z426" s="201">
        <v>2026.0</v>
      </c>
      <c r="AA426" s="189" t="s">
        <v>36</v>
      </c>
    </row>
    <row r="427" ht="15.75" hidden="1" customHeight="1">
      <c r="A427" s="189" t="s">
        <v>1855</v>
      </c>
      <c r="B427" s="189">
        <v>5.270038976E9</v>
      </c>
      <c r="C427" s="361">
        <v>46223.0</v>
      </c>
      <c r="D427" s="201">
        <v>20.0</v>
      </c>
      <c r="E427" s="201">
        <v>7.0</v>
      </c>
      <c r="F427" s="201">
        <v>2026.0</v>
      </c>
      <c r="G427" s="361">
        <v>46224.0</v>
      </c>
      <c r="H427" s="201">
        <v>21.0</v>
      </c>
      <c r="I427" s="201">
        <v>7.0</v>
      </c>
      <c r="J427" s="201">
        <v>2026.0</v>
      </c>
      <c r="K427" s="189" t="s">
        <v>36</v>
      </c>
      <c r="L427" s="189" t="s">
        <v>1774</v>
      </c>
      <c r="M427" s="189">
        <v>1.0</v>
      </c>
      <c r="N427" s="189">
        <v>1.0</v>
      </c>
      <c r="O427" s="189"/>
      <c r="P427" s="189">
        <v>2.0</v>
      </c>
      <c r="Q427" s="361">
        <v>46235.0</v>
      </c>
      <c r="R427" s="362">
        <v>1.0</v>
      </c>
      <c r="S427" s="362">
        <v>8.0</v>
      </c>
      <c r="T427" s="201">
        <v>2026.0</v>
      </c>
      <c r="U427" s="189" t="s">
        <v>36</v>
      </c>
      <c r="V427" s="189">
        <v>26.72</v>
      </c>
      <c r="W427" s="361">
        <v>46235.0</v>
      </c>
      <c r="X427" s="201">
        <v>1.0</v>
      </c>
      <c r="Y427" s="201">
        <v>8.0</v>
      </c>
      <c r="Z427" s="201">
        <v>2026.0</v>
      </c>
      <c r="AA427" s="189" t="s">
        <v>36</v>
      </c>
    </row>
    <row r="428" ht="15.75" hidden="1" customHeight="1">
      <c r="A428" s="189" t="s">
        <v>1856</v>
      </c>
      <c r="B428" s="189">
        <v>6.959068645E9</v>
      </c>
      <c r="C428" s="361">
        <v>46221.0</v>
      </c>
      <c r="D428" s="201">
        <v>18.0</v>
      </c>
      <c r="E428" s="201">
        <v>7.0</v>
      </c>
      <c r="F428" s="201">
        <v>2026.0</v>
      </c>
      <c r="G428" s="361">
        <v>46223.0</v>
      </c>
      <c r="H428" s="201">
        <v>20.0</v>
      </c>
      <c r="I428" s="201">
        <v>7.0</v>
      </c>
      <c r="J428" s="201">
        <v>2026.0</v>
      </c>
      <c r="K428" s="189" t="s">
        <v>36</v>
      </c>
      <c r="L428" s="189" t="s">
        <v>1774</v>
      </c>
      <c r="M428" s="189">
        <v>1.0</v>
      </c>
      <c r="N428" s="189">
        <v>2.0</v>
      </c>
      <c r="O428" s="189"/>
      <c r="P428" s="189">
        <v>4.0</v>
      </c>
      <c r="Q428" s="361">
        <v>46235.0</v>
      </c>
      <c r="R428" s="362">
        <v>1.0</v>
      </c>
      <c r="S428" s="362">
        <v>8.0</v>
      </c>
      <c r="T428" s="201">
        <v>2026.0</v>
      </c>
      <c r="U428" s="189" t="s">
        <v>36</v>
      </c>
      <c r="V428" s="189">
        <v>61.81</v>
      </c>
      <c r="W428" s="361">
        <v>46235.0</v>
      </c>
      <c r="X428" s="201">
        <v>1.0</v>
      </c>
      <c r="Y428" s="201">
        <v>8.0</v>
      </c>
      <c r="Z428" s="201">
        <v>2026.0</v>
      </c>
      <c r="AA428" s="189" t="s">
        <v>36</v>
      </c>
    </row>
    <row r="429" ht="15.75" hidden="1" customHeight="1">
      <c r="A429" s="189" t="s">
        <v>1857</v>
      </c>
      <c r="B429" s="189">
        <v>6.065746919E9</v>
      </c>
      <c r="C429" s="361">
        <v>46222.0</v>
      </c>
      <c r="D429" s="201">
        <v>19.0</v>
      </c>
      <c r="E429" s="201">
        <v>7.0</v>
      </c>
      <c r="F429" s="201">
        <v>2026.0</v>
      </c>
      <c r="G429" s="361">
        <v>46223.0</v>
      </c>
      <c r="H429" s="201">
        <v>20.0</v>
      </c>
      <c r="I429" s="201">
        <v>7.0</v>
      </c>
      <c r="J429" s="201">
        <v>2026.0</v>
      </c>
      <c r="K429" s="189" t="s">
        <v>36</v>
      </c>
      <c r="L429" s="189" t="s">
        <v>1774</v>
      </c>
      <c r="M429" s="189">
        <v>1.0</v>
      </c>
      <c r="N429" s="189">
        <v>1.0</v>
      </c>
      <c r="O429" s="189"/>
      <c r="P429" s="189">
        <v>2.0</v>
      </c>
      <c r="Q429" s="361">
        <v>46235.0</v>
      </c>
      <c r="R429" s="362">
        <v>1.0</v>
      </c>
      <c r="S429" s="362">
        <v>8.0</v>
      </c>
      <c r="T429" s="201">
        <v>2026.0</v>
      </c>
      <c r="U429" s="189" t="s">
        <v>36</v>
      </c>
      <c r="V429" s="189">
        <v>29.23</v>
      </c>
      <c r="W429" s="361">
        <v>46235.0</v>
      </c>
      <c r="X429" s="201">
        <v>1.0</v>
      </c>
      <c r="Y429" s="201">
        <v>8.0</v>
      </c>
      <c r="Z429" s="201">
        <v>2026.0</v>
      </c>
      <c r="AA429" s="189" t="s">
        <v>36</v>
      </c>
    </row>
    <row r="430" ht="15.75" hidden="1" customHeight="1">
      <c r="A430" s="189" t="s">
        <v>1858</v>
      </c>
      <c r="B430" s="189">
        <v>5.974542123E9</v>
      </c>
      <c r="C430" s="361">
        <v>46218.0</v>
      </c>
      <c r="D430" s="201">
        <v>15.0</v>
      </c>
      <c r="E430" s="201">
        <v>7.0</v>
      </c>
      <c r="F430" s="201">
        <v>2026.0</v>
      </c>
      <c r="G430" s="361">
        <v>46223.0</v>
      </c>
      <c r="H430" s="201">
        <v>20.0</v>
      </c>
      <c r="I430" s="201">
        <v>7.0</v>
      </c>
      <c r="J430" s="201">
        <v>2026.0</v>
      </c>
      <c r="K430" s="189" t="s">
        <v>36</v>
      </c>
      <c r="L430" s="189" t="s">
        <v>1774</v>
      </c>
      <c r="M430" s="189">
        <v>1.0</v>
      </c>
      <c r="N430" s="189">
        <v>5.0</v>
      </c>
      <c r="O430" s="189"/>
      <c r="P430" s="189">
        <v>10.0</v>
      </c>
      <c r="Q430" s="361">
        <v>46235.0</v>
      </c>
      <c r="R430" s="362">
        <v>1.0</v>
      </c>
      <c r="S430" s="362">
        <v>8.0</v>
      </c>
      <c r="T430" s="201">
        <v>2026.0</v>
      </c>
      <c r="U430" s="189" t="s">
        <v>36</v>
      </c>
      <c r="V430" s="189">
        <v>229.76</v>
      </c>
      <c r="W430" s="361">
        <v>46235.0</v>
      </c>
      <c r="X430" s="201">
        <v>1.0</v>
      </c>
      <c r="Y430" s="201">
        <v>8.0</v>
      </c>
      <c r="Z430" s="201">
        <v>2026.0</v>
      </c>
      <c r="AA430" s="189" t="s">
        <v>36</v>
      </c>
    </row>
    <row r="431" ht="15.75" hidden="1" customHeight="1">
      <c r="A431" s="189" t="s">
        <v>1859</v>
      </c>
      <c r="B431" s="189">
        <v>5.902969462E9</v>
      </c>
      <c r="C431" s="361">
        <v>46222.0</v>
      </c>
      <c r="D431" s="201">
        <v>19.0</v>
      </c>
      <c r="E431" s="201">
        <v>7.0</v>
      </c>
      <c r="F431" s="201">
        <v>2026.0</v>
      </c>
      <c r="G431" s="361">
        <v>46223.0</v>
      </c>
      <c r="H431" s="201">
        <v>20.0</v>
      </c>
      <c r="I431" s="201">
        <v>7.0</v>
      </c>
      <c r="J431" s="201">
        <v>2026.0</v>
      </c>
      <c r="K431" s="189" t="s">
        <v>36</v>
      </c>
      <c r="L431" s="189" t="s">
        <v>1774</v>
      </c>
      <c r="M431" s="189">
        <v>1.0</v>
      </c>
      <c r="N431" s="189">
        <v>1.0</v>
      </c>
      <c r="O431" s="189"/>
      <c r="P431" s="189">
        <v>2.0</v>
      </c>
      <c r="Q431" s="361">
        <v>46235.0</v>
      </c>
      <c r="R431" s="362">
        <v>1.0</v>
      </c>
      <c r="S431" s="362">
        <v>8.0</v>
      </c>
      <c r="T431" s="201">
        <v>2026.0</v>
      </c>
      <c r="U431" s="189" t="s">
        <v>36</v>
      </c>
      <c r="V431" s="189">
        <v>26.72</v>
      </c>
      <c r="W431" s="361">
        <v>46235.0</v>
      </c>
      <c r="X431" s="201">
        <v>1.0</v>
      </c>
      <c r="Y431" s="201">
        <v>8.0</v>
      </c>
      <c r="Z431" s="201">
        <v>2026.0</v>
      </c>
      <c r="AA431" s="189" t="s">
        <v>36</v>
      </c>
    </row>
    <row r="432" ht="15.75" hidden="1" customHeight="1">
      <c r="A432" s="189" t="s">
        <v>1860</v>
      </c>
      <c r="B432" s="189">
        <v>5.354073829E9</v>
      </c>
      <c r="C432" s="361">
        <v>46221.0</v>
      </c>
      <c r="D432" s="201">
        <v>18.0</v>
      </c>
      <c r="E432" s="201">
        <v>7.0</v>
      </c>
      <c r="F432" s="201">
        <v>2026.0</v>
      </c>
      <c r="G432" s="361">
        <v>46223.0</v>
      </c>
      <c r="H432" s="201">
        <v>20.0</v>
      </c>
      <c r="I432" s="201">
        <v>7.0</v>
      </c>
      <c r="J432" s="201">
        <v>2026.0</v>
      </c>
      <c r="K432" s="189" t="s">
        <v>36</v>
      </c>
      <c r="L432" s="189" t="s">
        <v>1774</v>
      </c>
      <c r="M432" s="189">
        <v>1.0</v>
      </c>
      <c r="N432" s="189">
        <v>2.0</v>
      </c>
      <c r="O432" s="189"/>
      <c r="P432" s="189">
        <v>4.0</v>
      </c>
      <c r="Q432" s="361">
        <v>46235.0</v>
      </c>
      <c r="R432" s="362">
        <v>1.0</v>
      </c>
      <c r="S432" s="362">
        <v>8.0</v>
      </c>
      <c r="T432" s="201">
        <v>2026.0</v>
      </c>
      <c r="U432" s="189" t="s">
        <v>36</v>
      </c>
      <c r="V432" s="189">
        <v>75.18</v>
      </c>
      <c r="W432" s="361">
        <v>46235.0</v>
      </c>
      <c r="X432" s="201">
        <v>1.0</v>
      </c>
      <c r="Y432" s="201">
        <v>8.0</v>
      </c>
      <c r="Z432" s="201">
        <v>2026.0</v>
      </c>
      <c r="AA432" s="189" t="s">
        <v>36</v>
      </c>
    </row>
    <row r="433" ht="15.75" hidden="1" customHeight="1">
      <c r="A433" s="189" t="s">
        <v>1861</v>
      </c>
      <c r="B433" s="189">
        <v>6.824493889E9</v>
      </c>
      <c r="C433" s="361">
        <v>46220.0</v>
      </c>
      <c r="D433" s="201">
        <v>17.0</v>
      </c>
      <c r="E433" s="201">
        <v>7.0</v>
      </c>
      <c r="F433" s="201">
        <v>2026.0</v>
      </c>
      <c r="G433" s="361">
        <v>46222.0</v>
      </c>
      <c r="H433" s="201">
        <v>19.0</v>
      </c>
      <c r="I433" s="201">
        <v>7.0</v>
      </c>
      <c r="J433" s="201">
        <v>2026.0</v>
      </c>
      <c r="K433" s="189" t="s">
        <v>36</v>
      </c>
      <c r="L433" s="189" t="s">
        <v>1774</v>
      </c>
      <c r="M433" s="189">
        <v>2.0</v>
      </c>
      <c r="N433" s="189">
        <v>2.0</v>
      </c>
      <c r="O433" s="189"/>
      <c r="P433" s="189">
        <v>8.0</v>
      </c>
      <c r="Q433" s="361">
        <v>46235.0</v>
      </c>
      <c r="R433" s="362">
        <v>1.0</v>
      </c>
      <c r="S433" s="362">
        <v>8.0</v>
      </c>
      <c r="T433" s="201">
        <v>2026.0</v>
      </c>
      <c r="U433" s="189" t="s">
        <v>36</v>
      </c>
      <c r="V433" s="189">
        <v>145.36</v>
      </c>
      <c r="W433" s="361">
        <v>46235.0</v>
      </c>
      <c r="X433" s="201">
        <v>1.0</v>
      </c>
      <c r="Y433" s="201">
        <v>8.0</v>
      </c>
      <c r="Z433" s="201">
        <v>2026.0</v>
      </c>
      <c r="AA433" s="189" t="s">
        <v>36</v>
      </c>
    </row>
    <row r="434" ht="15.75" hidden="1" customHeight="1">
      <c r="A434" s="189" t="s">
        <v>1862</v>
      </c>
      <c r="B434" s="189">
        <v>6.733844892E9</v>
      </c>
      <c r="C434" s="361">
        <v>46220.0</v>
      </c>
      <c r="D434" s="201">
        <v>17.0</v>
      </c>
      <c r="E434" s="201">
        <v>7.0</v>
      </c>
      <c r="F434" s="201">
        <v>2026.0</v>
      </c>
      <c r="G434" s="361">
        <v>46222.0</v>
      </c>
      <c r="H434" s="201">
        <v>19.0</v>
      </c>
      <c r="I434" s="201">
        <v>7.0</v>
      </c>
      <c r="J434" s="201">
        <v>2026.0</v>
      </c>
      <c r="K434" s="189" t="s">
        <v>36</v>
      </c>
      <c r="L434" s="189" t="s">
        <v>1774</v>
      </c>
      <c r="M434" s="189">
        <v>1.0</v>
      </c>
      <c r="N434" s="189">
        <v>2.0</v>
      </c>
      <c r="O434" s="189"/>
      <c r="P434" s="189">
        <v>4.0</v>
      </c>
      <c r="Q434" s="361">
        <v>46235.0</v>
      </c>
      <c r="R434" s="362">
        <v>1.0</v>
      </c>
      <c r="S434" s="362">
        <v>8.0</v>
      </c>
      <c r="T434" s="201">
        <v>2026.0</v>
      </c>
      <c r="U434" s="189" t="s">
        <v>36</v>
      </c>
      <c r="V434" s="189">
        <v>53.45</v>
      </c>
      <c r="W434" s="361">
        <v>46235.0</v>
      </c>
      <c r="X434" s="201">
        <v>1.0</v>
      </c>
      <c r="Y434" s="201">
        <v>8.0</v>
      </c>
      <c r="Z434" s="201">
        <v>2026.0</v>
      </c>
      <c r="AA434" s="189" t="s">
        <v>36</v>
      </c>
    </row>
    <row r="435" ht="15.75" hidden="1" customHeight="1">
      <c r="A435" s="189" t="s">
        <v>1863</v>
      </c>
      <c r="B435" s="189">
        <v>6.124045761E9</v>
      </c>
      <c r="C435" s="361">
        <v>46221.0</v>
      </c>
      <c r="D435" s="201">
        <v>18.0</v>
      </c>
      <c r="E435" s="201">
        <v>7.0</v>
      </c>
      <c r="F435" s="201">
        <v>2026.0</v>
      </c>
      <c r="G435" s="361">
        <v>46222.0</v>
      </c>
      <c r="H435" s="201">
        <v>19.0</v>
      </c>
      <c r="I435" s="201">
        <v>7.0</v>
      </c>
      <c r="J435" s="201">
        <v>2026.0</v>
      </c>
      <c r="K435" s="189" t="s">
        <v>36</v>
      </c>
      <c r="L435" s="189" t="s">
        <v>1774</v>
      </c>
      <c r="M435" s="189">
        <v>2.0</v>
      </c>
      <c r="N435" s="189">
        <v>1.0</v>
      </c>
      <c r="O435" s="189"/>
      <c r="P435" s="189">
        <v>4.0</v>
      </c>
      <c r="Q435" s="361">
        <v>46235.0</v>
      </c>
      <c r="R435" s="362">
        <v>1.0</v>
      </c>
      <c r="S435" s="362">
        <v>8.0</v>
      </c>
      <c r="T435" s="201">
        <v>2026.0</v>
      </c>
      <c r="U435" s="189" t="s">
        <v>36</v>
      </c>
      <c r="V435" s="189">
        <v>58.46</v>
      </c>
      <c r="W435" s="361">
        <v>46235.0</v>
      </c>
      <c r="X435" s="201">
        <v>1.0</v>
      </c>
      <c r="Y435" s="201">
        <v>8.0</v>
      </c>
      <c r="Z435" s="201">
        <v>2026.0</v>
      </c>
      <c r="AA435" s="189" t="s">
        <v>36</v>
      </c>
    </row>
    <row r="436" ht="15.75" hidden="1" customHeight="1">
      <c r="A436" s="189" t="s">
        <v>1864</v>
      </c>
      <c r="B436" s="189">
        <v>6.077591648E9</v>
      </c>
      <c r="C436" s="361">
        <v>46219.0</v>
      </c>
      <c r="D436" s="201">
        <v>16.0</v>
      </c>
      <c r="E436" s="201">
        <v>7.0</v>
      </c>
      <c r="F436" s="201">
        <v>2026.0</v>
      </c>
      <c r="G436" s="361">
        <v>46222.0</v>
      </c>
      <c r="H436" s="201">
        <v>19.0</v>
      </c>
      <c r="I436" s="201">
        <v>7.0</v>
      </c>
      <c r="J436" s="201">
        <v>2026.0</v>
      </c>
      <c r="K436" s="189" t="s">
        <v>36</v>
      </c>
      <c r="L436" s="189" t="s">
        <v>1774</v>
      </c>
      <c r="M436" s="189">
        <v>1.0</v>
      </c>
      <c r="N436" s="189">
        <v>3.0</v>
      </c>
      <c r="O436" s="189"/>
      <c r="P436" s="189">
        <v>6.0</v>
      </c>
      <c r="Q436" s="361">
        <v>46235.0</v>
      </c>
      <c r="R436" s="362">
        <v>1.0</v>
      </c>
      <c r="S436" s="362">
        <v>8.0</v>
      </c>
      <c r="T436" s="201">
        <v>2026.0</v>
      </c>
      <c r="U436" s="189" t="s">
        <v>36</v>
      </c>
      <c r="V436" s="189">
        <v>101.91</v>
      </c>
      <c r="W436" s="361">
        <v>46235.0</v>
      </c>
      <c r="X436" s="201">
        <v>1.0</v>
      </c>
      <c r="Y436" s="201">
        <v>8.0</v>
      </c>
      <c r="Z436" s="201">
        <v>2026.0</v>
      </c>
      <c r="AA436" s="189" t="s">
        <v>36</v>
      </c>
    </row>
    <row r="437" ht="15.75" hidden="1" customHeight="1">
      <c r="A437" s="189" t="s">
        <v>1865</v>
      </c>
      <c r="B437" s="189">
        <v>6.650918013E9</v>
      </c>
      <c r="C437" s="361">
        <v>46218.0</v>
      </c>
      <c r="D437" s="201">
        <v>15.0</v>
      </c>
      <c r="E437" s="201">
        <v>7.0</v>
      </c>
      <c r="F437" s="201">
        <v>2026.0</v>
      </c>
      <c r="G437" s="361">
        <v>46221.0</v>
      </c>
      <c r="H437" s="201">
        <v>18.0</v>
      </c>
      <c r="I437" s="201">
        <v>7.0</v>
      </c>
      <c r="J437" s="201">
        <v>2026.0</v>
      </c>
      <c r="K437" s="189" t="s">
        <v>36</v>
      </c>
      <c r="L437" s="189" t="s">
        <v>1774</v>
      </c>
      <c r="M437" s="189">
        <v>1.0</v>
      </c>
      <c r="N437" s="189">
        <v>3.0</v>
      </c>
      <c r="O437" s="189"/>
      <c r="P437" s="189">
        <v>6.0</v>
      </c>
      <c r="Q437" s="361">
        <v>46235.0</v>
      </c>
      <c r="R437" s="362">
        <v>1.0</v>
      </c>
      <c r="S437" s="362">
        <v>8.0</v>
      </c>
      <c r="T437" s="201">
        <v>2026.0</v>
      </c>
      <c r="U437" s="189" t="s">
        <v>36</v>
      </c>
      <c r="V437" s="189">
        <v>137.86</v>
      </c>
      <c r="W437" s="361">
        <v>46235.0</v>
      </c>
      <c r="X437" s="201">
        <v>1.0</v>
      </c>
      <c r="Y437" s="201">
        <v>8.0</v>
      </c>
      <c r="Z437" s="201">
        <v>2026.0</v>
      </c>
      <c r="AA437" s="189" t="s">
        <v>36</v>
      </c>
    </row>
    <row r="438" ht="15.75" hidden="1" customHeight="1">
      <c r="A438" s="189" t="s">
        <v>1866</v>
      </c>
      <c r="B438" s="189">
        <v>6.182962382E9</v>
      </c>
      <c r="C438" s="361">
        <v>46216.0</v>
      </c>
      <c r="D438" s="201">
        <v>13.0</v>
      </c>
      <c r="E438" s="201">
        <v>7.0</v>
      </c>
      <c r="F438" s="201">
        <v>2026.0</v>
      </c>
      <c r="G438" s="361">
        <v>46221.0</v>
      </c>
      <c r="H438" s="201">
        <v>18.0</v>
      </c>
      <c r="I438" s="201">
        <v>7.0</v>
      </c>
      <c r="J438" s="201">
        <v>2026.0</v>
      </c>
      <c r="K438" s="189" t="s">
        <v>36</v>
      </c>
      <c r="L438" s="189" t="s">
        <v>1774</v>
      </c>
      <c r="M438" s="189">
        <v>1.0</v>
      </c>
      <c r="N438" s="189">
        <v>5.0</v>
      </c>
      <c r="O438" s="189"/>
      <c r="P438" s="189">
        <v>10.0</v>
      </c>
      <c r="Q438" s="361">
        <v>46235.0</v>
      </c>
      <c r="R438" s="362">
        <v>1.0</v>
      </c>
      <c r="S438" s="362">
        <v>8.0</v>
      </c>
      <c r="T438" s="201">
        <v>2026.0</v>
      </c>
      <c r="U438" s="189" t="s">
        <v>36</v>
      </c>
      <c r="V438" s="189">
        <v>213.04</v>
      </c>
      <c r="W438" s="361">
        <v>46235.0</v>
      </c>
      <c r="X438" s="201">
        <v>1.0</v>
      </c>
      <c r="Y438" s="201">
        <v>8.0</v>
      </c>
      <c r="Z438" s="201">
        <v>2026.0</v>
      </c>
      <c r="AA438" s="189" t="s">
        <v>36</v>
      </c>
    </row>
    <row r="439" ht="15.75" hidden="1" customHeight="1">
      <c r="A439" s="189" t="s">
        <v>1867</v>
      </c>
      <c r="B439" s="189">
        <v>6.168971524E9</v>
      </c>
      <c r="C439" s="361">
        <v>46220.0</v>
      </c>
      <c r="D439" s="201">
        <v>17.0</v>
      </c>
      <c r="E439" s="201">
        <v>7.0</v>
      </c>
      <c r="F439" s="201">
        <v>2026.0</v>
      </c>
      <c r="G439" s="361">
        <v>46221.0</v>
      </c>
      <c r="H439" s="201">
        <v>18.0</v>
      </c>
      <c r="I439" s="201">
        <v>7.0</v>
      </c>
      <c r="J439" s="201">
        <v>2026.0</v>
      </c>
      <c r="K439" s="189" t="s">
        <v>36</v>
      </c>
      <c r="L439" s="189" t="s">
        <v>1774</v>
      </c>
      <c r="M439" s="189">
        <v>1.0</v>
      </c>
      <c r="N439" s="189">
        <v>1.0</v>
      </c>
      <c r="O439" s="189"/>
      <c r="P439" s="189">
        <v>2.0</v>
      </c>
      <c r="Q439" s="361">
        <v>46235.0</v>
      </c>
      <c r="R439" s="362">
        <v>1.0</v>
      </c>
      <c r="S439" s="362">
        <v>8.0</v>
      </c>
      <c r="T439" s="201">
        <v>2026.0</v>
      </c>
      <c r="U439" s="189" t="s">
        <v>36</v>
      </c>
      <c r="V439" s="189">
        <v>45.95</v>
      </c>
      <c r="W439" s="361">
        <v>46235.0</v>
      </c>
      <c r="X439" s="201">
        <v>1.0</v>
      </c>
      <c r="Y439" s="201">
        <v>8.0</v>
      </c>
      <c r="Z439" s="201">
        <v>2026.0</v>
      </c>
      <c r="AA439" s="189" t="s">
        <v>36</v>
      </c>
    </row>
    <row r="440" ht="15.75" hidden="1" customHeight="1">
      <c r="A440" s="189" t="s">
        <v>1870</v>
      </c>
      <c r="B440" s="189">
        <v>5.737645056E9</v>
      </c>
      <c r="C440" s="361">
        <v>46220.0</v>
      </c>
      <c r="D440" s="201">
        <v>17.0</v>
      </c>
      <c r="E440" s="201">
        <v>7.0</v>
      </c>
      <c r="F440" s="201">
        <v>2026.0</v>
      </c>
      <c r="G440" s="361">
        <v>46221.0</v>
      </c>
      <c r="H440" s="201">
        <v>18.0</v>
      </c>
      <c r="I440" s="201">
        <v>7.0</v>
      </c>
      <c r="J440" s="201">
        <v>2026.0</v>
      </c>
      <c r="K440" s="189" t="s">
        <v>36</v>
      </c>
      <c r="L440" s="189" t="s">
        <v>1774</v>
      </c>
      <c r="M440" s="189">
        <v>1.0</v>
      </c>
      <c r="N440" s="189">
        <v>1.0</v>
      </c>
      <c r="O440" s="189"/>
      <c r="P440" s="189">
        <v>2.0</v>
      </c>
      <c r="Q440" s="361">
        <v>46235.0</v>
      </c>
      <c r="R440" s="362">
        <v>1.0</v>
      </c>
      <c r="S440" s="362">
        <v>8.0</v>
      </c>
      <c r="T440" s="201">
        <v>2026.0</v>
      </c>
      <c r="U440" s="189" t="s">
        <v>36</v>
      </c>
      <c r="V440" s="189">
        <v>26.72</v>
      </c>
      <c r="W440" s="361">
        <v>46235.0</v>
      </c>
      <c r="X440" s="201">
        <v>1.0</v>
      </c>
      <c r="Y440" s="201">
        <v>8.0</v>
      </c>
      <c r="Z440" s="201">
        <v>2026.0</v>
      </c>
      <c r="AA440" s="189" t="s">
        <v>36</v>
      </c>
    </row>
    <row r="441" ht="15.75" hidden="1" customHeight="1">
      <c r="A441" s="189" t="s">
        <v>1873</v>
      </c>
      <c r="B441" s="189">
        <v>5.651851252E9</v>
      </c>
      <c r="C441" s="361">
        <v>46216.0</v>
      </c>
      <c r="D441" s="201">
        <v>13.0</v>
      </c>
      <c r="E441" s="201">
        <v>7.0</v>
      </c>
      <c r="F441" s="201">
        <v>2026.0</v>
      </c>
      <c r="G441" s="361">
        <v>46221.0</v>
      </c>
      <c r="H441" s="201">
        <v>18.0</v>
      </c>
      <c r="I441" s="201">
        <v>7.0</v>
      </c>
      <c r="J441" s="201">
        <v>2026.0</v>
      </c>
      <c r="K441" s="189" t="s">
        <v>36</v>
      </c>
      <c r="L441" s="189" t="s">
        <v>1774</v>
      </c>
      <c r="M441" s="189">
        <v>1.0</v>
      </c>
      <c r="N441" s="189">
        <v>5.0</v>
      </c>
      <c r="O441" s="189"/>
      <c r="P441" s="189">
        <v>10.0</v>
      </c>
      <c r="Q441" s="361">
        <v>46235.0</v>
      </c>
      <c r="R441" s="362">
        <v>1.0</v>
      </c>
      <c r="S441" s="362">
        <v>8.0</v>
      </c>
      <c r="T441" s="201">
        <v>2026.0</v>
      </c>
      <c r="U441" s="189" t="s">
        <v>36</v>
      </c>
      <c r="V441" s="189">
        <v>313.36</v>
      </c>
      <c r="W441" s="361">
        <v>46235.0</v>
      </c>
      <c r="X441" s="201">
        <v>1.0</v>
      </c>
      <c r="Y441" s="201">
        <v>8.0</v>
      </c>
      <c r="Z441" s="201">
        <v>2026.0</v>
      </c>
      <c r="AA441" s="189" t="s">
        <v>36</v>
      </c>
    </row>
    <row r="442" ht="15.75" hidden="1" customHeight="1">
      <c r="A442" s="189" t="s">
        <v>1874</v>
      </c>
      <c r="B442" s="189">
        <v>5.474879485E9</v>
      </c>
      <c r="C442" s="361">
        <v>46220.0</v>
      </c>
      <c r="D442" s="201">
        <v>17.0</v>
      </c>
      <c r="E442" s="201">
        <v>7.0</v>
      </c>
      <c r="F442" s="201">
        <v>2026.0</v>
      </c>
      <c r="G442" s="361">
        <v>46221.0</v>
      </c>
      <c r="H442" s="201">
        <v>18.0</v>
      </c>
      <c r="I442" s="201">
        <v>7.0</v>
      </c>
      <c r="J442" s="201">
        <v>2026.0</v>
      </c>
      <c r="K442" s="189" t="s">
        <v>36</v>
      </c>
      <c r="L442" s="189" t="s">
        <v>1774</v>
      </c>
      <c r="M442" s="189">
        <v>1.0</v>
      </c>
      <c r="N442" s="189">
        <v>1.0</v>
      </c>
      <c r="O442" s="189"/>
      <c r="P442" s="189">
        <v>2.0</v>
      </c>
      <c r="Q442" s="361">
        <v>46235.0</v>
      </c>
      <c r="R442" s="362">
        <v>1.0</v>
      </c>
      <c r="S442" s="362">
        <v>8.0</v>
      </c>
      <c r="T442" s="201">
        <v>2026.0</v>
      </c>
      <c r="U442" s="189" t="s">
        <v>36</v>
      </c>
      <c r="V442" s="189">
        <v>35.08</v>
      </c>
      <c r="W442" s="361">
        <v>46235.0</v>
      </c>
      <c r="X442" s="201">
        <v>1.0</v>
      </c>
      <c r="Y442" s="201">
        <v>8.0</v>
      </c>
      <c r="Z442" s="201">
        <v>2026.0</v>
      </c>
      <c r="AA442" s="189" t="s">
        <v>36</v>
      </c>
    </row>
    <row r="443" ht="15.75" hidden="1" customHeight="1">
      <c r="A443" s="189" t="s">
        <v>1875</v>
      </c>
      <c r="B443" s="189">
        <v>6.672605979E9</v>
      </c>
      <c r="C443" s="361">
        <v>46217.0</v>
      </c>
      <c r="D443" s="201">
        <v>14.0</v>
      </c>
      <c r="E443" s="201">
        <v>7.0</v>
      </c>
      <c r="F443" s="201">
        <v>2026.0</v>
      </c>
      <c r="G443" s="361">
        <v>46220.0</v>
      </c>
      <c r="H443" s="201">
        <v>17.0</v>
      </c>
      <c r="I443" s="201">
        <v>7.0</v>
      </c>
      <c r="J443" s="201">
        <v>2026.0</v>
      </c>
      <c r="K443" s="189" t="s">
        <v>36</v>
      </c>
      <c r="L443" s="189" t="s">
        <v>1774</v>
      </c>
      <c r="M443" s="189">
        <v>1.0</v>
      </c>
      <c r="N443" s="189">
        <v>3.0</v>
      </c>
      <c r="O443" s="189"/>
      <c r="P443" s="189">
        <v>6.0</v>
      </c>
      <c r="Q443" s="361">
        <v>46235.0</v>
      </c>
      <c r="R443" s="362">
        <v>1.0</v>
      </c>
      <c r="S443" s="362">
        <v>8.0</v>
      </c>
      <c r="T443" s="201">
        <v>2026.0</v>
      </c>
      <c r="U443" s="189" t="s">
        <v>36</v>
      </c>
      <c r="V443" s="189">
        <v>137.86</v>
      </c>
      <c r="W443" s="361">
        <v>46235.0</v>
      </c>
      <c r="X443" s="201">
        <v>1.0</v>
      </c>
      <c r="Y443" s="201">
        <v>8.0</v>
      </c>
      <c r="Z443" s="201">
        <v>2026.0</v>
      </c>
      <c r="AA443" s="189" t="s">
        <v>36</v>
      </c>
    </row>
    <row r="444" ht="15.75" hidden="1" customHeight="1">
      <c r="A444" s="189" t="s">
        <v>1876</v>
      </c>
      <c r="B444" s="189">
        <v>6.134386994E9</v>
      </c>
      <c r="C444" s="361">
        <v>46215.0</v>
      </c>
      <c r="D444" s="201">
        <v>12.0</v>
      </c>
      <c r="E444" s="201">
        <v>7.0</v>
      </c>
      <c r="F444" s="201">
        <v>2026.0</v>
      </c>
      <c r="G444" s="361">
        <v>46220.0</v>
      </c>
      <c r="H444" s="201">
        <v>17.0</v>
      </c>
      <c r="I444" s="201">
        <v>7.0</v>
      </c>
      <c r="J444" s="201">
        <v>2026.0</v>
      </c>
      <c r="K444" s="189" t="s">
        <v>36</v>
      </c>
      <c r="L444" s="189" t="s">
        <v>1774</v>
      </c>
      <c r="M444" s="189">
        <v>1.0</v>
      </c>
      <c r="N444" s="189">
        <v>5.0</v>
      </c>
      <c r="O444" s="189"/>
      <c r="P444" s="189">
        <v>10.0</v>
      </c>
      <c r="Q444" s="361">
        <v>46235.0</v>
      </c>
      <c r="R444" s="362">
        <v>1.0</v>
      </c>
      <c r="S444" s="362">
        <v>8.0</v>
      </c>
      <c r="T444" s="201">
        <v>2026.0</v>
      </c>
      <c r="U444" s="189" t="s">
        <v>36</v>
      </c>
      <c r="V444" s="189">
        <v>313.36</v>
      </c>
      <c r="W444" s="361">
        <v>46235.0</v>
      </c>
      <c r="X444" s="201">
        <v>1.0</v>
      </c>
      <c r="Y444" s="201">
        <v>8.0</v>
      </c>
      <c r="Z444" s="201">
        <v>2026.0</v>
      </c>
      <c r="AA444" s="189" t="s">
        <v>36</v>
      </c>
    </row>
    <row r="445" ht="15.75" hidden="1" customHeight="1">
      <c r="A445" s="189" t="s">
        <v>1877</v>
      </c>
      <c r="B445" s="189">
        <v>5.669172763E9</v>
      </c>
      <c r="C445" s="361">
        <v>46218.0</v>
      </c>
      <c r="D445" s="201">
        <v>15.0</v>
      </c>
      <c r="E445" s="201">
        <v>7.0</v>
      </c>
      <c r="F445" s="201">
        <v>2026.0</v>
      </c>
      <c r="G445" s="361">
        <v>46220.0</v>
      </c>
      <c r="H445" s="201">
        <v>17.0</v>
      </c>
      <c r="I445" s="201">
        <v>7.0</v>
      </c>
      <c r="J445" s="201">
        <v>2026.0</v>
      </c>
      <c r="K445" s="189" t="s">
        <v>36</v>
      </c>
      <c r="L445" s="189" t="s">
        <v>1774</v>
      </c>
      <c r="M445" s="189">
        <v>3.0</v>
      </c>
      <c r="N445" s="189">
        <v>2.0</v>
      </c>
      <c r="O445" s="189"/>
      <c r="P445" s="189">
        <v>12.0</v>
      </c>
      <c r="Q445" s="361">
        <v>46235.0</v>
      </c>
      <c r="R445" s="362">
        <v>1.0</v>
      </c>
      <c r="S445" s="362">
        <v>8.0</v>
      </c>
      <c r="T445" s="201">
        <v>2026.0</v>
      </c>
      <c r="U445" s="189" t="s">
        <v>36</v>
      </c>
      <c r="V445" s="189">
        <v>275.7</v>
      </c>
      <c r="W445" s="361">
        <v>46235.0</v>
      </c>
      <c r="X445" s="201">
        <v>1.0</v>
      </c>
      <c r="Y445" s="201">
        <v>8.0</v>
      </c>
      <c r="Z445" s="201">
        <v>2026.0</v>
      </c>
      <c r="AA445" s="189" t="s">
        <v>36</v>
      </c>
    </row>
    <row r="446" ht="15.75" hidden="1" customHeight="1">
      <c r="A446" s="189" t="s">
        <v>1878</v>
      </c>
      <c r="B446" s="189">
        <v>6.270874793E9</v>
      </c>
      <c r="C446" s="361">
        <v>46217.0</v>
      </c>
      <c r="D446" s="201">
        <v>14.0</v>
      </c>
      <c r="E446" s="201">
        <v>7.0</v>
      </c>
      <c r="F446" s="201">
        <v>2026.0</v>
      </c>
      <c r="G446" s="361">
        <v>46219.0</v>
      </c>
      <c r="H446" s="201">
        <v>16.0</v>
      </c>
      <c r="I446" s="201">
        <v>7.0</v>
      </c>
      <c r="J446" s="201">
        <v>2026.0</v>
      </c>
      <c r="K446" s="189" t="s">
        <v>36</v>
      </c>
      <c r="L446" s="189" t="s">
        <v>1774</v>
      </c>
      <c r="M446" s="189">
        <v>1.0</v>
      </c>
      <c r="N446" s="189">
        <v>2.0</v>
      </c>
      <c r="O446" s="189"/>
      <c r="P446" s="189">
        <v>4.0</v>
      </c>
      <c r="Q446" s="361">
        <v>46235.0</v>
      </c>
      <c r="R446" s="362">
        <v>1.0</v>
      </c>
      <c r="S446" s="362">
        <v>8.0</v>
      </c>
      <c r="T446" s="201">
        <v>2026.0</v>
      </c>
      <c r="U446" s="189" t="s">
        <v>36</v>
      </c>
      <c r="V446" s="189">
        <v>66.82</v>
      </c>
      <c r="W446" s="361">
        <v>46235.0</v>
      </c>
      <c r="X446" s="201">
        <v>1.0</v>
      </c>
      <c r="Y446" s="201">
        <v>8.0</v>
      </c>
      <c r="Z446" s="201">
        <v>2026.0</v>
      </c>
      <c r="AA446" s="189" t="s">
        <v>36</v>
      </c>
    </row>
    <row r="447" ht="15.75" hidden="1" customHeight="1">
      <c r="A447" s="189" t="s">
        <v>1879</v>
      </c>
      <c r="B447" s="189">
        <v>5.901778279E9</v>
      </c>
      <c r="C447" s="361">
        <v>46214.0</v>
      </c>
      <c r="D447" s="201">
        <v>11.0</v>
      </c>
      <c r="E447" s="201">
        <v>7.0</v>
      </c>
      <c r="F447" s="201">
        <v>2026.0</v>
      </c>
      <c r="G447" s="361">
        <v>46219.0</v>
      </c>
      <c r="H447" s="201">
        <v>16.0</v>
      </c>
      <c r="I447" s="201">
        <v>7.0</v>
      </c>
      <c r="J447" s="201">
        <v>2026.0</v>
      </c>
      <c r="K447" s="189" t="s">
        <v>36</v>
      </c>
      <c r="L447" s="189" t="s">
        <v>1774</v>
      </c>
      <c r="M447" s="189">
        <v>1.0</v>
      </c>
      <c r="N447" s="189">
        <v>5.0</v>
      </c>
      <c r="O447" s="189"/>
      <c r="P447" s="189">
        <v>10.0</v>
      </c>
      <c r="Q447" s="361">
        <v>46235.0</v>
      </c>
      <c r="R447" s="362">
        <v>1.0</v>
      </c>
      <c r="S447" s="362">
        <v>8.0</v>
      </c>
      <c r="T447" s="201">
        <v>2026.0</v>
      </c>
      <c r="U447" s="189" t="s">
        <v>36</v>
      </c>
      <c r="V447" s="189">
        <v>162.88</v>
      </c>
      <c r="W447" s="361">
        <v>46235.0</v>
      </c>
      <c r="X447" s="201">
        <v>1.0</v>
      </c>
      <c r="Y447" s="201">
        <v>8.0</v>
      </c>
      <c r="Z447" s="201">
        <v>2026.0</v>
      </c>
      <c r="AA447" s="189" t="s">
        <v>36</v>
      </c>
    </row>
    <row r="448" ht="15.75" hidden="1" customHeight="1">
      <c r="A448" s="189" t="s">
        <v>1880</v>
      </c>
      <c r="B448" s="189">
        <v>5.572887552E9</v>
      </c>
      <c r="C448" s="361">
        <v>46215.0</v>
      </c>
      <c r="D448" s="201">
        <v>12.0</v>
      </c>
      <c r="E448" s="201">
        <v>7.0</v>
      </c>
      <c r="F448" s="201">
        <v>2026.0</v>
      </c>
      <c r="G448" s="361">
        <v>46219.0</v>
      </c>
      <c r="H448" s="201">
        <v>16.0</v>
      </c>
      <c r="I448" s="201">
        <v>7.0</v>
      </c>
      <c r="J448" s="201">
        <v>2026.0</v>
      </c>
      <c r="K448" s="189" t="s">
        <v>36</v>
      </c>
      <c r="L448" s="189" t="s">
        <v>1774</v>
      </c>
      <c r="M448" s="189">
        <v>1.0</v>
      </c>
      <c r="N448" s="189">
        <v>4.0</v>
      </c>
      <c r="O448" s="189"/>
      <c r="P448" s="189">
        <v>8.0</v>
      </c>
      <c r="Q448" s="361">
        <v>46235.0</v>
      </c>
      <c r="R448" s="362">
        <v>1.0</v>
      </c>
      <c r="S448" s="362">
        <v>8.0</v>
      </c>
      <c r="T448" s="201">
        <v>2026.0</v>
      </c>
      <c r="U448" s="189" t="s">
        <v>36</v>
      </c>
      <c r="V448" s="189">
        <v>142.01</v>
      </c>
      <c r="W448" s="361">
        <v>46235.0</v>
      </c>
      <c r="X448" s="201">
        <v>1.0</v>
      </c>
      <c r="Y448" s="201">
        <v>8.0</v>
      </c>
      <c r="Z448" s="201">
        <v>2026.0</v>
      </c>
      <c r="AA448" s="189" t="s">
        <v>36</v>
      </c>
    </row>
    <row r="449" ht="15.75" hidden="1" customHeight="1">
      <c r="A449" s="189" t="s">
        <v>1881</v>
      </c>
      <c r="B449" s="189">
        <v>6.905531463E9</v>
      </c>
      <c r="C449" s="361">
        <v>46217.0</v>
      </c>
      <c r="D449" s="201">
        <v>14.0</v>
      </c>
      <c r="E449" s="201">
        <v>7.0</v>
      </c>
      <c r="F449" s="201">
        <v>2026.0</v>
      </c>
      <c r="G449" s="361">
        <v>46218.0</v>
      </c>
      <c r="H449" s="201">
        <v>15.0</v>
      </c>
      <c r="I449" s="201">
        <v>7.0</v>
      </c>
      <c r="J449" s="201">
        <v>2026.0</v>
      </c>
      <c r="K449" s="189" t="s">
        <v>36</v>
      </c>
      <c r="L449" s="189" t="s">
        <v>1774</v>
      </c>
      <c r="M449" s="189">
        <v>1.0</v>
      </c>
      <c r="N449" s="189">
        <v>1.0</v>
      </c>
      <c r="O449" s="189"/>
      <c r="P449" s="189">
        <v>2.0</v>
      </c>
      <c r="Q449" s="361">
        <v>46235.0</v>
      </c>
      <c r="R449" s="362">
        <v>1.0</v>
      </c>
      <c r="S449" s="362">
        <v>8.0</v>
      </c>
      <c r="T449" s="201">
        <v>2026.0</v>
      </c>
      <c r="U449" s="189" t="s">
        <v>36</v>
      </c>
      <c r="V449" s="189">
        <v>37.59</v>
      </c>
      <c r="W449" s="361">
        <v>46235.0</v>
      </c>
      <c r="X449" s="201">
        <v>1.0</v>
      </c>
      <c r="Y449" s="201">
        <v>8.0</v>
      </c>
      <c r="Z449" s="201">
        <v>2026.0</v>
      </c>
      <c r="AA449" s="189" t="s">
        <v>36</v>
      </c>
    </row>
    <row r="450" ht="15.75" hidden="1" customHeight="1">
      <c r="A450" s="189" t="s">
        <v>1882</v>
      </c>
      <c r="B450" s="189">
        <v>6.728334343E9</v>
      </c>
      <c r="C450" s="361">
        <v>46215.0</v>
      </c>
      <c r="D450" s="201">
        <v>12.0</v>
      </c>
      <c r="E450" s="201">
        <v>7.0</v>
      </c>
      <c r="F450" s="201">
        <v>2026.0</v>
      </c>
      <c r="G450" s="361">
        <v>46218.0</v>
      </c>
      <c r="H450" s="201">
        <v>15.0</v>
      </c>
      <c r="I450" s="201">
        <v>7.0</v>
      </c>
      <c r="J450" s="201">
        <v>2026.0</v>
      </c>
      <c r="K450" s="189" t="s">
        <v>36</v>
      </c>
      <c r="L450" s="189" t="s">
        <v>1774</v>
      </c>
      <c r="M450" s="189">
        <v>1.0</v>
      </c>
      <c r="N450" s="189">
        <v>3.0</v>
      </c>
      <c r="O450" s="189"/>
      <c r="P450" s="189">
        <v>6.0</v>
      </c>
      <c r="Q450" s="361">
        <v>46235.0</v>
      </c>
      <c r="R450" s="362">
        <v>1.0</v>
      </c>
      <c r="S450" s="362">
        <v>8.0</v>
      </c>
      <c r="T450" s="201">
        <v>2026.0</v>
      </c>
      <c r="U450" s="189" t="s">
        <v>36</v>
      </c>
      <c r="V450" s="189">
        <v>110.27</v>
      </c>
      <c r="W450" s="361">
        <v>46235.0</v>
      </c>
      <c r="X450" s="201">
        <v>1.0</v>
      </c>
      <c r="Y450" s="201">
        <v>8.0</v>
      </c>
      <c r="Z450" s="201">
        <v>2026.0</v>
      </c>
      <c r="AA450" s="189" t="s">
        <v>36</v>
      </c>
    </row>
    <row r="451" ht="15.75" hidden="1" customHeight="1">
      <c r="A451" s="189" t="s">
        <v>1883</v>
      </c>
      <c r="B451" s="189">
        <v>5.927708622E9</v>
      </c>
      <c r="C451" s="361">
        <v>46217.0</v>
      </c>
      <c r="D451" s="201">
        <v>14.0</v>
      </c>
      <c r="E451" s="201">
        <v>7.0</v>
      </c>
      <c r="F451" s="201">
        <v>2026.0</v>
      </c>
      <c r="G451" s="361">
        <v>46218.0</v>
      </c>
      <c r="H451" s="201">
        <v>15.0</v>
      </c>
      <c r="I451" s="201">
        <v>7.0</v>
      </c>
      <c r="J451" s="201">
        <v>2026.0</v>
      </c>
      <c r="K451" s="189" t="s">
        <v>36</v>
      </c>
      <c r="L451" s="189" t="s">
        <v>1774</v>
      </c>
      <c r="M451" s="189">
        <v>1.0</v>
      </c>
      <c r="N451" s="189">
        <v>1.0</v>
      </c>
      <c r="O451" s="189"/>
      <c r="P451" s="189">
        <v>2.0</v>
      </c>
      <c r="Q451" s="361">
        <v>46235.0</v>
      </c>
      <c r="R451" s="362">
        <v>1.0</v>
      </c>
      <c r="S451" s="362">
        <v>8.0</v>
      </c>
      <c r="T451" s="201">
        <v>2026.0</v>
      </c>
      <c r="U451" s="189" t="s">
        <v>36</v>
      </c>
      <c r="V451" s="189">
        <v>29.23</v>
      </c>
      <c r="W451" s="361">
        <v>46235.0</v>
      </c>
      <c r="X451" s="201">
        <v>1.0</v>
      </c>
      <c r="Y451" s="201">
        <v>8.0</v>
      </c>
      <c r="Z451" s="201">
        <v>2026.0</v>
      </c>
      <c r="AA451" s="189" t="s">
        <v>36</v>
      </c>
    </row>
    <row r="452" ht="15.75" hidden="1" customHeight="1">
      <c r="A452" s="189" t="s">
        <v>1884</v>
      </c>
      <c r="B452" s="189">
        <v>5.397279014E9</v>
      </c>
      <c r="C452" s="361">
        <v>46217.0</v>
      </c>
      <c r="D452" s="201">
        <v>14.0</v>
      </c>
      <c r="E452" s="201">
        <v>7.0</v>
      </c>
      <c r="F452" s="201">
        <v>2026.0</v>
      </c>
      <c r="G452" s="361">
        <v>46218.0</v>
      </c>
      <c r="H452" s="201">
        <v>15.0</v>
      </c>
      <c r="I452" s="201">
        <v>7.0</v>
      </c>
      <c r="J452" s="201">
        <v>2026.0</v>
      </c>
      <c r="K452" s="189" t="s">
        <v>36</v>
      </c>
      <c r="L452" s="189" t="s">
        <v>1774</v>
      </c>
      <c r="M452" s="189">
        <v>1.0</v>
      </c>
      <c r="N452" s="189">
        <v>1.0</v>
      </c>
      <c r="O452" s="189"/>
      <c r="P452" s="189">
        <v>2.0</v>
      </c>
      <c r="Q452" s="361">
        <v>46235.0</v>
      </c>
      <c r="R452" s="362">
        <v>1.0</v>
      </c>
      <c r="S452" s="362">
        <v>8.0</v>
      </c>
      <c r="T452" s="201">
        <v>2026.0</v>
      </c>
      <c r="U452" s="189" t="s">
        <v>36</v>
      </c>
      <c r="V452" s="189">
        <v>29.23</v>
      </c>
      <c r="W452" s="361">
        <v>46235.0</v>
      </c>
      <c r="X452" s="201">
        <v>1.0</v>
      </c>
      <c r="Y452" s="201">
        <v>8.0</v>
      </c>
      <c r="Z452" s="201">
        <v>2026.0</v>
      </c>
      <c r="AA452" s="189" t="s">
        <v>36</v>
      </c>
    </row>
    <row r="453" ht="15.75" hidden="1" customHeight="1">
      <c r="A453" s="189" t="s">
        <v>1885</v>
      </c>
      <c r="B453" s="189">
        <v>6.888277486E9</v>
      </c>
      <c r="C453" s="361">
        <v>46213.0</v>
      </c>
      <c r="D453" s="201">
        <v>10.0</v>
      </c>
      <c r="E453" s="201">
        <v>7.0</v>
      </c>
      <c r="F453" s="201">
        <v>2026.0</v>
      </c>
      <c r="G453" s="361">
        <v>46217.0</v>
      </c>
      <c r="H453" s="201">
        <v>14.0</v>
      </c>
      <c r="I453" s="201">
        <v>7.0</v>
      </c>
      <c r="J453" s="201">
        <v>2026.0</v>
      </c>
      <c r="K453" s="189" t="s">
        <v>36</v>
      </c>
      <c r="L453" s="189" t="s">
        <v>1774</v>
      </c>
      <c r="M453" s="189">
        <v>2.0</v>
      </c>
      <c r="N453" s="189">
        <v>4.0</v>
      </c>
      <c r="O453" s="189"/>
      <c r="P453" s="189">
        <v>14.0</v>
      </c>
      <c r="Q453" s="361">
        <v>46235.0</v>
      </c>
      <c r="R453" s="362">
        <v>1.0</v>
      </c>
      <c r="S453" s="362">
        <v>8.0</v>
      </c>
      <c r="T453" s="201">
        <v>2026.0</v>
      </c>
      <c r="U453" s="189" t="s">
        <v>36</v>
      </c>
      <c r="V453" s="189">
        <v>235.86</v>
      </c>
      <c r="W453" s="361">
        <v>46235.0</v>
      </c>
      <c r="X453" s="201">
        <v>1.0</v>
      </c>
      <c r="Y453" s="201">
        <v>8.0</v>
      </c>
      <c r="Z453" s="201">
        <v>2026.0</v>
      </c>
      <c r="AA453" s="189" t="s">
        <v>36</v>
      </c>
    </row>
    <row r="454" ht="15.75" hidden="1" customHeight="1">
      <c r="A454" s="189" t="s">
        <v>1886</v>
      </c>
      <c r="B454" s="189">
        <v>6.5003208E9</v>
      </c>
      <c r="C454" s="361">
        <v>46216.0</v>
      </c>
      <c r="D454" s="201">
        <v>13.0</v>
      </c>
      <c r="E454" s="201">
        <v>7.0</v>
      </c>
      <c r="F454" s="201">
        <v>2026.0</v>
      </c>
      <c r="G454" s="361">
        <v>46217.0</v>
      </c>
      <c r="H454" s="201">
        <v>14.0</v>
      </c>
      <c r="I454" s="201">
        <v>7.0</v>
      </c>
      <c r="J454" s="201">
        <v>2026.0</v>
      </c>
      <c r="K454" s="189" t="s">
        <v>36</v>
      </c>
      <c r="L454" s="189" t="s">
        <v>1774</v>
      </c>
      <c r="M454" s="189">
        <v>1.0</v>
      </c>
      <c r="N454" s="189">
        <v>1.0</v>
      </c>
      <c r="O454" s="189"/>
      <c r="P454" s="189">
        <v>2.0</v>
      </c>
      <c r="Q454" s="361">
        <v>46235.0</v>
      </c>
      <c r="R454" s="362">
        <v>1.0</v>
      </c>
      <c r="S454" s="362">
        <v>8.0</v>
      </c>
      <c r="T454" s="201">
        <v>2026.0</v>
      </c>
      <c r="U454" s="189" t="s">
        <v>36</v>
      </c>
      <c r="V454" s="189">
        <v>29.23</v>
      </c>
      <c r="W454" s="361">
        <v>46235.0</v>
      </c>
      <c r="X454" s="201">
        <v>1.0</v>
      </c>
      <c r="Y454" s="201">
        <v>8.0</v>
      </c>
      <c r="Z454" s="201">
        <v>2026.0</v>
      </c>
      <c r="AA454" s="189" t="s">
        <v>36</v>
      </c>
    </row>
    <row r="455" ht="15.75" hidden="1" customHeight="1">
      <c r="A455" s="189" t="s">
        <v>1887</v>
      </c>
      <c r="B455" s="189">
        <v>6.168648732E9</v>
      </c>
      <c r="C455" s="361">
        <v>46216.0</v>
      </c>
      <c r="D455" s="201">
        <v>13.0</v>
      </c>
      <c r="E455" s="201">
        <v>7.0</v>
      </c>
      <c r="F455" s="201">
        <v>2026.0</v>
      </c>
      <c r="G455" s="361">
        <v>46217.0</v>
      </c>
      <c r="H455" s="201">
        <v>14.0</v>
      </c>
      <c r="I455" s="201">
        <v>7.0</v>
      </c>
      <c r="J455" s="201">
        <v>2026.0</v>
      </c>
      <c r="K455" s="189" t="s">
        <v>36</v>
      </c>
      <c r="L455" s="189" t="s">
        <v>1774</v>
      </c>
      <c r="M455" s="189">
        <v>1.0</v>
      </c>
      <c r="N455" s="189">
        <v>1.0</v>
      </c>
      <c r="O455" s="189"/>
      <c r="P455" s="189">
        <v>2.0</v>
      </c>
      <c r="Q455" s="361">
        <v>46235.0</v>
      </c>
      <c r="R455" s="362">
        <v>1.0</v>
      </c>
      <c r="S455" s="362">
        <v>8.0</v>
      </c>
      <c r="T455" s="201">
        <v>2026.0</v>
      </c>
      <c r="U455" s="189" t="s">
        <v>36</v>
      </c>
      <c r="V455" s="189">
        <v>29.23</v>
      </c>
      <c r="W455" s="361">
        <v>46235.0</v>
      </c>
      <c r="X455" s="201">
        <v>1.0</v>
      </c>
      <c r="Y455" s="201">
        <v>8.0</v>
      </c>
      <c r="Z455" s="201">
        <v>2026.0</v>
      </c>
      <c r="AA455" s="189" t="s">
        <v>36</v>
      </c>
    </row>
    <row r="456" ht="15.75" hidden="1" customHeight="1">
      <c r="A456" s="189" t="s">
        <v>1888</v>
      </c>
      <c r="B456" s="189">
        <v>5.272938179E9</v>
      </c>
      <c r="C456" s="361">
        <v>46214.0</v>
      </c>
      <c r="D456" s="201">
        <v>11.0</v>
      </c>
      <c r="E456" s="201">
        <v>7.0</v>
      </c>
      <c r="F456" s="201">
        <v>2026.0</v>
      </c>
      <c r="G456" s="361">
        <v>46216.0</v>
      </c>
      <c r="H456" s="201">
        <v>13.0</v>
      </c>
      <c r="I456" s="201">
        <v>7.0</v>
      </c>
      <c r="J456" s="201">
        <v>2026.0</v>
      </c>
      <c r="K456" s="189" t="s">
        <v>36</v>
      </c>
      <c r="L456" s="189" t="s">
        <v>1774</v>
      </c>
      <c r="M456" s="189">
        <v>3.0</v>
      </c>
      <c r="N456" s="189">
        <v>2.0</v>
      </c>
      <c r="O456" s="189"/>
      <c r="P456" s="189">
        <v>12.0</v>
      </c>
      <c r="Q456" s="361">
        <v>46235.0</v>
      </c>
      <c r="R456" s="362">
        <v>1.0</v>
      </c>
      <c r="S456" s="362">
        <v>8.0</v>
      </c>
      <c r="T456" s="201">
        <v>2026.0</v>
      </c>
      <c r="U456" s="189" t="s">
        <v>36</v>
      </c>
      <c r="V456" s="189">
        <v>175.38</v>
      </c>
      <c r="W456" s="361">
        <v>46235.0</v>
      </c>
      <c r="X456" s="201">
        <v>1.0</v>
      </c>
      <c r="Y456" s="201">
        <v>8.0</v>
      </c>
      <c r="Z456" s="201">
        <v>2026.0</v>
      </c>
      <c r="AA456" s="189" t="s">
        <v>36</v>
      </c>
    </row>
    <row r="457" ht="15.75" hidden="1" customHeight="1">
      <c r="A457" s="189" t="s">
        <v>1889</v>
      </c>
      <c r="B457" s="189">
        <v>5.242720349E9</v>
      </c>
      <c r="C457" s="361">
        <v>46214.0</v>
      </c>
      <c r="D457" s="201">
        <v>11.0</v>
      </c>
      <c r="E457" s="201">
        <v>7.0</v>
      </c>
      <c r="F457" s="201">
        <v>2026.0</v>
      </c>
      <c r="G457" s="361">
        <v>46216.0</v>
      </c>
      <c r="H457" s="201">
        <v>13.0</v>
      </c>
      <c r="I457" s="201">
        <v>7.0</v>
      </c>
      <c r="J457" s="201">
        <v>2026.0</v>
      </c>
      <c r="K457" s="189" t="s">
        <v>36</v>
      </c>
      <c r="L457" s="189" t="s">
        <v>1774</v>
      </c>
      <c r="M457" s="189">
        <v>1.0</v>
      </c>
      <c r="N457" s="189">
        <v>2.0</v>
      </c>
      <c r="O457" s="189"/>
      <c r="P457" s="189">
        <v>4.0</v>
      </c>
      <c r="Q457" s="361">
        <v>46235.0</v>
      </c>
      <c r="R457" s="362">
        <v>1.0</v>
      </c>
      <c r="S457" s="362">
        <v>8.0</v>
      </c>
      <c r="T457" s="201">
        <v>2026.0</v>
      </c>
      <c r="U457" s="189" t="s">
        <v>36</v>
      </c>
      <c r="V457" s="189">
        <v>58.46</v>
      </c>
      <c r="W457" s="361">
        <v>46235.0</v>
      </c>
      <c r="X457" s="201">
        <v>1.0</v>
      </c>
      <c r="Y457" s="201">
        <v>8.0</v>
      </c>
      <c r="Z457" s="201">
        <v>2026.0</v>
      </c>
      <c r="AA457" s="189" t="s">
        <v>36</v>
      </c>
    </row>
    <row r="458" ht="15.75" hidden="1" customHeight="1">
      <c r="A458" s="189" t="s">
        <v>1890</v>
      </c>
      <c r="B458" s="189">
        <v>5.237659622E9</v>
      </c>
      <c r="C458" s="361">
        <v>46214.0</v>
      </c>
      <c r="D458" s="201">
        <v>11.0</v>
      </c>
      <c r="E458" s="201">
        <v>7.0</v>
      </c>
      <c r="F458" s="201">
        <v>2026.0</v>
      </c>
      <c r="G458" s="361">
        <v>46216.0</v>
      </c>
      <c r="H458" s="201">
        <v>13.0</v>
      </c>
      <c r="I458" s="201">
        <v>7.0</v>
      </c>
      <c r="J458" s="201">
        <v>2026.0</v>
      </c>
      <c r="K458" s="189" t="s">
        <v>36</v>
      </c>
      <c r="L458" s="189" t="s">
        <v>1774</v>
      </c>
      <c r="M458" s="189">
        <v>1.0</v>
      </c>
      <c r="N458" s="189">
        <v>2.0</v>
      </c>
      <c r="O458" s="189"/>
      <c r="P458" s="189">
        <v>4.0</v>
      </c>
      <c r="Q458" s="361">
        <v>46235.0</v>
      </c>
      <c r="R458" s="362">
        <v>1.0</v>
      </c>
      <c r="S458" s="362">
        <v>8.0</v>
      </c>
      <c r="T458" s="201">
        <v>2026.0</v>
      </c>
      <c r="U458" s="189" t="s">
        <v>36</v>
      </c>
      <c r="V458" s="189">
        <v>91.9</v>
      </c>
      <c r="W458" s="361">
        <v>46235.0</v>
      </c>
      <c r="X458" s="201">
        <v>1.0</v>
      </c>
      <c r="Y458" s="201">
        <v>8.0</v>
      </c>
      <c r="Z458" s="201">
        <v>2026.0</v>
      </c>
      <c r="AA458" s="189" t="s">
        <v>36</v>
      </c>
    </row>
    <row r="459" ht="15.75" hidden="1" customHeight="1">
      <c r="A459" s="189" t="s">
        <v>1891</v>
      </c>
      <c r="B459" s="189">
        <v>6.699590602E9</v>
      </c>
      <c r="C459" s="361">
        <v>46214.0</v>
      </c>
      <c r="D459" s="201">
        <v>11.0</v>
      </c>
      <c r="E459" s="201">
        <v>7.0</v>
      </c>
      <c r="F459" s="201">
        <v>2026.0</v>
      </c>
      <c r="G459" s="361">
        <v>46215.0</v>
      </c>
      <c r="H459" s="201">
        <v>12.0</v>
      </c>
      <c r="I459" s="201">
        <v>7.0</v>
      </c>
      <c r="J459" s="201">
        <v>2026.0</v>
      </c>
      <c r="K459" s="189" t="s">
        <v>36</v>
      </c>
      <c r="L459" s="189" t="s">
        <v>1774</v>
      </c>
      <c r="M459" s="189">
        <v>1.0</v>
      </c>
      <c r="N459" s="189">
        <v>1.0</v>
      </c>
      <c r="O459" s="189"/>
      <c r="P459" s="189">
        <v>2.0</v>
      </c>
      <c r="Q459" s="361">
        <v>46235.0</v>
      </c>
      <c r="R459" s="362">
        <v>1.0</v>
      </c>
      <c r="S459" s="362">
        <v>8.0</v>
      </c>
      <c r="T459" s="201">
        <v>2026.0</v>
      </c>
      <c r="U459" s="189" t="s">
        <v>36</v>
      </c>
      <c r="V459" s="189">
        <v>35.08</v>
      </c>
      <c r="W459" s="361">
        <v>46235.0</v>
      </c>
      <c r="X459" s="201">
        <v>1.0</v>
      </c>
      <c r="Y459" s="201">
        <v>8.0</v>
      </c>
      <c r="Z459" s="201">
        <v>2026.0</v>
      </c>
      <c r="AA459" s="189" t="s">
        <v>36</v>
      </c>
    </row>
    <row r="460" ht="15.75" hidden="1" customHeight="1">
      <c r="A460" s="189" t="s">
        <v>1892</v>
      </c>
      <c r="B460" s="189">
        <v>6.292722007E9</v>
      </c>
      <c r="C460" s="361">
        <v>46214.0</v>
      </c>
      <c r="D460" s="201">
        <v>11.0</v>
      </c>
      <c r="E460" s="201">
        <v>7.0</v>
      </c>
      <c r="F460" s="201">
        <v>2026.0</v>
      </c>
      <c r="G460" s="361">
        <v>46215.0</v>
      </c>
      <c r="H460" s="201">
        <v>12.0</v>
      </c>
      <c r="I460" s="201">
        <v>7.0</v>
      </c>
      <c r="J460" s="201">
        <v>2026.0</v>
      </c>
      <c r="K460" s="189" t="s">
        <v>36</v>
      </c>
      <c r="L460" s="189" t="s">
        <v>1774</v>
      </c>
      <c r="M460" s="189">
        <v>2.0</v>
      </c>
      <c r="N460" s="189">
        <v>1.0</v>
      </c>
      <c r="O460" s="189"/>
      <c r="P460" s="189">
        <v>4.0</v>
      </c>
      <c r="Q460" s="361">
        <v>46235.0</v>
      </c>
      <c r="R460" s="362">
        <v>1.0</v>
      </c>
      <c r="S460" s="362">
        <v>8.0</v>
      </c>
      <c r="T460" s="201">
        <v>2026.0</v>
      </c>
      <c r="U460" s="189" t="s">
        <v>36</v>
      </c>
      <c r="V460" s="189">
        <v>58.46</v>
      </c>
      <c r="W460" s="361">
        <v>46235.0</v>
      </c>
      <c r="X460" s="201">
        <v>1.0</v>
      </c>
      <c r="Y460" s="201">
        <v>8.0</v>
      </c>
      <c r="Z460" s="201">
        <v>2026.0</v>
      </c>
      <c r="AA460" s="189" t="s">
        <v>36</v>
      </c>
    </row>
    <row r="461" ht="15.75" hidden="1" customHeight="1">
      <c r="A461" s="189" t="s">
        <v>1893</v>
      </c>
      <c r="B461" s="189">
        <v>6.227875378E9</v>
      </c>
      <c r="C461" s="361">
        <v>46214.0</v>
      </c>
      <c r="D461" s="201">
        <v>11.0</v>
      </c>
      <c r="E461" s="201">
        <v>7.0</v>
      </c>
      <c r="F461" s="201">
        <v>2026.0</v>
      </c>
      <c r="G461" s="361">
        <v>46215.0</v>
      </c>
      <c r="H461" s="201">
        <v>12.0</v>
      </c>
      <c r="I461" s="201">
        <v>7.0</v>
      </c>
      <c r="J461" s="201">
        <v>2026.0</v>
      </c>
      <c r="K461" s="189" t="s">
        <v>36</v>
      </c>
      <c r="L461" s="189" t="s">
        <v>1774</v>
      </c>
      <c r="M461" s="189">
        <v>1.0</v>
      </c>
      <c r="N461" s="189">
        <v>1.0</v>
      </c>
      <c r="O461" s="189"/>
      <c r="P461" s="189">
        <v>2.0</v>
      </c>
      <c r="Q461" s="361">
        <v>46235.0</v>
      </c>
      <c r="R461" s="362">
        <v>1.0</v>
      </c>
      <c r="S461" s="362">
        <v>8.0</v>
      </c>
      <c r="T461" s="201">
        <v>2026.0</v>
      </c>
      <c r="U461" s="189" t="s">
        <v>36</v>
      </c>
      <c r="V461" s="189">
        <v>29.23</v>
      </c>
      <c r="W461" s="361">
        <v>46235.0</v>
      </c>
      <c r="X461" s="201">
        <v>1.0</v>
      </c>
      <c r="Y461" s="201">
        <v>8.0</v>
      </c>
      <c r="Z461" s="201">
        <v>2026.0</v>
      </c>
      <c r="AA461" s="189" t="s">
        <v>36</v>
      </c>
    </row>
    <row r="462" ht="15.75" hidden="1" customHeight="1">
      <c r="A462" s="189" t="s">
        <v>1894</v>
      </c>
      <c r="B462" s="189">
        <v>5.750144589E9</v>
      </c>
      <c r="C462" s="361">
        <v>46214.0</v>
      </c>
      <c r="D462" s="201">
        <v>11.0</v>
      </c>
      <c r="E462" s="201">
        <v>7.0</v>
      </c>
      <c r="F462" s="201">
        <v>2026.0</v>
      </c>
      <c r="G462" s="361">
        <v>46215.0</v>
      </c>
      <c r="H462" s="201">
        <v>12.0</v>
      </c>
      <c r="I462" s="201">
        <v>7.0</v>
      </c>
      <c r="J462" s="201">
        <v>2026.0</v>
      </c>
      <c r="K462" s="189" t="s">
        <v>36</v>
      </c>
      <c r="L462" s="189" t="s">
        <v>1774</v>
      </c>
      <c r="M462" s="189">
        <v>1.0</v>
      </c>
      <c r="N462" s="189">
        <v>1.0</v>
      </c>
      <c r="O462" s="189"/>
      <c r="P462" s="189">
        <v>2.0</v>
      </c>
      <c r="Q462" s="361">
        <v>46235.0</v>
      </c>
      <c r="R462" s="362">
        <v>1.0</v>
      </c>
      <c r="S462" s="362">
        <v>8.0</v>
      </c>
      <c r="T462" s="201">
        <v>2026.0</v>
      </c>
      <c r="U462" s="189" t="s">
        <v>36</v>
      </c>
      <c r="V462" s="189">
        <v>29.23</v>
      </c>
      <c r="W462" s="361">
        <v>46235.0</v>
      </c>
      <c r="X462" s="201">
        <v>1.0</v>
      </c>
      <c r="Y462" s="201">
        <v>8.0</v>
      </c>
      <c r="Z462" s="201">
        <v>2026.0</v>
      </c>
      <c r="AA462" s="189" t="s">
        <v>36</v>
      </c>
    </row>
    <row r="463" ht="15.75" hidden="1" customHeight="1">
      <c r="A463" s="189" t="s">
        <v>1895</v>
      </c>
      <c r="B463" s="189">
        <v>5.730250108E9</v>
      </c>
      <c r="C463" s="361">
        <v>46214.0</v>
      </c>
      <c r="D463" s="201">
        <v>11.0</v>
      </c>
      <c r="E463" s="201">
        <v>7.0</v>
      </c>
      <c r="F463" s="201">
        <v>2026.0</v>
      </c>
      <c r="G463" s="361">
        <v>46215.0</v>
      </c>
      <c r="H463" s="201">
        <v>12.0</v>
      </c>
      <c r="I463" s="201">
        <v>7.0</v>
      </c>
      <c r="J463" s="201">
        <v>2026.0</v>
      </c>
      <c r="K463" s="189" t="s">
        <v>36</v>
      </c>
      <c r="L463" s="189" t="s">
        <v>1774</v>
      </c>
      <c r="M463" s="189">
        <v>1.0</v>
      </c>
      <c r="N463" s="189">
        <v>1.0</v>
      </c>
      <c r="O463" s="189"/>
      <c r="P463" s="189">
        <v>2.0</v>
      </c>
      <c r="Q463" s="361">
        <v>46235.0</v>
      </c>
      <c r="R463" s="362">
        <v>1.0</v>
      </c>
      <c r="S463" s="362">
        <v>8.0</v>
      </c>
      <c r="T463" s="201">
        <v>2026.0</v>
      </c>
      <c r="U463" s="189" t="s">
        <v>36</v>
      </c>
      <c r="V463" s="189">
        <v>29.23</v>
      </c>
      <c r="W463" s="361">
        <v>46235.0</v>
      </c>
      <c r="X463" s="201">
        <v>1.0</v>
      </c>
      <c r="Y463" s="201">
        <v>8.0</v>
      </c>
      <c r="Z463" s="201">
        <v>2026.0</v>
      </c>
      <c r="AA463" s="189" t="s">
        <v>36</v>
      </c>
    </row>
    <row r="464" ht="15.75" hidden="1" customHeight="1">
      <c r="A464" s="189" t="s">
        <v>1896</v>
      </c>
      <c r="B464" s="189">
        <v>5.499454135E9</v>
      </c>
      <c r="C464" s="361">
        <v>46214.0</v>
      </c>
      <c r="D464" s="201">
        <v>11.0</v>
      </c>
      <c r="E464" s="201">
        <v>7.0</v>
      </c>
      <c r="F464" s="201">
        <v>2026.0</v>
      </c>
      <c r="G464" s="361">
        <v>46215.0</v>
      </c>
      <c r="H464" s="201">
        <v>12.0</v>
      </c>
      <c r="I464" s="201">
        <v>7.0</v>
      </c>
      <c r="J464" s="201">
        <v>2026.0</v>
      </c>
      <c r="K464" s="189" t="s">
        <v>36</v>
      </c>
      <c r="L464" s="189" t="s">
        <v>1774</v>
      </c>
      <c r="M464" s="189">
        <v>1.0</v>
      </c>
      <c r="N464" s="189">
        <v>1.0</v>
      </c>
      <c r="O464" s="189"/>
      <c r="P464" s="189">
        <v>2.0</v>
      </c>
      <c r="Q464" s="361">
        <v>46235.0</v>
      </c>
      <c r="R464" s="362">
        <v>1.0</v>
      </c>
      <c r="S464" s="362">
        <v>8.0</v>
      </c>
      <c r="T464" s="201">
        <v>2026.0</v>
      </c>
      <c r="U464" s="189" t="s">
        <v>36</v>
      </c>
      <c r="V464" s="189">
        <v>29.23</v>
      </c>
      <c r="W464" s="361">
        <v>46235.0</v>
      </c>
      <c r="X464" s="201">
        <v>1.0</v>
      </c>
      <c r="Y464" s="201">
        <v>8.0</v>
      </c>
      <c r="Z464" s="201">
        <v>2026.0</v>
      </c>
      <c r="AA464" s="189" t="s">
        <v>36</v>
      </c>
    </row>
    <row r="465" ht="15.75" hidden="1" customHeight="1">
      <c r="A465" s="189" t="s">
        <v>1897</v>
      </c>
      <c r="B465" s="189">
        <v>5.485940423E9</v>
      </c>
      <c r="C465" s="361">
        <v>46214.0</v>
      </c>
      <c r="D465" s="201">
        <v>11.0</v>
      </c>
      <c r="E465" s="201">
        <v>7.0</v>
      </c>
      <c r="F465" s="201">
        <v>2026.0</v>
      </c>
      <c r="G465" s="361">
        <v>46215.0</v>
      </c>
      <c r="H465" s="201">
        <v>12.0</v>
      </c>
      <c r="I465" s="201">
        <v>7.0</v>
      </c>
      <c r="J465" s="201">
        <v>2026.0</v>
      </c>
      <c r="K465" s="189" t="s">
        <v>36</v>
      </c>
      <c r="L465" s="189" t="s">
        <v>1774</v>
      </c>
      <c r="M465" s="189">
        <v>1.0</v>
      </c>
      <c r="N465" s="189">
        <v>1.0</v>
      </c>
      <c r="O465" s="189"/>
      <c r="P465" s="189">
        <v>2.0</v>
      </c>
      <c r="Q465" s="361">
        <v>46235.0</v>
      </c>
      <c r="R465" s="362">
        <v>1.0</v>
      </c>
      <c r="S465" s="362">
        <v>8.0</v>
      </c>
      <c r="T465" s="201">
        <v>2026.0</v>
      </c>
      <c r="U465" s="189" t="s">
        <v>36</v>
      </c>
      <c r="V465" s="189">
        <v>62.67</v>
      </c>
      <c r="W465" s="361">
        <v>46235.0</v>
      </c>
      <c r="X465" s="201">
        <v>1.0</v>
      </c>
      <c r="Y465" s="201">
        <v>8.0</v>
      </c>
      <c r="Z465" s="201">
        <v>2026.0</v>
      </c>
      <c r="AA465" s="189" t="s">
        <v>36</v>
      </c>
    </row>
    <row r="466" ht="15.75" hidden="1" customHeight="1">
      <c r="A466" s="189" t="s">
        <v>1898</v>
      </c>
      <c r="B466" s="189">
        <v>5.164346123E9</v>
      </c>
      <c r="C466" s="361">
        <v>46213.0</v>
      </c>
      <c r="D466" s="201">
        <v>10.0</v>
      </c>
      <c r="E466" s="201">
        <v>7.0</v>
      </c>
      <c r="F466" s="201">
        <v>2026.0</v>
      </c>
      <c r="G466" s="361">
        <v>46215.0</v>
      </c>
      <c r="H466" s="201">
        <v>12.0</v>
      </c>
      <c r="I466" s="201">
        <v>7.0</v>
      </c>
      <c r="J466" s="201">
        <v>2026.0</v>
      </c>
      <c r="K466" s="189" t="s">
        <v>36</v>
      </c>
      <c r="L466" s="189" t="s">
        <v>1774</v>
      </c>
      <c r="M466" s="189">
        <v>1.0</v>
      </c>
      <c r="N466" s="189">
        <v>2.0</v>
      </c>
      <c r="O466" s="189"/>
      <c r="P466" s="189">
        <v>4.0</v>
      </c>
      <c r="Q466" s="361">
        <v>46235.0</v>
      </c>
      <c r="R466" s="362">
        <v>1.0</v>
      </c>
      <c r="S466" s="362">
        <v>8.0</v>
      </c>
      <c r="T466" s="201">
        <v>2026.0</v>
      </c>
      <c r="U466" s="189" t="s">
        <v>36</v>
      </c>
      <c r="V466" s="189">
        <v>64.32</v>
      </c>
      <c r="W466" s="361">
        <v>46235.0</v>
      </c>
      <c r="X466" s="201">
        <v>1.0</v>
      </c>
      <c r="Y466" s="201">
        <v>8.0</v>
      </c>
      <c r="Z466" s="201">
        <v>2026.0</v>
      </c>
      <c r="AA466" s="189" t="s">
        <v>36</v>
      </c>
    </row>
    <row r="467" ht="15.75" hidden="1" customHeight="1">
      <c r="A467" s="189" t="s">
        <v>1899</v>
      </c>
      <c r="B467" s="189">
        <v>6.297195694E9</v>
      </c>
      <c r="C467" s="361">
        <v>46213.0</v>
      </c>
      <c r="D467" s="201">
        <v>10.0</v>
      </c>
      <c r="E467" s="201">
        <v>7.0</v>
      </c>
      <c r="F467" s="201">
        <v>2026.0</v>
      </c>
      <c r="G467" s="361">
        <v>46214.0</v>
      </c>
      <c r="H467" s="201">
        <v>11.0</v>
      </c>
      <c r="I467" s="201">
        <v>7.0</v>
      </c>
      <c r="J467" s="201">
        <v>2026.0</v>
      </c>
      <c r="K467" s="189" t="s">
        <v>36</v>
      </c>
      <c r="L467" s="189" t="s">
        <v>1774</v>
      </c>
      <c r="M467" s="189">
        <v>1.0</v>
      </c>
      <c r="N467" s="189">
        <v>1.0</v>
      </c>
      <c r="O467" s="189"/>
      <c r="P467" s="189">
        <v>2.0</v>
      </c>
      <c r="Q467" s="361">
        <v>46235.0</v>
      </c>
      <c r="R467" s="362">
        <v>1.0</v>
      </c>
      <c r="S467" s="362">
        <v>8.0</v>
      </c>
      <c r="T467" s="201">
        <v>2026.0</v>
      </c>
      <c r="U467" s="189" t="s">
        <v>36</v>
      </c>
      <c r="V467" s="189">
        <v>29.23</v>
      </c>
      <c r="W467" s="361">
        <v>46235.0</v>
      </c>
      <c r="X467" s="201">
        <v>1.0</v>
      </c>
      <c r="Y467" s="201">
        <v>8.0</v>
      </c>
      <c r="Z467" s="201">
        <v>2026.0</v>
      </c>
      <c r="AA467" s="189" t="s">
        <v>36</v>
      </c>
    </row>
    <row r="468" ht="15.75" hidden="1" customHeight="1">
      <c r="A468" s="189" t="s">
        <v>1900</v>
      </c>
      <c r="B468" s="189">
        <v>6.178395905E9</v>
      </c>
      <c r="C468" s="361">
        <v>46213.0</v>
      </c>
      <c r="D468" s="201">
        <v>10.0</v>
      </c>
      <c r="E468" s="201">
        <v>7.0</v>
      </c>
      <c r="F468" s="201">
        <v>2026.0</v>
      </c>
      <c r="G468" s="361">
        <v>46214.0</v>
      </c>
      <c r="H468" s="201">
        <v>11.0</v>
      </c>
      <c r="I468" s="201">
        <v>7.0</v>
      </c>
      <c r="J468" s="201">
        <v>2026.0</v>
      </c>
      <c r="K468" s="189" t="s">
        <v>36</v>
      </c>
      <c r="L468" s="189" t="s">
        <v>1774</v>
      </c>
      <c r="M468" s="189">
        <v>1.0</v>
      </c>
      <c r="N468" s="189">
        <v>1.0</v>
      </c>
      <c r="O468" s="189"/>
      <c r="P468" s="189">
        <v>2.0</v>
      </c>
      <c r="Q468" s="361">
        <v>46235.0</v>
      </c>
      <c r="R468" s="362">
        <v>1.0</v>
      </c>
      <c r="S468" s="362">
        <v>8.0</v>
      </c>
      <c r="T468" s="201">
        <v>2026.0</v>
      </c>
      <c r="U468" s="189" t="s">
        <v>36</v>
      </c>
      <c r="V468" s="189">
        <v>29.23</v>
      </c>
      <c r="W468" s="361">
        <v>46235.0</v>
      </c>
      <c r="X468" s="201">
        <v>1.0</v>
      </c>
      <c r="Y468" s="201">
        <v>8.0</v>
      </c>
      <c r="Z468" s="201">
        <v>2026.0</v>
      </c>
      <c r="AA468" s="189" t="s">
        <v>36</v>
      </c>
    </row>
    <row r="469" ht="15.75" hidden="1" customHeight="1">
      <c r="A469" s="189" t="s">
        <v>1901</v>
      </c>
      <c r="B469" s="189">
        <v>5.973107087E9</v>
      </c>
      <c r="C469" s="361">
        <v>46211.0</v>
      </c>
      <c r="D469" s="201">
        <v>8.0</v>
      </c>
      <c r="E469" s="201">
        <v>7.0</v>
      </c>
      <c r="F469" s="201">
        <v>2026.0</v>
      </c>
      <c r="G469" s="361">
        <v>46214.0</v>
      </c>
      <c r="H469" s="201">
        <v>11.0</v>
      </c>
      <c r="I469" s="201">
        <v>7.0</v>
      </c>
      <c r="J469" s="201">
        <v>2026.0</v>
      </c>
      <c r="K469" s="189" t="s">
        <v>36</v>
      </c>
      <c r="L469" s="189" t="s">
        <v>1774</v>
      </c>
      <c r="M469" s="189">
        <v>1.0</v>
      </c>
      <c r="N469" s="189">
        <v>3.0</v>
      </c>
      <c r="O469" s="189"/>
      <c r="P469" s="189">
        <v>6.0</v>
      </c>
      <c r="Q469" s="361">
        <v>46235.0</v>
      </c>
      <c r="R469" s="362">
        <v>1.0</v>
      </c>
      <c r="S469" s="362">
        <v>8.0</v>
      </c>
      <c r="T469" s="201">
        <v>2026.0</v>
      </c>
      <c r="U469" s="189" t="s">
        <v>36</v>
      </c>
      <c r="V469" s="189">
        <v>137.86</v>
      </c>
      <c r="W469" s="361">
        <v>46235.0</v>
      </c>
      <c r="X469" s="201">
        <v>1.0</v>
      </c>
      <c r="Y469" s="201">
        <v>8.0</v>
      </c>
      <c r="Z469" s="201">
        <v>2026.0</v>
      </c>
      <c r="AA469" s="189" t="s">
        <v>36</v>
      </c>
    </row>
    <row r="470" ht="15.75" hidden="1" customHeight="1">
      <c r="A470" s="189" t="s">
        <v>1902</v>
      </c>
      <c r="B470" s="189">
        <v>5.855761147E9</v>
      </c>
      <c r="C470" s="361">
        <v>46213.0</v>
      </c>
      <c r="D470" s="201">
        <v>10.0</v>
      </c>
      <c r="E470" s="201">
        <v>7.0</v>
      </c>
      <c r="F470" s="201">
        <v>2026.0</v>
      </c>
      <c r="G470" s="361">
        <v>46214.0</v>
      </c>
      <c r="H470" s="201">
        <v>11.0</v>
      </c>
      <c r="I470" s="201">
        <v>7.0</v>
      </c>
      <c r="J470" s="201">
        <v>2026.0</v>
      </c>
      <c r="K470" s="189" t="s">
        <v>36</v>
      </c>
      <c r="L470" s="189" t="s">
        <v>1774</v>
      </c>
      <c r="M470" s="189">
        <v>1.0</v>
      </c>
      <c r="N470" s="189">
        <v>1.0</v>
      </c>
      <c r="O470" s="189"/>
      <c r="P470" s="189">
        <v>2.0</v>
      </c>
      <c r="Q470" s="361">
        <v>46235.0</v>
      </c>
      <c r="R470" s="362">
        <v>1.0</v>
      </c>
      <c r="S470" s="362">
        <v>8.0</v>
      </c>
      <c r="T470" s="201">
        <v>2026.0</v>
      </c>
      <c r="U470" s="189" t="s">
        <v>36</v>
      </c>
      <c r="V470" s="189">
        <v>29.23</v>
      </c>
      <c r="W470" s="361">
        <v>46235.0</v>
      </c>
      <c r="X470" s="201">
        <v>1.0</v>
      </c>
      <c r="Y470" s="201">
        <v>8.0</v>
      </c>
      <c r="Z470" s="201">
        <v>2026.0</v>
      </c>
      <c r="AA470" s="189" t="s">
        <v>36</v>
      </c>
    </row>
    <row r="471" ht="15.75" hidden="1" customHeight="1">
      <c r="A471" s="189" t="s">
        <v>1903</v>
      </c>
      <c r="B471" s="189">
        <v>5.653375198E9</v>
      </c>
      <c r="C471" s="361">
        <v>46210.0</v>
      </c>
      <c r="D471" s="201">
        <v>7.0</v>
      </c>
      <c r="E471" s="201">
        <v>7.0</v>
      </c>
      <c r="F471" s="201">
        <v>2026.0</v>
      </c>
      <c r="G471" s="361">
        <v>46214.0</v>
      </c>
      <c r="H471" s="201">
        <v>11.0</v>
      </c>
      <c r="I471" s="201">
        <v>7.0</v>
      </c>
      <c r="J471" s="201">
        <v>2026.0</v>
      </c>
      <c r="K471" s="189" t="s">
        <v>36</v>
      </c>
      <c r="L471" s="189" t="s">
        <v>1774</v>
      </c>
      <c r="M471" s="189">
        <v>1.0</v>
      </c>
      <c r="N471" s="189">
        <v>4.0</v>
      </c>
      <c r="O471" s="189"/>
      <c r="P471" s="189">
        <v>8.0</v>
      </c>
      <c r="Q471" s="361">
        <v>46235.0</v>
      </c>
      <c r="R471" s="362">
        <v>1.0</v>
      </c>
      <c r="S471" s="362">
        <v>8.0</v>
      </c>
      <c r="T471" s="201">
        <v>2026.0</v>
      </c>
      <c r="U471" s="189" t="s">
        <v>36</v>
      </c>
      <c r="V471" s="189">
        <v>125.29</v>
      </c>
      <c r="W471" s="361">
        <v>46235.0</v>
      </c>
      <c r="X471" s="201">
        <v>1.0</v>
      </c>
      <c r="Y471" s="201">
        <v>8.0</v>
      </c>
      <c r="Z471" s="201">
        <v>2026.0</v>
      </c>
      <c r="AA471" s="189" t="s">
        <v>36</v>
      </c>
    </row>
    <row r="472" ht="15.75" hidden="1" customHeight="1">
      <c r="A472" s="189" t="s">
        <v>1904</v>
      </c>
      <c r="B472" s="189">
        <v>6.975983684E9</v>
      </c>
      <c r="C472" s="361">
        <v>46212.0</v>
      </c>
      <c r="D472" s="201">
        <v>9.0</v>
      </c>
      <c r="E472" s="201">
        <v>7.0</v>
      </c>
      <c r="F472" s="201">
        <v>2026.0</v>
      </c>
      <c r="G472" s="361">
        <v>46213.0</v>
      </c>
      <c r="H472" s="201">
        <v>10.0</v>
      </c>
      <c r="I472" s="201">
        <v>7.0</v>
      </c>
      <c r="J472" s="201">
        <v>2026.0</v>
      </c>
      <c r="K472" s="189" t="s">
        <v>36</v>
      </c>
      <c r="L472" s="189" t="s">
        <v>1774</v>
      </c>
      <c r="M472" s="189">
        <v>1.0</v>
      </c>
      <c r="N472" s="189">
        <v>1.0</v>
      </c>
      <c r="O472" s="189"/>
      <c r="P472" s="189">
        <v>2.0</v>
      </c>
      <c r="Q472" s="361">
        <v>46235.0</v>
      </c>
      <c r="R472" s="362">
        <v>1.0</v>
      </c>
      <c r="S472" s="362">
        <v>8.0</v>
      </c>
      <c r="T472" s="201">
        <v>2026.0</v>
      </c>
      <c r="U472" s="189" t="s">
        <v>36</v>
      </c>
      <c r="V472" s="189">
        <v>26.72</v>
      </c>
      <c r="W472" s="361">
        <v>46235.0</v>
      </c>
      <c r="X472" s="201">
        <v>1.0</v>
      </c>
      <c r="Y472" s="201">
        <v>8.0</v>
      </c>
      <c r="Z472" s="201">
        <v>2026.0</v>
      </c>
      <c r="AA472" s="189" t="s">
        <v>36</v>
      </c>
    </row>
    <row r="473" ht="15.75" hidden="1" customHeight="1">
      <c r="A473" s="189" t="s">
        <v>1905</v>
      </c>
      <c r="B473" s="189">
        <v>5.367847074E9</v>
      </c>
      <c r="C473" s="361">
        <v>46210.0</v>
      </c>
      <c r="D473" s="201">
        <v>7.0</v>
      </c>
      <c r="E473" s="201">
        <v>7.0</v>
      </c>
      <c r="F473" s="201">
        <v>2026.0</v>
      </c>
      <c r="G473" s="361">
        <v>46213.0</v>
      </c>
      <c r="H473" s="201">
        <v>10.0</v>
      </c>
      <c r="I473" s="201">
        <v>7.0</v>
      </c>
      <c r="J473" s="201">
        <v>2026.0</v>
      </c>
      <c r="K473" s="189" t="s">
        <v>36</v>
      </c>
      <c r="L473" s="189" t="s">
        <v>1774</v>
      </c>
      <c r="M473" s="189">
        <v>1.0</v>
      </c>
      <c r="N473" s="189">
        <v>3.0</v>
      </c>
      <c r="O473" s="189"/>
      <c r="P473" s="189">
        <v>6.0</v>
      </c>
      <c r="Q473" s="361">
        <v>46235.0</v>
      </c>
      <c r="R473" s="362">
        <v>1.0</v>
      </c>
      <c r="S473" s="362">
        <v>8.0</v>
      </c>
      <c r="T473" s="201">
        <v>2026.0</v>
      </c>
      <c r="U473" s="189" t="s">
        <v>36</v>
      </c>
      <c r="V473" s="189">
        <v>188.02</v>
      </c>
      <c r="W473" s="361">
        <v>46235.0</v>
      </c>
      <c r="X473" s="201">
        <v>1.0</v>
      </c>
      <c r="Y473" s="201">
        <v>8.0</v>
      </c>
      <c r="Z473" s="201">
        <v>2026.0</v>
      </c>
      <c r="AA473" s="189" t="s">
        <v>36</v>
      </c>
    </row>
    <row r="474" ht="15.75" hidden="1" customHeight="1">
      <c r="A474" s="189" t="s">
        <v>1906</v>
      </c>
      <c r="B474" s="189">
        <v>5.331376375E9</v>
      </c>
      <c r="C474" s="361">
        <v>46212.0</v>
      </c>
      <c r="D474" s="201">
        <v>9.0</v>
      </c>
      <c r="E474" s="201">
        <v>7.0</v>
      </c>
      <c r="F474" s="201">
        <v>2026.0</v>
      </c>
      <c r="G474" s="361">
        <v>46213.0</v>
      </c>
      <c r="H474" s="201">
        <v>10.0</v>
      </c>
      <c r="I474" s="201">
        <v>7.0</v>
      </c>
      <c r="J474" s="201">
        <v>2026.0</v>
      </c>
      <c r="K474" s="189" t="s">
        <v>36</v>
      </c>
      <c r="L474" s="189" t="s">
        <v>1774</v>
      </c>
      <c r="M474" s="189">
        <v>6.0</v>
      </c>
      <c r="N474" s="189">
        <v>1.0</v>
      </c>
      <c r="O474" s="189"/>
      <c r="P474" s="189">
        <v>12.0</v>
      </c>
      <c r="Q474" s="361">
        <v>46235.0</v>
      </c>
      <c r="R474" s="362">
        <v>1.0</v>
      </c>
      <c r="S474" s="362">
        <v>8.0</v>
      </c>
      <c r="T474" s="201">
        <v>2026.0</v>
      </c>
      <c r="U474" s="189" t="s">
        <v>36</v>
      </c>
      <c r="V474" s="189">
        <v>160.32</v>
      </c>
      <c r="W474" s="361">
        <v>46235.0</v>
      </c>
      <c r="X474" s="201">
        <v>1.0</v>
      </c>
      <c r="Y474" s="201">
        <v>8.0</v>
      </c>
      <c r="Z474" s="201">
        <v>2026.0</v>
      </c>
      <c r="AA474" s="189" t="s">
        <v>36</v>
      </c>
    </row>
    <row r="475" ht="15.75" hidden="1" customHeight="1">
      <c r="A475" s="189" t="s">
        <v>1907</v>
      </c>
      <c r="B475" s="189">
        <v>5.036390489E9</v>
      </c>
      <c r="C475" s="361">
        <v>46212.0</v>
      </c>
      <c r="D475" s="201">
        <v>9.0</v>
      </c>
      <c r="E475" s="201">
        <v>7.0</v>
      </c>
      <c r="F475" s="201">
        <v>2026.0</v>
      </c>
      <c r="G475" s="361">
        <v>46213.0</v>
      </c>
      <c r="H475" s="201">
        <v>10.0</v>
      </c>
      <c r="I475" s="201">
        <v>7.0</v>
      </c>
      <c r="J475" s="201">
        <v>2026.0</v>
      </c>
      <c r="K475" s="189" t="s">
        <v>36</v>
      </c>
      <c r="L475" s="189" t="s">
        <v>1774</v>
      </c>
      <c r="M475" s="189">
        <v>1.0</v>
      </c>
      <c r="N475" s="189">
        <v>1.0</v>
      </c>
      <c r="O475" s="189"/>
      <c r="P475" s="189">
        <v>2.0</v>
      </c>
      <c r="Q475" s="361">
        <v>46235.0</v>
      </c>
      <c r="R475" s="362">
        <v>1.0</v>
      </c>
      <c r="S475" s="362">
        <v>8.0</v>
      </c>
      <c r="T475" s="201">
        <v>2026.0</v>
      </c>
      <c r="U475" s="189" t="s">
        <v>36</v>
      </c>
      <c r="V475" s="189">
        <v>26.72</v>
      </c>
      <c r="W475" s="361">
        <v>46235.0</v>
      </c>
      <c r="X475" s="201">
        <v>1.0</v>
      </c>
      <c r="Y475" s="201">
        <v>8.0</v>
      </c>
      <c r="Z475" s="201">
        <v>2026.0</v>
      </c>
      <c r="AA475" s="189" t="s">
        <v>36</v>
      </c>
    </row>
    <row r="476" ht="15.75" hidden="1" customHeight="1">
      <c r="A476" s="189" t="s">
        <v>1908</v>
      </c>
      <c r="B476" s="189">
        <v>6.580338164E9</v>
      </c>
      <c r="C476" s="361">
        <v>46211.0</v>
      </c>
      <c r="D476" s="201">
        <v>8.0</v>
      </c>
      <c r="E476" s="201">
        <v>7.0</v>
      </c>
      <c r="F476" s="201">
        <v>2026.0</v>
      </c>
      <c r="G476" s="361">
        <v>46212.0</v>
      </c>
      <c r="H476" s="201">
        <v>9.0</v>
      </c>
      <c r="I476" s="201">
        <v>7.0</v>
      </c>
      <c r="J476" s="201">
        <v>2026.0</v>
      </c>
      <c r="K476" s="189" t="s">
        <v>36</v>
      </c>
      <c r="L476" s="189" t="s">
        <v>1774</v>
      </c>
      <c r="M476" s="189">
        <v>1.0</v>
      </c>
      <c r="N476" s="189">
        <v>1.0</v>
      </c>
      <c r="O476" s="189"/>
      <c r="P476" s="189">
        <v>2.0</v>
      </c>
      <c r="Q476" s="361">
        <v>46235.0</v>
      </c>
      <c r="R476" s="362">
        <v>1.0</v>
      </c>
      <c r="S476" s="362">
        <v>8.0</v>
      </c>
      <c r="T476" s="201">
        <v>2026.0</v>
      </c>
      <c r="U476" s="189" t="s">
        <v>36</v>
      </c>
      <c r="V476" s="189">
        <v>29.23</v>
      </c>
      <c r="W476" s="361">
        <v>46235.0</v>
      </c>
      <c r="X476" s="201">
        <v>1.0</v>
      </c>
      <c r="Y476" s="201">
        <v>8.0</v>
      </c>
      <c r="Z476" s="201">
        <v>2026.0</v>
      </c>
      <c r="AA476" s="189" t="s">
        <v>36</v>
      </c>
    </row>
    <row r="477" ht="15.75" hidden="1" customHeight="1">
      <c r="A477" s="189" t="s">
        <v>1909</v>
      </c>
      <c r="B477" s="189">
        <v>6.355787645E9</v>
      </c>
      <c r="C477" s="361">
        <v>46211.0</v>
      </c>
      <c r="D477" s="201">
        <v>8.0</v>
      </c>
      <c r="E477" s="201">
        <v>7.0</v>
      </c>
      <c r="F477" s="201">
        <v>2026.0</v>
      </c>
      <c r="G477" s="361">
        <v>46212.0</v>
      </c>
      <c r="H477" s="201">
        <v>9.0</v>
      </c>
      <c r="I477" s="201">
        <v>7.0</v>
      </c>
      <c r="J477" s="201">
        <v>2026.0</v>
      </c>
      <c r="K477" s="189" t="s">
        <v>36</v>
      </c>
      <c r="L477" s="189" t="s">
        <v>1774</v>
      </c>
      <c r="M477" s="189">
        <v>1.0</v>
      </c>
      <c r="N477" s="189">
        <v>1.0</v>
      </c>
      <c r="O477" s="189"/>
      <c r="P477" s="189">
        <v>2.0</v>
      </c>
      <c r="Q477" s="361">
        <v>46235.0</v>
      </c>
      <c r="R477" s="362">
        <v>1.0</v>
      </c>
      <c r="S477" s="362">
        <v>8.0</v>
      </c>
      <c r="T477" s="201">
        <v>2026.0</v>
      </c>
      <c r="U477" s="189" t="s">
        <v>36</v>
      </c>
      <c r="V477" s="189">
        <v>29.23</v>
      </c>
      <c r="W477" s="361">
        <v>46235.0</v>
      </c>
      <c r="X477" s="201">
        <v>1.0</v>
      </c>
      <c r="Y477" s="201">
        <v>8.0</v>
      </c>
      <c r="Z477" s="201">
        <v>2026.0</v>
      </c>
      <c r="AA477" s="189" t="s">
        <v>36</v>
      </c>
    </row>
    <row r="478" ht="15.75" hidden="1" customHeight="1">
      <c r="A478" s="189" t="s">
        <v>1910</v>
      </c>
      <c r="B478" s="189">
        <v>5.812975644E9</v>
      </c>
      <c r="C478" s="361">
        <v>46211.0</v>
      </c>
      <c r="D478" s="201">
        <v>8.0</v>
      </c>
      <c r="E478" s="201">
        <v>7.0</v>
      </c>
      <c r="F478" s="201">
        <v>2026.0</v>
      </c>
      <c r="G478" s="361">
        <v>46212.0</v>
      </c>
      <c r="H478" s="201">
        <v>9.0</v>
      </c>
      <c r="I478" s="201">
        <v>7.0</v>
      </c>
      <c r="J478" s="201">
        <v>2026.0</v>
      </c>
      <c r="K478" s="189" t="s">
        <v>36</v>
      </c>
      <c r="L478" s="189" t="s">
        <v>1774</v>
      </c>
      <c r="M478" s="189">
        <v>1.0</v>
      </c>
      <c r="N478" s="189">
        <v>1.0</v>
      </c>
      <c r="O478" s="189"/>
      <c r="P478" s="189">
        <v>2.0</v>
      </c>
      <c r="Q478" s="361">
        <v>46235.0</v>
      </c>
      <c r="R478" s="362">
        <v>1.0</v>
      </c>
      <c r="S478" s="362">
        <v>8.0</v>
      </c>
      <c r="T478" s="201">
        <v>2026.0</v>
      </c>
      <c r="U478" s="189" t="s">
        <v>36</v>
      </c>
      <c r="V478" s="189">
        <v>45.95</v>
      </c>
      <c r="W478" s="361">
        <v>46235.0</v>
      </c>
      <c r="X478" s="201">
        <v>1.0</v>
      </c>
      <c r="Y478" s="201">
        <v>8.0</v>
      </c>
      <c r="Z478" s="201">
        <v>2026.0</v>
      </c>
      <c r="AA478" s="189" t="s">
        <v>36</v>
      </c>
    </row>
    <row r="479" ht="15.75" hidden="1" customHeight="1">
      <c r="A479" s="189" t="s">
        <v>1911</v>
      </c>
      <c r="B479" s="189">
        <v>6.068869007E9</v>
      </c>
      <c r="C479" s="361">
        <v>46209.0</v>
      </c>
      <c r="D479" s="201">
        <v>6.0</v>
      </c>
      <c r="E479" s="201">
        <v>7.0</v>
      </c>
      <c r="F479" s="201">
        <v>2026.0</v>
      </c>
      <c r="G479" s="361">
        <v>46211.0</v>
      </c>
      <c r="H479" s="201">
        <v>8.0</v>
      </c>
      <c r="I479" s="201">
        <v>7.0</v>
      </c>
      <c r="J479" s="201">
        <v>2026.0</v>
      </c>
      <c r="K479" s="189" t="s">
        <v>36</v>
      </c>
      <c r="L479" s="189" t="s">
        <v>1774</v>
      </c>
      <c r="M479" s="189">
        <v>1.0</v>
      </c>
      <c r="N479" s="189">
        <v>2.0</v>
      </c>
      <c r="O479" s="189"/>
      <c r="P479" s="189">
        <v>4.0</v>
      </c>
      <c r="Q479" s="361">
        <v>46235.0</v>
      </c>
      <c r="R479" s="362">
        <v>1.0</v>
      </c>
      <c r="S479" s="362">
        <v>8.0</v>
      </c>
      <c r="T479" s="201">
        <v>2026.0</v>
      </c>
      <c r="U479" s="189" t="s">
        <v>36</v>
      </c>
      <c r="V479" s="189">
        <v>58.46</v>
      </c>
      <c r="W479" s="361">
        <v>46235.0</v>
      </c>
      <c r="X479" s="201">
        <v>1.0</v>
      </c>
      <c r="Y479" s="201">
        <v>8.0</v>
      </c>
      <c r="Z479" s="201">
        <v>2026.0</v>
      </c>
      <c r="AA479" s="189" t="s">
        <v>36</v>
      </c>
    </row>
    <row r="480" ht="15.75" hidden="1" customHeight="1">
      <c r="A480" s="189" t="s">
        <v>1912</v>
      </c>
      <c r="B480" s="189">
        <v>5.960735014E9</v>
      </c>
      <c r="C480" s="361">
        <v>46208.0</v>
      </c>
      <c r="D480" s="201">
        <v>5.0</v>
      </c>
      <c r="E480" s="201">
        <v>7.0</v>
      </c>
      <c r="F480" s="201">
        <v>2026.0</v>
      </c>
      <c r="G480" s="361">
        <v>46211.0</v>
      </c>
      <c r="H480" s="201">
        <v>8.0</v>
      </c>
      <c r="I480" s="201">
        <v>7.0</v>
      </c>
      <c r="J480" s="201">
        <v>2026.0</v>
      </c>
      <c r="K480" s="189" t="s">
        <v>36</v>
      </c>
      <c r="L480" s="189" t="s">
        <v>1774</v>
      </c>
      <c r="M480" s="189">
        <v>1.0</v>
      </c>
      <c r="N480" s="189">
        <v>3.0</v>
      </c>
      <c r="O480" s="189"/>
      <c r="P480" s="189">
        <v>6.0</v>
      </c>
      <c r="Q480" s="361">
        <v>46235.0</v>
      </c>
      <c r="R480" s="362">
        <v>1.0</v>
      </c>
      <c r="S480" s="362">
        <v>8.0</v>
      </c>
      <c r="T480" s="201">
        <v>2026.0</v>
      </c>
      <c r="U480" s="189" t="s">
        <v>36</v>
      </c>
      <c r="V480" s="189">
        <v>87.7</v>
      </c>
      <c r="W480" s="361">
        <v>46235.0</v>
      </c>
      <c r="X480" s="201">
        <v>1.0</v>
      </c>
      <c r="Y480" s="201">
        <v>8.0</v>
      </c>
      <c r="Z480" s="201">
        <v>2026.0</v>
      </c>
      <c r="AA480" s="189" t="s">
        <v>36</v>
      </c>
    </row>
    <row r="481" ht="15.75" hidden="1" customHeight="1">
      <c r="A481" s="189" t="s">
        <v>1913</v>
      </c>
      <c r="B481" s="189">
        <v>5.653732932E9</v>
      </c>
      <c r="C481" s="361">
        <v>46209.0</v>
      </c>
      <c r="D481" s="201">
        <v>6.0</v>
      </c>
      <c r="E481" s="201">
        <v>7.0</v>
      </c>
      <c r="F481" s="201">
        <v>2026.0</v>
      </c>
      <c r="G481" s="361">
        <v>46211.0</v>
      </c>
      <c r="H481" s="201">
        <v>8.0</v>
      </c>
      <c r="I481" s="201">
        <v>7.0</v>
      </c>
      <c r="J481" s="201">
        <v>2026.0</v>
      </c>
      <c r="K481" s="189" t="s">
        <v>36</v>
      </c>
      <c r="L481" s="189" t="s">
        <v>1774</v>
      </c>
      <c r="M481" s="189">
        <v>1.0</v>
      </c>
      <c r="N481" s="189">
        <v>2.0</v>
      </c>
      <c r="O481" s="189"/>
      <c r="P481" s="189">
        <v>4.0</v>
      </c>
      <c r="Q481" s="361">
        <v>46235.0</v>
      </c>
      <c r="R481" s="362">
        <v>1.0</v>
      </c>
      <c r="S481" s="362">
        <v>8.0</v>
      </c>
      <c r="T481" s="201">
        <v>2026.0</v>
      </c>
      <c r="U481" s="189" t="s">
        <v>36</v>
      </c>
      <c r="V481" s="189">
        <v>58.46</v>
      </c>
      <c r="W481" s="361">
        <v>46235.0</v>
      </c>
      <c r="X481" s="201">
        <v>1.0</v>
      </c>
      <c r="Y481" s="201">
        <v>8.0</v>
      </c>
      <c r="Z481" s="201">
        <v>2026.0</v>
      </c>
      <c r="AA481" s="189" t="s">
        <v>36</v>
      </c>
    </row>
    <row r="482" ht="15.75" hidden="1" customHeight="1">
      <c r="A482" s="189" t="s">
        <v>1914</v>
      </c>
      <c r="B482" s="189">
        <v>6.420127237E9</v>
      </c>
      <c r="C482" s="361">
        <v>46207.0</v>
      </c>
      <c r="D482" s="201">
        <v>4.0</v>
      </c>
      <c r="E482" s="201">
        <v>7.0</v>
      </c>
      <c r="F482" s="201">
        <v>2026.0</v>
      </c>
      <c r="G482" s="361">
        <v>46210.0</v>
      </c>
      <c r="H482" s="201">
        <v>7.0</v>
      </c>
      <c r="I482" s="201">
        <v>7.0</v>
      </c>
      <c r="J482" s="201">
        <v>2026.0</v>
      </c>
      <c r="K482" s="189" t="s">
        <v>36</v>
      </c>
      <c r="L482" s="189" t="s">
        <v>1774</v>
      </c>
      <c r="M482" s="189">
        <v>1.0</v>
      </c>
      <c r="N482" s="189">
        <v>2.0</v>
      </c>
      <c r="O482" s="189"/>
      <c r="P482" s="189">
        <v>4.0</v>
      </c>
      <c r="Q482" s="361">
        <v>46235.0</v>
      </c>
      <c r="R482" s="362">
        <v>1.0</v>
      </c>
      <c r="S482" s="362">
        <v>8.0</v>
      </c>
      <c r="T482" s="201">
        <v>2026.0</v>
      </c>
      <c r="U482" s="189" t="s">
        <v>36</v>
      </c>
      <c r="V482" s="189">
        <v>58.46</v>
      </c>
      <c r="W482" s="361">
        <v>46235.0</v>
      </c>
      <c r="X482" s="201">
        <v>1.0</v>
      </c>
      <c r="Y482" s="201">
        <v>8.0</v>
      </c>
      <c r="Z482" s="201">
        <v>2026.0</v>
      </c>
      <c r="AA482" s="189" t="s">
        <v>36</v>
      </c>
    </row>
    <row r="483" ht="15.75" hidden="1" customHeight="1">
      <c r="A483" s="189" t="s">
        <v>1915</v>
      </c>
      <c r="B483" s="189">
        <v>6.617138135E9</v>
      </c>
      <c r="C483" s="361">
        <v>46208.0</v>
      </c>
      <c r="D483" s="201">
        <v>5.0</v>
      </c>
      <c r="E483" s="201">
        <v>7.0</v>
      </c>
      <c r="F483" s="201">
        <v>2026.0</v>
      </c>
      <c r="G483" s="361">
        <v>46209.0</v>
      </c>
      <c r="H483" s="201">
        <v>6.0</v>
      </c>
      <c r="I483" s="201">
        <v>7.0</v>
      </c>
      <c r="J483" s="201">
        <v>2026.0</v>
      </c>
      <c r="K483" s="189" t="s">
        <v>36</v>
      </c>
      <c r="L483" s="189" t="s">
        <v>1774</v>
      </c>
      <c r="M483" s="189">
        <v>1.0</v>
      </c>
      <c r="N483" s="189">
        <v>1.0</v>
      </c>
      <c r="O483" s="189"/>
      <c r="P483" s="189">
        <v>2.0</v>
      </c>
      <c r="Q483" s="361">
        <v>46235.0</v>
      </c>
      <c r="R483" s="362">
        <v>1.0</v>
      </c>
      <c r="S483" s="362">
        <v>8.0</v>
      </c>
      <c r="T483" s="201">
        <v>2026.0</v>
      </c>
      <c r="U483" s="189" t="s">
        <v>36</v>
      </c>
      <c r="V483" s="189">
        <v>29.23</v>
      </c>
      <c r="W483" s="361">
        <v>46235.0</v>
      </c>
      <c r="X483" s="201">
        <v>1.0</v>
      </c>
      <c r="Y483" s="201">
        <v>8.0</v>
      </c>
      <c r="Z483" s="201">
        <v>2026.0</v>
      </c>
      <c r="AA483" s="189" t="s">
        <v>36</v>
      </c>
    </row>
    <row r="484" ht="15.75" hidden="1" customHeight="1">
      <c r="A484" s="189" t="s">
        <v>1916</v>
      </c>
      <c r="B484" s="189">
        <v>6.33341137E9</v>
      </c>
      <c r="C484" s="361">
        <v>46207.0</v>
      </c>
      <c r="D484" s="201">
        <v>4.0</v>
      </c>
      <c r="E484" s="201">
        <v>7.0</v>
      </c>
      <c r="F484" s="201">
        <v>2026.0</v>
      </c>
      <c r="G484" s="361">
        <v>46209.0</v>
      </c>
      <c r="H484" s="201">
        <v>6.0</v>
      </c>
      <c r="I484" s="201">
        <v>7.0</v>
      </c>
      <c r="J484" s="201">
        <v>2026.0</v>
      </c>
      <c r="K484" s="189" t="s">
        <v>36</v>
      </c>
      <c r="L484" s="189" t="s">
        <v>1774</v>
      </c>
      <c r="M484" s="189">
        <v>1.0</v>
      </c>
      <c r="N484" s="189">
        <v>2.0</v>
      </c>
      <c r="O484" s="189"/>
      <c r="P484" s="189">
        <v>4.0</v>
      </c>
      <c r="Q484" s="361">
        <v>46235.0</v>
      </c>
      <c r="R484" s="362">
        <v>1.0</v>
      </c>
      <c r="S484" s="362">
        <v>8.0</v>
      </c>
      <c r="T484" s="201">
        <v>2026.0</v>
      </c>
      <c r="U484" s="189" t="s">
        <v>36</v>
      </c>
      <c r="V484" s="189">
        <v>58.46</v>
      </c>
      <c r="W484" s="361">
        <v>46235.0</v>
      </c>
      <c r="X484" s="201">
        <v>1.0</v>
      </c>
      <c r="Y484" s="201">
        <v>8.0</v>
      </c>
      <c r="Z484" s="201">
        <v>2026.0</v>
      </c>
      <c r="AA484" s="189" t="s">
        <v>36</v>
      </c>
    </row>
    <row r="485" ht="15.75" hidden="1" customHeight="1">
      <c r="A485" s="189" t="s">
        <v>1917</v>
      </c>
      <c r="B485" s="189">
        <v>5.334090978E9</v>
      </c>
      <c r="C485" s="361">
        <v>46208.0</v>
      </c>
      <c r="D485" s="201">
        <v>5.0</v>
      </c>
      <c r="E485" s="201">
        <v>7.0</v>
      </c>
      <c r="F485" s="201">
        <v>2026.0</v>
      </c>
      <c r="G485" s="361">
        <v>46209.0</v>
      </c>
      <c r="H485" s="201">
        <v>6.0</v>
      </c>
      <c r="I485" s="201">
        <v>7.0</v>
      </c>
      <c r="J485" s="201">
        <v>2026.0</v>
      </c>
      <c r="K485" s="189" t="s">
        <v>36</v>
      </c>
      <c r="L485" s="189" t="s">
        <v>1774</v>
      </c>
      <c r="M485" s="189">
        <v>1.0</v>
      </c>
      <c r="N485" s="189">
        <v>1.0</v>
      </c>
      <c r="O485" s="189"/>
      <c r="P485" s="189">
        <v>2.0</v>
      </c>
      <c r="Q485" s="361">
        <v>46235.0</v>
      </c>
      <c r="R485" s="362">
        <v>1.0</v>
      </c>
      <c r="S485" s="362">
        <v>8.0</v>
      </c>
      <c r="T485" s="201">
        <v>2026.0</v>
      </c>
      <c r="U485" s="189" t="s">
        <v>36</v>
      </c>
      <c r="V485" s="189">
        <v>29.23</v>
      </c>
      <c r="W485" s="361">
        <v>46235.0</v>
      </c>
      <c r="X485" s="201">
        <v>1.0</v>
      </c>
      <c r="Y485" s="201">
        <v>8.0</v>
      </c>
      <c r="Z485" s="201">
        <v>2026.0</v>
      </c>
      <c r="AA485" s="189" t="s">
        <v>36</v>
      </c>
    </row>
    <row r="486" ht="15.75" hidden="1" customHeight="1">
      <c r="A486" s="189" t="s">
        <v>1918</v>
      </c>
      <c r="B486" s="189">
        <v>6.976998252E9</v>
      </c>
      <c r="C486" s="361">
        <v>46206.0</v>
      </c>
      <c r="D486" s="201">
        <v>3.0</v>
      </c>
      <c r="E486" s="201">
        <v>7.0</v>
      </c>
      <c r="F486" s="201">
        <v>2026.0</v>
      </c>
      <c r="G486" s="361">
        <v>46208.0</v>
      </c>
      <c r="H486" s="201">
        <v>5.0</v>
      </c>
      <c r="I486" s="201">
        <v>7.0</v>
      </c>
      <c r="J486" s="201">
        <v>2026.0</v>
      </c>
      <c r="K486" s="189" t="s">
        <v>36</v>
      </c>
      <c r="L486" s="189" t="s">
        <v>1774</v>
      </c>
      <c r="M486" s="189">
        <v>1.0</v>
      </c>
      <c r="N486" s="189">
        <v>2.0</v>
      </c>
      <c r="O486" s="189"/>
      <c r="P486" s="189">
        <v>4.0</v>
      </c>
      <c r="Q486" s="361">
        <v>46235.0</v>
      </c>
      <c r="R486" s="362">
        <v>1.0</v>
      </c>
      <c r="S486" s="362">
        <v>8.0</v>
      </c>
      <c r="T486" s="201">
        <v>2026.0</v>
      </c>
      <c r="U486" s="189" t="s">
        <v>36</v>
      </c>
      <c r="V486" s="189">
        <v>58.46</v>
      </c>
      <c r="W486" s="361">
        <v>46235.0</v>
      </c>
      <c r="X486" s="201">
        <v>1.0</v>
      </c>
      <c r="Y486" s="201">
        <v>8.0</v>
      </c>
      <c r="Z486" s="201">
        <v>2026.0</v>
      </c>
      <c r="AA486" s="189" t="s">
        <v>36</v>
      </c>
    </row>
    <row r="487" ht="15.75" hidden="1" customHeight="1">
      <c r="A487" s="189" t="s">
        <v>1919</v>
      </c>
      <c r="B487" s="189">
        <v>6.919031464E9</v>
      </c>
      <c r="C487" s="361">
        <v>46205.0</v>
      </c>
      <c r="D487" s="201">
        <v>2.0</v>
      </c>
      <c r="E487" s="201">
        <v>7.0</v>
      </c>
      <c r="F487" s="201">
        <v>2026.0</v>
      </c>
      <c r="G487" s="361">
        <v>46208.0</v>
      </c>
      <c r="H487" s="201">
        <v>5.0</v>
      </c>
      <c r="I487" s="201">
        <v>7.0</v>
      </c>
      <c r="J487" s="201">
        <v>2026.0</v>
      </c>
      <c r="K487" s="189" t="s">
        <v>36</v>
      </c>
      <c r="L487" s="189" t="s">
        <v>1774</v>
      </c>
      <c r="M487" s="189">
        <v>1.0</v>
      </c>
      <c r="N487" s="189">
        <v>3.0</v>
      </c>
      <c r="O487" s="189"/>
      <c r="P487" s="189">
        <v>6.0</v>
      </c>
      <c r="Q487" s="361">
        <v>46235.0</v>
      </c>
      <c r="R487" s="362">
        <v>1.0</v>
      </c>
      <c r="S487" s="362">
        <v>8.0</v>
      </c>
      <c r="T487" s="201">
        <v>2026.0</v>
      </c>
      <c r="U487" s="189" t="s">
        <v>36</v>
      </c>
      <c r="V487" s="189">
        <v>87.7</v>
      </c>
      <c r="W487" s="361">
        <v>46235.0</v>
      </c>
      <c r="X487" s="201">
        <v>1.0</v>
      </c>
      <c r="Y487" s="201">
        <v>8.0</v>
      </c>
      <c r="Z487" s="201">
        <v>2026.0</v>
      </c>
      <c r="AA487" s="189" t="s">
        <v>36</v>
      </c>
    </row>
    <row r="488" ht="15.75" hidden="1" customHeight="1">
      <c r="A488" s="189" t="s">
        <v>1920</v>
      </c>
      <c r="B488" s="189">
        <v>6.778444786E9</v>
      </c>
      <c r="C488" s="361">
        <v>46206.0</v>
      </c>
      <c r="D488" s="201">
        <v>3.0</v>
      </c>
      <c r="E488" s="201">
        <v>7.0</v>
      </c>
      <c r="F488" s="201">
        <v>2026.0</v>
      </c>
      <c r="G488" s="361">
        <v>46208.0</v>
      </c>
      <c r="H488" s="201">
        <v>5.0</v>
      </c>
      <c r="I488" s="201">
        <v>7.0</v>
      </c>
      <c r="J488" s="201">
        <v>2026.0</v>
      </c>
      <c r="K488" s="189" t="s">
        <v>36</v>
      </c>
      <c r="L488" s="189" t="s">
        <v>1480</v>
      </c>
      <c r="M488" s="189">
        <v>1.0</v>
      </c>
      <c r="N488" s="189">
        <v>2.0</v>
      </c>
      <c r="O488" s="189"/>
      <c r="P488" s="189">
        <v>4.0</v>
      </c>
      <c r="Q488" s="361">
        <v>46235.0</v>
      </c>
      <c r="R488" s="362">
        <v>1.0</v>
      </c>
      <c r="S488" s="362">
        <v>8.0</v>
      </c>
      <c r="T488" s="201">
        <v>2026.0</v>
      </c>
      <c r="U488" s="189" t="s">
        <v>36</v>
      </c>
      <c r="V488" s="189">
        <v>25.26</v>
      </c>
      <c r="W488" s="361">
        <v>46235.0</v>
      </c>
      <c r="X488" s="201">
        <v>1.0</v>
      </c>
      <c r="Y488" s="201">
        <v>8.0</v>
      </c>
      <c r="Z488" s="201">
        <v>2026.0</v>
      </c>
      <c r="AA488" s="189" t="s">
        <v>36</v>
      </c>
    </row>
    <row r="489" ht="15.75" hidden="1" customHeight="1">
      <c r="A489" s="189" t="s">
        <v>1921</v>
      </c>
      <c r="B489" s="189">
        <v>6.534947865E9</v>
      </c>
      <c r="C489" s="361">
        <v>46207.0</v>
      </c>
      <c r="D489" s="201">
        <v>4.0</v>
      </c>
      <c r="E489" s="201">
        <v>7.0</v>
      </c>
      <c r="F489" s="201">
        <v>2026.0</v>
      </c>
      <c r="G489" s="361">
        <v>46208.0</v>
      </c>
      <c r="H489" s="201">
        <v>5.0</v>
      </c>
      <c r="I489" s="201">
        <v>7.0</v>
      </c>
      <c r="J489" s="201">
        <v>2026.0</v>
      </c>
      <c r="K489" s="189" t="s">
        <v>36</v>
      </c>
      <c r="L489" s="189" t="s">
        <v>1774</v>
      </c>
      <c r="M489" s="189">
        <v>2.0</v>
      </c>
      <c r="N489" s="189">
        <v>1.0</v>
      </c>
      <c r="O489" s="189"/>
      <c r="P489" s="189">
        <v>4.0</v>
      </c>
      <c r="Q489" s="361">
        <v>46235.0</v>
      </c>
      <c r="R489" s="362">
        <v>1.0</v>
      </c>
      <c r="S489" s="362">
        <v>8.0</v>
      </c>
      <c r="T489" s="201">
        <v>2026.0</v>
      </c>
      <c r="U489" s="189" t="s">
        <v>36</v>
      </c>
      <c r="V489" s="189">
        <v>58.46</v>
      </c>
      <c r="W489" s="361">
        <v>46235.0</v>
      </c>
      <c r="X489" s="201">
        <v>1.0</v>
      </c>
      <c r="Y489" s="201">
        <v>8.0</v>
      </c>
      <c r="Z489" s="201">
        <v>2026.0</v>
      </c>
      <c r="AA489" s="189" t="s">
        <v>36</v>
      </c>
    </row>
    <row r="490" ht="15.75" hidden="1" customHeight="1">
      <c r="A490" s="189" t="s">
        <v>1695</v>
      </c>
      <c r="B490" s="189">
        <v>5.597803883E9</v>
      </c>
      <c r="C490" s="361">
        <v>46207.0</v>
      </c>
      <c r="D490" s="201">
        <v>4.0</v>
      </c>
      <c r="E490" s="201">
        <v>7.0</v>
      </c>
      <c r="F490" s="201">
        <v>2026.0</v>
      </c>
      <c r="G490" s="361">
        <v>46208.0</v>
      </c>
      <c r="H490" s="201">
        <v>5.0</v>
      </c>
      <c r="I490" s="201">
        <v>7.0</v>
      </c>
      <c r="J490" s="201">
        <v>2026.0</v>
      </c>
      <c r="K490" s="189" t="s">
        <v>36</v>
      </c>
      <c r="L490" s="189" t="s">
        <v>1774</v>
      </c>
      <c r="M490" s="189">
        <v>1.0</v>
      </c>
      <c r="N490" s="189">
        <v>1.0</v>
      </c>
      <c r="O490" s="189"/>
      <c r="P490" s="189">
        <v>2.0</v>
      </c>
      <c r="Q490" s="361">
        <v>46235.0</v>
      </c>
      <c r="R490" s="362">
        <v>1.0</v>
      </c>
      <c r="S490" s="362">
        <v>8.0</v>
      </c>
      <c r="T490" s="201">
        <v>2026.0</v>
      </c>
      <c r="U490" s="189" t="s">
        <v>36</v>
      </c>
      <c r="V490" s="189">
        <v>45.95</v>
      </c>
      <c r="W490" s="361">
        <v>46235.0</v>
      </c>
      <c r="X490" s="201">
        <v>1.0</v>
      </c>
      <c r="Y490" s="201">
        <v>8.0</v>
      </c>
      <c r="Z490" s="201">
        <v>2026.0</v>
      </c>
      <c r="AA490" s="189" t="s">
        <v>36</v>
      </c>
    </row>
    <row r="491" ht="15.75" hidden="1" customHeight="1">
      <c r="A491" s="189" t="s">
        <v>1922</v>
      </c>
      <c r="B491" s="189">
        <v>5.835638886E9</v>
      </c>
      <c r="C491" s="361">
        <v>46206.0</v>
      </c>
      <c r="D491" s="201">
        <v>3.0</v>
      </c>
      <c r="E491" s="201">
        <v>7.0</v>
      </c>
      <c r="F491" s="201">
        <v>2026.0</v>
      </c>
      <c r="G491" s="361">
        <v>46207.0</v>
      </c>
      <c r="H491" s="201">
        <v>4.0</v>
      </c>
      <c r="I491" s="201">
        <v>7.0</v>
      </c>
      <c r="J491" s="201">
        <v>2026.0</v>
      </c>
      <c r="K491" s="189" t="s">
        <v>36</v>
      </c>
      <c r="L491" s="189" t="s">
        <v>1774</v>
      </c>
      <c r="M491" s="189">
        <v>1.0</v>
      </c>
      <c r="N491" s="189">
        <v>1.0</v>
      </c>
      <c r="O491" s="189"/>
      <c r="P491" s="189">
        <v>2.0</v>
      </c>
      <c r="Q491" s="361">
        <v>46235.0</v>
      </c>
      <c r="R491" s="362">
        <v>1.0</v>
      </c>
      <c r="S491" s="362">
        <v>8.0</v>
      </c>
      <c r="T491" s="201">
        <v>2026.0</v>
      </c>
      <c r="U491" s="189" t="s">
        <v>36</v>
      </c>
      <c r="V491" s="189">
        <v>29.23</v>
      </c>
      <c r="W491" s="361">
        <v>46235.0</v>
      </c>
      <c r="X491" s="201">
        <v>1.0</v>
      </c>
      <c r="Y491" s="201">
        <v>8.0</v>
      </c>
      <c r="Z491" s="201">
        <v>2026.0</v>
      </c>
      <c r="AA491" s="189" t="s">
        <v>36</v>
      </c>
    </row>
    <row r="492" ht="15.75" hidden="1" customHeight="1">
      <c r="A492" s="189" t="s">
        <v>1923</v>
      </c>
      <c r="B492" s="189">
        <v>5.360974007E9</v>
      </c>
      <c r="C492" s="361">
        <v>46206.0</v>
      </c>
      <c r="D492" s="201">
        <v>3.0</v>
      </c>
      <c r="E492" s="201">
        <v>7.0</v>
      </c>
      <c r="F492" s="201">
        <v>2026.0</v>
      </c>
      <c r="G492" s="361">
        <v>46207.0</v>
      </c>
      <c r="H492" s="201">
        <v>4.0</v>
      </c>
      <c r="I492" s="201">
        <v>7.0</v>
      </c>
      <c r="J492" s="201">
        <v>2026.0</v>
      </c>
      <c r="K492" s="189" t="s">
        <v>36</v>
      </c>
      <c r="L492" s="189" t="s">
        <v>1774</v>
      </c>
      <c r="M492" s="189">
        <v>1.0</v>
      </c>
      <c r="N492" s="189">
        <v>1.0</v>
      </c>
      <c r="O492" s="189"/>
      <c r="P492" s="189">
        <v>2.0</v>
      </c>
      <c r="Q492" s="361">
        <v>46235.0</v>
      </c>
      <c r="R492" s="362">
        <v>1.0</v>
      </c>
      <c r="S492" s="362">
        <v>8.0</v>
      </c>
      <c r="T492" s="201">
        <v>2026.0</v>
      </c>
      <c r="U492" s="189" t="s">
        <v>36</v>
      </c>
      <c r="V492" s="189">
        <v>29.23</v>
      </c>
      <c r="W492" s="361">
        <v>46235.0</v>
      </c>
      <c r="X492" s="201">
        <v>1.0</v>
      </c>
      <c r="Y492" s="201">
        <v>8.0</v>
      </c>
      <c r="Z492" s="201">
        <v>2026.0</v>
      </c>
      <c r="AA492" s="189" t="s">
        <v>36</v>
      </c>
    </row>
    <row r="493" ht="15.75" hidden="1" customHeight="1">
      <c r="A493" s="189" t="s">
        <v>1924</v>
      </c>
      <c r="B493" s="189">
        <v>6.787603038E9</v>
      </c>
      <c r="C493" s="361">
        <v>46205.0</v>
      </c>
      <c r="D493" s="201">
        <v>2.0</v>
      </c>
      <c r="E493" s="201">
        <v>7.0</v>
      </c>
      <c r="F493" s="201">
        <v>2026.0</v>
      </c>
      <c r="G493" s="361">
        <v>46206.0</v>
      </c>
      <c r="H493" s="201">
        <v>3.0</v>
      </c>
      <c r="I493" s="201">
        <v>7.0</v>
      </c>
      <c r="J493" s="201">
        <v>2026.0</v>
      </c>
      <c r="K493" s="189" t="s">
        <v>36</v>
      </c>
      <c r="L493" s="189" t="s">
        <v>1774</v>
      </c>
      <c r="M493" s="189">
        <v>1.0</v>
      </c>
      <c r="N493" s="189">
        <v>1.0</v>
      </c>
      <c r="O493" s="189"/>
      <c r="P493" s="189">
        <v>2.0</v>
      </c>
      <c r="Q493" s="361">
        <v>46235.0</v>
      </c>
      <c r="R493" s="362">
        <v>1.0</v>
      </c>
      <c r="S493" s="362">
        <v>8.0</v>
      </c>
      <c r="T493" s="201">
        <v>2026.0</v>
      </c>
      <c r="U493" s="189" t="s">
        <v>36</v>
      </c>
      <c r="V493" s="189">
        <v>29.23</v>
      </c>
      <c r="W493" s="361">
        <v>46235.0</v>
      </c>
      <c r="X493" s="201">
        <v>1.0</v>
      </c>
      <c r="Y493" s="201">
        <v>8.0</v>
      </c>
      <c r="Z493" s="201">
        <v>2026.0</v>
      </c>
      <c r="AA493" s="189" t="s">
        <v>36</v>
      </c>
    </row>
    <row r="494" ht="15.75" hidden="1" customHeight="1">
      <c r="A494" s="189" t="s">
        <v>1925</v>
      </c>
      <c r="B494" s="189">
        <v>6.068845168E9</v>
      </c>
      <c r="C494" s="361">
        <v>46204.0</v>
      </c>
      <c r="D494" s="201">
        <v>1.0</v>
      </c>
      <c r="E494" s="201">
        <v>7.0</v>
      </c>
      <c r="F494" s="201">
        <v>2026.0</v>
      </c>
      <c r="G494" s="361">
        <v>46205.0</v>
      </c>
      <c r="H494" s="201">
        <v>2.0</v>
      </c>
      <c r="I494" s="201">
        <v>7.0</v>
      </c>
      <c r="J494" s="201">
        <v>2026.0</v>
      </c>
      <c r="K494" s="189" t="s">
        <v>36</v>
      </c>
      <c r="L494" s="189" t="s">
        <v>1774</v>
      </c>
      <c r="M494" s="189">
        <v>1.0</v>
      </c>
      <c r="N494" s="189">
        <v>1.0</v>
      </c>
      <c r="O494" s="189"/>
      <c r="P494" s="189">
        <v>2.0</v>
      </c>
      <c r="Q494" s="361">
        <v>46235.0</v>
      </c>
      <c r="R494" s="362">
        <v>1.0</v>
      </c>
      <c r="S494" s="362">
        <v>8.0</v>
      </c>
      <c r="T494" s="201">
        <v>2026.0</v>
      </c>
      <c r="U494" s="189" t="s">
        <v>36</v>
      </c>
      <c r="V494" s="189">
        <v>29.23</v>
      </c>
      <c r="W494" s="361">
        <v>46235.0</v>
      </c>
      <c r="X494" s="201">
        <v>1.0</v>
      </c>
      <c r="Y494" s="201">
        <v>8.0</v>
      </c>
      <c r="Z494" s="201">
        <v>2026.0</v>
      </c>
      <c r="AA494" s="189" t="s">
        <v>36</v>
      </c>
    </row>
    <row r="495" ht="15.75" hidden="1" customHeight="1">
      <c r="A495" s="189" t="s">
        <v>1926</v>
      </c>
      <c r="B495" s="189">
        <v>6.044060446E9</v>
      </c>
      <c r="C495" s="361">
        <v>46204.0</v>
      </c>
      <c r="D495" s="201">
        <v>1.0</v>
      </c>
      <c r="E495" s="201">
        <v>7.0</v>
      </c>
      <c r="F495" s="201">
        <v>2026.0</v>
      </c>
      <c r="G495" s="361">
        <v>46205.0</v>
      </c>
      <c r="H495" s="201">
        <v>2.0</v>
      </c>
      <c r="I495" s="201">
        <v>7.0</v>
      </c>
      <c r="J495" s="201">
        <v>2026.0</v>
      </c>
      <c r="K495" s="189" t="s">
        <v>36</v>
      </c>
      <c r="L495" s="189" t="s">
        <v>1774</v>
      </c>
      <c r="M495" s="189">
        <v>1.0</v>
      </c>
      <c r="N495" s="189">
        <v>1.0</v>
      </c>
      <c r="O495" s="189"/>
      <c r="P495" s="189">
        <v>2.0</v>
      </c>
      <c r="Q495" s="361">
        <v>46235.0</v>
      </c>
      <c r="R495" s="362">
        <v>1.0</v>
      </c>
      <c r="S495" s="362">
        <v>8.0</v>
      </c>
      <c r="T495" s="201">
        <v>2026.0</v>
      </c>
      <c r="U495" s="189" t="s">
        <v>36</v>
      </c>
      <c r="V495" s="189">
        <v>29.23</v>
      </c>
      <c r="W495" s="361">
        <v>46235.0</v>
      </c>
      <c r="X495" s="201">
        <v>1.0</v>
      </c>
      <c r="Y495" s="201">
        <v>8.0</v>
      </c>
      <c r="Z495" s="201">
        <v>2026.0</v>
      </c>
      <c r="AA495" s="189" t="s">
        <v>36</v>
      </c>
    </row>
    <row r="496" ht="15.75" hidden="1" customHeight="1">
      <c r="A496" s="189" t="s">
        <v>1927</v>
      </c>
      <c r="B496" s="189">
        <v>5.63124241E9</v>
      </c>
      <c r="C496" s="361">
        <v>46204.0</v>
      </c>
      <c r="D496" s="201">
        <v>1.0</v>
      </c>
      <c r="E496" s="201">
        <v>7.0</v>
      </c>
      <c r="F496" s="201">
        <v>2026.0</v>
      </c>
      <c r="G496" s="361">
        <v>46205.0</v>
      </c>
      <c r="H496" s="201">
        <v>2.0</v>
      </c>
      <c r="I496" s="201">
        <v>7.0</v>
      </c>
      <c r="J496" s="201">
        <v>2026.0</v>
      </c>
      <c r="K496" s="189" t="s">
        <v>36</v>
      </c>
      <c r="L496" s="189" t="s">
        <v>1774</v>
      </c>
      <c r="M496" s="189">
        <v>1.0</v>
      </c>
      <c r="N496" s="189">
        <v>1.0</v>
      </c>
      <c r="O496" s="189"/>
      <c r="P496" s="189">
        <v>2.0</v>
      </c>
      <c r="Q496" s="361">
        <v>46235.0</v>
      </c>
      <c r="R496" s="362">
        <v>1.0</v>
      </c>
      <c r="S496" s="362">
        <v>8.0</v>
      </c>
      <c r="T496" s="201">
        <v>2026.0</v>
      </c>
      <c r="U496" s="189" t="s">
        <v>36</v>
      </c>
      <c r="V496" s="189">
        <v>29.23</v>
      </c>
      <c r="W496" s="361">
        <v>46235.0</v>
      </c>
      <c r="X496" s="201">
        <v>1.0</v>
      </c>
      <c r="Y496" s="201">
        <v>8.0</v>
      </c>
      <c r="Z496" s="201">
        <v>2026.0</v>
      </c>
      <c r="AA496" s="189" t="s">
        <v>36</v>
      </c>
    </row>
    <row r="497" ht="15.75" hidden="1" customHeight="1">
      <c r="A497" s="340" t="s">
        <v>1928</v>
      </c>
      <c r="B497" s="191"/>
      <c r="C497" s="343">
        <v>46191.0</v>
      </c>
      <c r="D497" s="194">
        <v>18.0</v>
      </c>
      <c r="E497" s="194">
        <v>6.0</v>
      </c>
      <c r="F497" s="194">
        <v>2026.0</v>
      </c>
      <c r="G497" s="343">
        <v>46194.0</v>
      </c>
      <c r="H497" s="194">
        <v>21.0</v>
      </c>
      <c r="I497" s="194">
        <v>6.0</v>
      </c>
      <c r="J497" s="194">
        <v>2026.0</v>
      </c>
      <c r="K497" s="74" t="s">
        <v>58</v>
      </c>
      <c r="L497" s="74" t="s">
        <v>1929</v>
      </c>
      <c r="M497" s="74">
        <v>1.0</v>
      </c>
      <c r="N497" s="74">
        <v>3.0</v>
      </c>
      <c r="O497" s="74"/>
      <c r="P497" s="74">
        <v>6.0</v>
      </c>
      <c r="Q497" s="343">
        <v>46193.0</v>
      </c>
      <c r="R497" s="185">
        <v>20.0</v>
      </c>
      <c r="S497" s="185">
        <v>6.0</v>
      </c>
      <c r="T497" s="194">
        <v>2026.0</v>
      </c>
      <c r="U497" s="74" t="s">
        <v>245</v>
      </c>
      <c r="V497" s="74">
        <v>97.5</v>
      </c>
      <c r="W497" s="343">
        <v>46193.0</v>
      </c>
      <c r="X497" s="194">
        <v>20.0</v>
      </c>
      <c r="Y497" s="194">
        <v>6.0</v>
      </c>
      <c r="Z497" s="194">
        <v>2026.0</v>
      </c>
      <c r="AA497" s="74" t="s">
        <v>245</v>
      </c>
    </row>
    <row r="498" ht="15.75" hidden="1" customHeight="1">
      <c r="A498" s="340" t="s">
        <v>1930</v>
      </c>
      <c r="B498" s="191"/>
      <c r="C498" s="343">
        <v>46201.0</v>
      </c>
      <c r="D498" s="194">
        <v>28.0</v>
      </c>
      <c r="E498" s="194">
        <v>6.0</v>
      </c>
      <c r="F498" s="194">
        <v>2026.0</v>
      </c>
      <c r="G498" s="343">
        <v>46205.0</v>
      </c>
      <c r="H498" s="194">
        <v>2.0</v>
      </c>
      <c r="I498" s="194">
        <v>7.0</v>
      </c>
      <c r="J498" s="194">
        <v>2026.0</v>
      </c>
      <c r="K498" s="74" t="s">
        <v>58</v>
      </c>
      <c r="L498" s="74" t="s">
        <v>1929</v>
      </c>
      <c r="M498" s="74">
        <v>1.0</v>
      </c>
      <c r="N498" s="74">
        <v>4.0</v>
      </c>
      <c r="O498" s="74"/>
      <c r="P498" s="74">
        <v>8.0</v>
      </c>
      <c r="Q498" s="343">
        <v>46201.0</v>
      </c>
      <c r="R498" s="185">
        <v>28.0</v>
      </c>
      <c r="S498" s="185">
        <v>6.0</v>
      </c>
      <c r="T498" s="194">
        <v>2026.0</v>
      </c>
      <c r="U498" s="74" t="s">
        <v>262</v>
      </c>
      <c r="V498" s="74">
        <v>117.0</v>
      </c>
      <c r="W498" s="343">
        <v>46201.0</v>
      </c>
      <c r="X498" s="194">
        <v>28.0</v>
      </c>
      <c r="Y498" s="194">
        <v>6.0</v>
      </c>
      <c r="Z498" s="194">
        <v>2026.0</v>
      </c>
      <c r="AA498" s="74" t="s">
        <v>262</v>
      </c>
    </row>
    <row r="499" ht="15.75" hidden="1" customHeight="1">
      <c r="A499" s="189" t="s">
        <v>1931</v>
      </c>
      <c r="B499" s="417"/>
      <c r="C499" s="361">
        <v>46219.0</v>
      </c>
      <c r="D499" s="201">
        <v>16.0</v>
      </c>
      <c r="E499" s="201">
        <v>7.0</v>
      </c>
      <c r="F499" s="201">
        <v>2026.0</v>
      </c>
      <c r="G499" s="361">
        <v>46220.0</v>
      </c>
      <c r="H499" s="201">
        <v>17.0</v>
      </c>
      <c r="I499" s="201">
        <v>7.0</v>
      </c>
      <c r="J499" s="201">
        <v>2026.0</v>
      </c>
      <c r="K499" s="189" t="s">
        <v>58</v>
      </c>
      <c r="L499" s="189" t="s">
        <v>1929</v>
      </c>
      <c r="M499" s="201">
        <v>3.0</v>
      </c>
      <c r="N499" s="201">
        <v>1.0</v>
      </c>
      <c r="O499" s="201"/>
      <c r="P499" s="201">
        <v>6.0</v>
      </c>
      <c r="Q499" s="361">
        <v>46217.0</v>
      </c>
      <c r="R499" s="362">
        <v>14.0</v>
      </c>
      <c r="S499" s="362">
        <v>7.0</v>
      </c>
      <c r="T499" s="201">
        <v>2026.0</v>
      </c>
      <c r="U499" s="189" t="s">
        <v>12</v>
      </c>
      <c r="V499" s="202">
        <f>138-6</f>
        <v>132</v>
      </c>
      <c r="W499" s="361">
        <v>46217.0</v>
      </c>
      <c r="X499" s="201">
        <v>14.0</v>
      </c>
      <c r="Y499" s="201">
        <v>7.0</v>
      </c>
      <c r="Z499" s="201">
        <v>2026.0</v>
      </c>
      <c r="AA499" s="189" t="s">
        <v>12</v>
      </c>
    </row>
    <row r="500" ht="15.75" hidden="1" customHeight="1">
      <c r="A500" s="189" t="s">
        <v>1932</v>
      </c>
      <c r="B500" s="417"/>
      <c r="C500" s="361">
        <v>46218.0</v>
      </c>
      <c r="D500" s="201">
        <v>15.0</v>
      </c>
      <c r="E500" s="201">
        <v>7.0</v>
      </c>
      <c r="F500" s="201">
        <v>2026.0</v>
      </c>
      <c r="G500" s="361">
        <v>46220.0</v>
      </c>
      <c r="H500" s="201">
        <v>17.0</v>
      </c>
      <c r="I500" s="201">
        <v>7.0</v>
      </c>
      <c r="J500" s="201">
        <v>2026.0</v>
      </c>
      <c r="K500" s="189" t="s">
        <v>58</v>
      </c>
      <c r="L500" s="189" t="s">
        <v>1929</v>
      </c>
      <c r="M500" s="201">
        <v>1.0</v>
      </c>
      <c r="N500" s="201">
        <v>2.0</v>
      </c>
      <c r="O500" s="201"/>
      <c r="P500" s="201">
        <v>4.0</v>
      </c>
      <c r="Q500" s="361">
        <v>46217.0</v>
      </c>
      <c r="R500" s="362">
        <v>14.0</v>
      </c>
      <c r="S500" s="362">
        <v>7.0</v>
      </c>
      <c r="T500" s="201">
        <v>2026.0</v>
      </c>
      <c r="U500" s="189" t="s">
        <v>12</v>
      </c>
      <c r="V500" s="202">
        <f>92-P500</f>
        <v>88</v>
      </c>
      <c r="W500" s="361">
        <v>46217.0</v>
      </c>
      <c r="X500" s="201">
        <v>14.0</v>
      </c>
      <c r="Y500" s="201">
        <v>7.0</v>
      </c>
      <c r="Z500" s="201">
        <v>2026.0</v>
      </c>
      <c r="AA500" s="189" t="s">
        <v>12</v>
      </c>
    </row>
    <row r="501" ht="15.75" hidden="1" customHeight="1">
      <c r="A501" s="340" t="s">
        <v>1933</v>
      </c>
      <c r="B501" s="340" t="s">
        <v>1934</v>
      </c>
      <c r="C501" s="341">
        <v>46170.0</v>
      </c>
      <c r="D501" s="194">
        <v>28.0</v>
      </c>
      <c r="E501" s="194">
        <v>5.0</v>
      </c>
      <c r="F501" s="194">
        <v>2026.0</v>
      </c>
      <c r="G501" s="341">
        <v>46171.0</v>
      </c>
      <c r="H501" s="194">
        <v>29.0</v>
      </c>
      <c r="I501" s="194">
        <v>5.0</v>
      </c>
      <c r="J501" s="194">
        <v>2026.0</v>
      </c>
      <c r="K501" s="74" t="s">
        <v>46</v>
      </c>
      <c r="L501" s="74" t="s">
        <v>1177</v>
      </c>
      <c r="M501" s="194">
        <v>1.0</v>
      </c>
      <c r="N501" s="194">
        <v>1.0</v>
      </c>
      <c r="O501" s="194"/>
      <c r="P501" s="194">
        <v>2.0</v>
      </c>
      <c r="Q501" s="341">
        <v>46170.0</v>
      </c>
      <c r="R501" s="185">
        <v>28.0</v>
      </c>
      <c r="S501" s="185">
        <v>5.0</v>
      </c>
      <c r="T501" s="194">
        <v>2026.0</v>
      </c>
      <c r="U501" s="74" t="s">
        <v>245</v>
      </c>
      <c r="V501" s="194">
        <v>38.25</v>
      </c>
      <c r="W501" s="341">
        <v>46170.0</v>
      </c>
      <c r="X501" s="194">
        <v>28.0</v>
      </c>
      <c r="Y501" s="194">
        <v>5.0</v>
      </c>
      <c r="Z501" s="194">
        <v>2026.0</v>
      </c>
      <c r="AA501" s="74" t="s">
        <v>245</v>
      </c>
    </row>
    <row r="502" ht="15.75" hidden="1" customHeight="1">
      <c r="A502" s="340" t="s">
        <v>1935</v>
      </c>
      <c r="B502" s="191" t="s">
        <v>1936</v>
      </c>
      <c r="C502" s="341">
        <v>46156.0</v>
      </c>
      <c r="D502" s="194">
        <v>14.0</v>
      </c>
      <c r="E502" s="194">
        <v>5.0</v>
      </c>
      <c r="F502" s="194">
        <v>2026.0</v>
      </c>
      <c r="G502" s="341">
        <v>46159.0</v>
      </c>
      <c r="H502" s="194">
        <v>17.0</v>
      </c>
      <c r="I502" s="194">
        <v>5.0</v>
      </c>
      <c r="J502" s="194">
        <v>2026.0</v>
      </c>
      <c r="K502" s="74" t="s">
        <v>46</v>
      </c>
      <c r="L502" s="74" t="s">
        <v>1177</v>
      </c>
      <c r="M502" s="194">
        <v>1.0</v>
      </c>
      <c r="N502" s="194">
        <v>3.0</v>
      </c>
      <c r="O502" s="194"/>
      <c r="P502" s="194">
        <v>6.0</v>
      </c>
      <c r="Q502" s="341">
        <v>46156.0</v>
      </c>
      <c r="R502" s="185">
        <v>14.0</v>
      </c>
      <c r="S502" s="185">
        <v>5.0</v>
      </c>
      <c r="T502" s="194">
        <v>2026.0</v>
      </c>
      <c r="U502" s="74" t="s">
        <v>262</v>
      </c>
      <c r="V502" s="194">
        <v>106.25</v>
      </c>
      <c r="W502" s="341">
        <v>46156.0</v>
      </c>
      <c r="X502" s="194">
        <v>14.0</v>
      </c>
      <c r="Y502" s="194">
        <v>5.0</v>
      </c>
      <c r="Z502" s="194">
        <v>2026.0</v>
      </c>
      <c r="AA502" s="74" t="s">
        <v>262</v>
      </c>
    </row>
    <row r="503" ht="15.75" hidden="1" customHeight="1">
      <c r="A503" s="340" t="s">
        <v>1937</v>
      </c>
      <c r="B503" s="191" t="s">
        <v>1938</v>
      </c>
      <c r="C503" s="341">
        <v>46146.0</v>
      </c>
      <c r="D503" s="194">
        <v>4.0</v>
      </c>
      <c r="E503" s="194">
        <v>5.0</v>
      </c>
      <c r="F503" s="194">
        <v>2026.0</v>
      </c>
      <c r="G503" s="341">
        <v>46150.0</v>
      </c>
      <c r="H503" s="194">
        <v>8.0</v>
      </c>
      <c r="I503" s="194">
        <v>5.0</v>
      </c>
      <c r="J503" s="194">
        <v>2026.0</v>
      </c>
      <c r="K503" s="74" t="s">
        <v>46</v>
      </c>
      <c r="L503" s="74" t="s">
        <v>1177</v>
      </c>
      <c r="M503" s="194">
        <v>1.0</v>
      </c>
      <c r="N503" s="194">
        <v>4.0</v>
      </c>
      <c r="O503" s="74"/>
      <c r="P503" s="74"/>
      <c r="Q503" s="341">
        <v>46146.0</v>
      </c>
      <c r="R503" s="185">
        <v>4.0</v>
      </c>
      <c r="S503" s="185">
        <v>5.0</v>
      </c>
      <c r="T503" s="194">
        <v>2026.0</v>
      </c>
      <c r="U503" s="74" t="s">
        <v>262</v>
      </c>
      <c r="V503" s="194">
        <v>161.0</v>
      </c>
      <c r="W503" s="341">
        <v>46146.0</v>
      </c>
      <c r="X503" s="194">
        <v>4.0</v>
      </c>
      <c r="Y503" s="194">
        <v>5.0</v>
      </c>
      <c r="Z503" s="194">
        <v>2026.0</v>
      </c>
      <c r="AA503" s="74" t="s">
        <v>262</v>
      </c>
    </row>
    <row r="504" ht="15.75" hidden="1" customHeight="1">
      <c r="A504" s="340" t="s">
        <v>1939</v>
      </c>
      <c r="B504" s="340" t="s">
        <v>1940</v>
      </c>
      <c r="C504" s="341">
        <v>46160.0</v>
      </c>
      <c r="D504" s="194">
        <v>18.0</v>
      </c>
      <c r="E504" s="194">
        <v>5.0</v>
      </c>
      <c r="F504" s="194">
        <v>2026.0</v>
      </c>
      <c r="G504" s="341">
        <v>46161.0</v>
      </c>
      <c r="H504" s="194">
        <v>19.0</v>
      </c>
      <c r="I504" s="194">
        <v>5.0</v>
      </c>
      <c r="J504" s="194">
        <v>2026.0</v>
      </c>
      <c r="K504" s="74" t="s">
        <v>46</v>
      </c>
      <c r="L504" s="74" t="s">
        <v>1177</v>
      </c>
      <c r="M504" s="194">
        <v>1.0</v>
      </c>
      <c r="N504" s="194">
        <v>1.0</v>
      </c>
      <c r="O504" s="194"/>
      <c r="P504" s="194">
        <v>2.0</v>
      </c>
      <c r="Q504" s="341">
        <v>46160.0</v>
      </c>
      <c r="R504" s="185">
        <v>18.0</v>
      </c>
      <c r="S504" s="185">
        <v>5.0</v>
      </c>
      <c r="T504" s="194">
        <v>2026.0</v>
      </c>
      <c r="U504" s="74" t="s">
        <v>245</v>
      </c>
      <c r="V504" s="194">
        <v>34.0</v>
      </c>
      <c r="W504" s="341">
        <v>46160.0</v>
      </c>
      <c r="X504" s="194">
        <v>18.0</v>
      </c>
      <c r="Y504" s="194">
        <v>5.0</v>
      </c>
      <c r="Z504" s="194">
        <v>2026.0</v>
      </c>
      <c r="AA504" s="74" t="s">
        <v>245</v>
      </c>
    </row>
    <row r="505" ht="15.75" hidden="1" customHeight="1">
      <c r="A505" s="74" t="s">
        <v>1941</v>
      </c>
      <c r="B505" s="340" t="s">
        <v>1942</v>
      </c>
      <c r="C505" s="341">
        <v>46155.0</v>
      </c>
      <c r="D505" s="194">
        <v>13.0</v>
      </c>
      <c r="E505" s="194">
        <v>5.0</v>
      </c>
      <c r="F505" s="194">
        <v>2026.0</v>
      </c>
      <c r="G505" s="341">
        <v>46157.0</v>
      </c>
      <c r="H505" s="194">
        <v>15.0</v>
      </c>
      <c r="I505" s="194">
        <v>5.0</v>
      </c>
      <c r="J505" s="194">
        <v>2026.0</v>
      </c>
      <c r="K505" s="74" t="s">
        <v>46</v>
      </c>
      <c r="L505" s="74" t="s">
        <v>1177</v>
      </c>
      <c r="M505" s="194">
        <v>1.0</v>
      </c>
      <c r="N505" s="194">
        <v>2.0</v>
      </c>
      <c r="O505" s="194"/>
      <c r="P505" s="194">
        <v>4.0</v>
      </c>
      <c r="Q505" s="341">
        <v>46155.0</v>
      </c>
      <c r="R505" s="185">
        <v>13.0</v>
      </c>
      <c r="S505" s="185">
        <v>5.0</v>
      </c>
      <c r="T505" s="194">
        <v>2026.0</v>
      </c>
      <c r="U505" s="74" t="s">
        <v>245</v>
      </c>
      <c r="V505" s="194">
        <v>76.5</v>
      </c>
      <c r="W505" s="341">
        <v>46155.0</v>
      </c>
      <c r="X505" s="194">
        <v>13.0</v>
      </c>
      <c r="Y505" s="194">
        <v>5.0</v>
      </c>
      <c r="Z505" s="194">
        <v>2026.0</v>
      </c>
      <c r="AA505" s="74" t="s">
        <v>245</v>
      </c>
    </row>
    <row r="506" ht="15.75" hidden="1" customHeight="1">
      <c r="A506" s="340" t="s">
        <v>1943</v>
      </c>
      <c r="B506" s="191" t="s">
        <v>1944</v>
      </c>
      <c r="C506" s="341">
        <v>46159.0</v>
      </c>
      <c r="D506" s="194">
        <v>17.0</v>
      </c>
      <c r="E506" s="194">
        <v>5.0</v>
      </c>
      <c r="F506" s="194">
        <v>2026.0</v>
      </c>
      <c r="G506" s="341">
        <v>46163.0</v>
      </c>
      <c r="H506" s="194">
        <v>21.0</v>
      </c>
      <c r="I506" s="194">
        <v>5.0</v>
      </c>
      <c r="J506" s="194">
        <v>2026.0</v>
      </c>
      <c r="K506" s="74" t="s">
        <v>46</v>
      </c>
      <c r="L506" s="74" t="s">
        <v>1177</v>
      </c>
      <c r="M506" s="194">
        <v>2.0</v>
      </c>
      <c r="N506" s="194">
        <v>4.0</v>
      </c>
      <c r="O506" s="194"/>
      <c r="P506" s="194">
        <v>8.0</v>
      </c>
      <c r="Q506" s="341">
        <v>46159.0</v>
      </c>
      <c r="R506" s="185">
        <v>17.0</v>
      </c>
      <c r="S506" s="185">
        <v>5.0</v>
      </c>
      <c r="T506" s="194">
        <v>2026.0</v>
      </c>
      <c r="U506" s="74" t="s">
        <v>245</v>
      </c>
      <c r="V506" s="194">
        <v>153.0</v>
      </c>
      <c r="W506" s="341">
        <v>46159.0</v>
      </c>
      <c r="X506" s="194">
        <v>17.0</v>
      </c>
      <c r="Y506" s="194">
        <v>5.0</v>
      </c>
      <c r="Z506" s="194">
        <v>2026.0</v>
      </c>
      <c r="AA506" s="74" t="s">
        <v>245</v>
      </c>
    </row>
    <row r="507" ht="15.75" hidden="1" customHeight="1">
      <c r="A507" s="340" t="s">
        <v>1945</v>
      </c>
      <c r="B507" s="340" t="s">
        <v>1946</v>
      </c>
      <c r="C507" s="341">
        <v>46144.0</v>
      </c>
      <c r="D507" s="194">
        <v>2.0</v>
      </c>
      <c r="E507" s="194">
        <v>5.0</v>
      </c>
      <c r="F507" s="194">
        <v>2026.0</v>
      </c>
      <c r="G507" s="341">
        <v>46145.0</v>
      </c>
      <c r="H507" s="194">
        <v>3.0</v>
      </c>
      <c r="I507" s="194">
        <v>5.0</v>
      </c>
      <c r="J507" s="194">
        <v>2026.0</v>
      </c>
      <c r="K507" s="74" t="s">
        <v>46</v>
      </c>
      <c r="L507" s="74" t="s">
        <v>1177</v>
      </c>
      <c r="M507" s="194">
        <v>1.0</v>
      </c>
      <c r="N507" s="194">
        <v>1.0</v>
      </c>
      <c r="O507" s="74"/>
      <c r="P507" s="74"/>
      <c r="Q507" s="341">
        <v>46144.0</v>
      </c>
      <c r="R507" s="185">
        <v>2.0</v>
      </c>
      <c r="S507" s="185">
        <v>5.0</v>
      </c>
      <c r="T507" s="194">
        <v>2026.0</v>
      </c>
      <c r="U507" s="74" t="s">
        <v>245</v>
      </c>
      <c r="V507" s="194">
        <v>40.25</v>
      </c>
      <c r="W507" s="341">
        <v>46144.0</v>
      </c>
      <c r="X507" s="194">
        <v>2.0</v>
      </c>
      <c r="Y507" s="194">
        <v>5.0</v>
      </c>
      <c r="Z507" s="194">
        <v>2026.0</v>
      </c>
      <c r="AA507" s="74" t="s">
        <v>245</v>
      </c>
    </row>
    <row r="508" ht="15.75" hidden="1" customHeight="1">
      <c r="A508" s="340" t="s">
        <v>1947</v>
      </c>
      <c r="B508" s="340" t="s">
        <v>1948</v>
      </c>
      <c r="C508" s="341">
        <v>46158.0</v>
      </c>
      <c r="D508" s="194">
        <v>16.0</v>
      </c>
      <c r="E508" s="194">
        <v>5.0</v>
      </c>
      <c r="F508" s="194">
        <v>2026.0</v>
      </c>
      <c r="G508" s="341">
        <v>46160.0</v>
      </c>
      <c r="H508" s="194">
        <v>18.0</v>
      </c>
      <c r="I508" s="194">
        <v>5.0</v>
      </c>
      <c r="J508" s="194">
        <v>2026.0</v>
      </c>
      <c r="K508" s="74" t="s">
        <v>46</v>
      </c>
      <c r="L508" s="74" t="s">
        <v>1177</v>
      </c>
      <c r="M508" s="194">
        <v>1.0</v>
      </c>
      <c r="N508" s="194">
        <v>2.0</v>
      </c>
      <c r="O508" s="194"/>
      <c r="P508" s="194">
        <v>4.0</v>
      </c>
      <c r="Q508" s="341">
        <v>46158.0</v>
      </c>
      <c r="R508" s="185">
        <v>16.0</v>
      </c>
      <c r="S508" s="185">
        <v>5.0</v>
      </c>
      <c r="T508" s="194">
        <v>2026.0</v>
      </c>
      <c r="U508" s="74" t="s">
        <v>245</v>
      </c>
      <c r="V508" s="194">
        <v>68.0</v>
      </c>
      <c r="W508" s="341">
        <v>46158.0</v>
      </c>
      <c r="X508" s="194">
        <v>16.0</v>
      </c>
      <c r="Y508" s="194">
        <v>5.0</v>
      </c>
      <c r="Z508" s="194">
        <v>2026.0</v>
      </c>
      <c r="AA508" s="74" t="s">
        <v>245</v>
      </c>
    </row>
    <row r="509" ht="15.75" hidden="1" customHeight="1">
      <c r="A509" s="340" t="s">
        <v>1949</v>
      </c>
      <c r="B509" s="191" t="s">
        <v>1950</v>
      </c>
      <c r="C509" s="341">
        <v>46148.0</v>
      </c>
      <c r="D509" s="194">
        <v>6.0</v>
      </c>
      <c r="E509" s="194">
        <v>5.0</v>
      </c>
      <c r="F509" s="194">
        <v>2026.0</v>
      </c>
      <c r="G509" s="341">
        <v>46150.0</v>
      </c>
      <c r="H509" s="194">
        <v>8.0</v>
      </c>
      <c r="I509" s="194">
        <v>5.0</v>
      </c>
      <c r="J509" s="194">
        <v>2026.0</v>
      </c>
      <c r="K509" s="74" t="s">
        <v>46</v>
      </c>
      <c r="L509" s="74" t="s">
        <v>1177</v>
      </c>
      <c r="M509" s="194">
        <v>1.0</v>
      </c>
      <c r="N509" s="194">
        <v>2.0</v>
      </c>
      <c r="O509" s="74"/>
      <c r="P509" s="74"/>
      <c r="Q509" s="341">
        <v>46148.0</v>
      </c>
      <c r="R509" s="185">
        <v>6.0</v>
      </c>
      <c r="S509" s="185">
        <v>5.0</v>
      </c>
      <c r="T509" s="194">
        <v>2026.0</v>
      </c>
      <c r="U509" s="74" t="s">
        <v>245</v>
      </c>
      <c r="V509" s="194">
        <v>161.0</v>
      </c>
      <c r="W509" s="341">
        <v>46148.0</v>
      </c>
      <c r="X509" s="194">
        <v>6.0</v>
      </c>
      <c r="Y509" s="194">
        <v>5.0</v>
      </c>
      <c r="Z509" s="194">
        <v>2026.0</v>
      </c>
      <c r="AA509" s="74" t="s">
        <v>245</v>
      </c>
    </row>
    <row r="510" ht="15.75" hidden="1" customHeight="1">
      <c r="A510" s="340" t="s">
        <v>1951</v>
      </c>
      <c r="B510" s="340" t="s">
        <v>1952</v>
      </c>
      <c r="C510" s="341">
        <v>46158.0</v>
      </c>
      <c r="D510" s="194">
        <v>16.0</v>
      </c>
      <c r="E510" s="194">
        <v>5.0</v>
      </c>
      <c r="F510" s="194">
        <v>2026.0</v>
      </c>
      <c r="G510" s="341">
        <v>46159.0</v>
      </c>
      <c r="H510" s="194">
        <v>17.0</v>
      </c>
      <c r="I510" s="194">
        <v>5.0</v>
      </c>
      <c r="J510" s="194">
        <v>2026.0</v>
      </c>
      <c r="K510" s="74" t="s">
        <v>46</v>
      </c>
      <c r="L510" s="74" t="s">
        <v>1177</v>
      </c>
      <c r="M510" s="194">
        <v>1.0</v>
      </c>
      <c r="N510" s="194">
        <v>1.0</v>
      </c>
      <c r="O510" s="194"/>
      <c r="P510" s="194">
        <v>2.0</v>
      </c>
      <c r="Q510" s="341">
        <v>46158.0</v>
      </c>
      <c r="R510" s="185">
        <v>16.0</v>
      </c>
      <c r="S510" s="185">
        <v>5.0</v>
      </c>
      <c r="T510" s="194">
        <v>2026.0</v>
      </c>
      <c r="U510" s="74" t="s">
        <v>245</v>
      </c>
      <c r="V510" s="194">
        <v>38.25</v>
      </c>
      <c r="W510" s="341">
        <v>46158.0</v>
      </c>
      <c r="X510" s="194">
        <v>16.0</v>
      </c>
      <c r="Y510" s="194">
        <v>5.0</v>
      </c>
      <c r="Z510" s="194">
        <v>2026.0</v>
      </c>
      <c r="AA510" s="74" t="s">
        <v>245</v>
      </c>
    </row>
    <row r="511" ht="15.75" hidden="1" customHeight="1">
      <c r="A511" s="340" t="s">
        <v>1953</v>
      </c>
      <c r="B511" s="340" t="s">
        <v>1954</v>
      </c>
      <c r="C511" s="341">
        <v>46162.0</v>
      </c>
      <c r="D511" s="194">
        <v>20.0</v>
      </c>
      <c r="E511" s="194">
        <v>5.0</v>
      </c>
      <c r="F511" s="194">
        <v>2026.0</v>
      </c>
      <c r="G511" s="341">
        <v>46163.0</v>
      </c>
      <c r="H511" s="194">
        <v>21.0</v>
      </c>
      <c r="I511" s="194">
        <v>5.0</v>
      </c>
      <c r="J511" s="194">
        <v>2026.0</v>
      </c>
      <c r="K511" s="74" t="s">
        <v>46</v>
      </c>
      <c r="L511" s="74" t="s">
        <v>1177</v>
      </c>
      <c r="M511" s="194">
        <v>1.0</v>
      </c>
      <c r="N511" s="194">
        <v>1.0</v>
      </c>
      <c r="O511" s="194"/>
      <c r="P511" s="194">
        <v>2.0</v>
      </c>
      <c r="Q511" s="341">
        <v>46163.0</v>
      </c>
      <c r="R511" s="185">
        <v>21.0</v>
      </c>
      <c r="S511" s="185">
        <v>5.0</v>
      </c>
      <c r="T511" s="194">
        <v>2026.0</v>
      </c>
      <c r="U511" s="74" t="s">
        <v>245</v>
      </c>
      <c r="V511" s="194">
        <v>38.25</v>
      </c>
      <c r="W511" s="341">
        <v>46163.0</v>
      </c>
      <c r="X511" s="194">
        <v>21.0</v>
      </c>
      <c r="Y511" s="194">
        <v>5.0</v>
      </c>
      <c r="Z511" s="194">
        <v>2026.0</v>
      </c>
      <c r="AA511" s="74" t="s">
        <v>245</v>
      </c>
    </row>
    <row r="512" ht="15.75" hidden="1" customHeight="1">
      <c r="A512" s="340" t="s">
        <v>1955</v>
      </c>
      <c r="B512" s="191" t="s">
        <v>1956</v>
      </c>
      <c r="C512" s="341">
        <v>46157.0</v>
      </c>
      <c r="D512" s="194">
        <v>15.0</v>
      </c>
      <c r="E512" s="194">
        <v>5.0</v>
      </c>
      <c r="F512" s="194">
        <v>2026.0</v>
      </c>
      <c r="G512" s="341">
        <v>46162.0</v>
      </c>
      <c r="H512" s="194">
        <v>20.0</v>
      </c>
      <c r="I512" s="194">
        <v>5.0</v>
      </c>
      <c r="J512" s="194">
        <v>2026.0</v>
      </c>
      <c r="K512" s="74" t="s">
        <v>46</v>
      </c>
      <c r="L512" s="74" t="s">
        <v>1177</v>
      </c>
      <c r="M512" s="194">
        <v>2.0</v>
      </c>
      <c r="N512" s="194">
        <v>5.0</v>
      </c>
      <c r="O512" s="194"/>
      <c r="P512" s="194">
        <v>20.0</v>
      </c>
      <c r="Q512" s="341">
        <v>46161.0</v>
      </c>
      <c r="R512" s="185">
        <v>19.0</v>
      </c>
      <c r="S512" s="185">
        <v>5.0</v>
      </c>
      <c r="T512" s="194">
        <v>2026.0</v>
      </c>
      <c r="U512" s="74" t="s">
        <v>12</v>
      </c>
      <c r="V512" s="194">
        <v>382.5</v>
      </c>
      <c r="W512" s="341">
        <v>46161.0</v>
      </c>
      <c r="X512" s="194">
        <v>19.0</v>
      </c>
      <c r="Y512" s="194">
        <v>5.0</v>
      </c>
      <c r="Z512" s="194">
        <v>2026.0</v>
      </c>
      <c r="AA512" s="74" t="s">
        <v>12</v>
      </c>
    </row>
    <row r="513" ht="15.75" hidden="1" customHeight="1">
      <c r="A513" s="340" t="s">
        <v>1957</v>
      </c>
      <c r="B513" s="191" t="s">
        <v>1958</v>
      </c>
      <c r="C513" s="341">
        <v>46165.0</v>
      </c>
      <c r="D513" s="194">
        <v>23.0</v>
      </c>
      <c r="E513" s="194">
        <v>5.0</v>
      </c>
      <c r="F513" s="194">
        <v>2026.0</v>
      </c>
      <c r="G513" s="341">
        <v>46168.0</v>
      </c>
      <c r="H513" s="194">
        <v>26.0</v>
      </c>
      <c r="I513" s="194">
        <v>5.0</v>
      </c>
      <c r="J513" s="194">
        <v>2026.0</v>
      </c>
      <c r="K513" s="74" t="s">
        <v>46</v>
      </c>
      <c r="L513" s="74" t="s">
        <v>1177</v>
      </c>
      <c r="M513" s="194">
        <v>1.0</v>
      </c>
      <c r="N513" s="194">
        <v>3.0</v>
      </c>
      <c r="O513" s="194"/>
      <c r="P513" s="194">
        <v>6.0</v>
      </c>
      <c r="Q513" s="341">
        <v>46166.0</v>
      </c>
      <c r="R513" s="185">
        <v>24.0</v>
      </c>
      <c r="S513" s="185">
        <v>5.0</v>
      </c>
      <c r="T513" s="194">
        <v>2026.0</v>
      </c>
      <c r="U513" s="74" t="s">
        <v>262</v>
      </c>
      <c r="V513" s="194">
        <v>89.25</v>
      </c>
      <c r="W513" s="341">
        <v>46166.0</v>
      </c>
      <c r="X513" s="194">
        <v>24.0</v>
      </c>
      <c r="Y513" s="194">
        <v>5.0</v>
      </c>
      <c r="Z513" s="194">
        <v>2026.0</v>
      </c>
      <c r="AA513" s="74" t="s">
        <v>262</v>
      </c>
    </row>
    <row r="514" ht="15.75" hidden="1" customHeight="1">
      <c r="A514" s="340" t="s">
        <v>1959</v>
      </c>
      <c r="B514" s="340" t="s">
        <v>1960</v>
      </c>
      <c r="C514" s="341">
        <v>46166.0</v>
      </c>
      <c r="D514" s="194">
        <v>24.0</v>
      </c>
      <c r="E514" s="194">
        <v>5.0</v>
      </c>
      <c r="F514" s="194">
        <v>2026.0</v>
      </c>
      <c r="G514" s="341">
        <v>46167.0</v>
      </c>
      <c r="H514" s="194">
        <v>25.0</v>
      </c>
      <c r="I514" s="194">
        <v>5.0</v>
      </c>
      <c r="J514" s="194">
        <v>2026.0</v>
      </c>
      <c r="K514" s="74" t="s">
        <v>46</v>
      </c>
      <c r="L514" s="74" t="s">
        <v>1177</v>
      </c>
      <c r="M514" s="194">
        <v>1.0</v>
      </c>
      <c r="N514" s="194">
        <v>1.0</v>
      </c>
      <c r="O514" s="194"/>
      <c r="P514" s="194">
        <v>2.0</v>
      </c>
      <c r="Q514" s="341">
        <v>46166.0</v>
      </c>
      <c r="R514" s="185">
        <v>24.0</v>
      </c>
      <c r="S514" s="185">
        <v>5.0</v>
      </c>
      <c r="T514" s="194">
        <v>2026.0</v>
      </c>
      <c r="U514" s="74" t="s">
        <v>245</v>
      </c>
      <c r="V514" s="194">
        <v>29.75</v>
      </c>
      <c r="W514" s="341">
        <v>46166.0</v>
      </c>
      <c r="X514" s="194">
        <v>24.0</v>
      </c>
      <c r="Y514" s="194">
        <v>5.0</v>
      </c>
      <c r="Z514" s="194">
        <v>2026.0</v>
      </c>
      <c r="AA514" s="74" t="s">
        <v>245</v>
      </c>
    </row>
    <row r="515" ht="15.75" hidden="1" customHeight="1">
      <c r="A515" s="340" t="s">
        <v>1961</v>
      </c>
      <c r="B515" s="340" t="s">
        <v>1962</v>
      </c>
      <c r="C515" s="341">
        <v>46152.0</v>
      </c>
      <c r="D515" s="194">
        <v>10.0</v>
      </c>
      <c r="E515" s="194">
        <v>5.0</v>
      </c>
      <c r="F515" s="194">
        <v>2026.0</v>
      </c>
      <c r="G515" s="341">
        <v>46153.0</v>
      </c>
      <c r="H515" s="194">
        <v>11.0</v>
      </c>
      <c r="I515" s="194">
        <v>5.0</v>
      </c>
      <c r="J515" s="194">
        <v>2026.0</v>
      </c>
      <c r="K515" s="74" t="s">
        <v>46</v>
      </c>
      <c r="L515" s="74" t="s">
        <v>1177</v>
      </c>
      <c r="M515" s="194">
        <v>1.0</v>
      </c>
      <c r="N515" s="194">
        <v>1.0</v>
      </c>
      <c r="O515" s="74"/>
      <c r="P515" s="74"/>
      <c r="Q515" s="341">
        <v>46152.0</v>
      </c>
      <c r="R515" s="185">
        <v>10.0</v>
      </c>
      <c r="S515" s="185">
        <v>5.0</v>
      </c>
      <c r="T515" s="194">
        <v>2026.0</v>
      </c>
      <c r="U515" s="74" t="s">
        <v>262</v>
      </c>
      <c r="V515" s="194">
        <v>40.25</v>
      </c>
      <c r="W515" s="341">
        <v>46152.0</v>
      </c>
      <c r="X515" s="194">
        <v>10.0</v>
      </c>
      <c r="Y515" s="194">
        <v>5.0</v>
      </c>
      <c r="Z515" s="194">
        <v>2026.0</v>
      </c>
      <c r="AA515" s="74" t="s">
        <v>262</v>
      </c>
    </row>
    <row r="516" ht="15.75" hidden="1" customHeight="1">
      <c r="A516" s="340" t="s">
        <v>1963</v>
      </c>
      <c r="B516" s="340" t="s">
        <v>1964</v>
      </c>
      <c r="C516" s="341">
        <v>46164.0</v>
      </c>
      <c r="D516" s="194">
        <v>22.0</v>
      </c>
      <c r="E516" s="194">
        <v>5.0</v>
      </c>
      <c r="F516" s="194">
        <v>2026.0</v>
      </c>
      <c r="G516" s="341">
        <v>46165.0</v>
      </c>
      <c r="H516" s="194">
        <v>23.0</v>
      </c>
      <c r="I516" s="194">
        <v>5.0</v>
      </c>
      <c r="J516" s="194">
        <v>2026.0</v>
      </c>
      <c r="K516" s="74" t="s">
        <v>46</v>
      </c>
      <c r="L516" s="74" t="s">
        <v>1177</v>
      </c>
      <c r="M516" s="194">
        <v>1.0</v>
      </c>
      <c r="N516" s="194">
        <v>1.0</v>
      </c>
      <c r="O516" s="194"/>
      <c r="P516" s="194">
        <v>2.0</v>
      </c>
      <c r="Q516" s="341">
        <v>46165.0</v>
      </c>
      <c r="R516" s="185">
        <v>23.0</v>
      </c>
      <c r="S516" s="185">
        <v>5.0</v>
      </c>
      <c r="T516" s="194">
        <v>2026.0</v>
      </c>
      <c r="U516" s="74" t="s">
        <v>245</v>
      </c>
      <c r="V516" s="194">
        <v>38.25</v>
      </c>
      <c r="W516" s="341">
        <v>46165.0</v>
      </c>
      <c r="X516" s="194">
        <v>23.0</v>
      </c>
      <c r="Y516" s="194">
        <v>5.0</v>
      </c>
      <c r="Z516" s="194">
        <v>2026.0</v>
      </c>
      <c r="AA516" s="74" t="s">
        <v>245</v>
      </c>
    </row>
    <row r="517" ht="15.75" hidden="1" customHeight="1">
      <c r="A517" s="340" t="s">
        <v>1965</v>
      </c>
      <c r="B517" s="340" t="s">
        <v>1966</v>
      </c>
      <c r="C517" s="341">
        <v>46162.0</v>
      </c>
      <c r="D517" s="194">
        <v>20.0</v>
      </c>
      <c r="E517" s="194">
        <v>5.0</v>
      </c>
      <c r="F517" s="194">
        <v>2026.0</v>
      </c>
      <c r="G517" s="341">
        <v>46163.0</v>
      </c>
      <c r="H517" s="194">
        <v>21.0</v>
      </c>
      <c r="I517" s="194">
        <v>5.0</v>
      </c>
      <c r="J517" s="194">
        <v>2026.0</v>
      </c>
      <c r="K517" s="74" t="s">
        <v>46</v>
      </c>
      <c r="L517" s="74" t="s">
        <v>1177</v>
      </c>
      <c r="M517" s="194">
        <v>1.0</v>
      </c>
      <c r="N517" s="194">
        <v>1.0</v>
      </c>
      <c r="O517" s="194"/>
      <c r="P517" s="194">
        <v>2.0</v>
      </c>
      <c r="Q517" s="341">
        <v>46162.0</v>
      </c>
      <c r="R517" s="185">
        <v>20.0</v>
      </c>
      <c r="S517" s="185">
        <v>5.0</v>
      </c>
      <c r="T517" s="194">
        <v>2026.0</v>
      </c>
      <c r="U517" s="74" t="s">
        <v>245</v>
      </c>
      <c r="V517" s="194">
        <v>38.25</v>
      </c>
      <c r="W517" s="341">
        <v>46162.0</v>
      </c>
      <c r="X517" s="194">
        <v>20.0</v>
      </c>
      <c r="Y517" s="194">
        <v>5.0</v>
      </c>
      <c r="Z517" s="194">
        <v>2026.0</v>
      </c>
      <c r="AA517" s="74" t="s">
        <v>245</v>
      </c>
    </row>
    <row r="518" ht="15.75" hidden="1" customHeight="1">
      <c r="A518" s="340" t="s">
        <v>1967</v>
      </c>
      <c r="B518" s="191" t="s">
        <v>1968</v>
      </c>
      <c r="C518" s="341">
        <v>46168.0</v>
      </c>
      <c r="D518" s="194">
        <v>26.0</v>
      </c>
      <c r="E518" s="194">
        <v>5.0</v>
      </c>
      <c r="F518" s="194">
        <v>2026.0</v>
      </c>
      <c r="G518" s="341">
        <v>46175.0</v>
      </c>
      <c r="H518" s="194">
        <v>2.0</v>
      </c>
      <c r="I518" s="194">
        <v>6.0</v>
      </c>
      <c r="J518" s="194">
        <v>2026.0</v>
      </c>
      <c r="K518" s="74" t="s">
        <v>46</v>
      </c>
      <c r="L518" s="74" t="s">
        <v>1177</v>
      </c>
      <c r="M518" s="194">
        <v>2.0</v>
      </c>
      <c r="N518" s="194">
        <v>7.0</v>
      </c>
      <c r="O518" s="194"/>
      <c r="P518" s="194">
        <v>14.0</v>
      </c>
      <c r="Q518" s="341">
        <v>46170.0</v>
      </c>
      <c r="R518" s="185">
        <v>28.0</v>
      </c>
      <c r="S518" s="185">
        <v>5.0</v>
      </c>
      <c r="T518" s="194">
        <v>2026.0</v>
      </c>
      <c r="U518" s="74" t="s">
        <v>245</v>
      </c>
      <c r="V518" s="194">
        <v>267.75</v>
      </c>
      <c r="W518" s="341">
        <v>46170.0</v>
      </c>
      <c r="X518" s="194">
        <v>28.0</v>
      </c>
      <c r="Y518" s="194">
        <v>5.0</v>
      </c>
      <c r="Z518" s="194">
        <v>2026.0</v>
      </c>
      <c r="AA518" s="74" t="s">
        <v>245</v>
      </c>
    </row>
    <row r="519" ht="15.75" hidden="1" customHeight="1">
      <c r="A519" s="340" t="s">
        <v>1969</v>
      </c>
      <c r="B519" s="340" t="s">
        <v>1970</v>
      </c>
      <c r="C519" s="341">
        <v>46145.0</v>
      </c>
      <c r="D519" s="194">
        <v>3.0</v>
      </c>
      <c r="E519" s="194">
        <v>5.0</v>
      </c>
      <c r="F519" s="194">
        <v>2026.0</v>
      </c>
      <c r="G519" s="341">
        <v>46146.0</v>
      </c>
      <c r="H519" s="194">
        <v>4.0</v>
      </c>
      <c r="I519" s="194">
        <v>5.0</v>
      </c>
      <c r="J519" s="194">
        <v>2026.0</v>
      </c>
      <c r="K519" s="74" t="s">
        <v>46</v>
      </c>
      <c r="L519" s="74" t="s">
        <v>1177</v>
      </c>
      <c r="M519" s="194">
        <v>1.0</v>
      </c>
      <c r="N519" s="194">
        <v>1.0</v>
      </c>
      <c r="O519" s="74"/>
      <c r="P519" s="74"/>
      <c r="Q519" s="341">
        <v>46145.0</v>
      </c>
      <c r="R519" s="185">
        <v>3.0</v>
      </c>
      <c r="S519" s="185">
        <v>5.0</v>
      </c>
      <c r="T519" s="194">
        <v>2026.0</v>
      </c>
      <c r="U519" s="74" t="s">
        <v>245</v>
      </c>
      <c r="V519" s="194">
        <v>40.25</v>
      </c>
      <c r="W519" s="341">
        <v>46145.0</v>
      </c>
      <c r="X519" s="194">
        <v>3.0</v>
      </c>
      <c r="Y519" s="194">
        <v>5.0</v>
      </c>
      <c r="Z519" s="194">
        <v>2026.0</v>
      </c>
      <c r="AA519" s="74" t="s">
        <v>245</v>
      </c>
    </row>
    <row r="520" ht="15.75" hidden="1" customHeight="1">
      <c r="A520" s="340" t="s">
        <v>1971</v>
      </c>
      <c r="B520" s="191" t="s">
        <v>1972</v>
      </c>
      <c r="C520" s="341">
        <v>46147.0</v>
      </c>
      <c r="D520" s="194">
        <v>5.0</v>
      </c>
      <c r="E520" s="194">
        <v>5.0</v>
      </c>
      <c r="F520" s="194">
        <v>2026.0</v>
      </c>
      <c r="G520" s="341">
        <v>46149.0</v>
      </c>
      <c r="H520" s="194">
        <v>7.0</v>
      </c>
      <c r="I520" s="194">
        <v>5.0</v>
      </c>
      <c r="J520" s="194">
        <v>2026.0</v>
      </c>
      <c r="K520" s="74" t="s">
        <v>46</v>
      </c>
      <c r="L520" s="74" t="s">
        <v>1177</v>
      </c>
      <c r="M520" s="194">
        <v>1.0</v>
      </c>
      <c r="N520" s="194">
        <v>2.0</v>
      </c>
      <c r="O520" s="194"/>
      <c r="P520" s="194">
        <v>2.0</v>
      </c>
      <c r="Q520" s="341">
        <v>46147.0</v>
      </c>
      <c r="R520" s="185">
        <v>5.0</v>
      </c>
      <c r="S520" s="185">
        <v>5.0</v>
      </c>
      <c r="T520" s="194">
        <v>2026.0</v>
      </c>
      <c r="U520" s="74" t="s">
        <v>262</v>
      </c>
      <c r="V520" s="194">
        <v>76.5</v>
      </c>
      <c r="W520" s="341">
        <v>46147.0</v>
      </c>
      <c r="X520" s="194">
        <v>5.0</v>
      </c>
      <c r="Y520" s="194">
        <v>5.0</v>
      </c>
      <c r="Z520" s="194">
        <v>2026.0</v>
      </c>
      <c r="AA520" s="74" t="s">
        <v>262</v>
      </c>
    </row>
    <row r="521" ht="15.75" hidden="1" customHeight="1">
      <c r="A521" s="340" t="s">
        <v>1973</v>
      </c>
      <c r="B521" s="340" t="s">
        <v>1974</v>
      </c>
      <c r="C521" s="341">
        <v>46171.0</v>
      </c>
      <c r="D521" s="194">
        <v>29.0</v>
      </c>
      <c r="E521" s="194">
        <v>5.0</v>
      </c>
      <c r="F521" s="194">
        <v>2026.0</v>
      </c>
      <c r="G521" s="341">
        <v>46172.0</v>
      </c>
      <c r="H521" s="194">
        <v>30.0</v>
      </c>
      <c r="I521" s="194">
        <v>5.0</v>
      </c>
      <c r="J521" s="194">
        <v>2026.0</v>
      </c>
      <c r="K521" s="74" t="s">
        <v>46</v>
      </c>
      <c r="L521" s="74" t="s">
        <v>1177</v>
      </c>
      <c r="M521" s="194">
        <v>1.0</v>
      </c>
      <c r="N521" s="194">
        <v>1.0</v>
      </c>
      <c r="O521" s="194"/>
      <c r="P521" s="194">
        <v>2.0</v>
      </c>
      <c r="Q521" s="341">
        <v>46172.0</v>
      </c>
      <c r="R521" s="185">
        <v>30.0</v>
      </c>
      <c r="S521" s="185">
        <v>5.0</v>
      </c>
      <c r="T521" s="194">
        <v>2026.0</v>
      </c>
      <c r="U521" s="74" t="s">
        <v>245</v>
      </c>
      <c r="V521" s="194">
        <v>38.25</v>
      </c>
      <c r="W521" s="341">
        <v>46172.0</v>
      </c>
      <c r="X521" s="194">
        <v>30.0</v>
      </c>
      <c r="Y521" s="194">
        <v>5.0</v>
      </c>
      <c r="Z521" s="194">
        <v>2026.0</v>
      </c>
      <c r="AA521" s="74" t="s">
        <v>245</v>
      </c>
    </row>
    <row r="522" ht="15.75" hidden="1" customHeight="1">
      <c r="A522" s="340" t="s">
        <v>1975</v>
      </c>
      <c r="B522" s="340" t="s">
        <v>1976</v>
      </c>
      <c r="C522" s="341">
        <v>46154.0</v>
      </c>
      <c r="D522" s="194">
        <v>12.0</v>
      </c>
      <c r="E522" s="194">
        <v>5.0</v>
      </c>
      <c r="F522" s="194">
        <v>2026.0</v>
      </c>
      <c r="G522" s="341">
        <v>46155.0</v>
      </c>
      <c r="H522" s="194">
        <v>13.0</v>
      </c>
      <c r="I522" s="194">
        <v>5.0</v>
      </c>
      <c r="J522" s="194">
        <v>2026.0</v>
      </c>
      <c r="K522" s="74" t="s">
        <v>46</v>
      </c>
      <c r="L522" s="74" t="s">
        <v>1177</v>
      </c>
      <c r="M522" s="194">
        <v>1.0</v>
      </c>
      <c r="N522" s="194">
        <v>1.0</v>
      </c>
      <c r="O522" s="74"/>
      <c r="P522" s="74"/>
      <c r="Q522" s="341">
        <v>46155.0</v>
      </c>
      <c r="R522" s="185">
        <v>13.0</v>
      </c>
      <c r="S522" s="185">
        <v>5.0</v>
      </c>
      <c r="T522" s="194">
        <v>2026.0</v>
      </c>
      <c r="U522" s="74" t="s">
        <v>262</v>
      </c>
      <c r="V522" s="194">
        <v>40.25</v>
      </c>
      <c r="W522" s="341">
        <v>46155.0</v>
      </c>
      <c r="X522" s="194">
        <v>13.0</v>
      </c>
      <c r="Y522" s="194">
        <v>5.0</v>
      </c>
      <c r="Z522" s="194">
        <v>2026.0</v>
      </c>
      <c r="AA522" s="74" t="s">
        <v>262</v>
      </c>
    </row>
    <row r="523" ht="15.75" hidden="1" customHeight="1">
      <c r="A523" s="340" t="s">
        <v>1977</v>
      </c>
      <c r="B523" s="191" t="s">
        <v>1978</v>
      </c>
      <c r="C523" s="341">
        <v>46144.0</v>
      </c>
      <c r="D523" s="194">
        <v>2.0</v>
      </c>
      <c r="E523" s="194">
        <v>5.0</v>
      </c>
      <c r="F523" s="194">
        <v>2026.0</v>
      </c>
      <c r="G523" s="341">
        <v>46147.0</v>
      </c>
      <c r="H523" s="194">
        <v>5.0</v>
      </c>
      <c r="I523" s="194">
        <v>5.0</v>
      </c>
      <c r="J523" s="194">
        <v>2026.0</v>
      </c>
      <c r="K523" s="74" t="s">
        <v>46</v>
      </c>
      <c r="L523" s="74" t="s">
        <v>1177</v>
      </c>
      <c r="M523" s="194">
        <v>1.0</v>
      </c>
      <c r="N523" s="194">
        <v>3.0</v>
      </c>
      <c r="O523" s="74"/>
      <c r="P523" s="74"/>
      <c r="Q523" s="341">
        <v>46144.0</v>
      </c>
      <c r="R523" s="185">
        <v>2.0</v>
      </c>
      <c r="S523" s="185">
        <v>5.0</v>
      </c>
      <c r="T523" s="194">
        <v>2026.0</v>
      </c>
      <c r="U523" s="74" t="s">
        <v>245</v>
      </c>
      <c r="V523" s="194">
        <v>120.75</v>
      </c>
      <c r="W523" s="341">
        <v>46144.0</v>
      </c>
      <c r="X523" s="194">
        <v>2.0</v>
      </c>
      <c r="Y523" s="194">
        <v>5.0</v>
      </c>
      <c r="Z523" s="194">
        <v>2026.0</v>
      </c>
      <c r="AA523" s="74" t="s">
        <v>245</v>
      </c>
    </row>
    <row r="524" ht="15.75" hidden="1" customHeight="1">
      <c r="A524" s="340" t="s">
        <v>1979</v>
      </c>
      <c r="B524" s="340" t="s">
        <v>1980</v>
      </c>
      <c r="C524" s="341">
        <v>46149.0</v>
      </c>
      <c r="D524" s="194">
        <v>7.0</v>
      </c>
      <c r="E524" s="194">
        <v>5.0</v>
      </c>
      <c r="F524" s="194">
        <v>2026.0</v>
      </c>
      <c r="G524" s="341">
        <v>46150.0</v>
      </c>
      <c r="H524" s="194">
        <v>8.0</v>
      </c>
      <c r="I524" s="194">
        <v>5.0</v>
      </c>
      <c r="J524" s="194">
        <v>2026.0</v>
      </c>
      <c r="K524" s="74" t="s">
        <v>46</v>
      </c>
      <c r="L524" s="74" t="s">
        <v>1177</v>
      </c>
      <c r="M524" s="194">
        <v>1.0</v>
      </c>
      <c r="N524" s="194">
        <v>1.0</v>
      </c>
      <c r="O524" s="74"/>
      <c r="P524" s="74"/>
      <c r="Q524" s="341">
        <v>46150.0</v>
      </c>
      <c r="R524" s="185">
        <v>8.0</v>
      </c>
      <c r="S524" s="185">
        <v>5.0</v>
      </c>
      <c r="T524" s="194">
        <v>2026.0</v>
      </c>
      <c r="U524" s="74" t="s">
        <v>245</v>
      </c>
      <c r="V524" s="194">
        <v>40.25</v>
      </c>
      <c r="W524" s="341">
        <v>46150.0</v>
      </c>
      <c r="X524" s="194">
        <v>8.0</v>
      </c>
      <c r="Y524" s="194">
        <v>5.0</v>
      </c>
      <c r="Z524" s="194">
        <v>2026.0</v>
      </c>
      <c r="AA524" s="74" t="s">
        <v>245</v>
      </c>
    </row>
    <row r="525" ht="15.75" hidden="1" customHeight="1">
      <c r="A525" s="340" t="s">
        <v>1981</v>
      </c>
      <c r="B525" s="191" t="s">
        <v>1982</v>
      </c>
      <c r="C525" s="341">
        <v>46153.0</v>
      </c>
      <c r="D525" s="194">
        <v>11.0</v>
      </c>
      <c r="E525" s="194">
        <v>5.0</v>
      </c>
      <c r="F525" s="194">
        <v>2026.0</v>
      </c>
      <c r="G525" s="341">
        <v>46155.0</v>
      </c>
      <c r="H525" s="194">
        <v>13.0</v>
      </c>
      <c r="I525" s="194">
        <v>5.0</v>
      </c>
      <c r="J525" s="194">
        <v>2026.0</v>
      </c>
      <c r="K525" s="74" t="s">
        <v>46</v>
      </c>
      <c r="L525" s="74" t="s">
        <v>1177</v>
      </c>
      <c r="M525" s="194">
        <v>1.0</v>
      </c>
      <c r="N525" s="194">
        <v>2.0</v>
      </c>
      <c r="O525" s="74"/>
      <c r="P525" s="74"/>
      <c r="Q525" s="341">
        <v>46153.0</v>
      </c>
      <c r="R525" s="185">
        <v>11.0</v>
      </c>
      <c r="S525" s="185">
        <v>5.0</v>
      </c>
      <c r="T525" s="194">
        <v>2026.0</v>
      </c>
      <c r="U525" s="74" t="s">
        <v>245</v>
      </c>
      <c r="V525" s="194">
        <v>80.5</v>
      </c>
      <c r="W525" s="341">
        <v>46153.0</v>
      </c>
      <c r="X525" s="194">
        <v>11.0</v>
      </c>
      <c r="Y525" s="194">
        <v>5.0</v>
      </c>
      <c r="Z525" s="194">
        <v>2026.0</v>
      </c>
      <c r="AA525" s="74" t="s">
        <v>245</v>
      </c>
    </row>
    <row r="526" ht="15.75" hidden="1" customHeight="1">
      <c r="A526" s="340" t="s">
        <v>1983</v>
      </c>
      <c r="B526" s="340" t="s">
        <v>1984</v>
      </c>
      <c r="C526" s="341">
        <v>46153.0</v>
      </c>
      <c r="D526" s="194">
        <v>11.0</v>
      </c>
      <c r="E526" s="194">
        <v>5.0</v>
      </c>
      <c r="F526" s="194">
        <v>2026.0</v>
      </c>
      <c r="G526" s="341">
        <v>46155.0</v>
      </c>
      <c r="H526" s="194">
        <v>13.0</v>
      </c>
      <c r="I526" s="194">
        <v>5.0</v>
      </c>
      <c r="J526" s="194">
        <v>2026.0</v>
      </c>
      <c r="K526" s="74" t="s">
        <v>46</v>
      </c>
      <c r="L526" s="74" t="s">
        <v>1177</v>
      </c>
      <c r="M526" s="194">
        <v>1.0</v>
      </c>
      <c r="N526" s="194">
        <v>2.0</v>
      </c>
      <c r="O526" s="74"/>
      <c r="P526" s="74"/>
      <c r="Q526" s="341">
        <v>46154.0</v>
      </c>
      <c r="R526" s="185">
        <v>12.0</v>
      </c>
      <c r="S526" s="185">
        <v>5.0</v>
      </c>
      <c r="T526" s="194">
        <v>2026.0</v>
      </c>
      <c r="U526" s="74" t="s">
        <v>245</v>
      </c>
      <c r="V526" s="194">
        <v>72.0</v>
      </c>
      <c r="W526" s="341">
        <v>46154.0</v>
      </c>
      <c r="X526" s="194">
        <v>12.0</v>
      </c>
      <c r="Y526" s="194">
        <v>5.0</v>
      </c>
      <c r="Z526" s="194">
        <v>2026.0</v>
      </c>
      <c r="AA526" s="74" t="s">
        <v>245</v>
      </c>
    </row>
    <row r="527" ht="15.75" hidden="1" customHeight="1">
      <c r="A527" s="340" t="s">
        <v>1985</v>
      </c>
      <c r="B527" s="191" t="s">
        <v>1986</v>
      </c>
      <c r="C527" s="341">
        <v>46150.0</v>
      </c>
      <c r="D527" s="194">
        <v>8.0</v>
      </c>
      <c r="E527" s="194">
        <v>5.0</v>
      </c>
      <c r="F527" s="194">
        <v>2026.0</v>
      </c>
      <c r="G527" s="341">
        <v>46153.0</v>
      </c>
      <c r="H527" s="194">
        <v>11.0</v>
      </c>
      <c r="I527" s="194">
        <v>5.0</v>
      </c>
      <c r="J527" s="194">
        <v>2026.0</v>
      </c>
      <c r="K527" s="74" t="s">
        <v>46</v>
      </c>
      <c r="L527" s="74" t="s">
        <v>1177</v>
      </c>
      <c r="M527" s="194">
        <v>1.0</v>
      </c>
      <c r="N527" s="194">
        <v>3.0</v>
      </c>
      <c r="O527" s="74"/>
      <c r="P527" s="74"/>
      <c r="Q527" s="341">
        <v>46150.0</v>
      </c>
      <c r="R527" s="185">
        <v>8.0</v>
      </c>
      <c r="S527" s="185">
        <v>5.0</v>
      </c>
      <c r="T527" s="194">
        <v>2026.0</v>
      </c>
      <c r="U527" s="74" t="s">
        <v>12</v>
      </c>
      <c r="V527" s="194">
        <v>120.75</v>
      </c>
      <c r="W527" s="341">
        <v>46150.0</v>
      </c>
      <c r="X527" s="194">
        <v>8.0</v>
      </c>
      <c r="Y527" s="194">
        <v>5.0</v>
      </c>
      <c r="Z527" s="194">
        <v>2026.0</v>
      </c>
      <c r="AA527" s="74" t="s">
        <v>12</v>
      </c>
    </row>
    <row r="528" ht="15.75" hidden="1" customHeight="1">
      <c r="A528" s="340" t="s">
        <v>1987</v>
      </c>
      <c r="B528" s="340" t="s">
        <v>1988</v>
      </c>
      <c r="C528" s="341">
        <v>46154.0</v>
      </c>
      <c r="D528" s="194">
        <v>12.0</v>
      </c>
      <c r="E528" s="194">
        <v>5.0</v>
      </c>
      <c r="F528" s="194">
        <v>2026.0</v>
      </c>
      <c r="G528" s="341">
        <v>46155.0</v>
      </c>
      <c r="H528" s="194">
        <v>13.0</v>
      </c>
      <c r="I528" s="194">
        <v>5.0</v>
      </c>
      <c r="J528" s="194">
        <v>2026.0</v>
      </c>
      <c r="K528" s="74" t="s">
        <v>46</v>
      </c>
      <c r="L528" s="74" t="s">
        <v>1177</v>
      </c>
      <c r="M528" s="194">
        <v>1.0</v>
      </c>
      <c r="N528" s="194">
        <v>1.0</v>
      </c>
      <c r="O528" s="74"/>
      <c r="P528" s="74"/>
      <c r="Q528" s="341">
        <v>46154.0</v>
      </c>
      <c r="R528" s="185">
        <v>12.0</v>
      </c>
      <c r="S528" s="185">
        <v>5.0</v>
      </c>
      <c r="T528" s="194">
        <v>2026.0</v>
      </c>
      <c r="U528" s="74" t="s">
        <v>262</v>
      </c>
      <c r="V528" s="194">
        <v>40.25</v>
      </c>
      <c r="W528" s="341">
        <v>46154.0</v>
      </c>
      <c r="X528" s="194">
        <v>12.0</v>
      </c>
      <c r="Y528" s="194">
        <v>5.0</v>
      </c>
      <c r="Z528" s="194">
        <v>2026.0</v>
      </c>
      <c r="AA528" s="74" t="s">
        <v>262</v>
      </c>
    </row>
    <row r="529" ht="15.75" hidden="1" customHeight="1">
      <c r="A529" s="340" t="s">
        <v>1989</v>
      </c>
      <c r="B529" s="340" t="s">
        <v>1990</v>
      </c>
      <c r="C529" s="343">
        <v>46183.0</v>
      </c>
      <c r="D529" s="194">
        <v>10.0</v>
      </c>
      <c r="E529" s="194">
        <v>6.0</v>
      </c>
      <c r="F529" s="194">
        <v>2026.0</v>
      </c>
      <c r="G529" s="343">
        <v>46186.0</v>
      </c>
      <c r="H529" s="194">
        <v>13.0</v>
      </c>
      <c r="I529" s="194">
        <v>6.0</v>
      </c>
      <c r="J529" s="194">
        <v>2026.0</v>
      </c>
      <c r="K529" s="74" t="s">
        <v>46</v>
      </c>
      <c r="L529" s="74" t="s">
        <v>1177</v>
      </c>
      <c r="M529" s="74">
        <v>1.0</v>
      </c>
      <c r="N529" s="74">
        <v>3.0</v>
      </c>
      <c r="O529" s="74"/>
      <c r="P529" s="74">
        <v>6.0</v>
      </c>
      <c r="Q529" s="343">
        <v>46183.70793981481</v>
      </c>
      <c r="R529" s="185">
        <v>10.0</v>
      </c>
      <c r="S529" s="185">
        <v>6.0</v>
      </c>
      <c r="T529" s="194">
        <v>2026.0</v>
      </c>
      <c r="U529" s="74" t="s">
        <v>262</v>
      </c>
      <c r="V529" s="74">
        <v>122.4</v>
      </c>
      <c r="W529" s="343">
        <v>46183.70769675926</v>
      </c>
      <c r="X529" s="194">
        <v>10.0</v>
      </c>
      <c r="Y529" s="194">
        <v>6.0</v>
      </c>
      <c r="Z529" s="194">
        <v>2026.0</v>
      </c>
      <c r="AA529" s="74" t="s">
        <v>262</v>
      </c>
    </row>
    <row r="530" ht="15.75" hidden="1" customHeight="1">
      <c r="A530" s="340" t="s">
        <v>1991</v>
      </c>
      <c r="B530" s="340" t="s">
        <v>1992</v>
      </c>
      <c r="C530" s="343">
        <v>46189.0</v>
      </c>
      <c r="D530" s="194">
        <v>16.0</v>
      </c>
      <c r="E530" s="194">
        <v>6.0</v>
      </c>
      <c r="F530" s="194">
        <v>2026.0</v>
      </c>
      <c r="G530" s="343">
        <v>46191.0</v>
      </c>
      <c r="H530" s="194">
        <v>18.0</v>
      </c>
      <c r="I530" s="194">
        <v>6.0</v>
      </c>
      <c r="J530" s="194">
        <v>2026.0</v>
      </c>
      <c r="K530" s="74" t="s">
        <v>46</v>
      </c>
      <c r="L530" s="74" t="s">
        <v>1177</v>
      </c>
      <c r="M530" s="74">
        <v>1.0</v>
      </c>
      <c r="N530" s="74">
        <v>2.0</v>
      </c>
      <c r="O530" s="74"/>
      <c r="P530" s="74">
        <v>4.0</v>
      </c>
      <c r="Q530" s="343">
        <v>46189.73806712963</v>
      </c>
      <c r="R530" s="185">
        <v>16.0</v>
      </c>
      <c r="S530" s="185">
        <v>6.0</v>
      </c>
      <c r="T530" s="194">
        <v>2026.0</v>
      </c>
      <c r="U530" s="74" t="s">
        <v>245</v>
      </c>
      <c r="V530" s="74">
        <v>68.0</v>
      </c>
      <c r="W530" s="343">
        <v>46189.73761574074</v>
      </c>
      <c r="X530" s="194">
        <v>16.0</v>
      </c>
      <c r="Y530" s="194">
        <v>6.0</v>
      </c>
      <c r="Z530" s="194">
        <v>2026.0</v>
      </c>
      <c r="AA530" s="74" t="s">
        <v>245</v>
      </c>
    </row>
    <row r="531" ht="15.75" hidden="1" customHeight="1">
      <c r="A531" s="340" t="s">
        <v>1993</v>
      </c>
      <c r="B531" s="340" t="s">
        <v>1994</v>
      </c>
      <c r="C531" s="343">
        <v>46190.0</v>
      </c>
      <c r="D531" s="194">
        <v>17.0</v>
      </c>
      <c r="E531" s="194">
        <v>6.0</v>
      </c>
      <c r="F531" s="194">
        <v>2026.0</v>
      </c>
      <c r="G531" s="343">
        <v>46191.0</v>
      </c>
      <c r="H531" s="194">
        <v>18.0</v>
      </c>
      <c r="I531" s="194">
        <v>6.0</v>
      </c>
      <c r="J531" s="194">
        <v>2026.0</v>
      </c>
      <c r="K531" s="74" t="s">
        <v>46</v>
      </c>
      <c r="L531" s="74" t="s">
        <v>1177</v>
      </c>
      <c r="M531" s="74">
        <v>1.0</v>
      </c>
      <c r="N531" s="74">
        <v>1.0</v>
      </c>
      <c r="O531" s="74"/>
      <c r="P531" s="74">
        <v>2.0</v>
      </c>
      <c r="Q531" s="343">
        <v>46190.793587962966</v>
      </c>
      <c r="R531" s="185">
        <v>17.0</v>
      </c>
      <c r="S531" s="185">
        <v>6.0</v>
      </c>
      <c r="T531" s="194">
        <v>2026.0</v>
      </c>
      <c r="U531" s="74" t="s">
        <v>245</v>
      </c>
      <c r="V531" s="74">
        <v>29.75</v>
      </c>
      <c r="W531" s="343">
        <v>46190.793587962966</v>
      </c>
      <c r="X531" s="194">
        <v>17.0</v>
      </c>
      <c r="Y531" s="194">
        <v>6.0</v>
      </c>
      <c r="Z531" s="194">
        <v>2026.0</v>
      </c>
      <c r="AA531" s="74" t="s">
        <v>245</v>
      </c>
    </row>
    <row r="532" ht="15.75" hidden="1" customHeight="1">
      <c r="A532" s="340" t="s">
        <v>1995</v>
      </c>
      <c r="B532" s="340" t="s">
        <v>1996</v>
      </c>
      <c r="C532" s="343">
        <v>46199.0</v>
      </c>
      <c r="D532" s="194">
        <v>26.0</v>
      </c>
      <c r="E532" s="194">
        <v>6.0</v>
      </c>
      <c r="F532" s="194">
        <v>2026.0</v>
      </c>
      <c r="G532" s="343">
        <v>46202.0</v>
      </c>
      <c r="H532" s="194">
        <v>29.0</v>
      </c>
      <c r="I532" s="194">
        <v>6.0</v>
      </c>
      <c r="J532" s="194">
        <v>2026.0</v>
      </c>
      <c r="K532" s="74" t="s">
        <v>46</v>
      </c>
      <c r="L532" s="74" t="s">
        <v>1177</v>
      </c>
      <c r="M532" s="74">
        <v>1.0</v>
      </c>
      <c r="N532" s="74">
        <v>3.0</v>
      </c>
      <c r="O532" s="74"/>
      <c r="P532" s="74">
        <v>6.0</v>
      </c>
      <c r="Q532" s="343">
        <v>46202.25824074074</v>
      </c>
      <c r="R532" s="185">
        <v>29.0</v>
      </c>
      <c r="S532" s="185">
        <v>6.0</v>
      </c>
      <c r="T532" s="194">
        <v>2026.0</v>
      </c>
      <c r="U532" s="74" t="s">
        <v>245</v>
      </c>
      <c r="V532" s="74">
        <v>93.5</v>
      </c>
      <c r="W532" s="343">
        <v>46202.25824074074</v>
      </c>
      <c r="X532" s="194">
        <v>29.0</v>
      </c>
      <c r="Y532" s="194">
        <v>6.0</v>
      </c>
      <c r="Z532" s="194">
        <v>2026.0</v>
      </c>
      <c r="AA532" s="74" t="s">
        <v>245</v>
      </c>
    </row>
    <row r="533" ht="15.75" hidden="1" customHeight="1">
      <c r="A533" s="340" t="s">
        <v>1997</v>
      </c>
      <c r="B533" s="340" t="s">
        <v>1998</v>
      </c>
      <c r="C533" s="343">
        <v>46194.0</v>
      </c>
      <c r="D533" s="194">
        <v>21.0</v>
      </c>
      <c r="E533" s="194">
        <v>6.0</v>
      </c>
      <c r="F533" s="194">
        <v>2026.0</v>
      </c>
      <c r="G533" s="343">
        <v>46195.0</v>
      </c>
      <c r="H533" s="194">
        <v>22.0</v>
      </c>
      <c r="I533" s="194">
        <v>6.0</v>
      </c>
      <c r="J533" s="194">
        <v>2026.0</v>
      </c>
      <c r="K533" s="74" t="s">
        <v>46</v>
      </c>
      <c r="L533" s="74" t="s">
        <v>1177</v>
      </c>
      <c r="M533" s="74">
        <v>1.0</v>
      </c>
      <c r="N533" s="74">
        <v>1.0</v>
      </c>
      <c r="O533" s="74"/>
      <c r="P533" s="74">
        <v>2.0</v>
      </c>
      <c r="Q533" s="343">
        <v>46195.04357638889</v>
      </c>
      <c r="R533" s="185">
        <v>22.0</v>
      </c>
      <c r="S533" s="185">
        <v>6.0</v>
      </c>
      <c r="T533" s="194">
        <v>2026.0</v>
      </c>
      <c r="U533" s="74" t="s">
        <v>12</v>
      </c>
      <c r="V533" s="74">
        <v>29.75</v>
      </c>
      <c r="W533" s="343">
        <v>46195.04357638889</v>
      </c>
      <c r="X533" s="194">
        <v>22.0</v>
      </c>
      <c r="Y533" s="194">
        <v>6.0</v>
      </c>
      <c r="Z533" s="194">
        <v>2026.0</v>
      </c>
      <c r="AA533" s="74" t="s">
        <v>12</v>
      </c>
    </row>
    <row r="534" ht="15.75" hidden="1" customHeight="1">
      <c r="A534" s="340" t="s">
        <v>1999</v>
      </c>
      <c r="B534" s="340" t="s">
        <v>2000</v>
      </c>
      <c r="C534" s="343">
        <v>46180.0</v>
      </c>
      <c r="D534" s="194">
        <v>7.0</v>
      </c>
      <c r="E534" s="194">
        <v>6.0</v>
      </c>
      <c r="F534" s="194">
        <v>2026.0</v>
      </c>
      <c r="G534" s="343">
        <v>46183.0</v>
      </c>
      <c r="H534" s="194">
        <v>10.0</v>
      </c>
      <c r="I534" s="194">
        <v>6.0</v>
      </c>
      <c r="J534" s="194">
        <v>2026.0</v>
      </c>
      <c r="K534" s="74" t="s">
        <v>46</v>
      </c>
      <c r="L534" s="74" t="s">
        <v>1177</v>
      </c>
      <c r="M534" s="74">
        <v>1.0</v>
      </c>
      <c r="N534" s="74">
        <v>3.0</v>
      </c>
      <c r="O534" s="74"/>
      <c r="P534" s="74">
        <v>6.0</v>
      </c>
      <c r="Q534" s="343">
        <v>46182.76443287037</v>
      </c>
      <c r="R534" s="185">
        <v>9.0</v>
      </c>
      <c r="S534" s="185">
        <v>6.0</v>
      </c>
      <c r="T534" s="194">
        <v>2026.0</v>
      </c>
      <c r="U534" s="74" t="s">
        <v>245</v>
      </c>
      <c r="V534" s="74">
        <v>89.25</v>
      </c>
      <c r="W534" s="343">
        <v>46182.764074074075</v>
      </c>
      <c r="X534" s="194">
        <v>9.0</v>
      </c>
      <c r="Y534" s="194">
        <v>6.0</v>
      </c>
      <c r="Z534" s="194">
        <v>2026.0</v>
      </c>
      <c r="AA534" s="74" t="s">
        <v>245</v>
      </c>
    </row>
    <row r="535" ht="15.75" hidden="1" customHeight="1">
      <c r="A535" s="340" t="s">
        <v>2001</v>
      </c>
      <c r="B535" s="340" t="s">
        <v>2002</v>
      </c>
      <c r="C535" s="343">
        <v>46194.0</v>
      </c>
      <c r="D535" s="194">
        <v>21.0</v>
      </c>
      <c r="E535" s="194">
        <v>6.0</v>
      </c>
      <c r="F535" s="194">
        <v>2026.0</v>
      </c>
      <c r="G535" s="343">
        <v>46202.0</v>
      </c>
      <c r="H535" s="194">
        <v>29.0</v>
      </c>
      <c r="I535" s="194">
        <v>6.0</v>
      </c>
      <c r="J535" s="194">
        <v>2026.0</v>
      </c>
      <c r="K535" s="74" t="s">
        <v>46</v>
      </c>
      <c r="L535" s="74" t="s">
        <v>1177</v>
      </c>
      <c r="M535" s="74">
        <v>1.0</v>
      </c>
      <c r="N535" s="74">
        <v>8.0</v>
      </c>
      <c r="O535" s="74"/>
      <c r="P535" s="74">
        <v>14.0</v>
      </c>
      <c r="Q535" s="343">
        <v>46202.344976851855</v>
      </c>
      <c r="R535" s="185">
        <v>29.0</v>
      </c>
      <c r="S535" s="185">
        <v>6.0</v>
      </c>
      <c r="T535" s="194">
        <v>2026.0</v>
      </c>
      <c r="U535" s="74" t="s">
        <v>245</v>
      </c>
      <c r="V535" s="74">
        <v>306.0</v>
      </c>
      <c r="W535" s="343">
        <v>46202.34479166667</v>
      </c>
      <c r="X535" s="194">
        <v>29.0</v>
      </c>
      <c r="Y535" s="194">
        <v>6.0</v>
      </c>
      <c r="Z535" s="194">
        <v>2026.0</v>
      </c>
      <c r="AA535" s="74" t="s">
        <v>245</v>
      </c>
    </row>
    <row r="536" ht="15.75" hidden="1" customHeight="1">
      <c r="A536" s="340" t="s">
        <v>1676</v>
      </c>
      <c r="B536" s="340" t="s">
        <v>2003</v>
      </c>
      <c r="C536" s="343">
        <v>46189.0</v>
      </c>
      <c r="D536" s="194">
        <v>16.0</v>
      </c>
      <c r="E536" s="194">
        <v>6.0</v>
      </c>
      <c r="F536" s="194">
        <v>2026.0</v>
      </c>
      <c r="G536" s="343">
        <v>46190.0</v>
      </c>
      <c r="H536" s="194">
        <v>17.0</v>
      </c>
      <c r="I536" s="194">
        <v>6.0</v>
      </c>
      <c r="J536" s="194">
        <v>2026.0</v>
      </c>
      <c r="K536" s="74" t="s">
        <v>46</v>
      </c>
      <c r="L536" s="74" t="s">
        <v>1177</v>
      </c>
      <c r="M536" s="74">
        <v>1.0</v>
      </c>
      <c r="N536" s="74">
        <v>1.0</v>
      </c>
      <c r="O536" s="74"/>
      <c r="P536" s="74">
        <v>2.0</v>
      </c>
      <c r="Q536" s="343">
        <v>46189.42145833333</v>
      </c>
      <c r="R536" s="185">
        <v>16.0</v>
      </c>
      <c r="S536" s="185">
        <v>6.0</v>
      </c>
      <c r="T536" s="194">
        <v>2026.0</v>
      </c>
      <c r="U536" s="74" t="s">
        <v>245</v>
      </c>
      <c r="V536" s="74">
        <v>46.75</v>
      </c>
      <c r="W536" s="343">
        <v>46189.42145833333</v>
      </c>
      <c r="X536" s="194">
        <v>16.0</v>
      </c>
      <c r="Y536" s="194">
        <v>6.0</v>
      </c>
      <c r="Z536" s="194">
        <v>2026.0</v>
      </c>
      <c r="AA536" s="74" t="s">
        <v>245</v>
      </c>
    </row>
    <row r="537" ht="15.75" hidden="1" customHeight="1">
      <c r="A537" s="340" t="s">
        <v>2004</v>
      </c>
      <c r="B537" s="340" t="s">
        <v>2005</v>
      </c>
      <c r="C537" s="343">
        <v>46195.0</v>
      </c>
      <c r="D537" s="194">
        <v>22.0</v>
      </c>
      <c r="E537" s="194">
        <v>6.0</v>
      </c>
      <c r="F537" s="194">
        <v>2026.0</v>
      </c>
      <c r="G537" s="343">
        <v>46196.0</v>
      </c>
      <c r="H537" s="194">
        <v>23.0</v>
      </c>
      <c r="I537" s="194">
        <v>6.0</v>
      </c>
      <c r="J537" s="194">
        <v>2026.0</v>
      </c>
      <c r="K537" s="74" t="s">
        <v>46</v>
      </c>
      <c r="L537" s="74" t="s">
        <v>1177</v>
      </c>
      <c r="M537" s="74">
        <v>1.0</v>
      </c>
      <c r="N537" s="74">
        <v>1.0</v>
      </c>
      <c r="O537" s="74"/>
      <c r="P537" s="74">
        <v>2.0</v>
      </c>
      <c r="Q537" s="343">
        <v>46195.76194444444</v>
      </c>
      <c r="R537" s="185">
        <v>22.0</v>
      </c>
      <c r="S537" s="185">
        <v>6.0</v>
      </c>
      <c r="T537" s="194">
        <v>2026.0</v>
      </c>
      <c r="U537" s="74" t="s">
        <v>262</v>
      </c>
      <c r="V537" s="74">
        <v>29.75</v>
      </c>
      <c r="W537" s="343">
        <v>46195.761458333334</v>
      </c>
      <c r="X537" s="194">
        <v>22.0</v>
      </c>
      <c r="Y537" s="194">
        <v>6.0</v>
      </c>
      <c r="Z537" s="194">
        <v>2026.0</v>
      </c>
      <c r="AA537" s="74" t="s">
        <v>262</v>
      </c>
    </row>
    <row r="538" ht="15.75" hidden="1" customHeight="1">
      <c r="A538" s="340" t="s">
        <v>2006</v>
      </c>
      <c r="B538" s="340" t="s">
        <v>2007</v>
      </c>
      <c r="C538" s="343">
        <v>46196.0</v>
      </c>
      <c r="D538" s="194">
        <v>23.0</v>
      </c>
      <c r="E538" s="194">
        <v>6.0</v>
      </c>
      <c r="F538" s="194">
        <v>2026.0</v>
      </c>
      <c r="G538" s="343">
        <v>46197.0</v>
      </c>
      <c r="H538" s="194">
        <v>24.0</v>
      </c>
      <c r="I538" s="194">
        <v>6.0</v>
      </c>
      <c r="J538" s="194">
        <v>2026.0</v>
      </c>
      <c r="K538" s="74" t="s">
        <v>46</v>
      </c>
      <c r="L538" s="74" t="s">
        <v>1177</v>
      </c>
      <c r="M538" s="74">
        <v>1.0</v>
      </c>
      <c r="N538" s="74">
        <v>1.0</v>
      </c>
      <c r="O538" s="74"/>
      <c r="P538" s="74">
        <v>2.0</v>
      </c>
      <c r="Q538" s="343">
        <v>46196.95972222222</v>
      </c>
      <c r="R538" s="185">
        <v>23.0</v>
      </c>
      <c r="S538" s="185">
        <v>6.0</v>
      </c>
      <c r="T538" s="194">
        <v>2026.0</v>
      </c>
      <c r="U538" s="74" t="s">
        <v>12</v>
      </c>
      <c r="V538" s="74">
        <v>29.75</v>
      </c>
      <c r="W538" s="343">
        <v>46196.95972222222</v>
      </c>
      <c r="X538" s="194">
        <v>23.0</v>
      </c>
      <c r="Y538" s="194">
        <v>6.0</v>
      </c>
      <c r="Z538" s="194">
        <v>2026.0</v>
      </c>
      <c r="AA538" s="74" t="s">
        <v>12</v>
      </c>
    </row>
    <row r="539" ht="15.75" hidden="1" customHeight="1">
      <c r="A539" s="340" t="s">
        <v>2008</v>
      </c>
      <c r="B539" s="340" t="s">
        <v>2009</v>
      </c>
      <c r="C539" s="343">
        <v>46196.0</v>
      </c>
      <c r="D539" s="194">
        <v>23.0</v>
      </c>
      <c r="E539" s="194">
        <v>6.0</v>
      </c>
      <c r="F539" s="194">
        <v>2026.0</v>
      </c>
      <c r="G539" s="343">
        <v>46197.0</v>
      </c>
      <c r="H539" s="194">
        <v>24.0</v>
      </c>
      <c r="I539" s="194">
        <v>6.0</v>
      </c>
      <c r="J539" s="194">
        <v>2026.0</v>
      </c>
      <c r="K539" s="74" t="s">
        <v>46</v>
      </c>
      <c r="L539" s="74" t="s">
        <v>1177</v>
      </c>
      <c r="M539" s="74">
        <v>1.0</v>
      </c>
      <c r="N539" s="74">
        <v>1.0</v>
      </c>
      <c r="O539" s="74"/>
      <c r="P539" s="74">
        <v>2.0</v>
      </c>
      <c r="Q539" s="343">
        <v>46196.95423611111</v>
      </c>
      <c r="R539" s="185">
        <v>23.0</v>
      </c>
      <c r="S539" s="185">
        <v>6.0</v>
      </c>
      <c r="T539" s="194">
        <v>2026.0</v>
      </c>
      <c r="U539" s="74" t="s">
        <v>12</v>
      </c>
      <c r="V539" s="74">
        <v>29.75</v>
      </c>
      <c r="W539" s="343">
        <v>46196.95423611111</v>
      </c>
      <c r="X539" s="194">
        <v>23.0</v>
      </c>
      <c r="Y539" s="194">
        <v>6.0</v>
      </c>
      <c r="Z539" s="194">
        <v>2026.0</v>
      </c>
      <c r="AA539" s="74" t="s">
        <v>12</v>
      </c>
    </row>
    <row r="540" ht="15.75" hidden="1" customHeight="1">
      <c r="A540" s="340" t="s">
        <v>2010</v>
      </c>
      <c r="B540" s="340" t="s">
        <v>2011</v>
      </c>
      <c r="C540" s="343">
        <v>46176.0</v>
      </c>
      <c r="D540" s="194">
        <v>3.0</v>
      </c>
      <c r="E540" s="194">
        <v>6.0</v>
      </c>
      <c r="F540" s="194">
        <v>2026.0</v>
      </c>
      <c r="G540" s="343">
        <v>46177.0</v>
      </c>
      <c r="H540" s="194">
        <v>4.0</v>
      </c>
      <c r="I540" s="194">
        <v>6.0</v>
      </c>
      <c r="J540" s="194">
        <v>2026.0</v>
      </c>
      <c r="K540" s="74" t="s">
        <v>46</v>
      </c>
      <c r="L540" s="74" t="s">
        <v>1177</v>
      </c>
      <c r="M540" s="74">
        <v>1.0</v>
      </c>
      <c r="N540" s="74">
        <v>1.0</v>
      </c>
      <c r="O540" s="74"/>
      <c r="P540" s="74">
        <v>2.0</v>
      </c>
      <c r="Q540" s="343">
        <v>46177.38453703704</v>
      </c>
      <c r="R540" s="185">
        <v>4.0</v>
      </c>
      <c r="S540" s="185">
        <v>6.0</v>
      </c>
      <c r="T540" s="194">
        <v>2026.0</v>
      </c>
      <c r="U540" s="74" t="s">
        <v>245</v>
      </c>
      <c r="V540" s="74">
        <v>27.2</v>
      </c>
      <c r="W540" s="343">
        <v>46177.38428240741</v>
      </c>
      <c r="X540" s="194">
        <v>4.0</v>
      </c>
      <c r="Y540" s="194">
        <v>6.0</v>
      </c>
      <c r="Z540" s="194">
        <v>2026.0</v>
      </c>
      <c r="AA540" s="74" t="s">
        <v>245</v>
      </c>
    </row>
    <row r="541" ht="15.75" hidden="1" customHeight="1">
      <c r="A541" s="340" t="s">
        <v>2012</v>
      </c>
      <c r="B541" s="340" t="s">
        <v>2013</v>
      </c>
      <c r="C541" s="343">
        <v>46181.0</v>
      </c>
      <c r="D541" s="194">
        <v>8.0</v>
      </c>
      <c r="E541" s="194">
        <v>6.0</v>
      </c>
      <c r="F541" s="194">
        <v>2026.0</v>
      </c>
      <c r="G541" s="343">
        <v>46184.0</v>
      </c>
      <c r="H541" s="194">
        <v>11.0</v>
      </c>
      <c r="I541" s="194">
        <v>6.0</v>
      </c>
      <c r="J541" s="194">
        <v>2026.0</v>
      </c>
      <c r="K541" s="74" t="s">
        <v>46</v>
      </c>
      <c r="L541" s="74" t="s">
        <v>1177</v>
      </c>
      <c r="M541" s="74">
        <v>1.0</v>
      </c>
      <c r="N541" s="74">
        <v>3.0</v>
      </c>
      <c r="O541" s="74"/>
      <c r="P541" s="74">
        <v>6.0</v>
      </c>
      <c r="Q541" s="343">
        <v>46182.03121527778</v>
      </c>
      <c r="R541" s="185">
        <v>9.0</v>
      </c>
      <c r="S541" s="185">
        <v>6.0</v>
      </c>
      <c r="T541" s="194">
        <v>2026.0</v>
      </c>
      <c r="U541" s="74" t="s">
        <v>245</v>
      </c>
      <c r="V541" s="74">
        <v>114.75</v>
      </c>
      <c r="W541" s="343">
        <v>46182.03121527778</v>
      </c>
      <c r="X541" s="194">
        <v>9.0</v>
      </c>
      <c r="Y541" s="194">
        <v>6.0</v>
      </c>
      <c r="Z541" s="194">
        <v>2026.0</v>
      </c>
      <c r="AA541" s="74" t="s">
        <v>245</v>
      </c>
    </row>
    <row r="542" ht="15.75" hidden="1" customHeight="1">
      <c r="A542" s="340" t="s">
        <v>2014</v>
      </c>
      <c r="B542" s="340" t="s">
        <v>2015</v>
      </c>
      <c r="C542" s="343">
        <v>46187.0</v>
      </c>
      <c r="D542" s="194">
        <v>14.0</v>
      </c>
      <c r="E542" s="194">
        <v>6.0</v>
      </c>
      <c r="F542" s="194">
        <v>2026.0</v>
      </c>
      <c r="G542" s="343">
        <v>46190.0</v>
      </c>
      <c r="H542" s="194">
        <v>17.0</v>
      </c>
      <c r="I542" s="194">
        <v>6.0</v>
      </c>
      <c r="J542" s="194">
        <v>2026.0</v>
      </c>
      <c r="K542" s="74" t="s">
        <v>46</v>
      </c>
      <c r="L542" s="74" t="s">
        <v>1177</v>
      </c>
      <c r="M542" s="74">
        <v>1.0</v>
      </c>
      <c r="N542" s="74">
        <v>3.0</v>
      </c>
      <c r="O542" s="74"/>
      <c r="P542" s="74">
        <v>6.0</v>
      </c>
      <c r="Q542" s="343">
        <v>46187.73136574074</v>
      </c>
      <c r="R542" s="185">
        <v>14.0</v>
      </c>
      <c r="S542" s="185">
        <v>6.0</v>
      </c>
      <c r="T542" s="194">
        <v>2026.0</v>
      </c>
      <c r="U542" s="74" t="s">
        <v>262</v>
      </c>
      <c r="V542" s="74">
        <v>114.75</v>
      </c>
      <c r="W542" s="343">
        <v>46187.73074074074</v>
      </c>
      <c r="X542" s="194">
        <v>14.0</v>
      </c>
      <c r="Y542" s="194">
        <v>6.0</v>
      </c>
      <c r="Z542" s="194">
        <v>2026.0</v>
      </c>
      <c r="AA542" s="74" t="s">
        <v>262</v>
      </c>
    </row>
    <row r="543" ht="15.75" hidden="1" customHeight="1">
      <c r="A543" s="340" t="s">
        <v>2016</v>
      </c>
      <c r="B543" s="340" t="s">
        <v>2017</v>
      </c>
      <c r="C543" s="343">
        <v>46199.0</v>
      </c>
      <c r="D543" s="194">
        <v>26.0</v>
      </c>
      <c r="E543" s="194">
        <v>6.0</v>
      </c>
      <c r="F543" s="194">
        <v>2026.0</v>
      </c>
      <c r="G543" s="343">
        <v>46200.0</v>
      </c>
      <c r="H543" s="194">
        <v>27.0</v>
      </c>
      <c r="I543" s="194">
        <v>6.0</v>
      </c>
      <c r="J543" s="194">
        <v>2026.0</v>
      </c>
      <c r="K543" s="74" t="s">
        <v>46</v>
      </c>
      <c r="L543" s="74" t="s">
        <v>1177</v>
      </c>
      <c r="M543" s="74">
        <v>1.0</v>
      </c>
      <c r="N543" s="74">
        <v>1.0</v>
      </c>
      <c r="O543" s="74"/>
      <c r="P543" s="74">
        <v>2.0</v>
      </c>
      <c r="Q543" s="343">
        <v>46199.83803240741</v>
      </c>
      <c r="R543" s="185">
        <v>26.0</v>
      </c>
      <c r="S543" s="185">
        <v>6.0</v>
      </c>
      <c r="T543" s="194">
        <v>2026.0</v>
      </c>
      <c r="U543" s="74" t="s">
        <v>245</v>
      </c>
      <c r="V543" s="74">
        <v>38.25</v>
      </c>
      <c r="W543" s="343">
        <v>46199.83765046296</v>
      </c>
      <c r="X543" s="194">
        <v>26.0</v>
      </c>
      <c r="Y543" s="194">
        <v>6.0</v>
      </c>
      <c r="Z543" s="194">
        <v>2026.0</v>
      </c>
      <c r="AA543" s="74" t="s">
        <v>245</v>
      </c>
    </row>
    <row r="544" ht="15.75" hidden="1" customHeight="1">
      <c r="A544" s="340" t="s">
        <v>2018</v>
      </c>
      <c r="B544" s="340" t="s">
        <v>2019</v>
      </c>
      <c r="C544" s="343">
        <v>46175.0</v>
      </c>
      <c r="D544" s="194">
        <v>2.0</v>
      </c>
      <c r="E544" s="194">
        <v>6.0</v>
      </c>
      <c r="F544" s="194">
        <v>2026.0</v>
      </c>
      <c r="G544" s="343">
        <v>46176.0</v>
      </c>
      <c r="H544" s="194">
        <v>3.0</v>
      </c>
      <c r="I544" s="194">
        <v>6.0</v>
      </c>
      <c r="J544" s="194">
        <v>2026.0</v>
      </c>
      <c r="K544" s="74" t="s">
        <v>46</v>
      </c>
      <c r="L544" s="74" t="s">
        <v>1177</v>
      </c>
      <c r="M544" s="74">
        <v>1.0</v>
      </c>
      <c r="N544" s="74">
        <v>1.0</v>
      </c>
      <c r="O544" s="74"/>
      <c r="P544" s="74">
        <v>2.0</v>
      </c>
      <c r="Q544" s="343">
        <v>46175.65961805556</v>
      </c>
      <c r="R544" s="185">
        <v>2.0</v>
      </c>
      <c r="S544" s="185">
        <v>6.0</v>
      </c>
      <c r="T544" s="194">
        <v>2026.0</v>
      </c>
      <c r="U544" s="74" t="s">
        <v>262</v>
      </c>
      <c r="V544" s="74">
        <v>38.25</v>
      </c>
      <c r="W544" s="343">
        <v>46175.65929398148</v>
      </c>
      <c r="X544" s="194">
        <v>2.0</v>
      </c>
      <c r="Y544" s="194">
        <v>6.0</v>
      </c>
      <c r="Z544" s="194">
        <v>2026.0</v>
      </c>
      <c r="AA544" s="74" t="s">
        <v>262</v>
      </c>
    </row>
    <row r="545" ht="15.75" hidden="1" customHeight="1">
      <c r="A545" s="340" t="s">
        <v>2020</v>
      </c>
      <c r="B545" s="340" t="s">
        <v>2021</v>
      </c>
      <c r="C545" s="343">
        <v>46194.0</v>
      </c>
      <c r="D545" s="194">
        <v>21.0</v>
      </c>
      <c r="E545" s="194">
        <v>6.0</v>
      </c>
      <c r="F545" s="194">
        <v>2026.0</v>
      </c>
      <c r="G545" s="343">
        <v>46195.0</v>
      </c>
      <c r="H545" s="194">
        <v>22.0</v>
      </c>
      <c r="I545" s="194">
        <v>6.0</v>
      </c>
      <c r="J545" s="194">
        <v>2026.0</v>
      </c>
      <c r="K545" s="74" t="s">
        <v>46</v>
      </c>
      <c r="L545" s="74" t="s">
        <v>1177</v>
      </c>
      <c r="M545" s="74">
        <v>1.0</v>
      </c>
      <c r="N545" s="74">
        <v>1.0</v>
      </c>
      <c r="O545" s="74"/>
      <c r="P545" s="74">
        <v>2.0</v>
      </c>
      <c r="Q545" s="343">
        <v>46194.83574074074</v>
      </c>
      <c r="R545" s="185">
        <v>21.0</v>
      </c>
      <c r="S545" s="185">
        <v>6.0</v>
      </c>
      <c r="T545" s="194">
        <v>2026.0</v>
      </c>
      <c r="U545" s="74" t="s">
        <v>12</v>
      </c>
      <c r="V545" s="74">
        <v>29.75</v>
      </c>
      <c r="W545" s="343">
        <v>46194.83505787037</v>
      </c>
      <c r="X545" s="194">
        <v>21.0</v>
      </c>
      <c r="Y545" s="194">
        <v>6.0</v>
      </c>
      <c r="Z545" s="194">
        <v>2026.0</v>
      </c>
      <c r="AA545" s="74" t="s">
        <v>12</v>
      </c>
    </row>
    <row r="546" ht="15.75" hidden="1" customHeight="1">
      <c r="A546" s="340" t="s">
        <v>2022</v>
      </c>
      <c r="B546" s="340" t="s">
        <v>2023</v>
      </c>
      <c r="C546" s="343">
        <v>46202.0</v>
      </c>
      <c r="D546" s="194">
        <v>29.0</v>
      </c>
      <c r="E546" s="194">
        <v>6.0</v>
      </c>
      <c r="F546" s="194">
        <v>2026.0</v>
      </c>
      <c r="G546" s="343">
        <v>46204.0</v>
      </c>
      <c r="H546" s="194">
        <v>1.0</v>
      </c>
      <c r="I546" s="194">
        <v>7.0</v>
      </c>
      <c r="J546" s="194">
        <v>2026.0</v>
      </c>
      <c r="K546" s="74" t="s">
        <v>46</v>
      </c>
      <c r="L546" s="74" t="s">
        <v>1177</v>
      </c>
      <c r="M546" s="74">
        <v>1.0</v>
      </c>
      <c r="N546" s="74">
        <v>2.0</v>
      </c>
      <c r="O546" s="74"/>
      <c r="P546" s="74">
        <v>4.0</v>
      </c>
      <c r="Q546" s="343">
        <v>46203.67767361111</v>
      </c>
      <c r="R546" s="185">
        <v>30.0</v>
      </c>
      <c r="S546" s="185">
        <v>6.0</v>
      </c>
      <c r="T546" s="194">
        <v>2026.0</v>
      </c>
      <c r="U546" s="74" t="s">
        <v>245</v>
      </c>
      <c r="V546" s="74">
        <v>76.5</v>
      </c>
      <c r="W546" s="343">
        <v>46203.67525462963</v>
      </c>
      <c r="X546" s="194">
        <v>30.0</v>
      </c>
      <c r="Y546" s="194">
        <v>6.0</v>
      </c>
      <c r="Z546" s="194">
        <v>2026.0</v>
      </c>
      <c r="AA546" s="74" t="s">
        <v>245</v>
      </c>
    </row>
    <row r="547" ht="15.75" hidden="1" customHeight="1">
      <c r="A547" s="340" t="s">
        <v>2024</v>
      </c>
      <c r="B547" s="340" t="s">
        <v>2025</v>
      </c>
      <c r="C547" s="343">
        <v>46200.0</v>
      </c>
      <c r="D547" s="194">
        <v>27.0</v>
      </c>
      <c r="E547" s="194">
        <v>6.0</v>
      </c>
      <c r="F547" s="194">
        <v>2026.0</v>
      </c>
      <c r="G547" s="343">
        <v>46202.0</v>
      </c>
      <c r="H547" s="194">
        <v>29.0</v>
      </c>
      <c r="I547" s="194">
        <v>6.0</v>
      </c>
      <c r="J547" s="194">
        <v>2026.0</v>
      </c>
      <c r="K547" s="74" t="s">
        <v>46</v>
      </c>
      <c r="L547" s="74" t="s">
        <v>1177</v>
      </c>
      <c r="M547" s="74">
        <v>1.0</v>
      </c>
      <c r="N547" s="74">
        <v>2.0</v>
      </c>
      <c r="O547" s="74"/>
      <c r="P547" s="74">
        <v>4.0</v>
      </c>
      <c r="Q547" s="343">
        <v>46202.0306712963</v>
      </c>
      <c r="R547" s="185">
        <v>29.0</v>
      </c>
      <c r="S547" s="185">
        <v>6.0</v>
      </c>
      <c r="T547" s="194">
        <v>2026.0</v>
      </c>
      <c r="U547" s="74" t="s">
        <v>245</v>
      </c>
      <c r="V547" s="74">
        <v>59.5</v>
      </c>
      <c r="W547" s="343">
        <v>46202.0306712963</v>
      </c>
      <c r="X547" s="194">
        <v>29.0</v>
      </c>
      <c r="Y547" s="194">
        <v>6.0</v>
      </c>
      <c r="Z547" s="194">
        <v>2026.0</v>
      </c>
      <c r="AA547" s="74" t="s">
        <v>245</v>
      </c>
    </row>
    <row r="548" ht="15.75" hidden="1" customHeight="1">
      <c r="A548" s="340" t="s">
        <v>2026</v>
      </c>
      <c r="B548" s="340" t="s">
        <v>2027</v>
      </c>
      <c r="C548" s="343">
        <v>46187.0</v>
      </c>
      <c r="D548" s="194">
        <v>14.0</v>
      </c>
      <c r="E548" s="194">
        <v>6.0</v>
      </c>
      <c r="F548" s="194">
        <v>2026.0</v>
      </c>
      <c r="G548" s="343">
        <v>46193.0</v>
      </c>
      <c r="H548" s="194">
        <v>20.0</v>
      </c>
      <c r="I548" s="194">
        <v>6.0</v>
      </c>
      <c r="J548" s="194">
        <v>2026.0</v>
      </c>
      <c r="K548" s="74" t="s">
        <v>46</v>
      </c>
      <c r="L548" s="74" t="s">
        <v>1177</v>
      </c>
      <c r="M548" s="74">
        <v>1.0</v>
      </c>
      <c r="N548" s="74">
        <v>6.0</v>
      </c>
      <c r="O548" s="74"/>
      <c r="P548" s="74">
        <v>12.0</v>
      </c>
      <c r="Q548" s="343">
        <v>46190.467824074076</v>
      </c>
      <c r="R548" s="185">
        <v>17.0</v>
      </c>
      <c r="S548" s="185">
        <v>6.0</v>
      </c>
      <c r="T548" s="194">
        <v>2026.0</v>
      </c>
      <c r="U548" s="74" t="s">
        <v>12</v>
      </c>
      <c r="V548" s="74">
        <v>219.3</v>
      </c>
      <c r="W548" s="343">
        <v>46190.467824074076</v>
      </c>
      <c r="X548" s="194">
        <v>17.0</v>
      </c>
      <c r="Y548" s="194">
        <v>6.0</v>
      </c>
      <c r="Z548" s="194">
        <v>2026.0</v>
      </c>
      <c r="AA548" s="74" t="s">
        <v>12</v>
      </c>
    </row>
    <row r="549" ht="15.75" hidden="1" customHeight="1">
      <c r="A549" s="340" t="s">
        <v>2028</v>
      </c>
      <c r="B549" s="340" t="s">
        <v>2029</v>
      </c>
      <c r="C549" s="343">
        <v>46186.0</v>
      </c>
      <c r="D549" s="194">
        <v>13.0</v>
      </c>
      <c r="E549" s="194">
        <v>6.0</v>
      </c>
      <c r="F549" s="194">
        <v>2026.0</v>
      </c>
      <c r="G549" s="343">
        <v>46187.0</v>
      </c>
      <c r="H549" s="194">
        <v>14.0</v>
      </c>
      <c r="I549" s="194">
        <v>6.0</v>
      </c>
      <c r="J549" s="194">
        <v>2026.0</v>
      </c>
      <c r="K549" s="74" t="s">
        <v>46</v>
      </c>
      <c r="L549" s="74" t="s">
        <v>1177</v>
      </c>
      <c r="M549" s="74">
        <v>1.0</v>
      </c>
      <c r="N549" s="74">
        <v>1.0</v>
      </c>
      <c r="O549" s="74"/>
      <c r="P549" s="74">
        <v>2.0</v>
      </c>
      <c r="Q549" s="343">
        <v>46187.44180555556</v>
      </c>
      <c r="R549" s="185">
        <v>14.0</v>
      </c>
      <c r="S549" s="185">
        <v>6.0</v>
      </c>
      <c r="T549" s="194">
        <v>2026.0</v>
      </c>
      <c r="U549" s="74" t="s">
        <v>245</v>
      </c>
      <c r="V549" s="74">
        <v>38.25</v>
      </c>
      <c r="W549" s="343">
        <v>46187.44180555556</v>
      </c>
      <c r="X549" s="194">
        <v>14.0</v>
      </c>
      <c r="Y549" s="194">
        <v>6.0</v>
      </c>
      <c r="Z549" s="194">
        <v>2026.0</v>
      </c>
      <c r="AA549" s="74" t="s">
        <v>245</v>
      </c>
    </row>
    <row r="550" ht="15.75" hidden="1" customHeight="1">
      <c r="A550" s="340" t="s">
        <v>2030</v>
      </c>
      <c r="B550" s="340" t="s">
        <v>2031</v>
      </c>
      <c r="C550" s="343">
        <v>46174.0</v>
      </c>
      <c r="D550" s="194">
        <v>1.0</v>
      </c>
      <c r="E550" s="194">
        <v>6.0</v>
      </c>
      <c r="F550" s="194">
        <v>2026.0</v>
      </c>
      <c r="G550" s="343">
        <v>46178.0</v>
      </c>
      <c r="H550" s="194">
        <v>5.0</v>
      </c>
      <c r="I550" s="194">
        <v>6.0</v>
      </c>
      <c r="J550" s="194">
        <v>2026.0</v>
      </c>
      <c r="K550" s="74" t="s">
        <v>46</v>
      </c>
      <c r="L550" s="74" t="s">
        <v>1177</v>
      </c>
      <c r="M550" s="74">
        <v>1.0</v>
      </c>
      <c r="N550" s="74">
        <v>4.0</v>
      </c>
      <c r="O550" s="74"/>
      <c r="P550" s="74">
        <v>8.0</v>
      </c>
      <c r="Q550" s="343">
        <v>46175.05133101852</v>
      </c>
      <c r="R550" s="185">
        <v>2.0</v>
      </c>
      <c r="S550" s="185">
        <v>6.0</v>
      </c>
      <c r="T550" s="194">
        <v>2026.0</v>
      </c>
      <c r="U550" s="74" t="s">
        <v>245</v>
      </c>
      <c r="V550" s="74">
        <v>153.0</v>
      </c>
      <c r="W550" s="343">
        <v>46175.05094907407</v>
      </c>
      <c r="X550" s="194">
        <v>2.0</v>
      </c>
      <c r="Y550" s="194">
        <v>6.0</v>
      </c>
      <c r="Z550" s="194">
        <v>2026.0</v>
      </c>
      <c r="AA550" s="74" t="s">
        <v>245</v>
      </c>
    </row>
    <row r="551" ht="15.75" hidden="1" customHeight="1">
      <c r="A551" s="340" t="s">
        <v>2032</v>
      </c>
      <c r="B551" s="340" t="s">
        <v>2033</v>
      </c>
      <c r="C551" s="343">
        <v>46187.0</v>
      </c>
      <c r="D551" s="194">
        <v>14.0</v>
      </c>
      <c r="E551" s="194">
        <v>6.0</v>
      </c>
      <c r="F551" s="194">
        <v>2026.0</v>
      </c>
      <c r="G551" s="343">
        <v>46188.0</v>
      </c>
      <c r="H551" s="194">
        <v>15.0</v>
      </c>
      <c r="I551" s="194">
        <v>6.0</v>
      </c>
      <c r="J551" s="194">
        <v>2026.0</v>
      </c>
      <c r="K551" s="74" t="s">
        <v>46</v>
      </c>
      <c r="L551" s="74" t="s">
        <v>1177</v>
      </c>
      <c r="M551" s="74">
        <v>1.0</v>
      </c>
      <c r="N551" s="74">
        <v>1.0</v>
      </c>
      <c r="O551" s="74"/>
      <c r="P551" s="74">
        <v>2.0</v>
      </c>
      <c r="Q551" s="343">
        <v>46187.83615740741</v>
      </c>
      <c r="R551" s="185">
        <v>14.0</v>
      </c>
      <c r="S551" s="185">
        <v>6.0</v>
      </c>
      <c r="T551" s="194">
        <v>2026.0</v>
      </c>
      <c r="U551" s="74" t="s">
        <v>245</v>
      </c>
      <c r="V551" s="74">
        <v>29.75</v>
      </c>
      <c r="W551" s="343">
        <v>46187.835185185184</v>
      </c>
      <c r="X551" s="194">
        <v>14.0</v>
      </c>
      <c r="Y551" s="194">
        <v>6.0</v>
      </c>
      <c r="Z551" s="194">
        <v>2026.0</v>
      </c>
      <c r="AA551" s="74" t="s">
        <v>245</v>
      </c>
    </row>
    <row r="552" ht="15.75" hidden="1" customHeight="1">
      <c r="A552" s="340" t="s">
        <v>2034</v>
      </c>
      <c r="B552" s="340" t="s">
        <v>2035</v>
      </c>
      <c r="C552" s="343">
        <v>46196.0</v>
      </c>
      <c r="D552" s="194">
        <v>23.0</v>
      </c>
      <c r="E552" s="194">
        <v>6.0</v>
      </c>
      <c r="F552" s="194">
        <v>2026.0</v>
      </c>
      <c r="G552" s="343">
        <v>46197.0</v>
      </c>
      <c r="H552" s="194">
        <v>24.0</v>
      </c>
      <c r="I552" s="194">
        <v>6.0</v>
      </c>
      <c r="J552" s="194">
        <v>2026.0</v>
      </c>
      <c r="K552" s="74" t="s">
        <v>46</v>
      </c>
      <c r="L552" s="74" t="s">
        <v>1177</v>
      </c>
      <c r="M552" s="74">
        <v>3.0</v>
      </c>
      <c r="N552" s="74">
        <v>1.0</v>
      </c>
      <c r="O552" s="74"/>
      <c r="P552" s="74">
        <v>6.0</v>
      </c>
      <c r="Q552" s="343">
        <v>46196.86020833333</v>
      </c>
      <c r="R552" s="185">
        <v>23.0</v>
      </c>
      <c r="S552" s="185">
        <v>6.0</v>
      </c>
      <c r="T552" s="194">
        <v>2026.0</v>
      </c>
      <c r="U552" s="74" t="s">
        <v>12</v>
      </c>
      <c r="V552" s="74">
        <v>89.25</v>
      </c>
      <c r="W552" s="343">
        <v>46196.85986111111</v>
      </c>
      <c r="X552" s="194">
        <v>23.0</v>
      </c>
      <c r="Y552" s="194">
        <v>6.0</v>
      </c>
      <c r="Z552" s="194">
        <v>2026.0</v>
      </c>
      <c r="AA552" s="74" t="s">
        <v>12</v>
      </c>
    </row>
    <row r="553" ht="15.75" hidden="1" customHeight="1">
      <c r="A553" s="340" t="s">
        <v>2036</v>
      </c>
      <c r="B553" s="340" t="s">
        <v>2037</v>
      </c>
      <c r="C553" s="343">
        <v>46201.0</v>
      </c>
      <c r="D553" s="194">
        <v>28.0</v>
      </c>
      <c r="E553" s="194">
        <v>6.0</v>
      </c>
      <c r="F553" s="194">
        <v>2026.0</v>
      </c>
      <c r="G553" s="343">
        <v>46202.0</v>
      </c>
      <c r="H553" s="194">
        <v>29.0</v>
      </c>
      <c r="I553" s="194">
        <v>6.0</v>
      </c>
      <c r="J553" s="194">
        <v>2026.0</v>
      </c>
      <c r="K553" s="74" t="s">
        <v>46</v>
      </c>
      <c r="L553" s="74" t="s">
        <v>1177</v>
      </c>
      <c r="M553" s="74">
        <v>1.0</v>
      </c>
      <c r="N553" s="74">
        <v>1.0</v>
      </c>
      <c r="O553" s="74"/>
      <c r="P553" s="74">
        <v>2.0</v>
      </c>
      <c r="Q553" s="343">
        <v>46202.43203703704</v>
      </c>
      <c r="R553" s="185">
        <v>29.0</v>
      </c>
      <c r="S553" s="185">
        <v>6.0</v>
      </c>
      <c r="T553" s="194">
        <v>2026.0</v>
      </c>
      <c r="U553" s="74" t="s">
        <v>245</v>
      </c>
      <c r="V553" s="74">
        <v>29.75</v>
      </c>
      <c r="W553" s="343">
        <v>46202.43203703704</v>
      </c>
      <c r="X553" s="194">
        <v>29.0</v>
      </c>
      <c r="Y553" s="194">
        <v>6.0</v>
      </c>
      <c r="Z553" s="194">
        <v>2026.0</v>
      </c>
      <c r="AA553" s="74" t="s">
        <v>245</v>
      </c>
    </row>
    <row r="554" ht="15.75" hidden="1" customHeight="1">
      <c r="A554" s="340" t="s">
        <v>2038</v>
      </c>
      <c r="B554" s="340" t="s">
        <v>2039</v>
      </c>
      <c r="C554" s="343">
        <v>46186.0</v>
      </c>
      <c r="D554" s="194">
        <v>13.0</v>
      </c>
      <c r="E554" s="194">
        <v>6.0</v>
      </c>
      <c r="F554" s="194">
        <v>2026.0</v>
      </c>
      <c r="G554" s="343">
        <v>46187.0</v>
      </c>
      <c r="H554" s="194">
        <v>14.0</v>
      </c>
      <c r="I554" s="194">
        <v>6.0</v>
      </c>
      <c r="J554" s="194">
        <v>2026.0</v>
      </c>
      <c r="K554" s="74" t="s">
        <v>46</v>
      </c>
      <c r="L554" s="74" t="s">
        <v>1177</v>
      </c>
      <c r="M554" s="74">
        <v>2.0</v>
      </c>
      <c r="N554" s="74">
        <v>1.0</v>
      </c>
      <c r="O554" s="74"/>
      <c r="P554" s="74">
        <v>4.0</v>
      </c>
      <c r="Q554" s="343">
        <v>46186.64474537037</v>
      </c>
      <c r="R554" s="185">
        <v>13.0</v>
      </c>
      <c r="S554" s="185">
        <v>6.0</v>
      </c>
      <c r="T554" s="194">
        <v>2026.0</v>
      </c>
      <c r="U554" s="74" t="s">
        <v>262</v>
      </c>
      <c r="V554" s="74">
        <v>59.5</v>
      </c>
      <c r="W554" s="343">
        <v>46186.64361111111</v>
      </c>
      <c r="X554" s="194">
        <v>13.0</v>
      </c>
      <c r="Y554" s="194">
        <v>6.0</v>
      </c>
      <c r="Z554" s="194">
        <v>2026.0</v>
      </c>
      <c r="AA554" s="74" t="s">
        <v>262</v>
      </c>
    </row>
    <row r="555" ht="15.75" hidden="1" customHeight="1">
      <c r="A555" s="340" t="s">
        <v>2040</v>
      </c>
      <c r="B555" s="340" t="s">
        <v>2041</v>
      </c>
      <c r="C555" s="343">
        <v>46190.0</v>
      </c>
      <c r="D555" s="194">
        <v>17.0</v>
      </c>
      <c r="E555" s="194">
        <v>6.0</v>
      </c>
      <c r="F555" s="194">
        <v>2026.0</v>
      </c>
      <c r="G555" s="343">
        <v>46191.0</v>
      </c>
      <c r="H555" s="194">
        <v>18.0</v>
      </c>
      <c r="I555" s="194">
        <v>6.0</v>
      </c>
      <c r="J555" s="194">
        <v>2026.0</v>
      </c>
      <c r="K555" s="74" t="s">
        <v>46</v>
      </c>
      <c r="L555" s="74" t="s">
        <v>1177</v>
      </c>
      <c r="M555" s="74">
        <v>1.0</v>
      </c>
      <c r="N555" s="74">
        <v>1.0</v>
      </c>
      <c r="O555" s="74"/>
      <c r="P555" s="74">
        <v>2.0</v>
      </c>
      <c r="Q555" s="343">
        <v>46190.86451388889</v>
      </c>
      <c r="R555" s="185">
        <v>17.0</v>
      </c>
      <c r="S555" s="185">
        <v>6.0</v>
      </c>
      <c r="T555" s="194">
        <v>2026.0</v>
      </c>
      <c r="U555" s="74" t="s">
        <v>245</v>
      </c>
      <c r="V555" s="74">
        <v>29.75</v>
      </c>
      <c r="W555" s="343">
        <v>46190.86451388889</v>
      </c>
      <c r="X555" s="194">
        <v>17.0</v>
      </c>
      <c r="Y555" s="194">
        <v>6.0</v>
      </c>
      <c r="Z555" s="194">
        <v>2026.0</v>
      </c>
      <c r="AA555" s="74" t="s">
        <v>245</v>
      </c>
    </row>
    <row r="556" ht="15.75" hidden="1" customHeight="1">
      <c r="A556" s="340" t="s">
        <v>2042</v>
      </c>
      <c r="B556" s="340" t="s">
        <v>2043</v>
      </c>
      <c r="C556" s="343">
        <v>46203.0</v>
      </c>
      <c r="D556" s="194">
        <v>30.0</v>
      </c>
      <c r="E556" s="194">
        <v>6.0</v>
      </c>
      <c r="F556" s="194">
        <v>2026.0</v>
      </c>
      <c r="G556" s="343">
        <v>46206.0</v>
      </c>
      <c r="H556" s="194">
        <v>3.0</v>
      </c>
      <c r="I556" s="194">
        <v>7.0</v>
      </c>
      <c r="J556" s="194">
        <v>2026.0</v>
      </c>
      <c r="K556" s="74" t="s">
        <v>46</v>
      </c>
      <c r="L556" s="74" t="s">
        <v>1177</v>
      </c>
      <c r="M556" s="74">
        <v>2.0</v>
      </c>
      <c r="N556" s="74">
        <v>3.0</v>
      </c>
      <c r="O556" s="74"/>
      <c r="P556" s="74">
        <v>12.0</v>
      </c>
      <c r="Q556" s="343">
        <v>46203.61188657407</v>
      </c>
      <c r="R556" s="185">
        <v>30.0</v>
      </c>
      <c r="S556" s="185">
        <v>6.0</v>
      </c>
      <c r="T556" s="194">
        <v>2026.0</v>
      </c>
      <c r="U556" s="74" t="s">
        <v>262</v>
      </c>
      <c r="V556" s="74">
        <v>178.5</v>
      </c>
      <c r="W556" s="343">
        <v>46203.611342592594</v>
      </c>
      <c r="X556" s="194">
        <v>30.0</v>
      </c>
      <c r="Y556" s="194">
        <v>6.0</v>
      </c>
      <c r="Z556" s="194">
        <v>2026.0</v>
      </c>
      <c r="AA556" s="74" t="s">
        <v>262</v>
      </c>
    </row>
    <row r="557" ht="15.75" hidden="1" customHeight="1">
      <c r="A557" s="340" t="s">
        <v>2044</v>
      </c>
      <c r="B557" s="340" t="s">
        <v>2045</v>
      </c>
      <c r="C557" s="343">
        <v>46182.0</v>
      </c>
      <c r="D557" s="194">
        <v>9.0</v>
      </c>
      <c r="E557" s="194">
        <v>6.0</v>
      </c>
      <c r="F557" s="194">
        <v>2026.0</v>
      </c>
      <c r="G557" s="343">
        <v>46183.0</v>
      </c>
      <c r="H557" s="194">
        <v>10.0</v>
      </c>
      <c r="I557" s="194">
        <v>6.0</v>
      </c>
      <c r="J557" s="194">
        <v>2026.0</v>
      </c>
      <c r="K557" s="74" t="s">
        <v>46</v>
      </c>
      <c r="L557" s="74" t="s">
        <v>1177</v>
      </c>
      <c r="M557" s="74">
        <v>1.0</v>
      </c>
      <c r="N557" s="74">
        <v>1.0</v>
      </c>
      <c r="O557" s="74"/>
      <c r="P557" s="74">
        <v>2.0</v>
      </c>
      <c r="Q557" s="343">
        <v>46182.76273148148</v>
      </c>
      <c r="R557" s="185">
        <v>9.0</v>
      </c>
      <c r="S557" s="185">
        <v>6.0</v>
      </c>
      <c r="T557" s="194">
        <v>2026.0</v>
      </c>
      <c r="U557" s="74" t="s">
        <v>245</v>
      </c>
      <c r="V557" s="74">
        <v>29.75</v>
      </c>
      <c r="W557" s="343">
        <v>46182.762407407405</v>
      </c>
      <c r="X557" s="194">
        <v>9.0</v>
      </c>
      <c r="Y557" s="194">
        <v>6.0</v>
      </c>
      <c r="Z557" s="194">
        <v>2026.0</v>
      </c>
      <c r="AA557" s="74" t="s">
        <v>245</v>
      </c>
    </row>
    <row r="558" ht="15.75" hidden="1" customHeight="1">
      <c r="A558" s="340" t="s">
        <v>2046</v>
      </c>
      <c r="B558" s="340" t="s">
        <v>2047</v>
      </c>
      <c r="C558" s="343">
        <v>46197.0</v>
      </c>
      <c r="D558" s="194">
        <v>24.0</v>
      </c>
      <c r="E558" s="194">
        <v>6.0</v>
      </c>
      <c r="F558" s="194">
        <v>2026.0</v>
      </c>
      <c r="G558" s="343">
        <v>46200.0</v>
      </c>
      <c r="H558" s="194">
        <v>27.0</v>
      </c>
      <c r="I558" s="194">
        <v>6.0</v>
      </c>
      <c r="J558" s="194">
        <v>2026.0</v>
      </c>
      <c r="K558" s="74" t="s">
        <v>46</v>
      </c>
      <c r="L558" s="74" t="s">
        <v>1177</v>
      </c>
      <c r="M558" s="74">
        <v>1.0</v>
      </c>
      <c r="N558" s="74">
        <v>3.0</v>
      </c>
      <c r="O558" s="74"/>
      <c r="P558" s="74">
        <v>6.0</v>
      </c>
      <c r="Q558" s="343">
        <v>46198.38822916667</v>
      </c>
      <c r="R558" s="185">
        <v>25.0</v>
      </c>
      <c r="S558" s="185">
        <v>6.0</v>
      </c>
      <c r="T558" s="194">
        <v>2026.0</v>
      </c>
      <c r="U558" s="74" t="s">
        <v>245</v>
      </c>
      <c r="V558" s="74">
        <v>89.25</v>
      </c>
      <c r="W558" s="343">
        <v>46198.38822916667</v>
      </c>
      <c r="X558" s="194">
        <v>25.0</v>
      </c>
      <c r="Y558" s="194">
        <v>6.0</v>
      </c>
      <c r="Z558" s="194">
        <v>2026.0</v>
      </c>
      <c r="AA558" s="74" t="s">
        <v>245</v>
      </c>
    </row>
    <row r="559" ht="15.75" hidden="1" customHeight="1">
      <c r="A559" s="340" t="s">
        <v>2048</v>
      </c>
      <c r="B559" s="340" t="s">
        <v>2049</v>
      </c>
      <c r="C559" s="343">
        <v>46189.0</v>
      </c>
      <c r="D559" s="194">
        <v>16.0</v>
      </c>
      <c r="E559" s="194">
        <v>6.0</v>
      </c>
      <c r="F559" s="194">
        <v>2026.0</v>
      </c>
      <c r="G559" s="343">
        <v>46191.0</v>
      </c>
      <c r="H559" s="194">
        <v>18.0</v>
      </c>
      <c r="I559" s="194">
        <v>6.0</v>
      </c>
      <c r="J559" s="194">
        <v>2026.0</v>
      </c>
      <c r="K559" s="74" t="s">
        <v>46</v>
      </c>
      <c r="L559" s="74" t="s">
        <v>1177</v>
      </c>
      <c r="M559" s="74">
        <v>1.0</v>
      </c>
      <c r="N559" s="74">
        <v>2.0</v>
      </c>
      <c r="O559" s="74"/>
      <c r="P559" s="74">
        <v>4.0</v>
      </c>
      <c r="Q559" s="343">
        <v>46191.304131944446</v>
      </c>
      <c r="R559" s="185">
        <v>18.0</v>
      </c>
      <c r="S559" s="185">
        <v>6.0</v>
      </c>
      <c r="T559" s="194">
        <v>2026.0</v>
      </c>
      <c r="U559" s="74" t="s">
        <v>245</v>
      </c>
      <c r="V559" s="74">
        <v>76.5</v>
      </c>
      <c r="W559" s="343">
        <v>46191.304131944446</v>
      </c>
      <c r="X559" s="194">
        <v>18.0</v>
      </c>
      <c r="Y559" s="194">
        <v>6.0</v>
      </c>
      <c r="Z559" s="194">
        <v>2026.0</v>
      </c>
      <c r="AA559" s="74" t="s">
        <v>245</v>
      </c>
    </row>
    <row r="560" ht="15.75" hidden="1" customHeight="1">
      <c r="A560" s="340" t="s">
        <v>2050</v>
      </c>
      <c r="B560" s="340" t="s">
        <v>2051</v>
      </c>
      <c r="C560" s="343">
        <v>46179.0</v>
      </c>
      <c r="D560" s="194">
        <v>6.0</v>
      </c>
      <c r="E560" s="194">
        <v>6.0</v>
      </c>
      <c r="F560" s="194">
        <v>2026.0</v>
      </c>
      <c r="G560" s="343">
        <v>46180.0</v>
      </c>
      <c r="H560" s="194">
        <v>7.0</v>
      </c>
      <c r="I560" s="194">
        <v>6.0</v>
      </c>
      <c r="J560" s="194">
        <v>2026.0</v>
      </c>
      <c r="K560" s="74" t="s">
        <v>46</v>
      </c>
      <c r="L560" s="74" t="s">
        <v>1177</v>
      </c>
      <c r="M560" s="74">
        <v>1.0</v>
      </c>
      <c r="N560" s="74">
        <v>1.0</v>
      </c>
      <c r="O560" s="74"/>
      <c r="P560" s="74">
        <v>2.0</v>
      </c>
      <c r="Q560" s="343">
        <v>46180.00837962963</v>
      </c>
      <c r="R560" s="185">
        <v>7.0</v>
      </c>
      <c r="S560" s="185">
        <v>6.0</v>
      </c>
      <c r="T560" s="194">
        <v>2026.0</v>
      </c>
      <c r="U560" s="74" t="s">
        <v>262</v>
      </c>
      <c r="V560" s="74">
        <v>38.25</v>
      </c>
      <c r="W560" s="343">
        <v>46180.00813657408</v>
      </c>
      <c r="X560" s="194">
        <v>7.0</v>
      </c>
      <c r="Y560" s="194">
        <v>6.0</v>
      </c>
      <c r="Z560" s="194">
        <v>2026.0</v>
      </c>
      <c r="AA560" s="74" t="s">
        <v>262</v>
      </c>
    </row>
    <row r="561" ht="15.75" hidden="1" customHeight="1">
      <c r="A561" s="340" t="s">
        <v>2052</v>
      </c>
      <c r="B561" s="340" t="s">
        <v>2053</v>
      </c>
      <c r="C561" s="343">
        <v>46177.0</v>
      </c>
      <c r="D561" s="194">
        <v>4.0</v>
      </c>
      <c r="E561" s="194">
        <v>6.0</v>
      </c>
      <c r="F561" s="194">
        <v>2026.0</v>
      </c>
      <c r="G561" s="343">
        <v>46181.0</v>
      </c>
      <c r="H561" s="194">
        <v>8.0</v>
      </c>
      <c r="I561" s="194">
        <v>6.0</v>
      </c>
      <c r="J561" s="194">
        <v>2026.0</v>
      </c>
      <c r="K561" s="74" t="s">
        <v>46</v>
      </c>
      <c r="L561" s="74" t="s">
        <v>1177</v>
      </c>
      <c r="M561" s="74">
        <v>1.0</v>
      </c>
      <c r="N561" s="74">
        <v>4.0</v>
      </c>
      <c r="O561" s="74"/>
      <c r="P561" s="74">
        <v>8.0</v>
      </c>
      <c r="Q561" s="343">
        <v>46177.80216435185</v>
      </c>
      <c r="R561" s="185">
        <v>4.0</v>
      </c>
      <c r="S561" s="185">
        <v>6.0</v>
      </c>
      <c r="T561" s="194">
        <v>2026.0</v>
      </c>
      <c r="U561" s="74" t="s">
        <v>245</v>
      </c>
      <c r="V561" s="74">
        <v>119.0</v>
      </c>
      <c r="W561" s="343">
        <v>46177.80194444444</v>
      </c>
      <c r="X561" s="194">
        <v>4.0</v>
      </c>
      <c r="Y561" s="194">
        <v>6.0</v>
      </c>
      <c r="Z561" s="194">
        <v>2026.0</v>
      </c>
      <c r="AA561" s="74" t="s">
        <v>245</v>
      </c>
    </row>
    <row r="562" ht="15.75" hidden="1" customHeight="1">
      <c r="A562" s="340" t="s">
        <v>2054</v>
      </c>
      <c r="B562" s="340" t="s">
        <v>2055</v>
      </c>
      <c r="C562" s="343">
        <v>46186.0</v>
      </c>
      <c r="D562" s="194">
        <v>13.0</v>
      </c>
      <c r="E562" s="194">
        <v>6.0</v>
      </c>
      <c r="F562" s="194">
        <v>2026.0</v>
      </c>
      <c r="G562" s="343">
        <v>46188.0</v>
      </c>
      <c r="H562" s="194">
        <v>15.0</v>
      </c>
      <c r="I562" s="194">
        <v>6.0</v>
      </c>
      <c r="J562" s="194">
        <v>2026.0</v>
      </c>
      <c r="K562" s="74" t="s">
        <v>46</v>
      </c>
      <c r="L562" s="74" t="s">
        <v>1177</v>
      </c>
      <c r="M562" s="74">
        <v>1.0</v>
      </c>
      <c r="N562" s="74">
        <v>2.0</v>
      </c>
      <c r="O562" s="74"/>
      <c r="P562" s="74">
        <v>4.0</v>
      </c>
      <c r="Q562" s="343">
        <v>46187.63269675926</v>
      </c>
      <c r="R562" s="185">
        <v>14.0</v>
      </c>
      <c r="S562" s="185">
        <v>6.0</v>
      </c>
      <c r="T562" s="194">
        <v>2026.0</v>
      </c>
      <c r="U562" s="74" t="s">
        <v>245</v>
      </c>
      <c r="V562" s="74">
        <v>59.5</v>
      </c>
      <c r="W562" s="343">
        <v>46187.632256944446</v>
      </c>
      <c r="X562" s="194">
        <v>14.0</v>
      </c>
      <c r="Y562" s="194">
        <v>6.0</v>
      </c>
      <c r="Z562" s="194">
        <v>2026.0</v>
      </c>
      <c r="AA562" s="74" t="s">
        <v>245</v>
      </c>
    </row>
    <row r="563" ht="15.75" hidden="1" customHeight="1">
      <c r="A563" s="340" t="s">
        <v>2056</v>
      </c>
      <c r="B563" s="340" t="s">
        <v>2057</v>
      </c>
      <c r="C563" s="343">
        <v>46186.0</v>
      </c>
      <c r="D563" s="194">
        <v>13.0</v>
      </c>
      <c r="E563" s="194">
        <v>6.0</v>
      </c>
      <c r="F563" s="194">
        <v>2026.0</v>
      </c>
      <c r="G563" s="343">
        <v>46188.0</v>
      </c>
      <c r="H563" s="194">
        <v>15.0</v>
      </c>
      <c r="I563" s="194">
        <v>6.0</v>
      </c>
      <c r="J563" s="194">
        <v>2026.0</v>
      </c>
      <c r="K563" s="74" t="s">
        <v>46</v>
      </c>
      <c r="L563" s="74" t="s">
        <v>1177</v>
      </c>
      <c r="M563" s="74">
        <v>1.0</v>
      </c>
      <c r="N563" s="74">
        <v>2.0</v>
      </c>
      <c r="O563" s="74"/>
      <c r="P563" s="74">
        <v>4.0</v>
      </c>
      <c r="Q563" s="343">
        <v>46187.84711805556</v>
      </c>
      <c r="R563" s="185">
        <v>14.0</v>
      </c>
      <c r="S563" s="185">
        <v>6.0</v>
      </c>
      <c r="T563" s="194">
        <v>2026.0</v>
      </c>
      <c r="U563" s="74" t="s">
        <v>245</v>
      </c>
      <c r="V563" s="74">
        <v>76.5</v>
      </c>
      <c r="W563" s="343">
        <v>46187.84652777778</v>
      </c>
      <c r="X563" s="194">
        <v>14.0</v>
      </c>
      <c r="Y563" s="194">
        <v>6.0</v>
      </c>
      <c r="Z563" s="194">
        <v>2026.0</v>
      </c>
      <c r="AA563" s="74" t="s">
        <v>245</v>
      </c>
    </row>
    <row r="564" ht="15.75" hidden="1" customHeight="1">
      <c r="A564" s="340" t="s">
        <v>2058</v>
      </c>
      <c r="B564" s="340" t="s">
        <v>2059</v>
      </c>
      <c r="C564" s="343">
        <v>46194.0</v>
      </c>
      <c r="D564" s="194">
        <v>21.0</v>
      </c>
      <c r="E564" s="194">
        <v>6.0</v>
      </c>
      <c r="F564" s="194">
        <v>2026.0</v>
      </c>
      <c r="G564" s="343">
        <v>46195.0</v>
      </c>
      <c r="H564" s="194">
        <v>22.0</v>
      </c>
      <c r="I564" s="194">
        <v>6.0</v>
      </c>
      <c r="J564" s="194">
        <v>2026.0</v>
      </c>
      <c r="K564" s="74" t="s">
        <v>46</v>
      </c>
      <c r="L564" s="74" t="s">
        <v>1177</v>
      </c>
      <c r="M564" s="74">
        <v>1.0</v>
      </c>
      <c r="N564" s="74">
        <v>1.0</v>
      </c>
      <c r="O564" s="74"/>
      <c r="P564" s="74">
        <v>2.0</v>
      </c>
      <c r="Q564" s="343">
        <v>46194.83409722222</v>
      </c>
      <c r="R564" s="185">
        <v>21.0</v>
      </c>
      <c r="S564" s="185">
        <v>6.0</v>
      </c>
      <c r="T564" s="194">
        <v>2026.0</v>
      </c>
      <c r="U564" s="74" t="s">
        <v>12</v>
      </c>
      <c r="V564" s="74">
        <v>29.75</v>
      </c>
      <c r="W564" s="343">
        <v>46194.83358796296</v>
      </c>
      <c r="X564" s="194">
        <v>21.0</v>
      </c>
      <c r="Y564" s="194">
        <v>6.0</v>
      </c>
      <c r="Z564" s="194">
        <v>2026.0</v>
      </c>
      <c r="AA564" s="74" t="s">
        <v>12</v>
      </c>
    </row>
    <row r="565" ht="15.75" hidden="1" customHeight="1">
      <c r="A565" s="340" t="s">
        <v>2060</v>
      </c>
      <c r="B565" s="340" t="s">
        <v>2061</v>
      </c>
      <c r="C565" s="343">
        <v>46176.0</v>
      </c>
      <c r="D565" s="194">
        <v>3.0</v>
      </c>
      <c r="E565" s="194">
        <v>6.0</v>
      </c>
      <c r="F565" s="194">
        <v>2026.0</v>
      </c>
      <c r="G565" s="343">
        <v>46177.0</v>
      </c>
      <c r="H565" s="194">
        <v>4.0</v>
      </c>
      <c r="I565" s="194">
        <v>6.0</v>
      </c>
      <c r="J565" s="194">
        <v>2026.0</v>
      </c>
      <c r="K565" s="74" t="s">
        <v>46</v>
      </c>
      <c r="L565" s="74" t="s">
        <v>1177</v>
      </c>
      <c r="M565" s="74">
        <v>1.0</v>
      </c>
      <c r="N565" s="74">
        <v>1.0</v>
      </c>
      <c r="O565" s="74"/>
      <c r="P565" s="74">
        <v>2.0</v>
      </c>
      <c r="Q565" s="343">
        <v>46177.431655092594</v>
      </c>
      <c r="R565" s="185">
        <v>4.0</v>
      </c>
      <c r="S565" s="185">
        <v>6.0</v>
      </c>
      <c r="T565" s="194">
        <v>2026.0</v>
      </c>
      <c r="U565" s="74" t="s">
        <v>245</v>
      </c>
      <c r="V565" s="74">
        <v>38.25</v>
      </c>
      <c r="W565" s="343">
        <v>46177.43142361111</v>
      </c>
      <c r="X565" s="194">
        <v>4.0</v>
      </c>
      <c r="Y565" s="194">
        <v>6.0</v>
      </c>
      <c r="Z565" s="194">
        <v>2026.0</v>
      </c>
      <c r="AA565" s="74" t="s">
        <v>245</v>
      </c>
    </row>
    <row r="566" ht="15.75" hidden="1" customHeight="1">
      <c r="A566" s="340" t="s">
        <v>2062</v>
      </c>
      <c r="B566" s="340" t="s">
        <v>2063</v>
      </c>
      <c r="C566" s="343">
        <v>46196.0</v>
      </c>
      <c r="D566" s="194">
        <v>23.0</v>
      </c>
      <c r="E566" s="194">
        <v>6.0</v>
      </c>
      <c r="F566" s="194">
        <v>2026.0</v>
      </c>
      <c r="G566" s="343">
        <v>46198.0</v>
      </c>
      <c r="H566" s="194">
        <v>25.0</v>
      </c>
      <c r="I566" s="194">
        <v>6.0</v>
      </c>
      <c r="J566" s="194">
        <v>2026.0</v>
      </c>
      <c r="K566" s="74" t="s">
        <v>46</v>
      </c>
      <c r="L566" s="74" t="s">
        <v>1177</v>
      </c>
      <c r="M566" s="74">
        <v>1.0</v>
      </c>
      <c r="N566" s="74">
        <v>2.0</v>
      </c>
      <c r="O566" s="74"/>
      <c r="P566" s="74">
        <v>4.0</v>
      </c>
      <c r="Q566" s="343">
        <v>46196.85792824074</v>
      </c>
      <c r="R566" s="185">
        <v>23.0</v>
      </c>
      <c r="S566" s="185">
        <v>6.0</v>
      </c>
      <c r="T566" s="194">
        <v>2026.0</v>
      </c>
      <c r="U566" s="74" t="s">
        <v>12</v>
      </c>
      <c r="V566" s="74">
        <v>59.5</v>
      </c>
      <c r="W566" s="343">
        <v>46196.85766203704</v>
      </c>
      <c r="X566" s="194">
        <v>23.0</v>
      </c>
      <c r="Y566" s="194">
        <v>6.0</v>
      </c>
      <c r="Z566" s="194">
        <v>2026.0</v>
      </c>
      <c r="AA566" s="74" t="s">
        <v>12</v>
      </c>
    </row>
    <row r="567" ht="15.75" hidden="1" customHeight="1">
      <c r="A567" s="340" t="s">
        <v>2064</v>
      </c>
      <c r="B567" s="340" t="s">
        <v>2065</v>
      </c>
      <c r="C567" s="343">
        <v>46195.0</v>
      </c>
      <c r="D567" s="194">
        <v>22.0</v>
      </c>
      <c r="E567" s="194">
        <v>6.0</v>
      </c>
      <c r="F567" s="194">
        <v>2026.0</v>
      </c>
      <c r="G567" s="343">
        <v>46196.0</v>
      </c>
      <c r="H567" s="194">
        <v>23.0</v>
      </c>
      <c r="I567" s="194">
        <v>6.0</v>
      </c>
      <c r="J567" s="194">
        <v>2026.0</v>
      </c>
      <c r="K567" s="74" t="s">
        <v>46</v>
      </c>
      <c r="L567" s="74" t="s">
        <v>1177</v>
      </c>
      <c r="M567" s="74">
        <v>2.0</v>
      </c>
      <c r="N567" s="74">
        <v>1.0</v>
      </c>
      <c r="O567" s="74"/>
      <c r="P567" s="74">
        <v>4.0</v>
      </c>
      <c r="Q567" s="343">
        <v>46195.84247685185</v>
      </c>
      <c r="R567" s="185">
        <v>22.0</v>
      </c>
      <c r="S567" s="185">
        <v>6.0</v>
      </c>
      <c r="T567" s="194">
        <v>2026.0</v>
      </c>
      <c r="U567" s="74" t="s">
        <v>262</v>
      </c>
      <c r="V567" s="74">
        <v>76.5</v>
      </c>
      <c r="W567" s="343">
        <v>46195.84193287037</v>
      </c>
      <c r="X567" s="194">
        <v>22.0</v>
      </c>
      <c r="Y567" s="194">
        <v>6.0</v>
      </c>
      <c r="Z567" s="194">
        <v>2026.0</v>
      </c>
      <c r="AA567" s="74" t="s">
        <v>262</v>
      </c>
    </row>
    <row r="568" ht="15.75" hidden="1" customHeight="1">
      <c r="A568" s="340" t="s">
        <v>2066</v>
      </c>
      <c r="B568" s="340" t="s">
        <v>2067</v>
      </c>
      <c r="C568" s="343">
        <v>46175.0</v>
      </c>
      <c r="D568" s="194">
        <v>2.0</v>
      </c>
      <c r="E568" s="194">
        <v>6.0</v>
      </c>
      <c r="F568" s="194">
        <v>2026.0</v>
      </c>
      <c r="G568" s="343">
        <v>46176.0</v>
      </c>
      <c r="H568" s="194">
        <v>3.0</v>
      </c>
      <c r="I568" s="194">
        <v>6.0</v>
      </c>
      <c r="J568" s="194">
        <v>2026.0</v>
      </c>
      <c r="K568" s="74" t="s">
        <v>46</v>
      </c>
      <c r="L568" s="74" t="s">
        <v>1177</v>
      </c>
      <c r="M568" s="74">
        <v>1.0</v>
      </c>
      <c r="N568" s="74">
        <v>1.0</v>
      </c>
      <c r="O568" s="74"/>
      <c r="P568" s="74">
        <v>2.0</v>
      </c>
      <c r="Q568" s="343">
        <v>46176.03635416667</v>
      </c>
      <c r="R568" s="185">
        <v>3.0</v>
      </c>
      <c r="S568" s="185">
        <v>6.0</v>
      </c>
      <c r="T568" s="194">
        <v>2026.0</v>
      </c>
      <c r="U568" s="74" t="s">
        <v>245</v>
      </c>
      <c r="V568" s="74">
        <v>27.2</v>
      </c>
      <c r="W568" s="343">
        <v>46176.03600694444</v>
      </c>
      <c r="X568" s="194">
        <v>3.0</v>
      </c>
      <c r="Y568" s="194">
        <v>6.0</v>
      </c>
      <c r="Z568" s="194">
        <v>2026.0</v>
      </c>
      <c r="AA568" s="74" t="s">
        <v>245</v>
      </c>
    </row>
    <row r="569" ht="15.75" hidden="1" customHeight="1">
      <c r="A569" s="340" t="s">
        <v>2068</v>
      </c>
      <c r="B569" s="340" t="s">
        <v>2069</v>
      </c>
      <c r="C569" s="343">
        <v>46197.0</v>
      </c>
      <c r="D569" s="194">
        <v>24.0</v>
      </c>
      <c r="E569" s="194">
        <v>6.0</v>
      </c>
      <c r="F569" s="194">
        <v>2026.0</v>
      </c>
      <c r="G569" s="343">
        <v>46200.0</v>
      </c>
      <c r="H569" s="194">
        <v>27.0</v>
      </c>
      <c r="I569" s="194">
        <v>6.0</v>
      </c>
      <c r="J569" s="194">
        <v>2026.0</v>
      </c>
      <c r="K569" s="74" t="s">
        <v>46</v>
      </c>
      <c r="L569" s="74" t="s">
        <v>1177</v>
      </c>
      <c r="M569" s="74">
        <v>2.0</v>
      </c>
      <c r="N569" s="74">
        <v>3.0</v>
      </c>
      <c r="O569" s="74"/>
      <c r="P569" s="74">
        <v>12.0</v>
      </c>
      <c r="Q569" s="343">
        <v>46197.69304398148</v>
      </c>
      <c r="R569" s="185">
        <v>24.0</v>
      </c>
      <c r="S569" s="185">
        <v>6.0</v>
      </c>
      <c r="T569" s="194">
        <v>2026.0</v>
      </c>
      <c r="U569" s="74" t="s">
        <v>245</v>
      </c>
      <c r="V569" s="74">
        <v>229.5</v>
      </c>
      <c r="W569" s="343">
        <v>46197.69304398148</v>
      </c>
      <c r="X569" s="194">
        <v>24.0</v>
      </c>
      <c r="Y569" s="194">
        <v>6.0</v>
      </c>
      <c r="Z569" s="194">
        <v>2026.0</v>
      </c>
      <c r="AA569" s="74" t="s">
        <v>245</v>
      </c>
    </row>
    <row r="570" ht="15.75" hidden="1" customHeight="1">
      <c r="A570" s="340" t="s">
        <v>2070</v>
      </c>
      <c r="B570" s="340" t="s">
        <v>2071</v>
      </c>
      <c r="C570" s="343">
        <v>46185.0</v>
      </c>
      <c r="D570" s="194">
        <v>12.0</v>
      </c>
      <c r="E570" s="194">
        <v>6.0</v>
      </c>
      <c r="F570" s="194">
        <v>2026.0</v>
      </c>
      <c r="G570" s="343">
        <v>46186.0</v>
      </c>
      <c r="H570" s="194">
        <v>13.0</v>
      </c>
      <c r="I570" s="194">
        <v>6.0</v>
      </c>
      <c r="J570" s="194">
        <v>2026.0</v>
      </c>
      <c r="K570" s="74" t="s">
        <v>46</v>
      </c>
      <c r="L570" s="74" t="s">
        <v>1177</v>
      </c>
      <c r="M570" s="74">
        <v>1.0</v>
      </c>
      <c r="N570" s="74">
        <v>1.0</v>
      </c>
      <c r="O570" s="74"/>
      <c r="P570" s="74">
        <v>2.0</v>
      </c>
      <c r="Q570" s="343">
        <v>46185.8553125</v>
      </c>
      <c r="R570" s="185">
        <v>12.0</v>
      </c>
      <c r="S570" s="185">
        <v>6.0</v>
      </c>
      <c r="T570" s="194">
        <v>2026.0</v>
      </c>
      <c r="U570" s="74" t="s">
        <v>262</v>
      </c>
      <c r="V570" s="74">
        <v>55.25</v>
      </c>
      <c r="W570" s="343">
        <v>46185.85480324074</v>
      </c>
      <c r="X570" s="194">
        <v>12.0</v>
      </c>
      <c r="Y570" s="194">
        <v>6.0</v>
      </c>
      <c r="Z570" s="194">
        <v>2026.0</v>
      </c>
      <c r="AA570" s="74" t="s">
        <v>262</v>
      </c>
    </row>
    <row r="571" ht="15.75" hidden="1" customHeight="1">
      <c r="A571" s="340" t="s">
        <v>2072</v>
      </c>
      <c r="B571" s="340" t="s">
        <v>2073</v>
      </c>
      <c r="C571" s="343">
        <v>46174.0</v>
      </c>
      <c r="D571" s="194">
        <v>1.0</v>
      </c>
      <c r="E571" s="194">
        <v>6.0</v>
      </c>
      <c r="F571" s="194">
        <v>2026.0</v>
      </c>
      <c r="G571" s="343">
        <v>46175.0</v>
      </c>
      <c r="H571" s="194">
        <v>2.0</v>
      </c>
      <c r="I571" s="194">
        <v>6.0</v>
      </c>
      <c r="J571" s="194">
        <v>2026.0</v>
      </c>
      <c r="K571" s="74" t="s">
        <v>46</v>
      </c>
      <c r="L571" s="74" t="s">
        <v>1177</v>
      </c>
      <c r="M571" s="74">
        <v>1.0</v>
      </c>
      <c r="N571" s="74">
        <v>1.0</v>
      </c>
      <c r="O571" s="74"/>
      <c r="P571" s="74">
        <v>2.0</v>
      </c>
      <c r="Q571" s="343">
        <v>46175.05269675926</v>
      </c>
      <c r="R571" s="185">
        <v>2.0</v>
      </c>
      <c r="S571" s="185">
        <v>6.0</v>
      </c>
      <c r="T571" s="194">
        <v>2026.0</v>
      </c>
      <c r="U571" s="74" t="s">
        <v>245</v>
      </c>
      <c r="V571" s="74">
        <v>29.75</v>
      </c>
      <c r="W571" s="343">
        <v>46175.052569444444</v>
      </c>
      <c r="X571" s="194">
        <v>2.0</v>
      </c>
      <c r="Y571" s="194">
        <v>6.0</v>
      </c>
      <c r="Z571" s="194">
        <v>2026.0</v>
      </c>
      <c r="AA571" s="74" t="s">
        <v>262</v>
      </c>
    </row>
    <row r="572" ht="15.75" hidden="1" customHeight="1">
      <c r="A572" s="340" t="s">
        <v>2074</v>
      </c>
      <c r="B572" s="340" t="s">
        <v>2075</v>
      </c>
      <c r="C572" s="343">
        <v>46187.0</v>
      </c>
      <c r="D572" s="194">
        <v>14.0</v>
      </c>
      <c r="E572" s="194">
        <v>6.0</v>
      </c>
      <c r="F572" s="194">
        <v>2026.0</v>
      </c>
      <c r="G572" s="343">
        <v>46188.0</v>
      </c>
      <c r="H572" s="194">
        <v>15.0</v>
      </c>
      <c r="I572" s="194">
        <v>6.0</v>
      </c>
      <c r="J572" s="194">
        <v>2026.0</v>
      </c>
      <c r="K572" s="74" t="s">
        <v>46</v>
      </c>
      <c r="L572" s="74" t="s">
        <v>1177</v>
      </c>
      <c r="M572" s="74">
        <v>1.0</v>
      </c>
      <c r="N572" s="74">
        <v>1.0</v>
      </c>
      <c r="O572" s="74"/>
      <c r="P572" s="74">
        <v>2.0</v>
      </c>
      <c r="Q572" s="343">
        <v>46187.58488425926</v>
      </c>
      <c r="R572" s="185">
        <v>14.0</v>
      </c>
      <c r="S572" s="185">
        <v>6.0</v>
      </c>
      <c r="T572" s="194">
        <v>2026.0</v>
      </c>
      <c r="U572" s="74" t="s">
        <v>245</v>
      </c>
      <c r="V572" s="74">
        <v>29.75</v>
      </c>
      <c r="W572" s="343">
        <v>46187.58451388889</v>
      </c>
      <c r="X572" s="194">
        <v>14.0</v>
      </c>
      <c r="Y572" s="194">
        <v>6.0</v>
      </c>
      <c r="Z572" s="194">
        <v>2026.0</v>
      </c>
      <c r="AA572" s="74" t="s">
        <v>245</v>
      </c>
    </row>
    <row r="573" ht="15.75" hidden="1" customHeight="1">
      <c r="A573" s="340" t="s">
        <v>2076</v>
      </c>
      <c r="B573" s="340" t="s">
        <v>2077</v>
      </c>
      <c r="C573" s="343">
        <v>46196.0</v>
      </c>
      <c r="D573" s="194">
        <v>23.0</v>
      </c>
      <c r="E573" s="194">
        <v>6.0</v>
      </c>
      <c r="F573" s="194">
        <v>2026.0</v>
      </c>
      <c r="G573" s="343">
        <v>46199.0</v>
      </c>
      <c r="H573" s="194">
        <v>26.0</v>
      </c>
      <c r="I573" s="194">
        <v>6.0</v>
      </c>
      <c r="J573" s="194">
        <v>2026.0</v>
      </c>
      <c r="K573" s="74" t="s">
        <v>46</v>
      </c>
      <c r="L573" s="74" t="s">
        <v>1177</v>
      </c>
      <c r="M573" s="74">
        <v>1.0</v>
      </c>
      <c r="N573" s="74">
        <v>3.0</v>
      </c>
      <c r="O573" s="74"/>
      <c r="P573" s="74">
        <v>6.0</v>
      </c>
      <c r="Q573" s="343">
        <v>46198.72834490741</v>
      </c>
      <c r="R573" s="185">
        <v>25.0</v>
      </c>
      <c r="S573" s="185">
        <v>6.0</v>
      </c>
      <c r="T573" s="194">
        <v>2026.0</v>
      </c>
      <c r="U573" s="74" t="s">
        <v>245</v>
      </c>
      <c r="V573" s="74">
        <v>89.25</v>
      </c>
      <c r="W573" s="343">
        <v>46198.70804398148</v>
      </c>
      <c r="X573" s="194">
        <v>25.0</v>
      </c>
      <c r="Y573" s="194">
        <v>6.0</v>
      </c>
      <c r="Z573" s="194">
        <v>2026.0</v>
      </c>
      <c r="AA573" s="74" t="s">
        <v>245</v>
      </c>
    </row>
    <row r="574" ht="15.75" hidden="1" customHeight="1">
      <c r="A574" s="340" t="s">
        <v>2078</v>
      </c>
      <c r="B574" s="340" t="s">
        <v>2079</v>
      </c>
      <c r="C574" s="343">
        <v>46178.0</v>
      </c>
      <c r="D574" s="194">
        <v>5.0</v>
      </c>
      <c r="E574" s="194">
        <v>6.0</v>
      </c>
      <c r="F574" s="194">
        <v>2026.0</v>
      </c>
      <c r="G574" s="343">
        <v>46181.0</v>
      </c>
      <c r="H574" s="194">
        <v>8.0</v>
      </c>
      <c r="I574" s="194">
        <v>6.0</v>
      </c>
      <c r="J574" s="194">
        <v>2026.0</v>
      </c>
      <c r="K574" s="74" t="s">
        <v>46</v>
      </c>
      <c r="L574" s="74" t="s">
        <v>1177</v>
      </c>
      <c r="M574" s="74">
        <v>1.0</v>
      </c>
      <c r="N574" s="74">
        <v>3.0</v>
      </c>
      <c r="O574" s="74"/>
      <c r="P574" s="74">
        <v>6.0</v>
      </c>
      <c r="Q574" s="343">
        <v>46178.6606712963</v>
      </c>
      <c r="R574" s="185">
        <v>5.0</v>
      </c>
      <c r="S574" s="185">
        <v>6.0</v>
      </c>
      <c r="T574" s="194">
        <v>2026.0</v>
      </c>
      <c r="U574" s="74" t="s">
        <v>262</v>
      </c>
      <c r="V574" s="74">
        <v>114.75</v>
      </c>
      <c r="W574" s="343">
        <v>46178.65729166667</v>
      </c>
      <c r="X574" s="194">
        <v>5.0</v>
      </c>
      <c r="Y574" s="194">
        <v>6.0</v>
      </c>
      <c r="Z574" s="194">
        <v>2026.0</v>
      </c>
      <c r="AA574" s="74" t="s">
        <v>262</v>
      </c>
    </row>
    <row r="575" ht="15.75" hidden="1" customHeight="1">
      <c r="A575" s="340" t="s">
        <v>2080</v>
      </c>
      <c r="B575" s="340" t="s">
        <v>2081</v>
      </c>
      <c r="C575" s="343">
        <v>46186.0</v>
      </c>
      <c r="D575" s="194">
        <v>13.0</v>
      </c>
      <c r="E575" s="194">
        <v>6.0</v>
      </c>
      <c r="F575" s="194">
        <v>2026.0</v>
      </c>
      <c r="G575" s="343">
        <v>46187.0</v>
      </c>
      <c r="H575" s="194">
        <v>14.0</v>
      </c>
      <c r="I575" s="194">
        <v>6.0</v>
      </c>
      <c r="J575" s="194">
        <v>2026.0</v>
      </c>
      <c r="K575" s="74" t="s">
        <v>46</v>
      </c>
      <c r="L575" s="74" t="s">
        <v>1177</v>
      </c>
      <c r="M575" s="74">
        <v>1.0</v>
      </c>
      <c r="N575" s="74">
        <v>1.0</v>
      </c>
      <c r="O575" s="74"/>
      <c r="P575" s="74">
        <v>2.0</v>
      </c>
      <c r="Q575" s="343">
        <v>46186.757835648146</v>
      </c>
      <c r="R575" s="185">
        <v>13.0</v>
      </c>
      <c r="S575" s="185">
        <v>6.0</v>
      </c>
      <c r="T575" s="194">
        <v>2026.0</v>
      </c>
      <c r="U575" s="74" t="s">
        <v>245</v>
      </c>
      <c r="V575" s="74">
        <v>29.75</v>
      </c>
      <c r="W575" s="343">
        <v>46186.75740740741</v>
      </c>
      <c r="X575" s="194">
        <v>13.0</v>
      </c>
      <c r="Y575" s="194">
        <v>6.0</v>
      </c>
      <c r="Z575" s="194">
        <v>2026.0</v>
      </c>
      <c r="AA575" s="74" t="s">
        <v>245</v>
      </c>
    </row>
    <row r="576" ht="15.75" hidden="1" customHeight="1">
      <c r="A576" s="340" t="s">
        <v>2082</v>
      </c>
      <c r="B576" s="340" t="s">
        <v>2083</v>
      </c>
      <c r="C576" s="343">
        <v>46189.0</v>
      </c>
      <c r="D576" s="194">
        <v>16.0</v>
      </c>
      <c r="E576" s="194">
        <v>6.0</v>
      </c>
      <c r="F576" s="194">
        <v>2026.0</v>
      </c>
      <c r="G576" s="343">
        <v>46190.0</v>
      </c>
      <c r="H576" s="194">
        <v>17.0</v>
      </c>
      <c r="I576" s="194">
        <v>6.0</v>
      </c>
      <c r="J576" s="194">
        <v>2026.0</v>
      </c>
      <c r="K576" s="74" t="s">
        <v>46</v>
      </c>
      <c r="L576" s="74" t="s">
        <v>1177</v>
      </c>
      <c r="M576" s="74">
        <v>1.0</v>
      </c>
      <c r="N576" s="74">
        <v>1.0</v>
      </c>
      <c r="O576" s="74"/>
      <c r="P576" s="74">
        <v>2.0</v>
      </c>
      <c r="Q576" s="343">
        <v>46189.63644675926</v>
      </c>
      <c r="R576" s="185">
        <v>16.0</v>
      </c>
      <c r="S576" s="185">
        <v>6.0</v>
      </c>
      <c r="T576" s="194">
        <v>2026.0</v>
      </c>
      <c r="U576" s="74" t="s">
        <v>262</v>
      </c>
      <c r="V576" s="74">
        <v>38.25</v>
      </c>
      <c r="W576" s="343">
        <v>46189.625081018516</v>
      </c>
      <c r="X576" s="194">
        <v>16.0</v>
      </c>
      <c r="Y576" s="194">
        <v>6.0</v>
      </c>
      <c r="Z576" s="194">
        <v>2026.0</v>
      </c>
      <c r="AA576" s="74" t="s">
        <v>262</v>
      </c>
    </row>
    <row r="577" ht="15.75" hidden="1" customHeight="1">
      <c r="A577" s="340" t="s">
        <v>2084</v>
      </c>
      <c r="B577" s="340" t="s">
        <v>2085</v>
      </c>
      <c r="C577" s="343">
        <v>46178.0</v>
      </c>
      <c r="D577" s="194">
        <v>5.0</v>
      </c>
      <c r="E577" s="194">
        <v>6.0</v>
      </c>
      <c r="F577" s="194">
        <v>2026.0</v>
      </c>
      <c r="G577" s="343">
        <v>46181.0</v>
      </c>
      <c r="H577" s="194">
        <v>8.0</v>
      </c>
      <c r="I577" s="194">
        <v>6.0</v>
      </c>
      <c r="J577" s="194">
        <v>2026.0</v>
      </c>
      <c r="K577" s="74" t="s">
        <v>46</v>
      </c>
      <c r="L577" s="74" t="s">
        <v>1177</v>
      </c>
      <c r="M577" s="74">
        <v>1.0</v>
      </c>
      <c r="N577" s="74">
        <v>3.0</v>
      </c>
      <c r="O577" s="74"/>
      <c r="P577" s="74">
        <v>6.0</v>
      </c>
      <c r="Q577" s="343">
        <v>46178.7459375</v>
      </c>
      <c r="R577" s="185">
        <v>5.0</v>
      </c>
      <c r="S577" s="185">
        <v>6.0</v>
      </c>
      <c r="T577" s="194">
        <v>2026.0</v>
      </c>
      <c r="U577" s="74" t="s">
        <v>262</v>
      </c>
      <c r="V577" s="74">
        <v>89.25</v>
      </c>
      <c r="W577" s="343">
        <v>46178.74553240741</v>
      </c>
      <c r="X577" s="194">
        <v>5.0</v>
      </c>
      <c r="Y577" s="194">
        <v>6.0</v>
      </c>
      <c r="Z577" s="194">
        <v>2026.0</v>
      </c>
      <c r="AA577" s="74" t="s">
        <v>262</v>
      </c>
    </row>
    <row r="578" ht="15.75" hidden="1" customHeight="1">
      <c r="A578" s="340" t="s">
        <v>2086</v>
      </c>
      <c r="B578" s="340" t="s">
        <v>2087</v>
      </c>
      <c r="C578" s="343">
        <v>46181.0</v>
      </c>
      <c r="D578" s="194">
        <v>8.0</v>
      </c>
      <c r="E578" s="194">
        <v>6.0</v>
      </c>
      <c r="F578" s="194">
        <v>2026.0</v>
      </c>
      <c r="G578" s="343">
        <v>46183.0</v>
      </c>
      <c r="H578" s="194">
        <v>10.0</v>
      </c>
      <c r="I578" s="194">
        <v>6.0</v>
      </c>
      <c r="J578" s="194">
        <v>2026.0</v>
      </c>
      <c r="K578" s="74" t="s">
        <v>46</v>
      </c>
      <c r="L578" s="74" t="s">
        <v>1177</v>
      </c>
      <c r="M578" s="74">
        <v>1.0</v>
      </c>
      <c r="N578" s="74">
        <v>2.0</v>
      </c>
      <c r="O578" s="74"/>
      <c r="P578" s="74">
        <v>4.0</v>
      </c>
      <c r="Q578" s="343">
        <v>46181.70846064815</v>
      </c>
      <c r="R578" s="185">
        <v>8.0</v>
      </c>
      <c r="S578" s="185">
        <v>6.0</v>
      </c>
      <c r="T578" s="194">
        <v>2026.0</v>
      </c>
      <c r="U578" s="74" t="s">
        <v>245</v>
      </c>
      <c r="V578" s="74">
        <v>73.95</v>
      </c>
      <c r="W578" s="343">
        <v>46181.70846064815</v>
      </c>
      <c r="X578" s="194">
        <v>8.0</v>
      </c>
      <c r="Y578" s="194">
        <v>6.0</v>
      </c>
      <c r="Z578" s="194">
        <v>2026.0</v>
      </c>
      <c r="AA578" s="74" t="s">
        <v>245</v>
      </c>
    </row>
    <row r="579" ht="15.75" hidden="1" customHeight="1">
      <c r="A579" s="340" t="s">
        <v>2088</v>
      </c>
      <c r="B579" s="340" t="s">
        <v>2089</v>
      </c>
      <c r="C579" s="343">
        <v>46198.0</v>
      </c>
      <c r="D579" s="194">
        <v>25.0</v>
      </c>
      <c r="E579" s="194">
        <v>6.0</v>
      </c>
      <c r="F579" s="194">
        <v>2026.0</v>
      </c>
      <c r="G579" s="343">
        <v>46199.0</v>
      </c>
      <c r="H579" s="194">
        <v>26.0</v>
      </c>
      <c r="I579" s="194">
        <v>6.0</v>
      </c>
      <c r="J579" s="194">
        <v>2026.0</v>
      </c>
      <c r="K579" s="74" t="s">
        <v>46</v>
      </c>
      <c r="L579" s="74" t="s">
        <v>1177</v>
      </c>
      <c r="M579" s="74">
        <v>1.0</v>
      </c>
      <c r="N579" s="74">
        <v>1.0</v>
      </c>
      <c r="O579" s="74"/>
      <c r="P579" s="74">
        <v>2.0</v>
      </c>
      <c r="Q579" s="343">
        <v>46198.56165509259</v>
      </c>
      <c r="R579" s="185">
        <v>25.0</v>
      </c>
      <c r="S579" s="185">
        <v>6.0</v>
      </c>
      <c r="T579" s="194">
        <v>2026.0</v>
      </c>
      <c r="U579" s="74" t="s">
        <v>262</v>
      </c>
      <c r="V579" s="74">
        <v>29.75</v>
      </c>
      <c r="W579" s="343">
        <v>46198.56118055555</v>
      </c>
      <c r="X579" s="194">
        <v>25.0</v>
      </c>
      <c r="Y579" s="194">
        <v>6.0</v>
      </c>
      <c r="Z579" s="194">
        <v>2026.0</v>
      </c>
      <c r="AA579" s="74" t="s">
        <v>262</v>
      </c>
    </row>
    <row r="580" ht="15.75" hidden="1" customHeight="1">
      <c r="A580" s="340" t="s">
        <v>2090</v>
      </c>
      <c r="B580" s="340" t="s">
        <v>2091</v>
      </c>
      <c r="C580" s="343">
        <v>46199.0</v>
      </c>
      <c r="D580" s="194">
        <v>26.0</v>
      </c>
      <c r="E580" s="194">
        <v>6.0</v>
      </c>
      <c r="F580" s="194">
        <v>2026.0</v>
      </c>
      <c r="G580" s="343">
        <v>46201.0</v>
      </c>
      <c r="H580" s="194">
        <v>28.0</v>
      </c>
      <c r="I580" s="194">
        <v>6.0</v>
      </c>
      <c r="J580" s="194">
        <v>2026.0</v>
      </c>
      <c r="K580" s="74" t="s">
        <v>46</v>
      </c>
      <c r="L580" s="74" t="s">
        <v>1177</v>
      </c>
      <c r="M580" s="74">
        <v>2.0</v>
      </c>
      <c r="N580" s="74">
        <v>2.0</v>
      </c>
      <c r="O580" s="74"/>
      <c r="P580" s="74">
        <v>8.0</v>
      </c>
      <c r="Q580" s="343">
        <v>46200.02270833333</v>
      </c>
      <c r="R580" s="185">
        <v>27.0</v>
      </c>
      <c r="S580" s="185">
        <v>6.0</v>
      </c>
      <c r="T580" s="194">
        <v>2026.0</v>
      </c>
      <c r="U580" s="74" t="s">
        <v>262</v>
      </c>
      <c r="V580" s="74">
        <v>119.0</v>
      </c>
      <c r="W580" s="343">
        <v>46200.02270833333</v>
      </c>
      <c r="X580" s="194">
        <v>27.0</v>
      </c>
      <c r="Y580" s="194">
        <v>6.0</v>
      </c>
      <c r="Z580" s="194">
        <v>2026.0</v>
      </c>
      <c r="AA580" s="74" t="s">
        <v>262</v>
      </c>
    </row>
    <row r="581" ht="15.75" hidden="1" customHeight="1">
      <c r="A581" s="340" t="s">
        <v>2092</v>
      </c>
      <c r="B581" s="340" t="s">
        <v>2093</v>
      </c>
      <c r="C581" s="343">
        <v>46200.0</v>
      </c>
      <c r="D581" s="194">
        <v>27.0</v>
      </c>
      <c r="E581" s="194">
        <v>6.0</v>
      </c>
      <c r="F581" s="194">
        <v>2026.0</v>
      </c>
      <c r="G581" s="343">
        <v>46202.0</v>
      </c>
      <c r="H581" s="194">
        <v>29.0</v>
      </c>
      <c r="I581" s="194">
        <v>6.0</v>
      </c>
      <c r="J581" s="194">
        <v>2026.0</v>
      </c>
      <c r="K581" s="74" t="s">
        <v>46</v>
      </c>
      <c r="L581" s="74" t="s">
        <v>1177</v>
      </c>
      <c r="M581" s="74">
        <v>1.0</v>
      </c>
      <c r="N581" s="74">
        <v>2.0</v>
      </c>
      <c r="O581" s="74"/>
      <c r="P581" s="74">
        <v>4.0</v>
      </c>
      <c r="Q581" s="343">
        <v>46200.934895833336</v>
      </c>
      <c r="R581" s="185">
        <v>27.0</v>
      </c>
      <c r="S581" s="185">
        <v>6.0</v>
      </c>
      <c r="T581" s="194">
        <v>2026.0</v>
      </c>
      <c r="U581" s="74" t="s">
        <v>245</v>
      </c>
      <c r="V581" s="74">
        <v>59.5</v>
      </c>
      <c r="W581" s="343">
        <v>46200.934895833336</v>
      </c>
      <c r="X581" s="194">
        <v>27.0</v>
      </c>
      <c r="Y581" s="194">
        <v>6.0</v>
      </c>
      <c r="Z581" s="194">
        <v>2026.0</v>
      </c>
      <c r="AA581" s="74" t="s">
        <v>245</v>
      </c>
    </row>
    <row r="582" ht="15.75" hidden="1" customHeight="1">
      <c r="A582" s="340" t="s">
        <v>2094</v>
      </c>
      <c r="B582" s="340" t="s">
        <v>2095</v>
      </c>
      <c r="C582" s="343">
        <v>46195.0</v>
      </c>
      <c r="D582" s="194">
        <v>22.0</v>
      </c>
      <c r="E582" s="194">
        <v>6.0</v>
      </c>
      <c r="F582" s="194">
        <v>2026.0</v>
      </c>
      <c r="G582" s="343">
        <v>46196.0</v>
      </c>
      <c r="H582" s="194">
        <v>23.0</v>
      </c>
      <c r="I582" s="194">
        <v>6.0</v>
      </c>
      <c r="J582" s="194">
        <v>2026.0</v>
      </c>
      <c r="K582" s="74" t="s">
        <v>46</v>
      </c>
      <c r="L582" s="74" t="s">
        <v>1177</v>
      </c>
      <c r="M582" s="74">
        <v>1.0</v>
      </c>
      <c r="N582" s="74">
        <v>1.0</v>
      </c>
      <c r="O582" s="74"/>
      <c r="P582" s="74">
        <v>2.0</v>
      </c>
      <c r="Q582" s="343">
        <v>46196.240625</v>
      </c>
      <c r="R582" s="185">
        <v>23.0</v>
      </c>
      <c r="S582" s="185">
        <v>6.0</v>
      </c>
      <c r="T582" s="194">
        <v>2026.0</v>
      </c>
      <c r="U582" s="74" t="s">
        <v>245</v>
      </c>
      <c r="V582" s="74">
        <v>46.75</v>
      </c>
      <c r="W582" s="343">
        <v>46196.240625</v>
      </c>
      <c r="X582" s="194">
        <v>23.0</v>
      </c>
      <c r="Y582" s="194">
        <v>6.0</v>
      </c>
      <c r="Z582" s="194">
        <v>2026.0</v>
      </c>
      <c r="AA582" s="74" t="s">
        <v>245</v>
      </c>
    </row>
    <row r="583" ht="15.75" hidden="1" customHeight="1">
      <c r="A583" s="340" t="s">
        <v>2096</v>
      </c>
      <c r="B583" s="340" t="s">
        <v>2097</v>
      </c>
      <c r="C583" s="343">
        <v>46179.0</v>
      </c>
      <c r="D583" s="194">
        <v>6.0</v>
      </c>
      <c r="E583" s="194">
        <v>6.0</v>
      </c>
      <c r="F583" s="194">
        <v>2026.0</v>
      </c>
      <c r="G583" s="343">
        <v>46182.0</v>
      </c>
      <c r="H583" s="194">
        <v>9.0</v>
      </c>
      <c r="I583" s="194">
        <v>6.0</v>
      </c>
      <c r="J583" s="194">
        <v>2026.0</v>
      </c>
      <c r="K583" s="74" t="s">
        <v>46</v>
      </c>
      <c r="L583" s="74" t="s">
        <v>1177</v>
      </c>
      <c r="M583" s="74">
        <v>1.0</v>
      </c>
      <c r="N583" s="74">
        <v>3.0</v>
      </c>
      <c r="O583" s="74"/>
      <c r="P583" s="74">
        <v>6.0</v>
      </c>
      <c r="Q583" s="343">
        <v>46179.69342592593</v>
      </c>
      <c r="R583" s="185">
        <v>6.0</v>
      </c>
      <c r="S583" s="185">
        <v>6.0</v>
      </c>
      <c r="T583" s="194">
        <v>2026.0</v>
      </c>
      <c r="U583" s="74" t="s">
        <v>245</v>
      </c>
      <c r="V583" s="74">
        <v>112.2</v>
      </c>
      <c r="W583" s="343">
        <v>46179.69260416667</v>
      </c>
      <c r="X583" s="194">
        <v>6.0</v>
      </c>
      <c r="Y583" s="194">
        <v>6.0</v>
      </c>
      <c r="Z583" s="194">
        <v>2026.0</v>
      </c>
      <c r="AA583" s="74" t="s">
        <v>245</v>
      </c>
    </row>
    <row r="584" ht="15.75" hidden="1" customHeight="1">
      <c r="A584" s="340" t="s">
        <v>2098</v>
      </c>
      <c r="B584" s="340" t="s">
        <v>2099</v>
      </c>
      <c r="C584" s="343">
        <v>46200.0</v>
      </c>
      <c r="D584" s="194">
        <v>27.0</v>
      </c>
      <c r="E584" s="194">
        <v>6.0</v>
      </c>
      <c r="F584" s="194">
        <v>2026.0</v>
      </c>
      <c r="G584" s="343">
        <v>46202.0</v>
      </c>
      <c r="H584" s="194">
        <v>29.0</v>
      </c>
      <c r="I584" s="194">
        <v>6.0</v>
      </c>
      <c r="J584" s="194">
        <v>2026.0</v>
      </c>
      <c r="K584" s="74" t="s">
        <v>46</v>
      </c>
      <c r="L584" s="74" t="s">
        <v>1177</v>
      </c>
      <c r="M584" s="74">
        <v>1.0</v>
      </c>
      <c r="N584" s="74">
        <v>2.0</v>
      </c>
      <c r="O584" s="74"/>
      <c r="P584" s="74">
        <v>4.0</v>
      </c>
      <c r="Q584" s="343">
        <v>46200.67667824074</v>
      </c>
      <c r="R584" s="185">
        <v>27.0</v>
      </c>
      <c r="S584" s="185">
        <v>6.0</v>
      </c>
      <c r="T584" s="194">
        <v>2026.0</v>
      </c>
      <c r="U584" s="74" t="s">
        <v>245</v>
      </c>
      <c r="V584" s="74">
        <v>59.5</v>
      </c>
      <c r="W584" s="343">
        <v>46200.66295138889</v>
      </c>
      <c r="X584" s="194">
        <v>27.0</v>
      </c>
      <c r="Y584" s="194">
        <v>6.0</v>
      </c>
      <c r="Z584" s="194">
        <v>2026.0</v>
      </c>
      <c r="AA584" s="74" t="s">
        <v>245</v>
      </c>
    </row>
    <row r="585" ht="15.75" hidden="1" customHeight="1">
      <c r="A585" s="340" t="s">
        <v>2100</v>
      </c>
      <c r="B585" s="340" t="s">
        <v>2101</v>
      </c>
      <c r="C585" s="343">
        <v>46180.0</v>
      </c>
      <c r="D585" s="194">
        <v>7.0</v>
      </c>
      <c r="E585" s="194">
        <v>6.0</v>
      </c>
      <c r="F585" s="194">
        <v>2026.0</v>
      </c>
      <c r="G585" s="343">
        <v>46183.0</v>
      </c>
      <c r="H585" s="194">
        <v>10.0</v>
      </c>
      <c r="I585" s="194">
        <v>6.0</v>
      </c>
      <c r="J585" s="194">
        <v>2026.0</v>
      </c>
      <c r="K585" s="74" t="s">
        <v>46</v>
      </c>
      <c r="L585" s="74" t="s">
        <v>1177</v>
      </c>
      <c r="M585" s="74">
        <v>1.0</v>
      </c>
      <c r="N585" s="74">
        <v>3.0</v>
      </c>
      <c r="O585" s="74"/>
      <c r="P585" s="74">
        <v>6.0</v>
      </c>
      <c r="Q585" s="343">
        <v>46182.77564814815</v>
      </c>
      <c r="R585" s="185">
        <v>9.0</v>
      </c>
      <c r="S585" s="185">
        <v>6.0</v>
      </c>
      <c r="T585" s="194">
        <v>2026.0</v>
      </c>
      <c r="U585" s="74" t="s">
        <v>245</v>
      </c>
      <c r="V585" s="74">
        <v>114.75</v>
      </c>
      <c r="W585" s="343">
        <v>46182.77505787037</v>
      </c>
      <c r="X585" s="194">
        <v>9.0</v>
      </c>
      <c r="Y585" s="194">
        <v>6.0</v>
      </c>
      <c r="Z585" s="194">
        <v>2026.0</v>
      </c>
      <c r="AA585" s="74" t="s">
        <v>245</v>
      </c>
    </row>
    <row r="586" ht="15.75" hidden="1" customHeight="1">
      <c r="A586" s="340" t="s">
        <v>2102</v>
      </c>
      <c r="B586" s="340" t="s">
        <v>2103</v>
      </c>
      <c r="C586" s="343">
        <v>46177.0</v>
      </c>
      <c r="D586" s="194">
        <v>4.0</v>
      </c>
      <c r="E586" s="194">
        <v>6.0</v>
      </c>
      <c r="F586" s="194">
        <v>2026.0</v>
      </c>
      <c r="G586" s="343">
        <v>46180.0</v>
      </c>
      <c r="H586" s="194">
        <v>7.0</v>
      </c>
      <c r="I586" s="194">
        <v>6.0</v>
      </c>
      <c r="J586" s="194">
        <v>2026.0</v>
      </c>
      <c r="K586" s="74" t="s">
        <v>46</v>
      </c>
      <c r="L586" s="74" t="s">
        <v>1177</v>
      </c>
      <c r="M586" s="74">
        <v>1.0</v>
      </c>
      <c r="N586" s="74">
        <v>3.0</v>
      </c>
      <c r="O586" s="74"/>
      <c r="P586" s="74">
        <v>6.0</v>
      </c>
      <c r="Q586" s="343">
        <v>46180.37900462963</v>
      </c>
      <c r="R586" s="185">
        <v>7.0</v>
      </c>
      <c r="S586" s="185">
        <v>6.0</v>
      </c>
      <c r="T586" s="194">
        <v>2026.0</v>
      </c>
      <c r="U586" s="74" t="s">
        <v>245</v>
      </c>
      <c r="V586" s="74">
        <v>89.25</v>
      </c>
      <c r="W586" s="343">
        <v>46180.378842592596</v>
      </c>
      <c r="X586" s="194">
        <v>7.0</v>
      </c>
      <c r="Y586" s="194">
        <v>6.0</v>
      </c>
      <c r="Z586" s="194">
        <v>2026.0</v>
      </c>
      <c r="AA586" s="74" t="s">
        <v>245</v>
      </c>
    </row>
    <row r="587" ht="15.75" hidden="1" customHeight="1">
      <c r="A587" s="340" t="s">
        <v>2104</v>
      </c>
      <c r="B587" s="340" t="s">
        <v>2105</v>
      </c>
      <c r="C587" s="343">
        <v>46175.0</v>
      </c>
      <c r="D587" s="194">
        <v>2.0</v>
      </c>
      <c r="E587" s="194">
        <v>6.0</v>
      </c>
      <c r="F587" s="194">
        <v>2026.0</v>
      </c>
      <c r="G587" s="343">
        <v>46176.0</v>
      </c>
      <c r="H587" s="194">
        <v>3.0</v>
      </c>
      <c r="I587" s="194">
        <v>6.0</v>
      </c>
      <c r="J587" s="194">
        <v>2026.0</v>
      </c>
      <c r="K587" s="74" t="s">
        <v>46</v>
      </c>
      <c r="L587" s="74" t="s">
        <v>1177</v>
      </c>
      <c r="M587" s="74">
        <v>1.0</v>
      </c>
      <c r="N587" s="74">
        <v>1.0</v>
      </c>
      <c r="O587" s="74"/>
      <c r="P587" s="74">
        <v>2.0</v>
      </c>
      <c r="Q587" s="343">
        <v>46176.037314814814</v>
      </c>
      <c r="R587" s="185">
        <v>3.0</v>
      </c>
      <c r="S587" s="185">
        <v>6.0</v>
      </c>
      <c r="T587" s="194">
        <v>2026.0</v>
      </c>
      <c r="U587" s="74" t="s">
        <v>245</v>
      </c>
      <c r="V587" s="74">
        <v>27.2</v>
      </c>
      <c r="W587" s="343">
        <v>46176.03700231481</v>
      </c>
      <c r="X587" s="194">
        <v>3.0</v>
      </c>
      <c r="Y587" s="194">
        <v>6.0</v>
      </c>
      <c r="Z587" s="194">
        <v>2026.0</v>
      </c>
      <c r="AA587" s="74" t="s">
        <v>245</v>
      </c>
    </row>
    <row r="588" ht="15.75" hidden="1" customHeight="1">
      <c r="A588" s="340" t="s">
        <v>2106</v>
      </c>
      <c r="B588" s="340" t="s">
        <v>2107</v>
      </c>
      <c r="C588" s="343">
        <v>46199.0</v>
      </c>
      <c r="D588" s="194">
        <v>26.0</v>
      </c>
      <c r="E588" s="194">
        <v>6.0</v>
      </c>
      <c r="F588" s="194">
        <v>2026.0</v>
      </c>
      <c r="G588" s="343">
        <v>46201.0</v>
      </c>
      <c r="H588" s="194">
        <v>28.0</v>
      </c>
      <c r="I588" s="194">
        <v>6.0</v>
      </c>
      <c r="J588" s="194">
        <v>2026.0</v>
      </c>
      <c r="K588" s="74" t="s">
        <v>46</v>
      </c>
      <c r="L588" s="74" t="s">
        <v>1177</v>
      </c>
      <c r="M588" s="74">
        <v>1.0</v>
      </c>
      <c r="N588" s="74">
        <v>2.0</v>
      </c>
      <c r="O588" s="74"/>
      <c r="P588" s="74">
        <v>4.0</v>
      </c>
      <c r="Q588" s="343">
        <v>46199.607152777775</v>
      </c>
      <c r="R588" s="185">
        <v>26.0</v>
      </c>
      <c r="S588" s="185">
        <v>6.0</v>
      </c>
      <c r="T588" s="194">
        <v>2026.0</v>
      </c>
      <c r="U588" s="74" t="s">
        <v>262</v>
      </c>
      <c r="V588" s="74">
        <v>59.5</v>
      </c>
      <c r="W588" s="343">
        <v>46199.606412037036</v>
      </c>
      <c r="X588" s="194">
        <v>26.0</v>
      </c>
      <c r="Y588" s="194">
        <v>6.0</v>
      </c>
      <c r="Z588" s="194">
        <v>2026.0</v>
      </c>
      <c r="AA588" s="74" t="s">
        <v>262</v>
      </c>
    </row>
    <row r="589" ht="15.75" hidden="1" customHeight="1">
      <c r="A589" s="340" t="s">
        <v>2108</v>
      </c>
      <c r="B589" s="340" t="s">
        <v>2109</v>
      </c>
      <c r="C589" s="343">
        <v>46183.0</v>
      </c>
      <c r="D589" s="194">
        <v>10.0</v>
      </c>
      <c r="E589" s="194">
        <v>6.0</v>
      </c>
      <c r="F589" s="194">
        <v>2026.0</v>
      </c>
      <c r="G589" s="343">
        <v>46184.0</v>
      </c>
      <c r="H589" s="194">
        <v>11.0</v>
      </c>
      <c r="I589" s="194">
        <v>6.0</v>
      </c>
      <c r="J589" s="194">
        <v>2026.0</v>
      </c>
      <c r="K589" s="74" t="s">
        <v>46</v>
      </c>
      <c r="L589" s="74" t="s">
        <v>1177</v>
      </c>
      <c r="M589" s="74">
        <v>1.0</v>
      </c>
      <c r="N589" s="74">
        <v>1.0</v>
      </c>
      <c r="O589" s="74"/>
      <c r="P589" s="74">
        <v>2.0</v>
      </c>
      <c r="Q589" s="343">
        <v>46184.40777777778</v>
      </c>
      <c r="R589" s="185">
        <v>11.0</v>
      </c>
      <c r="S589" s="185">
        <v>6.0</v>
      </c>
      <c r="T589" s="194">
        <v>2026.0</v>
      </c>
      <c r="U589" s="74" t="s">
        <v>245</v>
      </c>
      <c r="V589" s="74">
        <v>38.25</v>
      </c>
      <c r="W589" s="343">
        <v>46184.40777777778</v>
      </c>
      <c r="X589" s="194">
        <v>11.0</v>
      </c>
      <c r="Y589" s="194">
        <v>6.0</v>
      </c>
      <c r="Z589" s="194">
        <v>2026.0</v>
      </c>
      <c r="AA589" s="74" t="s">
        <v>245</v>
      </c>
    </row>
    <row r="590" ht="15.75" hidden="1" customHeight="1">
      <c r="A590" s="340" t="s">
        <v>2110</v>
      </c>
      <c r="B590" s="340" t="s">
        <v>2111</v>
      </c>
      <c r="C590" s="343">
        <v>46183.0</v>
      </c>
      <c r="D590" s="194">
        <v>10.0</v>
      </c>
      <c r="E590" s="194">
        <v>6.0</v>
      </c>
      <c r="F590" s="194">
        <v>2026.0</v>
      </c>
      <c r="G590" s="343">
        <v>46188.0</v>
      </c>
      <c r="H590" s="194">
        <v>15.0</v>
      </c>
      <c r="I590" s="194">
        <v>6.0</v>
      </c>
      <c r="J590" s="194">
        <v>2026.0</v>
      </c>
      <c r="K590" s="74" t="s">
        <v>46</v>
      </c>
      <c r="L590" s="74" t="s">
        <v>1177</v>
      </c>
      <c r="M590" s="74">
        <v>1.0</v>
      </c>
      <c r="N590" s="74">
        <v>5.0</v>
      </c>
      <c r="O590" s="74"/>
      <c r="P590" s="74">
        <v>10.0</v>
      </c>
      <c r="Q590" s="343">
        <v>46186.76678240741</v>
      </c>
      <c r="R590" s="185">
        <v>13.0</v>
      </c>
      <c r="S590" s="185">
        <v>6.0</v>
      </c>
      <c r="T590" s="194">
        <v>2026.0</v>
      </c>
      <c r="U590" s="74" t="s">
        <v>245</v>
      </c>
      <c r="V590" s="74">
        <v>199.75</v>
      </c>
      <c r="W590" s="343">
        <v>46186.76631944445</v>
      </c>
      <c r="X590" s="194">
        <v>13.0</v>
      </c>
      <c r="Y590" s="194">
        <v>6.0</v>
      </c>
      <c r="Z590" s="194">
        <v>2026.0</v>
      </c>
      <c r="AA590" s="74" t="s">
        <v>245</v>
      </c>
    </row>
    <row r="591" ht="15.75" hidden="1" customHeight="1">
      <c r="A591" s="340" t="s">
        <v>2112</v>
      </c>
      <c r="B591" s="340" t="s">
        <v>2113</v>
      </c>
      <c r="C591" s="343">
        <v>46193.0</v>
      </c>
      <c r="D591" s="194">
        <v>20.0</v>
      </c>
      <c r="E591" s="194">
        <v>6.0</v>
      </c>
      <c r="F591" s="194">
        <v>2026.0</v>
      </c>
      <c r="G591" s="343">
        <v>46196.0</v>
      </c>
      <c r="H591" s="194">
        <v>23.0</v>
      </c>
      <c r="I591" s="194">
        <v>6.0</v>
      </c>
      <c r="J591" s="194">
        <v>2026.0</v>
      </c>
      <c r="K591" s="74" t="s">
        <v>46</v>
      </c>
      <c r="L591" s="74" t="s">
        <v>1177</v>
      </c>
      <c r="M591" s="74">
        <v>1.0</v>
      </c>
      <c r="N591" s="74">
        <v>3.0</v>
      </c>
      <c r="O591" s="74"/>
      <c r="P591" s="74">
        <v>6.0</v>
      </c>
      <c r="Q591" s="343">
        <v>46193.67157407408</v>
      </c>
      <c r="R591" s="185">
        <v>20.0</v>
      </c>
      <c r="S591" s="185">
        <v>6.0</v>
      </c>
      <c r="T591" s="194">
        <v>2026.0</v>
      </c>
      <c r="U591" s="74" t="s">
        <v>245</v>
      </c>
      <c r="V591" s="74">
        <v>112.2</v>
      </c>
      <c r="W591" s="343">
        <v>46193.670625</v>
      </c>
      <c r="X591" s="194">
        <v>20.0</v>
      </c>
      <c r="Y591" s="194">
        <v>6.0</v>
      </c>
      <c r="Z591" s="194">
        <v>2026.0</v>
      </c>
      <c r="AA591" s="74" t="s">
        <v>245</v>
      </c>
    </row>
    <row r="592" ht="15.75" hidden="1" customHeight="1">
      <c r="A592" s="340" t="s">
        <v>2114</v>
      </c>
      <c r="B592" s="340" t="s">
        <v>2115</v>
      </c>
      <c r="C592" s="343">
        <v>46197.0</v>
      </c>
      <c r="D592" s="194">
        <v>24.0</v>
      </c>
      <c r="E592" s="194">
        <v>6.0</v>
      </c>
      <c r="F592" s="194">
        <v>2026.0</v>
      </c>
      <c r="G592" s="343">
        <v>46205.0</v>
      </c>
      <c r="H592" s="194">
        <v>2.0</v>
      </c>
      <c r="I592" s="194">
        <v>7.0</v>
      </c>
      <c r="J592" s="194">
        <v>2026.0</v>
      </c>
      <c r="K592" s="74" t="s">
        <v>46</v>
      </c>
      <c r="L592" s="74" t="s">
        <v>1177</v>
      </c>
      <c r="M592" s="74">
        <v>1.0</v>
      </c>
      <c r="N592" s="74">
        <v>8.0</v>
      </c>
      <c r="O592" s="74"/>
      <c r="P592" s="74">
        <v>14.0</v>
      </c>
      <c r="Q592" s="343">
        <v>46197.69215277778</v>
      </c>
      <c r="R592" s="185">
        <v>24.0</v>
      </c>
      <c r="S592" s="185">
        <v>6.0</v>
      </c>
      <c r="T592" s="194">
        <v>2026.0</v>
      </c>
      <c r="U592" s="74" t="s">
        <v>262</v>
      </c>
      <c r="V592" s="74">
        <v>246.5</v>
      </c>
      <c r="W592" s="343">
        <v>46197.69148148148</v>
      </c>
      <c r="X592" s="194">
        <v>24.0</v>
      </c>
      <c r="Y592" s="194">
        <v>6.0</v>
      </c>
      <c r="Z592" s="194">
        <v>2026.0</v>
      </c>
      <c r="AA592" s="74" t="s">
        <v>262</v>
      </c>
    </row>
    <row r="593" ht="15.75" hidden="1" customHeight="1">
      <c r="A593" s="340" t="s">
        <v>2116</v>
      </c>
      <c r="B593" s="340" t="s">
        <v>2117</v>
      </c>
      <c r="C593" s="343">
        <v>46201.0</v>
      </c>
      <c r="D593" s="194">
        <v>28.0</v>
      </c>
      <c r="E593" s="194">
        <v>6.0</v>
      </c>
      <c r="F593" s="194">
        <v>2026.0</v>
      </c>
      <c r="G593" s="343">
        <v>46203.0</v>
      </c>
      <c r="H593" s="194">
        <v>30.0</v>
      </c>
      <c r="I593" s="194">
        <v>6.0</v>
      </c>
      <c r="J593" s="194">
        <v>2026.0</v>
      </c>
      <c r="K593" s="74" t="s">
        <v>46</v>
      </c>
      <c r="L593" s="74" t="s">
        <v>1177</v>
      </c>
      <c r="M593" s="74">
        <v>1.0</v>
      </c>
      <c r="N593" s="74">
        <v>2.0</v>
      </c>
      <c r="O593" s="74"/>
      <c r="P593" s="74">
        <v>4.0</v>
      </c>
      <c r="Q593" s="343">
        <v>46203.42199074074</v>
      </c>
      <c r="R593" s="185">
        <v>30.0</v>
      </c>
      <c r="S593" s="185">
        <v>6.0</v>
      </c>
      <c r="T593" s="194">
        <v>2026.0</v>
      </c>
      <c r="U593" s="74" t="s">
        <v>12</v>
      </c>
      <c r="V593" s="74">
        <v>76.5</v>
      </c>
      <c r="W593" s="343">
        <v>46203.42199074074</v>
      </c>
      <c r="X593" s="194">
        <v>30.0</v>
      </c>
      <c r="Y593" s="194">
        <v>6.0</v>
      </c>
      <c r="Z593" s="194">
        <v>2026.0</v>
      </c>
      <c r="AA593" s="74" t="s">
        <v>12</v>
      </c>
    </row>
    <row r="594" ht="15.75" hidden="1" customHeight="1">
      <c r="A594" s="340" t="s">
        <v>2118</v>
      </c>
      <c r="B594" s="340" t="s">
        <v>2119</v>
      </c>
      <c r="C594" s="343">
        <v>46194.0</v>
      </c>
      <c r="D594" s="194">
        <v>21.0</v>
      </c>
      <c r="E594" s="194">
        <v>6.0</v>
      </c>
      <c r="F594" s="194">
        <v>2026.0</v>
      </c>
      <c r="G594" s="343">
        <v>46195.0</v>
      </c>
      <c r="H594" s="194">
        <v>22.0</v>
      </c>
      <c r="I594" s="194">
        <v>6.0</v>
      </c>
      <c r="J594" s="194">
        <v>2026.0</v>
      </c>
      <c r="K594" s="74" t="s">
        <v>46</v>
      </c>
      <c r="L594" s="74" t="s">
        <v>1177</v>
      </c>
      <c r="M594" s="74">
        <v>1.0</v>
      </c>
      <c r="N594" s="74">
        <v>1.0</v>
      </c>
      <c r="O594" s="74"/>
      <c r="P594" s="74">
        <v>2.0</v>
      </c>
      <c r="Q594" s="343">
        <v>46194.667129629626</v>
      </c>
      <c r="R594" s="185">
        <v>21.0</v>
      </c>
      <c r="S594" s="185">
        <v>6.0</v>
      </c>
      <c r="T594" s="194">
        <v>2026.0</v>
      </c>
      <c r="U594" s="74" t="s">
        <v>12</v>
      </c>
      <c r="V594" s="74">
        <v>29.75</v>
      </c>
      <c r="W594" s="343">
        <v>46194.66670138889</v>
      </c>
      <c r="X594" s="194">
        <v>21.0</v>
      </c>
      <c r="Y594" s="194">
        <v>6.0</v>
      </c>
      <c r="Z594" s="194">
        <v>2026.0</v>
      </c>
      <c r="AA594" s="74" t="s">
        <v>12</v>
      </c>
    </row>
    <row r="595" ht="15.75" hidden="1" customHeight="1">
      <c r="A595" s="340" t="s">
        <v>2120</v>
      </c>
      <c r="B595" s="340" t="s">
        <v>2121</v>
      </c>
      <c r="C595" s="343">
        <v>46196.0</v>
      </c>
      <c r="D595" s="194">
        <v>23.0</v>
      </c>
      <c r="E595" s="194">
        <v>6.0</v>
      </c>
      <c r="F595" s="194">
        <v>2026.0</v>
      </c>
      <c r="G595" s="343">
        <v>46198.0</v>
      </c>
      <c r="H595" s="194">
        <v>25.0</v>
      </c>
      <c r="I595" s="194">
        <v>6.0</v>
      </c>
      <c r="J595" s="194">
        <v>2026.0</v>
      </c>
      <c r="K595" s="74" t="s">
        <v>46</v>
      </c>
      <c r="L595" s="74" t="s">
        <v>1177</v>
      </c>
      <c r="M595" s="74">
        <v>1.0</v>
      </c>
      <c r="N595" s="74">
        <v>2.0</v>
      </c>
      <c r="O595" s="74"/>
      <c r="P595" s="74">
        <v>4.0</v>
      </c>
      <c r="Q595" s="343">
        <v>46198.266747685186</v>
      </c>
      <c r="R595" s="185">
        <v>25.0</v>
      </c>
      <c r="S595" s="185">
        <v>6.0</v>
      </c>
      <c r="T595" s="194">
        <v>2026.0</v>
      </c>
      <c r="U595" s="74" t="s">
        <v>12</v>
      </c>
      <c r="V595" s="74">
        <v>59.5</v>
      </c>
      <c r="W595" s="343">
        <v>46198.266747685186</v>
      </c>
      <c r="X595" s="194">
        <v>25.0</v>
      </c>
      <c r="Y595" s="194">
        <v>6.0</v>
      </c>
      <c r="Z595" s="194">
        <v>2026.0</v>
      </c>
      <c r="AA595" s="74" t="s">
        <v>12</v>
      </c>
    </row>
    <row r="596" ht="15.75" hidden="1" customHeight="1">
      <c r="A596" s="340" t="s">
        <v>2122</v>
      </c>
      <c r="B596" s="340" t="s">
        <v>2123</v>
      </c>
      <c r="C596" s="343">
        <v>46196.0</v>
      </c>
      <c r="D596" s="194">
        <v>23.0</v>
      </c>
      <c r="E596" s="194">
        <v>6.0</v>
      </c>
      <c r="F596" s="194">
        <v>2026.0</v>
      </c>
      <c r="G596" s="343">
        <v>46197.0</v>
      </c>
      <c r="H596" s="194">
        <v>24.0</v>
      </c>
      <c r="I596" s="194">
        <v>6.0</v>
      </c>
      <c r="J596" s="194">
        <v>2026.0</v>
      </c>
      <c r="K596" s="74" t="s">
        <v>46</v>
      </c>
      <c r="L596" s="74" t="s">
        <v>1177</v>
      </c>
      <c r="M596" s="74">
        <v>1.0</v>
      </c>
      <c r="N596" s="74">
        <v>1.0</v>
      </c>
      <c r="O596" s="74"/>
      <c r="P596" s="74">
        <v>2.0</v>
      </c>
      <c r="Q596" s="343">
        <v>46196.78003472222</v>
      </c>
      <c r="R596" s="185">
        <v>23.0</v>
      </c>
      <c r="S596" s="185">
        <v>6.0</v>
      </c>
      <c r="T596" s="194">
        <v>2026.0</v>
      </c>
      <c r="U596" s="74" t="s">
        <v>245</v>
      </c>
      <c r="V596" s="74">
        <v>29.75</v>
      </c>
      <c r="W596" s="343">
        <v>46196.77974537037</v>
      </c>
      <c r="X596" s="194">
        <v>23.0</v>
      </c>
      <c r="Y596" s="194">
        <v>6.0</v>
      </c>
      <c r="Z596" s="194">
        <v>2026.0</v>
      </c>
      <c r="AA596" s="74" t="s">
        <v>245</v>
      </c>
    </row>
    <row r="597" ht="15.75" hidden="1" customHeight="1">
      <c r="A597" s="340" t="s">
        <v>2124</v>
      </c>
      <c r="B597" s="340" t="s">
        <v>2125</v>
      </c>
      <c r="C597" s="343">
        <v>46195.0</v>
      </c>
      <c r="D597" s="194">
        <v>22.0</v>
      </c>
      <c r="E597" s="194">
        <v>6.0</v>
      </c>
      <c r="F597" s="194">
        <v>2026.0</v>
      </c>
      <c r="G597" s="343">
        <v>46196.0</v>
      </c>
      <c r="H597" s="194">
        <v>23.0</v>
      </c>
      <c r="I597" s="194">
        <v>6.0</v>
      </c>
      <c r="J597" s="194">
        <v>2026.0</v>
      </c>
      <c r="K597" s="74" t="s">
        <v>46</v>
      </c>
      <c r="L597" s="74" t="s">
        <v>1177</v>
      </c>
      <c r="M597" s="74">
        <v>2.0</v>
      </c>
      <c r="N597" s="74">
        <v>1.0</v>
      </c>
      <c r="O597" s="74"/>
      <c r="P597" s="74">
        <v>4.0</v>
      </c>
      <c r="Q597" s="343">
        <v>46196.24319444445</v>
      </c>
      <c r="R597" s="185">
        <v>23.0</v>
      </c>
      <c r="S597" s="185">
        <v>6.0</v>
      </c>
      <c r="T597" s="194">
        <v>2026.0</v>
      </c>
      <c r="U597" s="74" t="s">
        <v>12</v>
      </c>
      <c r="V597" s="74">
        <v>59.5</v>
      </c>
      <c r="W597" s="343">
        <v>46196.24319444445</v>
      </c>
      <c r="X597" s="194">
        <v>23.0</v>
      </c>
      <c r="Y597" s="194">
        <v>6.0</v>
      </c>
      <c r="Z597" s="194">
        <v>2026.0</v>
      </c>
      <c r="AA597" s="74" t="s">
        <v>12</v>
      </c>
    </row>
    <row r="598" ht="15.75" hidden="1" customHeight="1">
      <c r="A598" s="340" t="s">
        <v>2126</v>
      </c>
      <c r="B598" s="340" t="s">
        <v>2127</v>
      </c>
      <c r="C598" s="343">
        <v>46177.0</v>
      </c>
      <c r="D598" s="194">
        <v>4.0</v>
      </c>
      <c r="E598" s="194">
        <v>6.0</v>
      </c>
      <c r="F598" s="194">
        <v>2026.0</v>
      </c>
      <c r="G598" s="343">
        <v>46178.0</v>
      </c>
      <c r="H598" s="194">
        <v>5.0</v>
      </c>
      <c r="I598" s="194">
        <v>6.0</v>
      </c>
      <c r="J598" s="194">
        <v>2026.0</v>
      </c>
      <c r="K598" s="74" t="s">
        <v>46</v>
      </c>
      <c r="L598" s="74" t="s">
        <v>1177</v>
      </c>
      <c r="M598" s="74">
        <v>2.0</v>
      </c>
      <c r="N598" s="74">
        <v>1.0</v>
      </c>
      <c r="O598" s="74"/>
      <c r="P598" s="74">
        <v>4.0</v>
      </c>
      <c r="Q598" s="343">
        <v>46177.841898148145</v>
      </c>
      <c r="R598" s="185">
        <v>4.0</v>
      </c>
      <c r="S598" s="185">
        <v>6.0</v>
      </c>
      <c r="T598" s="194">
        <v>2026.0</v>
      </c>
      <c r="U598" s="74" t="s">
        <v>262</v>
      </c>
      <c r="V598" s="74">
        <v>54.4</v>
      </c>
      <c r="W598" s="343">
        <v>46177.84149305556</v>
      </c>
      <c r="X598" s="194">
        <v>4.0</v>
      </c>
      <c r="Y598" s="194">
        <v>6.0</v>
      </c>
      <c r="Z598" s="194">
        <v>2026.0</v>
      </c>
      <c r="AA598" s="74" t="s">
        <v>262</v>
      </c>
    </row>
    <row r="599" ht="15.75" hidden="1" customHeight="1">
      <c r="A599" s="340" t="s">
        <v>2128</v>
      </c>
      <c r="B599" s="340" t="s">
        <v>2129</v>
      </c>
      <c r="C599" s="343">
        <v>46184.0</v>
      </c>
      <c r="D599" s="194">
        <v>11.0</v>
      </c>
      <c r="E599" s="194">
        <v>6.0</v>
      </c>
      <c r="F599" s="194">
        <v>2026.0</v>
      </c>
      <c r="G599" s="343">
        <v>46188.0</v>
      </c>
      <c r="H599" s="194">
        <v>15.0</v>
      </c>
      <c r="I599" s="194">
        <v>6.0</v>
      </c>
      <c r="J599" s="194">
        <v>2026.0</v>
      </c>
      <c r="K599" s="74" t="s">
        <v>46</v>
      </c>
      <c r="L599" s="74" t="s">
        <v>1177</v>
      </c>
      <c r="M599" s="74">
        <v>1.0</v>
      </c>
      <c r="N599" s="74">
        <v>4.0</v>
      </c>
      <c r="O599" s="74"/>
      <c r="P599" s="74">
        <v>8.0</v>
      </c>
      <c r="Q599" s="343">
        <v>46184.85016203704</v>
      </c>
      <c r="R599" s="185">
        <v>11.0</v>
      </c>
      <c r="S599" s="185">
        <v>6.0</v>
      </c>
      <c r="T599" s="194">
        <v>2026.0</v>
      </c>
      <c r="U599" s="74" t="s">
        <v>12</v>
      </c>
      <c r="V599" s="74">
        <v>141.95</v>
      </c>
      <c r="W599" s="343">
        <v>46184.849756944444</v>
      </c>
      <c r="X599" s="194">
        <v>11.0</v>
      </c>
      <c r="Y599" s="194">
        <v>6.0</v>
      </c>
      <c r="Z599" s="194">
        <v>2026.0</v>
      </c>
      <c r="AA599" s="74" t="s">
        <v>12</v>
      </c>
    </row>
    <row r="600" ht="15.75" hidden="1" customHeight="1">
      <c r="A600" s="340" t="s">
        <v>2130</v>
      </c>
      <c r="B600" s="340" t="s">
        <v>2131</v>
      </c>
      <c r="C600" s="343">
        <v>46202.0</v>
      </c>
      <c r="D600" s="194">
        <v>29.0</v>
      </c>
      <c r="E600" s="194">
        <v>6.0</v>
      </c>
      <c r="F600" s="194">
        <v>2026.0</v>
      </c>
      <c r="G600" s="343">
        <v>46204.0</v>
      </c>
      <c r="H600" s="194">
        <v>1.0</v>
      </c>
      <c r="I600" s="194">
        <v>7.0</v>
      </c>
      <c r="J600" s="194">
        <v>2026.0</v>
      </c>
      <c r="K600" s="74" t="s">
        <v>46</v>
      </c>
      <c r="L600" s="74" t="s">
        <v>1177</v>
      </c>
      <c r="M600" s="74">
        <v>1.0</v>
      </c>
      <c r="N600" s="74">
        <v>2.0</v>
      </c>
      <c r="O600" s="74"/>
      <c r="P600" s="74">
        <v>4.0</v>
      </c>
      <c r="Q600" s="343">
        <v>46202.683229166665</v>
      </c>
      <c r="R600" s="185">
        <v>29.0</v>
      </c>
      <c r="S600" s="185">
        <v>6.0</v>
      </c>
      <c r="T600" s="194">
        <v>2026.0</v>
      </c>
      <c r="U600" s="74" t="s">
        <v>245</v>
      </c>
      <c r="V600" s="74">
        <v>76.5</v>
      </c>
      <c r="W600" s="343">
        <v>46202.68271990741</v>
      </c>
      <c r="X600" s="194">
        <v>29.0</v>
      </c>
      <c r="Y600" s="194">
        <v>6.0</v>
      </c>
      <c r="Z600" s="194">
        <v>2026.0</v>
      </c>
      <c r="AA600" s="74" t="s">
        <v>245</v>
      </c>
    </row>
    <row r="601" ht="15.75" hidden="1" customHeight="1">
      <c r="A601" s="340" t="s">
        <v>2132</v>
      </c>
      <c r="B601" s="340" t="s">
        <v>2133</v>
      </c>
      <c r="C601" s="343">
        <v>46186.0</v>
      </c>
      <c r="D601" s="194">
        <v>13.0</v>
      </c>
      <c r="E601" s="194">
        <v>6.0</v>
      </c>
      <c r="F601" s="194">
        <v>2026.0</v>
      </c>
      <c r="G601" s="343">
        <v>46188.0</v>
      </c>
      <c r="H601" s="194">
        <v>15.0</v>
      </c>
      <c r="I601" s="194">
        <v>6.0</v>
      </c>
      <c r="J601" s="194">
        <v>2026.0</v>
      </c>
      <c r="K601" s="74" t="s">
        <v>46</v>
      </c>
      <c r="L601" s="74" t="s">
        <v>1177</v>
      </c>
      <c r="M601" s="74">
        <v>1.0</v>
      </c>
      <c r="N601" s="74">
        <v>2.0</v>
      </c>
      <c r="O601" s="74"/>
      <c r="P601" s="74">
        <v>4.0</v>
      </c>
      <c r="Q601" s="343">
        <v>46186.64974537037</v>
      </c>
      <c r="R601" s="185">
        <v>13.0</v>
      </c>
      <c r="S601" s="185">
        <v>6.0</v>
      </c>
      <c r="T601" s="194">
        <v>2026.0</v>
      </c>
      <c r="U601" s="74" t="s">
        <v>12</v>
      </c>
      <c r="V601" s="74">
        <v>68.0</v>
      </c>
      <c r="W601" s="343">
        <v>46186.64884259259</v>
      </c>
      <c r="X601" s="194">
        <v>13.0</v>
      </c>
      <c r="Y601" s="194">
        <v>6.0</v>
      </c>
      <c r="Z601" s="194">
        <v>2026.0</v>
      </c>
      <c r="AA601" s="74" t="s">
        <v>12</v>
      </c>
    </row>
    <row r="602" ht="15.75" hidden="1" customHeight="1">
      <c r="A602" s="74" t="s">
        <v>2134</v>
      </c>
      <c r="B602" s="74">
        <v>5.561472196329E12</v>
      </c>
      <c r="C602" s="418">
        <v>46203.0</v>
      </c>
      <c r="D602" s="74">
        <v>30.0</v>
      </c>
      <c r="E602" s="74">
        <v>6.0</v>
      </c>
      <c r="F602" s="74">
        <v>2026.0</v>
      </c>
      <c r="G602" s="418">
        <v>46205.0</v>
      </c>
      <c r="H602" s="74">
        <v>2.0</v>
      </c>
      <c r="I602" s="74">
        <v>7.0</v>
      </c>
      <c r="J602" s="74">
        <v>2026.0</v>
      </c>
      <c r="K602" s="189" t="s">
        <v>46</v>
      </c>
      <c r="L602" s="189" t="s">
        <v>1177</v>
      </c>
      <c r="M602" s="74">
        <v>1.0</v>
      </c>
      <c r="N602" s="74">
        <v>2.0</v>
      </c>
      <c r="O602" s="74"/>
      <c r="P602" s="74">
        <v>4.0</v>
      </c>
      <c r="Q602" s="418">
        <v>46204.0</v>
      </c>
      <c r="R602" s="339">
        <v>1.0</v>
      </c>
      <c r="S602" s="339">
        <v>7.0</v>
      </c>
      <c r="T602" s="74">
        <v>2026.0</v>
      </c>
      <c r="U602" s="189" t="s">
        <v>245</v>
      </c>
      <c r="V602" s="74">
        <v>68.0</v>
      </c>
      <c r="W602" s="418">
        <v>46204.0</v>
      </c>
      <c r="X602" s="339">
        <v>1.0</v>
      </c>
      <c r="Y602" s="339">
        <v>7.0</v>
      </c>
      <c r="Z602" s="74">
        <v>2026.0</v>
      </c>
      <c r="AA602" s="189" t="s">
        <v>245</v>
      </c>
    </row>
    <row r="603" ht="15.75" hidden="1" customHeight="1">
      <c r="A603" s="357" t="s">
        <v>2135</v>
      </c>
      <c r="B603" s="357" t="s">
        <v>2136</v>
      </c>
      <c r="C603" s="358">
        <v>46204.0</v>
      </c>
      <c r="D603" s="359">
        <v>1.0</v>
      </c>
      <c r="E603" s="359">
        <v>7.0</v>
      </c>
      <c r="F603" s="359">
        <v>2026.0</v>
      </c>
      <c r="G603" s="358">
        <v>46206.0</v>
      </c>
      <c r="H603" s="359">
        <v>3.0</v>
      </c>
      <c r="I603" s="359">
        <v>7.0</v>
      </c>
      <c r="J603" s="359">
        <v>2026.0</v>
      </c>
      <c r="K603" s="357" t="s">
        <v>46</v>
      </c>
      <c r="L603" s="357" t="s">
        <v>1177</v>
      </c>
      <c r="M603" s="357">
        <v>1.0</v>
      </c>
      <c r="N603" s="357">
        <v>2.0</v>
      </c>
      <c r="O603" s="357"/>
      <c r="P603" s="357">
        <v>4.0</v>
      </c>
      <c r="Q603" s="358">
        <v>46204.68292824074</v>
      </c>
      <c r="R603" s="360">
        <v>1.0</v>
      </c>
      <c r="S603" s="360">
        <v>7.0</v>
      </c>
      <c r="T603" s="359">
        <v>2026.0</v>
      </c>
      <c r="U603" s="357" t="s">
        <v>262</v>
      </c>
      <c r="V603" s="357">
        <v>59.5</v>
      </c>
      <c r="W603" s="358">
        <v>46204.682650462964</v>
      </c>
      <c r="X603" s="359">
        <v>1.0</v>
      </c>
      <c r="Y603" s="359">
        <v>7.0</v>
      </c>
      <c r="Z603" s="359">
        <v>2026.0</v>
      </c>
      <c r="AA603" s="357" t="s">
        <v>262</v>
      </c>
    </row>
    <row r="604" ht="15.75" hidden="1" customHeight="1">
      <c r="A604" s="357" t="s">
        <v>2137</v>
      </c>
      <c r="B604" s="357" t="s">
        <v>2138</v>
      </c>
      <c r="C604" s="358">
        <v>46204.0</v>
      </c>
      <c r="D604" s="359">
        <v>1.0</v>
      </c>
      <c r="E604" s="359">
        <v>7.0</v>
      </c>
      <c r="F604" s="359">
        <v>2026.0</v>
      </c>
      <c r="G604" s="358">
        <v>46205.0</v>
      </c>
      <c r="H604" s="359">
        <v>2.0</v>
      </c>
      <c r="I604" s="359">
        <v>7.0</v>
      </c>
      <c r="J604" s="359">
        <v>2026.0</v>
      </c>
      <c r="K604" s="357" t="s">
        <v>46</v>
      </c>
      <c r="L604" s="357" t="s">
        <v>1177</v>
      </c>
      <c r="M604" s="357">
        <v>1.0</v>
      </c>
      <c r="N604" s="357">
        <v>1.0</v>
      </c>
      <c r="O604" s="357"/>
      <c r="P604" s="357">
        <v>2.0</v>
      </c>
      <c r="Q604" s="358">
        <v>46205.015706018516</v>
      </c>
      <c r="R604" s="360">
        <v>2.0</v>
      </c>
      <c r="S604" s="360">
        <v>7.0</v>
      </c>
      <c r="T604" s="359">
        <v>2026.0</v>
      </c>
      <c r="U604" s="357" t="s">
        <v>245</v>
      </c>
      <c r="V604" s="357">
        <v>29.75</v>
      </c>
      <c r="W604" s="358">
        <v>46205.015706018516</v>
      </c>
      <c r="X604" s="359">
        <v>2.0</v>
      </c>
      <c r="Y604" s="359">
        <v>7.0</v>
      </c>
      <c r="Z604" s="359">
        <v>2026.0</v>
      </c>
      <c r="AA604" s="357" t="s">
        <v>245</v>
      </c>
    </row>
    <row r="605" ht="15.75" hidden="1" customHeight="1">
      <c r="A605" s="189" t="s">
        <v>2139</v>
      </c>
      <c r="B605" s="189" t="s">
        <v>2140</v>
      </c>
      <c r="C605" s="361">
        <v>46204.0</v>
      </c>
      <c r="D605" s="201">
        <v>1.0</v>
      </c>
      <c r="E605" s="201">
        <v>7.0</v>
      </c>
      <c r="F605" s="201">
        <v>2026.0</v>
      </c>
      <c r="G605" s="361">
        <v>46206.0</v>
      </c>
      <c r="H605" s="201">
        <v>3.0</v>
      </c>
      <c r="I605" s="201">
        <v>7.0</v>
      </c>
      <c r="J605" s="201">
        <v>2026.0</v>
      </c>
      <c r="K605" s="189" t="s">
        <v>46</v>
      </c>
      <c r="L605" s="189" t="s">
        <v>1177</v>
      </c>
      <c r="M605" s="189">
        <v>1.0</v>
      </c>
      <c r="N605" s="189">
        <v>2.0</v>
      </c>
      <c r="O605" s="189"/>
      <c r="P605" s="189">
        <v>4.0</v>
      </c>
      <c r="Q605" s="361">
        <v>46206.45353009259</v>
      </c>
      <c r="R605" s="362">
        <v>3.0</v>
      </c>
      <c r="S605" s="362">
        <v>7.0</v>
      </c>
      <c r="T605" s="201">
        <v>2026.0</v>
      </c>
      <c r="U605" s="189" t="s">
        <v>245</v>
      </c>
      <c r="V605" s="189">
        <v>59.5</v>
      </c>
      <c r="W605" s="361">
        <v>46206.45309027778</v>
      </c>
      <c r="X605" s="201">
        <v>3.0</v>
      </c>
      <c r="Y605" s="201">
        <v>7.0</v>
      </c>
      <c r="Z605" s="201">
        <v>2026.0</v>
      </c>
      <c r="AA605" s="189" t="s">
        <v>245</v>
      </c>
    </row>
    <row r="606" ht="15.75" hidden="1" customHeight="1">
      <c r="A606" s="189" t="s">
        <v>2141</v>
      </c>
      <c r="B606" s="189" t="s">
        <v>2142</v>
      </c>
      <c r="C606" s="361">
        <v>46206.0</v>
      </c>
      <c r="D606" s="201">
        <v>3.0</v>
      </c>
      <c r="E606" s="201">
        <v>7.0</v>
      </c>
      <c r="F606" s="201">
        <v>2026.0</v>
      </c>
      <c r="G606" s="361">
        <v>46208.0</v>
      </c>
      <c r="H606" s="201">
        <v>5.0</v>
      </c>
      <c r="I606" s="201">
        <v>7.0</v>
      </c>
      <c r="J606" s="201">
        <v>2026.0</v>
      </c>
      <c r="K606" s="189" t="s">
        <v>46</v>
      </c>
      <c r="L606" s="189" t="s">
        <v>1177</v>
      </c>
      <c r="M606" s="189">
        <v>1.0</v>
      </c>
      <c r="N606" s="189">
        <v>2.0</v>
      </c>
      <c r="O606" s="189"/>
      <c r="P606" s="189">
        <v>4.0</v>
      </c>
      <c r="Q606" s="361">
        <v>46207.7184837963</v>
      </c>
      <c r="R606" s="362">
        <v>4.0</v>
      </c>
      <c r="S606" s="362">
        <v>7.0</v>
      </c>
      <c r="T606" s="201">
        <v>2026.0</v>
      </c>
      <c r="U606" s="189" t="s">
        <v>12</v>
      </c>
      <c r="V606" s="189">
        <v>59.5</v>
      </c>
      <c r="W606" s="361">
        <v>46207.71732638889</v>
      </c>
      <c r="X606" s="201">
        <v>4.0</v>
      </c>
      <c r="Y606" s="201">
        <v>7.0</v>
      </c>
      <c r="Z606" s="201">
        <v>2026.0</v>
      </c>
      <c r="AA606" s="189" t="s">
        <v>12</v>
      </c>
    </row>
    <row r="607" ht="15.75" hidden="1" customHeight="1">
      <c r="A607" s="189" t="s">
        <v>2143</v>
      </c>
      <c r="B607" s="189" t="s">
        <v>2144</v>
      </c>
      <c r="C607" s="361">
        <v>46207.0</v>
      </c>
      <c r="D607" s="201">
        <v>4.0</v>
      </c>
      <c r="E607" s="201">
        <v>7.0</v>
      </c>
      <c r="F607" s="201">
        <v>2026.0</v>
      </c>
      <c r="G607" s="361">
        <v>46210.0</v>
      </c>
      <c r="H607" s="201">
        <v>7.0</v>
      </c>
      <c r="I607" s="201">
        <v>7.0</v>
      </c>
      <c r="J607" s="201">
        <v>2026.0</v>
      </c>
      <c r="K607" s="189" t="s">
        <v>46</v>
      </c>
      <c r="L607" s="189" t="s">
        <v>1177</v>
      </c>
      <c r="M607" s="189">
        <v>1.0</v>
      </c>
      <c r="N607" s="189">
        <v>3.0</v>
      </c>
      <c r="O607" s="189"/>
      <c r="P607" s="189">
        <v>6.0</v>
      </c>
      <c r="Q607" s="361">
        <v>46207.64708333334</v>
      </c>
      <c r="R607" s="362">
        <v>4.0</v>
      </c>
      <c r="S607" s="362">
        <v>7.0</v>
      </c>
      <c r="T607" s="201">
        <v>2026.0</v>
      </c>
      <c r="U607" s="189" t="s">
        <v>245</v>
      </c>
      <c r="V607" s="189">
        <v>89.25</v>
      </c>
      <c r="W607" s="361">
        <v>46207.646574074075</v>
      </c>
      <c r="X607" s="201">
        <v>4.0</v>
      </c>
      <c r="Y607" s="201">
        <v>7.0</v>
      </c>
      <c r="Z607" s="201">
        <v>2026.0</v>
      </c>
      <c r="AA607" s="189" t="s">
        <v>245</v>
      </c>
    </row>
    <row r="608" ht="15.75" hidden="1" customHeight="1">
      <c r="A608" s="189" t="s">
        <v>2145</v>
      </c>
      <c r="B608" s="189" t="s">
        <v>2146</v>
      </c>
      <c r="C608" s="361">
        <v>46206.0</v>
      </c>
      <c r="D608" s="201">
        <v>3.0</v>
      </c>
      <c r="E608" s="201">
        <v>7.0</v>
      </c>
      <c r="F608" s="201">
        <v>2026.0</v>
      </c>
      <c r="G608" s="361">
        <v>46208.0</v>
      </c>
      <c r="H608" s="201">
        <v>5.0</v>
      </c>
      <c r="I608" s="201">
        <v>7.0</v>
      </c>
      <c r="J608" s="201">
        <v>2026.0</v>
      </c>
      <c r="K608" s="189" t="s">
        <v>46</v>
      </c>
      <c r="L608" s="189" t="s">
        <v>1177</v>
      </c>
      <c r="M608" s="189">
        <v>1.0</v>
      </c>
      <c r="N608" s="189">
        <v>2.0</v>
      </c>
      <c r="O608" s="189"/>
      <c r="P608" s="189">
        <v>4.0</v>
      </c>
      <c r="Q608" s="361">
        <v>46208.465046296296</v>
      </c>
      <c r="R608" s="362">
        <v>5.0</v>
      </c>
      <c r="S608" s="362">
        <v>7.0</v>
      </c>
      <c r="T608" s="201">
        <v>2026.0</v>
      </c>
      <c r="U608" s="189" t="s">
        <v>245</v>
      </c>
      <c r="V608" s="189">
        <v>59.5</v>
      </c>
      <c r="W608" s="361">
        <v>46208.46456018519</v>
      </c>
      <c r="X608" s="201">
        <v>5.0</v>
      </c>
      <c r="Y608" s="201">
        <v>7.0</v>
      </c>
      <c r="Z608" s="201">
        <v>2026.0</v>
      </c>
      <c r="AA608" s="189" t="s">
        <v>245</v>
      </c>
    </row>
    <row r="609" ht="15.75" hidden="1" customHeight="1">
      <c r="A609" s="357" t="s">
        <v>2147</v>
      </c>
      <c r="B609" s="357" t="s">
        <v>2148</v>
      </c>
      <c r="C609" s="358">
        <v>46206.0</v>
      </c>
      <c r="D609" s="359">
        <v>3.0</v>
      </c>
      <c r="E609" s="359">
        <v>7.0</v>
      </c>
      <c r="F609" s="359">
        <v>2026.0</v>
      </c>
      <c r="G609" s="358">
        <v>46207.0</v>
      </c>
      <c r="H609" s="359">
        <v>4.0</v>
      </c>
      <c r="I609" s="359">
        <v>7.0</v>
      </c>
      <c r="J609" s="359">
        <v>2026.0</v>
      </c>
      <c r="K609" s="357" t="s">
        <v>46</v>
      </c>
      <c r="L609" s="357" t="s">
        <v>1177</v>
      </c>
      <c r="M609" s="357">
        <v>1.0</v>
      </c>
      <c r="N609" s="357">
        <v>1.0</v>
      </c>
      <c r="O609" s="357"/>
      <c r="P609" s="357">
        <v>2.0</v>
      </c>
      <c r="Q609" s="358">
        <v>46208.01893518519</v>
      </c>
      <c r="R609" s="360">
        <v>5.0</v>
      </c>
      <c r="S609" s="360">
        <v>7.0</v>
      </c>
      <c r="T609" s="359">
        <v>2026.0</v>
      </c>
      <c r="U609" s="357" t="s">
        <v>245</v>
      </c>
      <c r="V609" s="357">
        <v>29.75</v>
      </c>
      <c r="W609" s="358">
        <v>46208.01880787037</v>
      </c>
      <c r="X609" s="359">
        <v>5.0</v>
      </c>
      <c r="Y609" s="359">
        <v>7.0</v>
      </c>
      <c r="Z609" s="359">
        <v>2026.0</v>
      </c>
      <c r="AA609" s="357" t="s">
        <v>245</v>
      </c>
    </row>
    <row r="610" ht="15.75" hidden="1" customHeight="1">
      <c r="A610" s="189" t="s">
        <v>2149</v>
      </c>
      <c r="B610" s="189" t="s">
        <v>2150</v>
      </c>
      <c r="C610" s="361">
        <v>46207.0</v>
      </c>
      <c r="D610" s="201">
        <v>4.0</v>
      </c>
      <c r="E610" s="201">
        <v>7.0</v>
      </c>
      <c r="F610" s="201">
        <v>2026.0</v>
      </c>
      <c r="G610" s="361">
        <v>46208.0</v>
      </c>
      <c r="H610" s="201">
        <v>5.0</v>
      </c>
      <c r="I610" s="201">
        <v>7.0</v>
      </c>
      <c r="J610" s="201">
        <v>2026.0</v>
      </c>
      <c r="K610" s="189" t="s">
        <v>46</v>
      </c>
      <c r="L610" s="189" t="s">
        <v>1177</v>
      </c>
      <c r="M610" s="189">
        <v>1.0</v>
      </c>
      <c r="N610" s="189">
        <v>1.0</v>
      </c>
      <c r="O610" s="189"/>
      <c r="P610" s="189">
        <v>2.0</v>
      </c>
      <c r="Q610" s="361">
        <v>46208.02292824074</v>
      </c>
      <c r="R610" s="362">
        <v>5.0</v>
      </c>
      <c r="S610" s="362">
        <v>7.0</v>
      </c>
      <c r="T610" s="201">
        <v>2026.0</v>
      </c>
      <c r="U610" s="189" t="s">
        <v>262</v>
      </c>
      <c r="V610" s="189">
        <v>29.75</v>
      </c>
      <c r="W610" s="361">
        <v>46208.02292824074</v>
      </c>
      <c r="X610" s="201">
        <v>5.0</v>
      </c>
      <c r="Y610" s="201">
        <v>7.0</v>
      </c>
      <c r="Z610" s="201">
        <v>2026.0</v>
      </c>
      <c r="AA610" s="189" t="s">
        <v>262</v>
      </c>
    </row>
    <row r="611" ht="15.75" hidden="1" customHeight="1">
      <c r="A611" s="189" t="s">
        <v>2151</v>
      </c>
      <c r="B611" s="189" t="s">
        <v>2152</v>
      </c>
      <c r="C611" s="361">
        <v>46208.0</v>
      </c>
      <c r="D611" s="201">
        <v>5.0</v>
      </c>
      <c r="E611" s="201">
        <v>7.0</v>
      </c>
      <c r="F611" s="201">
        <v>2026.0</v>
      </c>
      <c r="G611" s="361">
        <v>46209.0</v>
      </c>
      <c r="H611" s="201">
        <v>6.0</v>
      </c>
      <c r="I611" s="201">
        <v>7.0</v>
      </c>
      <c r="J611" s="201">
        <v>2026.0</v>
      </c>
      <c r="K611" s="189" t="s">
        <v>46</v>
      </c>
      <c r="L611" s="189" t="s">
        <v>1177</v>
      </c>
      <c r="M611" s="189">
        <v>1.0</v>
      </c>
      <c r="N611" s="189">
        <v>1.0</v>
      </c>
      <c r="O611" s="189"/>
      <c r="P611" s="189">
        <v>2.0</v>
      </c>
      <c r="Q611" s="361">
        <v>46208.87530092592</v>
      </c>
      <c r="R611" s="362">
        <v>5.0</v>
      </c>
      <c r="S611" s="362">
        <v>7.0</v>
      </c>
      <c r="T611" s="201">
        <v>2026.0</v>
      </c>
      <c r="U611" s="189" t="s">
        <v>245</v>
      </c>
      <c r="V611" s="189">
        <v>27.2</v>
      </c>
      <c r="W611" s="361">
        <v>46208.87530092592</v>
      </c>
      <c r="X611" s="201">
        <v>5.0</v>
      </c>
      <c r="Y611" s="201">
        <v>7.0</v>
      </c>
      <c r="Z611" s="201">
        <v>2026.0</v>
      </c>
      <c r="AA611" s="189" t="s">
        <v>245</v>
      </c>
    </row>
    <row r="612" ht="15.75" hidden="1" customHeight="1">
      <c r="A612" s="189" t="s">
        <v>2153</v>
      </c>
      <c r="B612" s="189" t="s">
        <v>2154</v>
      </c>
      <c r="C612" s="361">
        <v>46206.0</v>
      </c>
      <c r="D612" s="201">
        <v>3.0</v>
      </c>
      <c r="E612" s="201">
        <v>7.0</v>
      </c>
      <c r="F612" s="201">
        <v>2026.0</v>
      </c>
      <c r="G612" s="361">
        <v>46209.0</v>
      </c>
      <c r="H612" s="201">
        <v>6.0</v>
      </c>
      <c r="I612" s="201">
        <v>7.0</v>
      </c>
      <c r="J612" s="201">
        <v>2026.0</v>
      </c>
      <c r="K612" s="189" t="s">
        <v>46</v>
      </c>
      <c r="L612" s="189" t="s">
        <v>1177</v>
      </c>
      <c r="M612" s="189">
        <v>1.0</v>
      </c>
      <c r="N612" s="189">
        <v>3.0</v>
      </c>
      <c r="O612" s="189"/>
      <c r="P612" s="189">
        <v>6.0</v>
      </c>
      <c r="Q612" s="361">
        <v>46209.86278935185</v>
      </c>
      <c r="R612" s="362">
        <v>6.0</v>
      </c>
      <c r="S612" s="362">
        <v>7.0</v>
      </c>
      <c r="T612" s="201">
        <v>2026.0</v>
      </c>
      <c r="U612" s="189" t="s">
        <v>245</v>
      </c>
      <c r="V612" s="189">
        <v>89.25</v>
      </c>
      <c r="W612" s="361">
        <v>46209.86278935185</v>
      </c>
      <c r="X612" s="201">
        <v>6.0</v>
      </c>
      <c r="Y612" s="201">
        <v>7.0</v>
      </c>
      <c r="Z612" s="201">
        <v>2026.0</v>
      </c>
      <c r="AA612" s="189" t="s">
        <v>245</v>
      </c>
    </row>
    <row r="613" ht="15.75" hidden="1" customHeight="1">
      <c r="A613" s="189" t="s">
        <v>2155</v>
      </c>
      <c r="B613" s="189" t="s">
        <v>2156</v>
      </c>
      <c r="C613" s="361">
        <v>46208.0</v>
      </c>
      <c r="D613" s="201">
        <v>5.0</v>
      </c>
      <c r="E613" s="201">
        <v>7.0</v>
      </c>
      <c r="F613" s="201">
        <v>2026.0</v>
      </c>
      <c r="G613" s="361">
        <v>46209.0</v>
      </c>
      <c r="H613" s="201">
        <v>6.0</v>
      </c>
      <c r="I613" s="201">
        <v>7.0</v>
      </c>
      <c r="J613" s="201">
        <v>2026.0</v>
      </c>
      <c r="K613" s="189" t="s">
        <v>46</v>
      </c>
      <c r="L613" s="189" t="s">
        <v>1177</v>
      </c>
      <c r="M613" s="189">
        <v>1.0</v>
      </c>
      <c r="N613" s="189">
        <v>1.0</v>
      </c>
      <c r="O613" s="189"/>
      <c r="P613" s="189">
        <v>2.0</v>
      </c>
      <c r="Q613" s="361">
        <v>46209.04146990741</v>
      </c>
      <c r="R613" s="362">
        <v>6.0</v>
      </c>
      <c r="S613" s="362">
        <v>7.0</v>
      </c>
      <c r="T613" s="201">
        <v>2026.0</v>
      </c>
      <c r="U613" s="189" t="s">
        <v>245</v>
      </c>
      <c r="V613" s="189">
        <v>29.75</v>
      </c>
      <c r="W613" s="361">
        <v>46209.04146990741</v>
      </c>
      <c r="X613" s="201">
        <v>6.0</v>
      </c>
      <c r="Y613" s="201">
        <v>7.0</v>
      </c>
      <c r="Z613" s="201">
        <v>2026.0</v>
      </c>
      <c r="AA613" s="189" t="s">
        <v>245</v>
      </c>
    </row>
    <row r="614" ht="15.75" hidden="1" customHeight="1">
      <c r="A614" s="189" t="s">
        <v>2157</v>
      </c>
      <c r="B614" s="189" t="s">
        <v>2158</v>
      </c>
      <c r="C614" s="361">
        <v>46208.0</v>
      </c>
      <c r="D614" s="201">
        <v>5.0</v>
      </c>
      <c r="E614" s="201">
        <v>7.0</v>
      </c>
      <c r="F614" s="201">
        <v>2026.0</v>
      </c>
      <c r="G614" s="361">
        <v>46209.0</v>
      </c>
      <c r="H614" s="201">
        <v>6.0</v>
      </c>
      <c r="I614" s="201">
        <v>7.0</v>
      </c>
      <c r="J614" s="201">
        <v>2026.0</v>
      </c>
      <c r="K614" s="189" t="s">
        <v>46</v>
      </c>
      <c r="L614" s="189" t="s">
        <v>1177</v>
      </c>
      <c r="M614" s="189">
        <v>1.0</v>
      </c>
      <c r="N614" s="189">
        <v>1.0</v>
      </c>
      <c r="O614" s="189"/>
      <c r="P614" s="189">
        <v>2.0</v>
      </c>
      <c r="Q614" s="361">
        <v>46209.44326388889</v>
      </c>
      <c r="R614" s="362">
        <v>6.0</v>
      </c>
      <c r="S614" s="362">
        <v>7.0</v>
      </c>
      <c r="T614" s="201">
        <v>2026.0</v>
      </c>
      <c r="U614" s="189" t="s">
        <v>245</v>
      </c>
      <c r="V614" s="189">
        <v>29.75</v>
      </c>
      <c r="W614" s="361">
        <v>46209.44326388889</v>
      </c>
      <c r="X614" s="201">
        <v>6.0</v>
      </c>
      <c r="Y614" s="201">
        <v>7.0</v>
      </c>
      <c r="Z614" s="201">
        <v>2026.0</v>
      </c>
      <c r="AA614" s="189" t="s">
        <v>245</v>
      </c>
    </row>
    <row r="615" ht="15.75" hidden="1" customHeight="1">
      <c r="A615" s="189" t="s">
        <v>2159</v>
      </c>
      <c r="B615" s="189" t="s">
        <v>2160</v>
      </c>
      <c r="C615" s="361">
        <v>46208.0</v>
      </c>
      <c r="D615" s="201">
        <v>5.0</v>
      </c>
      <c r="E615" s="201">
        <v>7.0</v>
      </c>
      <c r="F615" s="201">
        <v>2026.0</v>
      </c>
      <c r="G615" s="361">
        <v>46210.0</v>
      </c>
      <c r="H615" s="201">
        <v>7.0</v>
      </c>
      <c r="I615" s="201">
        <v>7.0</v>
      </c>
      <c r="J615" s="201">
        <v>2026.0</v>
      </c>
      <c r="K615" s="189" t="s">
        <v>46</v>
      </c>
      <c r="L615" s="189" t="s">
        <v>1177</v>
      </c>
      <c r="M615" s="189">
        <v>1.0</v>
      </c>
      <c r="N615" s="189">
        <v>2.0</v>
      </c>
      <c r="O615" s="189"/>
      <c r="P615" s="189">
        <v>4.0</v>
      </c>
      <c r="Q615" s="361">
        <v>46209.86399305556</v>
      </c>
      <c r="R615" s="362">
        <v>6.0</v>
      </c>
      <c r="S615" s="362">
        <v>7.0</v>
      </c>
      <c r="T615" s="201">
        <v>2026.0</v>
      </c>
      <c r="U615" s="189" t="s">
        <v>245</v>
      </c>
      <c r="V615" s="189">
        <v>59.5</v>
      </c>
      <c r="W615" s="361">
        <v>46209.86399305556</v>
      </c>
      <c r="X615" s="201">
        <v>6.0</v>
      </c>
      <c r="Y615" s="201">
        <v>7.0</v>
      </c>
      <c r="Z615" s="201">
        <v>2026.0</v>
      </c>
      <c r="AA615" s="189" t="s">
        <v>245</v>
      </c>
    </row>
    <row r="616" ht="15.75" hidden="1" customHeight="1">
      <c r="A616" s="189" t="s">
        <v>2161</v>
      </c>
      <c r="B616" s="189" t="s">
        <v>2162</v>
      </c>
      <c r="C616" s="361">
        <v>46208.0</v>
      </c>
      <c r="D616" s="201">
        <v>5.0</v>
      </c>
      <c r="E616" s="201">
        <v>7.0</v>
      </c>
      <c r="F616" s="201">
        <v>2026.0</v>
      </c>
      <c r="G616" s="361">
        <v>46210.0</v>
      </c>
      <c r="H616" s="201">
        <v>7.0</v>
      </c>
      <c r="I616" s="201">
        <v>7.0</v>
      </c>
      <c r="J616" s="201">
        <v>2026.0</v>
      </c>
      <c r="K616" s="189" t="s">
        <v>46</v>
      </c>
      <c r="L616" s="189" t="s">
        <v>1177</v>
      </c>
      <c r="M616" s="189">
        <v>1.0</v>
      </c>
      <c r="N616" s="189">
        <v>2.0</v>
      </c>
      <c r="O616" s="189"/>
      <c r="P616" s="189">
        <v>4.0</v>
      </c>
      <c r="Q616" s="361">
        <v>46210.05886574074</v>
      </c>
      <c r="R616" s="362">
        <v>7.0</v>
      </c>
      <c r="S616" s="362">
        <v>7.0</v>
      </c>
      <c r="T616" s="201">
        <v>2026.0</v>
      </c>
      <c r="U616" s="189" t="s">
        <v>245</v>
      </c>
      <c r="V616" s="189">
        <v>59.5</v>
      </c>
      <c r="W616" s="361">
        <v>46210.05886574074</v>
      </c>
      <c r="X616" s="201">
        <v>7.0</v>
      </c>
      <c r="Y616" s="201">
        <v>7.0</v>
      </c>
      <c r="Z616" s="201">
        <v>2026.0</v>
      </c>
      <c r="AA616" s="189" t="s">
        <v>245</v>
      </c>
    </row>
    <row r="617" ht="15.75" hidden="1" customHeight="1">
      <c r="A617" s="189" t="s">
        <v>2163</v>
      </c>
      <c r="B617" s="189" t="s">
        <v>2164</v>
      </c>
      <c r="C617" s="361">
        <v>46208.0</v>
      </c>
      <c r="D617" s="201">
        <v>5.0</v>
      </c>
      <c r="E617" s="201">
        <v>7.0</v>
      </c>
      <c r="F617" s="201">
        <v>2026.0</v>
      </c>
      <c r="G617" s="361">
        <v>46209.0</v>
      </c>
      <c r="H617" s="201">
        <v>6.0</v>
      </c>
      <c r="I617" s="201">
        <v>7.0</v>
      </c>
      <c r="J617" s="201">
        <v>2026.0</v>
      </c>
      <c r="K617" s="189" t="s">
        <v>46</v>
      </c>
      <c r="L617" s="189" t="s">
        <v>1177</v>
      </c>
      <c r="M617" s="189">
        <v>1.0</v>
      </c>
      <c r="N617" s="189">
        <v>1.0</v>
      </c>
      <c r="O617" s="189"/>
      <c r="P617" s="189">
        <v>2.0</v>
      </c>
      <c r="Q617" s="361">
        <v>46210.77171296296</v>
      </c>
      <c r="R617" s="362">
        <v>7.0</v>
      </c>
      <c r="S617" s="362">
        <v>7.0</v>
      </c>
      <c r="T617" s="201">
        <v>2026.0</v>
      </c>
      <c r="U617" s="189" t="s">
        <v>245</v>
      </c>
      <c r="V617" s="189">
        <v>29.75</v>
      </c>
      <c r="W617" s="361">
        <v>46210.77171296296</v>
      </c>
      <c r="X617" s="201">
        <v>7.0</v>
      </c>
      <c r="Y617" s="201">
        <v>7.0</v>
      </c>
      <c r="Z617" s="201">
        <v>2026.0</v>
      </c>
      <c r="AA617" s="189" t="s">
        <v>245</v>
      </c>
    </row>
    <row r="618" ht="15.75" hidden="1" customHeight="1">
      <c r="A618" s="189" t="s">
        <v>2165</v>
      </c>
      <c r="B618" s="189" t="s">
        <v>2166</v>
      </c>
      <c r="C618" s="361">
        <v>46209.0</v>
      </c>
      <c r="D618" s="201">
        <v>6.0</v>
      </c>
      <c r="E618" s="201">
        <v>7.0</v>
      </c>
      <c r="F618" s="201">
        <v>2026.0</v>
      </c>
      <c r="G618" s="361">
        <v>46215.0</v>
      </c>
      <c r="H618" s="201">
        <v>12.0</v>
      </c>
      <c r="I618" s="201">
        <v>7.0</v>
      </c>
      <c r="J618" s="201">
        <v>2026.0</v>
      </c>
      <c r="K618" s="189" t="s">
        <v>46</v>
      </c>
      <c r="L618" s="189" t="s">
        <v>1177</v>
      </c>
      <c r="M618" s="189">
        <v>1.0</v>
      </c>
      <c r="N618" s="189">
        <v>6.0</v>
      </c>
      <c r="O618" s="189"/>
      <c r="P618" s="189">
        <v>12.0</v>
      </c>
      <c r="Q618" s="361">
        <v>46210.02997685185</v>
      </c>
      <c r="R618" s="362">
        <v>7.0</v>
      </c>
      <c r="S618" s="362">
        <v>7.0</v>
      </c>
      <c r="T618" s="201">
        <v>2026.0</v>
      </c>
      <c r="U618" s="189" t="s">
        <v>245</v>
      </c>
      <c r="V618" s="189">
        <v>195.5</v>
      </c>
      <c r="W618" s="361">
        <v>46210.02997685185</v>
      </c>
      <c r="X618" s="201">
        <v>7.0</v>
      </c>
      <c r="Y618" s="201">
        <v>7.0</v>
      </c>
      <c r="Z618" s="201">
        <v>2026.0</v>
      </c>
      <c r="AA618" s="189" t="s">
        <v>245</v>
      </c>
    </row>
    <row r="619" ht="15.75" hidden="1" customHeight="1">
      <c r="A619" s="189" t="s">
        <v>2167</v>
      </c>
      <c r="B619" s="189" t="s">
        <v>2168</v>
      </c>
      <c r="C619" s="361">
        <v>46209.0</v>
      </c>
      <c r="D619" s="201">
        <v>6.0</v>
      </c>
      <c r="E619" s="201">
        <v>7.0</v>
      </c>
      <c r="F619" s="201">
        <v>2026.0</v>
      </c>
      <c r="G619" s="361">
        <v>46210.0</v>
      </c>
      <c r="H619" s="201">
        <v>7.0</v>
      </c>
      <c r="I619" s="201">
        <v>7.0</v>
      </c>
      <c r="J619" s="201">
        <v>2026.0</v>
      </c>
      <c r="K619" s="189" t="s">
        <v>46</v>
      </c>
      <c r="L619" s="189" t="s">
        <v>1177</v>
      </c>
      <c r="M619" s="189">
        <v>1.0</v>
      </c>
      <c r="N619" s="189">
        <v>1.0</v>
      </c>
      <c r="O619" s="189"/>
      <c r="P619" s="189">
        <v>2.0</v>
      </c>
      <c r="Q619" s="361">
        <v>46210.03192129629</v>
      </c>
      <c r="R619" s="362">
        <v>7.0</v>
      </c>
      <c r="S619" s="362">
        <v>7.0</v>
      </c>
      <c r="T619" s="201">
        <v>2026.0</v>
      </c>
      <c r="U619" s="189" t="s">
        <v>245</v>
      </c>
      <c r="V619" s="189">
        <v>29.75</v>
      </c>
      <c r="W619" s="361">
        <v>46210.03192129629</v>
      </c>
      <c r="X619" s="201">
        <v>7.0</v>
      </c>
      <c r="Y619" s="201">
        <v>7.0</v>
      </c>
      <c r="Z619" s="201">
        <v>2026.0</v>
      </c>
      <c r="AA619" s="189" t="s">
        <v>245</v>
      </c>
    </row>
    <row r="620" ht="15.75" hidden="1" customHeight="1">
      <c r="A620" s="189" t="s">
        <v>2169</v>
      </c>
      <c r="B620" s="189" t="s">
        <v>2170</v>
      </c>
      <c r="C620" s="361">
        <v>46209.0</v>
      </c>
      <c r="D620" s="201">
        <v>6.0</v>
      </c>
      <c r="E620" s="201">
        <v>7.0</v>
      </c>
      <c r="F620" s="201">
        <v>2026.0</v>
      </c>
      <c r="G620" s="361">
        <v>46212.0</v>
      </c>
      <c r="H620" s="201">
        <v>9.0</v>
      </c>
      <c r="I620" s="201">
        <v>7.0</v>
      </c>
      <c r="J620" s="201">
        <v>2026.0</v>
      </c>
      <c r="K620" s="189" t="s">
        <v>46</v>
      </c>
      <c r="L620" s="189" t="s">
        <v>1177</v>
      </c>
      <c r="M620" s="189">
        <v>1.0</v>
      </c>
      <c r="N620" s="189">
        <v>3.0</v>
      </c>
      <c r="O620" s="189"/>
      <c r="P620" s="189">
        <v>6.0</v>
      </c>
      <c r="Q620" s="361">
        <v>46210.747719907406</v>
      </c>
      <c r="R620" s="362">
        <v>7.0</v>
      </c>
      <c r="S620" s="362">
        <v>7.0</v>
      </c>
      <c r="T620" s="201">
        <v>2026.0</v>
      </c>
      <c r="U620" s="189" t="s">
        <v>245</v>
      </c>
      <c r="V620" s="189">
        <v>89.25</v>
      </c>
      <c r="W620" s="361">
        <v>46210.747719907406</v>
      </c>
      <c r="X620" s="201">
        <v>7.0</v>
      </c>
      <c r="Y620" s="201">
        <v>7.0</v>
      </c>
      <c r="Z620" s="201">
        <v>2026.0</v>
      </c>
      <c r="AA620" s="189" t="s">
        <v>245</v>
      </c>
    </row>
    <row r="621" ht="15.75" hidden="1" customHeight="1">
      <c r="A621" s="189" t="s">
        <v>2171</v>
      </c>
      <c r="B621" s="189" t="s">
        <v>2172</v>
      </c>
      <c r="C621" s="361">
        <v>46209.0</v>
      </c>
      <c r="D621" s="201">
        <v>6.0</v>
      </c>
      <c r="E621" s="201">
        <v>7.0</v>
      </c>
      <c r="F621" s="201">
        <v>2026.0</v>
      </c>
      <c r="G621" s="361">
        <v>46211.0</v>
      </c>
      <c r="H621" s="201">
        <v>8.0</v>
      </c>
      <c r="I621" s="201">
        <v>7.0</v>
      </c>
      <c r="J621" s="201">
        <v>2026.0</v>
      </c>
      <c r="K621" s="189" t="s">
        <v>46</v>
      </c>
      <c r="L621" s="189" t="s">
        <v>1177</v>
      </c>
      <c r="M621" s="189">
        <v>1.0</v>
      </c>
      <c r="N621" s="189">
        <v>2.0</v>
      </c>
      <c r="O621" s="189"/>
      <c r="P621" s="189">
        <v>4.0</v>
      </c>
      <c r="Q621" s="361">
        <v>46210.74246527778</v>
      </c>
      <c r="R621" s="362">
        <v>7.0</v>
      </c>
      <c r="S621" s="362">
        <v>7.0</v>
      </c>
      <c r="T621" s="201">
        <v>2026.0</v>
      </c>
      <c r="U621" s="189" t="s">
        <v>245</v>
      </c>
      <c r="V621" s="189">
        <v>59.5</v>
      </c>
      <c r="W621" s="361">
        <v>46210.74246527778</v>
      </c>
      <c r="X621" s="201">
        <v>7.0</v>
      </c>
      <c r="Y621" s="201">
        <v>7.0</v>
      </c>
      <c r="Z621" s="201">
        <v>2026.0</v>
      </c>
      <c r="AA621" s="189" t="s">
        <v>245</v>
      </c>
    </row>
    <row r="622" ht="15.75" hidden="1" customHeight="1">
      <c r="A622" s="189" t="s">
        <v>2173</v>
      </c>
      <c r="B622" s="189" t="s">
        <v>2174</v>
      </c>
      <c r="C622" s="361">
        <v>46210.0</v>
      </c>
      <c r="D622" s="201">
        <v>7.0</v>
      </c>
      <c r="E622" s="201">
        <v>7.0</v>
      </c>
      <c r="F622" s="201">
        <v>2026.0</v>
      </c>
      <c r="G622" s="361">
        <v>46211.0</v>
      </c>
      <c r="H622" s="201">
        <v>8.0</v>
      </c>
      <c r="I622" s="201">
        <v>7.0</v>
      </c>
      <c r="J622" s="201">
        <v>2026.0</v>
      </c>
      <c r="K622" s="189" t="s">
        <v>46</v>
      </c>
      <c r="L622" s="189" t="s">
        <v>1177</v>
      </c>
      <c r="M622" s="189">
        <v>1.0</v>
      </c>
      <c r="N622" s="189">
        <v>1.0</v>
      </c>
      <c r="O622" s="189"/>
      <c r="P622" s="189">
        <v>2.0</v>
      </c>
      <c r="Q622" s="361">
        <v>46210.75664351852</v>
      </c>
      <c r="R622" s="362">
        <v>7.0</v>
      </c>
      <c r="S622" s="362">
        <v>7.0</v>
      </c>
      <c r="T622" s="201">
        <v>2026.0</v>
      </c>
      <c r="U622" s="189" t="s">
        <v>245</v>
      </c>
      <c r="V622" s="189">
        <v>35.7</v>
      </c>
      <c r="W622" s="361">
        <v>46210.75664351852</v>
      </c>
      <c r="X622" s="201">
        <v>7.0</v>
      </c>
      <c r="Y622" s="201">
        <v>7.0</v>
      </c>
      <c r="Z622" s="201">
        <v>2026.0</v>
      </c>
      <c r="AA622" s="189" t="s">
        <v>245</v>
      </c>
    </row>
    <row r="623" ht="15.75" hidden="1" customHeight="1">
      <c r="A623" s="189" t="s">
        <v>2175</v>
      </c>
      <c r="B623" s="189" t="s">
        <v>2176</v>
      </c>
      <c r="C623" s="361">
        <v>46209.0</v>
      </c>
      <c r="D623" s="201">
        <v>6.0</v>
      </c>
      <c r="E623" s="201">
        <v>7.0</v>
      </c>
      <c r="F623" s="201">
        <v>2026.0</v>
      </c>
      <c r="G623" s="361">
        <v>46212.0</v>
      </c>
      <c r="H623" s="201">
        <v>9.0</v>
      </c>
      <c r="I623" s="201">
        <v>7.0</v>
      </c>
      <c r="J623" s="201">
        <v>2026.0</v>
      </c>
      <c r="K623" s="189" t="s">
        <v>46</v>
      </c>
      <c r="L623" s="189" t="s">
        <v>1177</v>
      </c>
      <c r="M623" s="189">
        <v>1.0</v>
      </c>
      <c r="N623" s="189">
        <v>3.0</v>
      </c>
      <c r="O623" s="189"/>
      <c r="P623" s="189">
        <v>6.0</v>
      </c>
      <c r="Q623" s="361">
        <v>46211.4715625</v>
      </c>
      <c r="R623" s="362">
        <v>8.0</v>
      </c>
      <c r="S623" s="362">
        <v>7.0</v>
      </c>
      <c r="T623" s="201">
        <v>2026.0</v>
      </c>
      <c r="U623" s="189" t="s">
        <v>245</v>
      </c>
      <c r="V623" s="189">
        <v>89.25</v>
      </c>
      <c r="W623" s="361">
        <v>46211.4715625</v>
      </c>
      <c r="X623" s="201">
        <v>8.0</v>
      </c>
      <c r="Y623" s="201">
        <v>7.0</v>
      </c>
      <c r="Z623" s="201">
        <v>2026.0</v>
      </c>
      <c r="AA623" s="189" t="s">
        <v>245</v>
      </c>
    </row>
    <row r="624" ht="15.75" hidden="1" customHeight="1">
      <c r="A624" s="189" t="s">
        <v>2177</v>
      </c>
      <c r="B624" s="189" t="s">
        <v>2178</v>
      </c>
      <c r="C624" s="361">
        <v>46210.0</v>
      </c>
      <c r="D624" s="201">
        <v>7.0</v>
      </c>
      <c r="E624" s="201">
        <v>7.0</v>
      </c>
      <c r="F624" s="201">
        <v>2026.0</v>
      </c>
      <c r="G624" s="361">
        <v>46211.0</v>
      </c>
      <c r="H624" s="201">
        <v>8.0</v>
      </c>
      <c r="I624" s="201">
        <v>7.0</v>
      </c>
      <c r="J624" s="201">
        <v>2026.0</v>
      </c>
      <c r="K624" s="189" t="s">
        <v>46</v>
      </c>
      <c r="L624" s="189" t="s">
        <v>1177</v>
      </c>
      <c r="M624" s="189">
        <v>1.0</v>
      </c>
      <c r="N624" s="189">
        <v>1.0</v>
      </c>
      <c r="O624" s="189"/>
      <c r="P624" s="189">
        <v>2.0</v>
      </c>
      <c r="Q624" s="361">
        <v>46211.30892361111</v>
      </c>
      <c r="R624" s="362">
        <v>8.0</v>
      </c>
      <c r="S624" s="362">
        <v>7.0</v>
      </c>
      <c r="T624" s="201">
        <v>2026.0</v>
      </c>
      <c r="U624" s="189" t="s">
        <v>245</v>
      </c>
      <c r="V624" s="189">
        <v>29.75</v>
      </c>
      <c r="W624" s="361">
        <v>46211.30892361111</v>
      </c>
      <c r="X624" s="201">
        <v>8.0</v>
      </c>
      <c r="Y624" s="201">
        <v>7.0</v>
      </c>
      <c r="Z624" s="201">
        <v>2026.0</v>
      </c>
      <c r="AA624" s="189" t="s">
        <v>245</v>
      </c>
    </row>
    <row r="625" ht="15.75" hidden="1" customHeight="1">
      <c r="A625" s="189" t="s">
        <v>2167</v>
      </c>
      <c r="B625" s="189" t="s">
        <v>2179</v>
      </c>
      <c r="C625" s="361">
        <v>46211.0</v>
      </c>
      <c r="D625" s="201">
        <v>8.0</v>
      </c>
      <c r="E625" s="201">
        <v>7.0</v>
      </c>
      <c r="F625" s="201">
        <v>2026.0</v>
      </c>
      <c r="G625" s="361">
        <v>46212.0</v>
      </c>
      <c r="H625" s="201">
        <v>9.0</v>
      </c>
      <c r="I625" s="201">
        <v>7.0</v>
      </c>
      <c r="J625" s="201">
        <v>2026.0</v>
      </c>
      <c r="K625" s="189" t="s">
        <v>46</v>
      </c>
      <c r="L625" s="189" t="s">
        <v>1177</v>
      </c>
      <c r="M625" s="189">
        <v>1.0</v>
      </c>
      <c r="N625" s="189">
        <v>1.0</v>
      </c>
      <c r="O625" s="189"/>
      <c r="P625" s="189">
        <v>2.0</v>
      </c>
      <c r="Q625" s="361">
        <v>46211.8275462963</v>
      </c>
      <c r="R625" s="362">
        <v>8.0</v>
      </c>
      <c r="S625" s="362">
        <v>7.0</v>
      </c>
      <c r="T625" s="201">
        <v>2026.0</v>
      </c>
      <c r="U625" s="189" t="s">
        <v>245</v>
      </c>
      <c r="V625" s="189">
        <v>29.75</v>
      </c>
      <c r="W625" s="361">
        <v>46211.8275462963</v>
      </c>
      <c r="X625" s="201">
        <v>8.0</v>
      </c>
      <c r="Y625" s="201">
        <v>7.0</v>
      </c>
      <c r="Z625" s="201">
        <v>2026.0</v>
      </c>
      <c r="AA625" s="189" t="s">
        <v>245</v>
      </c>
    </row>
    <row r="626" ht="15.75" hidden="1" customHeight="1">
      <c r="A626" s="189" t="s">
        <v>1890</v>
      </c>
      <c r="B626" s="189" t="s">
        <v>2180</v>
      </c>
      <c r="C626" s="361">
        <v>46211.0</v>
      </c>
      <c r="D626" s="201">
        <v>8.0</v>
      </c>
      <c r="E626" s="201">
        <v>7.0</v>
      </c>
      <c r="F626" s="201">
        <v>2026.0</v>
      </c>
      <c r="G626" s="361">
        <v>46212.0</v>
      </c>
      <c r="H626" s="201">
        <v>9.0</v>
      </c>
      <c r="I626" s="201">
        <v>7.0</v>
      </c>
      <c r="J626" s="201">
        <v>2026.0</v>
      </c>
      <c r="K626" s="189" t="s">
        <v>46</v>
      </c>
      <c r="L626" s="189" t="s">
        <v>1177</v>
      </c>
      <c r="M626" s="189">
        <v>1.0</v>
      </c>
      <c r="N626" s="189">
        <v>1.0</v>
      </c>
      <c r="O626" s="189"/>
      <c r="P626" s="189">
        <v>2.0</v>
      </c>
      <c r="Q626" s="361">
        <v>46211.83116898148</v>
      </c>
      <c r="R626" s="362">
        <v>8.0</v>
      </c>
      <c r="S626" s="362">
        <v>7.0</v>
      </c>
      <c r="T626" s="201">
        <v>2026.0</v>
      </c>
      <c r="U626" s="189" t="s">
        <v>245</v>
      </c>
      <c r="V626" s="189">
        <v>46.75</v>
      </c>
      <c r="W626" s="361">
        <v>46211.83116898148</v>
      </c>
      <c r="X626" s="201">
        <v>8.0</v>
      </c>
      <c r="Y626" s="201">
        <v>7.0</v>
      </c>
      <c r="Z626" s="201">
        <v>2026.0</v>
      </c>
      <c r="AA626" s="189" t="s">
        <v>245</v>
      </c>
    </row>
    <row r="627" ht="15.75" hidden="1" customHeight="1">
      <c r="A627" s="189" t="s">
        <v>2159</v>
      </c>
      <c r="B627" s="189" t="s">
        <v>2181</v>
      </c>
      <c r="C627" s="361">
        <v>46210.0</v>
      </c>
      <c r="D627" s="201">
        <v>7.0</v>
      </c>
      <c r="E627" s="201">
        <v>7.0</v>
      </c>
      <c r="F627" s="201">
        <v>2026.0</v>
      </c>
      <c r="G627" s="361">
        <v>46212.0</v>
      </c>
      <c r="H627" s="201">
        <v>9.0</v>
      </c>
      <c r="I627" s="201">
        <v>7.0</v>
      </c>
      <c r="J627" s="201">
        <v>2026.0</v>
      </c>
      <c r="K627" s="189" t="s">
        <v>46</v>
      </c>
      <c r="L627" s="189" t="s">
        <v>1177</v>
      </c>
      <c r="M627" s="189">
        <v>1.0</v>
      </c>
      <c r="N627" s="189">
        <v>2.0</v>
      </c>
      <c r="O627" s="189"/>
      <c r="P627" s="189">
        <v>4.0</v>
      </c>
      <c r="Q627" s="361">
        <v>46212.18549768518</v>
      </c>
      <c r="R627" s="362">
        <v>9.0</v>
      </c>
      <c r="S627" s="362">
        <v>7.0</v>
      </c>
      <c r="T627" s="201">
        <v>2026.0</v>
      </c>
      <c r="U627" s="189" t="s">
        <v>245</v>
      </c>
      <c r="V627" s="189">
        <v>76.5</v>
      </c>
      <c r="W627" s="361">
        <v>46212.18549768518</v>
      </c>
      <c r="X627" s="201">
        <v>9.0</v>
      </c>
      <c r="Y627" s="201">
        <v>7.0</v>
      </c>
      <c r="Z627" s="201">
        <v>2026.0</v>
      </c>
      <c r="AA627" s="189" t="s">
        <v>245</v>
      </c>
    </row>
    <row r="628" ht="15.75" hidden="1" customHeight="1">
      <c r="A628" s="189" t="s">
        <v>2182</v>
      </c>
      <c r="B628" s="189" t="s">
        <v>2183</v>
      </c>
      <c r="C628" s="361">
        <v>46212.0</v>
      </c>
      <c r="D628" s="201">
        <v>9.0</v>
      </c>
      <c r="E628" s="201">
        <v>7.0</v>
      </c>
      <c r="F628" s="201">
        <v>2026.0</v>
      </c>
      <c r="G628" s="361">
        <v>46216.0</v>
      </c>
      <c r="H628" s="201">
        <v>13.0</v>
      </c>
      <c r="I628" s="201">
        <v>7.0</v>
      </c>
      <c r="J628" s="201">
        <v>2026.0</v>
      </c>
      <c r="K628" s="189" t="s">
        <v>46</v>
      </c>
      <c r="L628" s="189" t="s">
        <v>1177</v>
      </c>
      <c r="M628" s="189">
        <v>1.0</v>
      </c>
      <c r="N628" s="189">
        <v>4.0</v>
      </c>
      <c r="O628" s="189"/>
      <c r="P628" s="189">
        <v>8.0</v>
      </c>
      <c r="Q628" s="361">
        <v>46212.930439814816</v>
      </c>
      <c r="R628" s="362">
        <v>9.0</v>
      </c>
      <c r="S628" s="362">
        <v>7.0</v>
      </c>
      <c r="T628" s="201">
        <v>2026.0</v>
      </c>
      <c r="U628" s="189" t="s">
        <v>12</v>
      </c>
      <c r="V628" s="189">
        <v>153.0</v>
      </c>
      <c r="W628" s="361">
        <v>46212.930439814816</v>
      </c>
      <c r="X628" s="201">
        <v>9.0</v>
      </c>
      <c r="Y628" s="201">
        <v>7.0</v>
      </c>
      <c r="Z628" s="201">
        <v>2026.0</v>
      </c>
      <c r="AA628" s="189" t="s">
        <v>12</v>
      </c>
    </row>
    <row r="629" ht="15.75" hidden="1" customHeight="1">
      <c r="A629" s="357" t="s">
        <v>2184</v>
      </c>
      <c r="B629" s="357" t="s">
        <v>2185</v>
      </c>
      <c r="C629" s="358">
        <v>46212.0</v>
      </c>
      <c r="D629" s="359">
        <v>9.0</v>
      </c>
      <c r="E629" s="359">
        <v>7.0</v>
      </c>
      <c r="F629" s="359">
        <v>2026.0</v>
      </c>
      <c r="G629" s="358">
        <v>46213.0</v>
      </c>
      <c r="H629" s="359">
        <v>10.0</v>
      </c>
      <c r="I629" s="359">
        <v>7.0</v>
      </c>
      <c r="J629" s="359">
        <v>2026.0</v>
      </c>
      <c r="K629" s="357" t="s">
        <v>46</v>
      </c>
      <c r="L629" s="357" t="s">
        <v>1177</v>
      </c>
      <c r="M629" s="357">
        <v>1.0</v>
      </c>
      <c r="N629" s="357">
        <v>1.0</v>
      </c>
      <c r="O629" s="357"/>
      <c r="P629" s="357">
        <v>2.0</v>
      </c>
      <c r="Q629" s="358">
        <v>46213.416354166664</v>
      </c>
      <c r="R629" s="360">
        <v>10.0</v>
      </c>
      <c r="S629" s="360">
        <v>7.0</v>
      </c>
      <c r="T629" s="359">
        <v>2026.0</v>
      </c>
      <c r="U629" s="357" t="s">
        <v>262</v>
      </c>
      <c r="V629" s="357">
        <v>29.75</v>
      </c>
      <c r="W629" s="358">
        <v>46213.41540509259</v>
      </c>
      <c r="X629" s="359">
        <v>10.0</v>
      </c>
      <c r="Y629" s="359">
        <v>7.0</v>
      </c>
      <c r="Z629" s="359">
        <v>2026.0</v>
      </c>
      <c r="AA629" s="357" t="s">
        <v>262</v>
      </c>
    </row>
    <row r="630" ht="15.75" hidden="1" customHeight="1">
      <c r="A630" s="189" t="s">
        <v>2186</v>
      </c>
      <c r="B630" s="189" t="s">
        <v>2187</v>
      </c>
      <c r="C630" s="361">
        <v>46212.0</v>
      </c>
      <c r="D630" s="201">
        <v>9.0</v>
      </c>
      <c r="E630" s="201">
        <v>7.0</v>
      </c>
      <c r="F630" s="201">
        <v>2026.0</v>
      </c>
      <c r="G630" s="361">
        <v>46213.0</v>
      </c>
      <c r="H630" s="201">
        <v>10.0</v>
      </c>
      <c r="I630" s="201">
        <v>7.0</v>
      </c>
      <c r="J630" s="201">
        <v>2026.0</v>
      </c>
      <c r="K630" s="189" t="s">
        <v>46</v>
      </c>
      <c r="L630" s="189" t="s">
        <v>1177</v>
      </c>
      <c r="M630" s="189">
        <v>1.0</v>
      </c>
      <c r="N630" s="189">
        <v>1.0</v>
      </c>
      <c r="O630" s="189"/>
      <c r="P630" s="189">
        <v>2.0</v>
      </c>
      <c r="Q630" s="361">
        <v>46213.3734837963</v>
      </c>
      <c r="R630" s="362">
        <v>10.0</v>
      </c>
      <c r="S630" s="362">
        <v>7.0</v>
      </c>
      <c r="T630" s="201">
        <v>2026.0</v>
      </c>
      <c r="U630" s="189" t="s">
        <v>245</v>
      </c>
      <c r="V630" s="189">
        <v>27.2</v>
      </c>
      <c r="W630" s="361">
        <v>46213.372569444444</v>
      </c>
      <c r="X630" s="201">
        <v>10.0</v>
      </c>
      <c r="Y630" s="201">
        <v>7.0</v>
      </c>
      <c r="Z630" s="201">
        <v>2026.0</v>
      </c>
      <c r="AA630" s="189" t="s">
        <v>245</v>
      </c>
    </row>
    <row r="631" ht="15.75" hidden="1" customHeight="1">
      <c r="A631" s="189" t="s">
        <v>2188</v>
      </c>
      <c r="B631" s="189" t="s">
        <v>2189</v>
      </c>
      <c r="C631" s="361">
        <v>46213.0</v>
      </c>
      <c r="D631" s="201">
        <v>10.0</v>
      </c>
      <c r="E631" s="201">
        <v>7.0</v>
      </c>
      <c r="F631" s="201">
        <v>2026.0</v>
      </c>
      <c r="G631" s="361">
        <v>46214.0</v>
      </c>
      <c r="H631" s="201">
        <v>11.0</v>
      </c>
      <c r="I631" s="201">
        <v>7.0</v>
      </c>
      <c r="J631" s="201">
        <v>2026.0</v>
      </c>
      <c r="K631" s="189" t="s">
        <v>46</v>
      </c>
      <c r="L631" s="189" t="s">
        <v>1177</v>
      </c>
      <c r="M631" s="189">
        <v>1.0</v>
      </c>
      <c r="N631" s="189">
        <v>1.0</v>
      </c>
      <c r="O631" s="189"/>
      <c r="P631" s="189">
        <v>2.0</v>
      </c>
      <c r="Q631" s="361">
        <v>46213.907013888886</v>
      </c>
      <c r="R631" s="362">
        <v>10.0</v>
      </c>
      <c r="S631" s="362">
        <v>7.0</v>
      </c>
      <c r="T631" s="201">
        <v>2026.0</v>
      </c>
      <c r="U631" s="189" t="s">
        <v>245</v>
      </c>
      <c r="V631" s="189">
        <v>29.75</v>
      </c>
      <c r="W631" s="361">
        <v>46213.907013888886</v>
      </c>
      <c r="X631" s="201">
        <v>10.0</v>
      </c>
      <c r="Y631" s="201">
        <v>7.0</v>
      </c>
      <c r="Z631" s="201">
        <v>2026.0</v>
      </c>
      <c r="AA631" s="189" t="s">
        <v>245</v>
      </c>
    </row>
    <row r="632" ht="15.75" hidden="1" customHeight="1">
      <c r="A632" s="189" t="s">
        <v>2190</v>
      </c>
      <c r="B632" s="189" t="s">
        <v>2191</v>
      </c>
      <c r="C632" s="361">
        <v>46213.0</v>
      </c>
      <c r="D632" s="201">
        <v>10.0</v>
      </c>
      <c r="E632" s="201">
        <v>7.0</v>
      </c>
      <c r="F632" s="201">
        <v>2026.0</v>
      </c>
      <c r="G632" s="361">
        <v>46216.0</v>
      </c>
      <c r="H632" s="201">
        <v>13.0</v>
      </c>
      <c r="I632" s="201">
        <v>7.0</v>
      </c>
      <c r="J632" s="201">
        <v>2026.0</v>
      </c>
      <c r="K632" s="189" t="s">
        <v>46</v>
      </c>
      <c r="L632" s="189" t="s">
        <v>1177</v>
      </c>
      <c r="M632" s="189">
        <v>1.0</v>
      </c>
      <c r="N632" s="189">
        <v>3.0</v>
      </c>
      <c r="O632" s="189"/>
      <c r="P632" s="189">
        <v>6.0</v>
      </c>
      <c r="Q632" s="361">
        <v>46213.90795138889</v>
      </c>
      <c r="R632" s="362">
        <v>10.0</v>
      </c>
      <c r="S632" s="362">
        <v>7.0</v>
      </c>
      <c r="T632" s="201">
        <v>2026.0</v>
      </c>
      <c r="U632" s="189" t="s">
        <v>245</v>
      </c>
      <c r="V632" s="189">
        <v>101.15</v>
      </c>
      <c r="W632" s="361">
        <v>46213.664305555554</v>
      </c>
      <c r="X632" s="201">
        <v>10.0</v>
      </c>
      <c r="Y632" s="201">
        <v>7.0</v>
      </c>
      <c r="Z632" s="201">
        <v>2026.0</v>
      </c>
      <c r="AA632" s="189" t="s">
        <v>245</v>
      </c>
    </row>
    <row r="633" ht="15.75" hidden="1" customHeight="1">
      <c r="A633" s="189" t="s">
        <v>2192</v>
      </c>
      <c r="B633" s="189" t="s">
        <v>2193</v>
      </c>
      <c r="C633" s="361">
        <v>46214.0</v>
      </c>
      <c r="D633" s="201">
        <v>11.0</v>
      </c>
      <c r="E633" s="201">
        <v>7.0</v>
      </c>
      <c r="F633" s="201">
        <v>2026.0</v>
      </c>
      <c r="G633" s="361">
        <v>46215.0</v>
      </c>
      <c r="H633" s="201">
        <v>12.0</v>
      </c>
      <c r="I633" s="201">
        <v>7.0</v>
      </c>
      <c r="J633" s="201">
        <v>2026.0</v>
      </c>
      <c r="K633" s="189" t="s">
        <v>46</v>
      </c>
      <c r="L633" s="189" t="s">
        <v>1177</v>
      </c>
      <c r="M633" s="189">
        <v>1.0</v>
      </c>
      <c r="N633" s="189">
        <v>1.0</v>
      </c>
      <c r="O633" s="189"/>
      <c r="P633" s="189">
        <v>2.0</v>
      </c>
      <c r="Q633" s="361">
        <v>46215.01818287037</v>
      </c>
      <c r="R633" s="362">
        <v>12.0</v>
      </c>
      <c r="S633" s="362">
        <v>7.0</v>
      </c>
      <c r="T633" s="201">
        <v>2026.0</v>
      </c>
      <c r="U633" s="189" t="s">
        <v>245</v>
      </c>
      <c r="V633" s="189">
        <v>35.7</v>
      </c>
      <c r="W633" s="361">
        <v>46215.01818287037</v>
      </c>
      <c r="X633" s="201">
        <v>12.0</v>
      </c>
      <c r="Y633" s="201">
        <v>7.0</v>
      </c>
      <c r="Z633" s="201">
        <v>2026.0</v>
      </c>
      <c r="AA633" s="189" t="s">
        <v>245</v>
      </c>
    </row>
    <row r="634" ht="15.75" hidden="1" customHeight="1">
      <c r="A634" s="189" t="s">
        <v>2194</v>
      </c>
      <c r="B634" s="189" t="s">
        <v>2195</v>
      </c>
      <c r="C634" s="361">
        <v>46215.0</v>
      </c>
      <c r="D634" s="201">
        <v>12.0</v>
      </c>
      <c r="E634" s="201">
        <v>7.0</v>
      </c>
      <c r="F634" s="201">
        <v>2026.0</v>
      </c>
      <c r="G634" s="361">
        <v>46216.0</v>
      </c>
      <c r="H634" s="201">
        <v>13.0</v>
      </c>
      <c r="I634" s="201">
        <v>7.0</v>
      </c>
      <c r="J634" s="201">
        <v>2026.0</v>
      </c>
      <c r="K634" s="189" t="s">
        <v>46</v>
      </c>
      <c r="L634" s="189" t="s">
        <v>1177</v>
      </c>
      <c r="M634" s="189">
        <v>1.0</v>
      </c>
      <c r="N634" s="189">
        <v>1.0</v>
      </c>
      <c r="O634" s="189"/>
      <c r="P634" s="189">
        <v>2.0</v>
      </c>
      <c r="Q634" s="361">
        <v>46215.86450231481</v>
      </c>
      <c r="R634" s="362">
        <v>12.0</v>
      </c>
      <c r="S634" s="362">
        <v>7.0</v>
      </c>
      <c r="T634" s="201">
        <v>2026.0</v>
      </c>
      <c r="U634" s="189" t="s">
        <v>262</v>
      </c>
      <c r="V634" s="189">
        <v>29.75</v>
      </c>
      <c r="W634" s="361">
        <v>46215.86450231481</v>
      </c>
      <c r="X634" s="201">
        <v>12.0</v>
      </c>
      <c r="Y634" s="201">
        <v>7.0</v>
      </c>
      <c r="Z634" s="201">
        <v>2026.0</v>
      </c>
      <c r="AA634" s="189" t="s">
        <v>262</v>
      </c>
    </row>
    <row r="635" ht="15.75" hidden="1" customHeight="1">
      <c r="A635" s="189" t="s">
        <v>2196</v>
      </c>
      <c r="B635" s="189" t="s">
        <v>2197</v>
      </c>
      <c r="C635" s="361">
        <v>46215.0</v>
      </c>
      <c r="D635" s="201">
        <v>12.0</v>
      </c>
      <c r="E635" s="201">
        <v>7.0</v>
      </c>
      <c r="F635" s="201">
        <v>2026.0</v>
      </c>
      <c r="G635" s="361">
        <v>46218.0</v>
      </c>
      <c r="H635" s="201">
        <v>15.0</v>
      </c>
      <c r="I635" s="201">
        <v>7.0</v>
      </c>
      <c r="J635" s="201">
        <v>2026.0</v>
      </c>
      <c r="K635" s="189" t="s">
        <v>46</v>
      </c>
      <c r="L635" s="189" t="s">
        <v>1177</v>
      </c>
      <c r="M635" s="189">
        <v>1.0</v>
      </c>
      <c r="N635" s="189">
        <v>3.0</v>
      </c>
      <c r="O635" s="189"/>
      <c r="P635" s="189">
        <v>6.0</v>
      </c>
      <c r="Q635" s="361">
        <v>46215.76495370371</v>
      </c>
      <c r="R635" s="362">
        <v>12.0</v>
      </c>
      <c r="S635" s="362">
        <v>7.0</v>
      </c>
      <c r="T635" s="201">
        <v>2026.0</v>
      </c>
      <c r="U635" s="189" t="s">
        <v>245</v>
      </c>
      <c r="V635" s="189">
        <v>106.25</v>
      </c>
      <c r="W635" s="361">
        <v>46215.76495370371</v>
      </c>
      <c r="X635" s="201">
        <v>12.0</v>
      </c>
      <c r="Y635" s="201">
        <v>7.0</v>
      </c>
      <c r="Z635" s="201">
        <v>2026.0</v>
      </c>
      <c r="AA635" s="189" t="s">
        <v>245</v>
      </c>
    </row>
    <row r="636" ht="15.75" hidden="1" customHeight="1">
      <c r="A636" s="189" t="s">
        <v>2198</v>
      </c>
      <c r="B636" s="189" t="s">
        <v>2199</v>
      </c>
      <c r="C636" s="361">
        <v>46215.0</v>
      </c>
      <c r="D636" s="201">
        <v>12.0</v>
      </c>
      <c r="E636" s="201">
        <v>7.0</v>
      </c>
      <c r="F636" s="201">
        <v>2026.0</v>
      </c>
      <c r="G636" s="361">
        <v>46217.0</v>
      </c>
      <c r="H636" s="201">
        <v>14.0</v>
      </c>
      <c r="I636" s="201">
        <v>7.0</v>
      </c>
      <c r="J636" s="201">
        <v>2026.0</v>
      </c>
      <c r="K636" s="189" t="s">
        <v>46</v>
      </c>
      <c r="L636" s="189" t="s">
        <v>1177</v>
      </c>
      <c r="M636" s="189">
        <v>1.0</v>
      </c>
      <c r="N636" s="189">
        <v>2.0</v>
      </c>
      <c r="O636" s="189"/>
      <c r="P636" s="189">
        <v>4.0</v>
      </c>
      <c r="Q636" s="361">
        <v>46215.705555555556</v>
      </c>
      <c r="R636" s="362">
        <v>12.0</v>
      </c>
      <c r="S636" s="362">
        <v>7.0</v>
      </c>
      <c r="T636" s="201">
        <v>2026.0</v>
      </c>
      <c r="U636" s="189" t="s">
        <v>245</v>
      </c>
      <c r="V636" s="189">
        <v>65.45</v>
      </c>
      <c r="W636" s="361">
        <v>46215.705555555556</v>
      </c>
      <c r="X636" s="201">
        <v>12.0</v>
      </c>
      <c r="Y636" s="201">
        <v>7.0</v>
      </c>
      <c r="Z636" s="201">
        <v>2026.0</v>
      </c>
      <c r="AA636" s="189" t="s">
        <v>245</v>
      </c>
    </row>
    <row r="637" ht="15.75" hidden="1" customHeight="1">
      <c r="A637" s="189" t="s">
        <v>2200</v>
      </c>
      <c r="B637" s="189" t="s">
        <v>2201</v>
      </c>
      <c r="C637" s="361">
        <v>46215.0</v>
      </c>
      <c r="D637" s="201">
        <v>12.0</v>
      </c>
      <c r="E637" s="201">
        <v>7.0</v>
      </c>
      <c r="F637" s="201">
        <v>2026.0</v>
      </c>
      <c r="G637" s="361">
        <v>46216.0</v>
      </c>
      <c r="H637" s="201">
        <v>13.0</v>
      </c>
      <c r="I637" s="201">
        <v>7.0</v>
      </c>
      <c r="J637" s="201">
        <v>2026.0</v>
      </c>
      <c r="K637" s="189" t="s">
        <v>46</v>
      </c>
      <c r="L637" s="189" t="s">
        <v>1177</v>
      </c>
      <c r="M637" s="189">
        <v>1.0</v>
      </c>
      <c r="N637" s="189">
        <v>1.0</v>
      </c>
      <c r="O637" s="189"/>
      <c r="P637" s="189">
        <v>2.0</v>
      </c>
      <c r="Q637" s="361">
        <v>46215.94099537037</v>
      </c>
      <c r="R637" s="362">
        <v>12.0</v>
      </c>
      <c r="S637" s="362">
        <v>7.0</v>
      </c>
      <c r="T637" s="201">
        <v>2026.0</v>
      </c>
      <c r="U637" s="189" t="s">
        <v>262</v>
      </c>
      <c r="V637" s="189">
        <v>29.75</v>
      </c>
      <c r="W637" s="361">
        <v>46215.94099537037</v>
      </c>
      <c r="X637" s="201">
        <v>12.0</v>
      </c>
      <c r="Y637" s="201">
        <v>7.0</v>
      </c>
      <c r="Z637" s="201">
        <v>2026.0</v>
      </c>
      <c r="AA637" s="189" t="s">
        <v>262</v>
      </c>
    </row>
    <row r="638" ht="15.75" hidden="1" customHeight="1">
      <c r="A638" s="189" t="s">
        <v>2202</v>
      </c>
      <c r="B638" s="189" t="s">
        <v>2203</v>
      </c>
      <c r="C638" s="361">
        <v>46216.0</v>
      </c>
      <c r="D638" s="201">
        <v>13.0</v>
      </c>
      <c r="E638" s="201">
        <v>7.0</v>
      </c>
      <c r="F638" s="201">
        <v>2026.0</v>
      </c>
      <c r="G638" s="361">
        <v>46217.0</v>
      </c>
      <c r="H638" s="201">
        <v>14.0</v>
      </c>
      <c r="I638" s="201">
        <v>7.0</v>
      </c>
      <c r="J638" s="201">
        <v>2026.0</v>
      </c>
      <c r="K638" s="189" t="s">
        <v>46</v>
      </c>
      <c r="L638" s="189" t="s">
        <v>1177</v>
      </c>
      <c r="M638" s="189">
        <v>1.0</v>
      </c>
      <c r="N638" s="189">
        <v>1.0</v>
      </c>
      <c r="O638" s="189"/>
      <c r="P638" s="189">
        <v>2.0</v>
      </c>
      <c r="Q638" s="361">
        <v>46216.88086805555</v>
      </c>
      <c r="R638" s="362">
        <v>13.0</v>
      </c>
      <c r="S638" s="362">
        <v>7.0</v>
      </c>
      <c r="T638" s="201">
        <v>2026.0</v>
      </c>
      <c r="U638" s="189" t="s">
        <v>262</v>
      </c>
      <c r="V638" s="189">
        <v>38.25</v>
      </c>
      <c r="W638" s="361">
        <v>46216.88086805555</v>
      </c>
      <c r="X638" s="201">
        <v>13.0</v>
      </c>
      <c r="Y638" s="201">
        <v>7.0</v>
      </c>
      <c r="Z638" s="201">
        <v>2026.0</v>
      </c>
      <c r="AA638" s="189" t="s">
        <v>262</v>
      </c>
    </row>
    <row r="639" ht="15.75" hidden="1" customHeight="1">
      <c r="A639" s="189" t="s">
        <v>2204</v>
      </c>
      <c r="B639" s="189" t="s">
        <v>2205</v>
      </c>
      <c r="C639" s="361">
        <v>46216.0</v>
      </c>
      <c r="D639" s="201">
        <v>13.0</v>
      </c>
      <c r="E639" s="201">
        <v>7.0</v>
      </c>
      <c r="F639" s="201">
        <v>2026.0</v>
      </c>
      <c r="G639" s="361">
        <v>46217.0</v>
      </c>
      <c r="H639" s="201">
        <v>14.0</v>
      </c>
      <c r="I639" s="201">
        <v>7.0</v>
      </c>
      <c r="J639" s="201">
        <v>2026.0</v>
      </c>
      <c r="K639" s="189" t="s">
        <v>46</v>
      </c>
      <c r="L639" s="189" t="s">
        <v>1177</v>
      </c>
      <c r="M639" s="189">
        <v>1.0</v>
      </c>
      <c r="N639" s="189">
        <v>1.0</v>
      </c>
      <c r="O639" s="189"/>
      <c r="P639" s="189">
        <v>2.0</v>
      </c>
      <c r="Q639" s="361">
        <v>46216.6619212963</v>
      </c>
      <c r="R639" s="362">
        <v>13.0</v>
      </c>
      <c r="S639" s="362">
        <v>7.0</v>
      </c>
      <c r="T639" s="201">
        <v>2026.0</v>
      </c>
      <c r="U639" s="189" t="s">
        <v>245</v>
      </c>
      <c r="V639" s="189">
        <v>29.75</v>
      </c>
      <c r="W639" s="361">
        <v>46216.6619212963</v>
      </c>
      <c r="X639" s="201">
        <v>13.0</v>
      </c>
      <c r="Y639" s="201">
        <v>7.0</v>
      </c>
      <c r="Z639" s="201">
        <v>2026.0</v>
      </c>
      <c r="AA639" s="189" t="s">
        <v>245</v>
      </c>
    </row>
    <row r="640" ht="15.75" hidden="1" customHeight="1">
      <c r="A640" s="189" t="s">
        <v>2206</v>
      </c>
      <c r="B640" s="189" t="s">
        <v>2207</v>
      </c>
      <c r="C640" s="361">
        <v>46216.0</v>
      </c>
      <c r="D640" s="201">
        <v>13.0</v>
      </c>
      <c r="E640" s="201">
        <v>7.0</v>
      </c>
      <c r="F640" s="201">
        <v>2026.0</v>
      </c>
      <c r="G640" s="361">
        <v>46222.0</v>
      </c>
      <c r="H640" s="201">
        <v>19.0</v>
      </c>
      <c r="I640" s="201">
        <v>7.0</v>
      </c>
      <c r="J640" s="201">
        <v>2026.0</v>
      </c>
      <c r="K640" s="189" t="s">
        <v>46</v>
      </c>
      <c r="L640" s="189" t="s">
        <v>1177</v>
      </c>
      <c r="M640" s="189">
        <v>1.0</v>
      </c>
      <c r="N640" s="189">
        <v>6.0</v>
      </c>
      <c r="O640" s="189"/>
      <c r="P640" s="189">
        <v>12.0</v>
      </c>
      <c r="Q640" s="361">
        <v>46216.921111111114</v>
      </c>
      <c r="R640" s="362">
        <v>13.0</v>
      </c>
      <c r="S640" s="362">
        <v>7.0</v>
      </c>
      <c r="T640" s="201">
        <v>2026.0</v>
      </c>
      <c r="U640" s="189" t="s">
        <v>262</v>
      </c>
      <c r="V640" s="189">
        <v>263.5</v>
      </c>
      <c r="W640" s="361">
        <v>46216.921111111114</v>
      </c>
      <c r="X640" s="201">
        <v>13.0</v>
      </c>
      <c r="Y640" s="201">
        <v>7.0</v>
      </c>
      <c r="Z640" s="201">
        <v>2026.0</v>
      </c>
      <c r="AA640" s="189" t="s">
        <v>262</v>
      </c>
    </row>
    <row r="641" ht="15.75" hidden="1" customHeight="1">
      <c r="A641" s="189" t="s">
        <v>2208</v>
      </c>
      <c r="B641" s="189" t="s">
        <v>2209</v>
      </c>
      <c r="C641" s="361">
        <v>46216.0</v>
      </c>
      <c r="D641" s="201">
        <v>13.0</v>
      </c>
      <c r="E641" s="201">
        <v>7.0</v>
      </c>
      <c r="F641" s="201">
        <v>2026.0</v>
      </c>
      <c r="G641" s="361">
        <v>46218.0</v>
      </c>
      <c r="H641" s="201">
        <v>15.0</v>
      </c>
      <c r="I641" s="201">
        <v>7.0</v>
      </c>
      <c r="J641" s="201">
        <v>2026.0</v>
      </c>
      <c r="K641" s="189" t="s">
        <v>46</v>
      </c>
      <c r="L641" s="189" t="s">
        <v>1177</v>
      </c>
      <c r="M641" s="189">
        <v>1.0</v>
      </c>
      <c r="N641" s="189">
        <v>2.0</v>
      </c>
      <c r="O641" s="189"/>
      <c r="P641" s="189">
        <v>4.0</v>
      </c>
      <c r="Q641" s="361">
        <v>46217.66532407407</v>
      </c>
      <c r="R641" s="362">
        <v>14.0</v>
      </c>
      <c r="S641" s="362">
        <v>7.0</v>
      </c>
      <c r="T641" s="201">
        <v>2026.0</v>
      </c>
      <c r="U641" s="189" t="s">
        <v>245</v>
      </c>
      <c r="V641" s="189">
        <v>76.5</v>
      </c>
      <c r="W641" s="361">
        <v>46217.66532407407</v>
      </c>
      <c r="X641" s="201">
        <v>14.0</v>
      </c>
      <c r="Y641" s="201">
        <v>7.0</v>
      </c>
      <c r="Z641" s="201">
        <v>2026.0</v>
      </c>
      <c r="AA641" s="189" t="s">
        <v>245</v>
      </c>
    </row>
    <row r="642" ht="15.75" hidden="1" customHeight="1">
      <c r="A642" s="189" t="s">
        <v>2210</v>
      </c>
      <c r="B642" s="189" t="s">
        <v>2211</v>
      </c>
      <c r="C642" s="361">
        <v>46217.0</v>
      </c>
      <c r="D642" s="201">
        <v>14.0</v>
      </c>
      <c r="E642" s="201">
        <v>7.0</v>
      </c>
      <c r="F642" s="201">
        <v>2026.0</v>
      </c>
      <c r="G642" s="361">
        <v>46218.0</v>
      </c>
      <c r="H642" s="201">
        <v>15.0</v>
      </c>
      <c r="I642" s="201">
        <v>7.0</v>
      </c>
      <c r="J642" s="201">
        <v>2026.0</v>
      </c>
      <c r="K642" s="189" t="s">
        <v>46</v>
      </c>
      <c r="L642" s="189" t="s">
        <v>1177</v>
      </c>
      <c r="M642" s="189">
        <v>1.0</v>
      </c>
      <c r="N642" s="189">
        <v>1.0</v>
      </c>
      <c r="O642" s="189"/>
      <c r="P642" s="189">
        <v>2.0</v>
      </c>
      <c r="Q642" s="361">
        <v>46218.05326388889</v>
      </c>
      <c r="R642" s="362">
        <v>15.0</v>
      </c>
      <c r="S642" s="362">
        <v>7.0</v>
      </c>
      <c r="T642" s="201">
        <v>2026.0</v>
      </c>
      <c r="U642" s="189" t="s">
        <v>245</v>
      </c>
      <c r="V642" s="189">
        <v>29.75</v>
      </c>
      <c r="W642" s="361">
        <v>46218.05326388889</v>
      </c>
      <c r="X642" s="201">
        <v>15.0</v>
      </c>
      <c r="Y642" s="201">
        <v>7.0</v>
      </c>
      <c r="Z642" s="201">
        <v>2026.0</v>
      </c>
      <c r="AA642" s="189" t="s">
        <v>245</v>
      </c>
    </row>
    <row r="643" ht="15.75" hidden="1" customHeight="1">
      <c r="A643" s="189" t="s">
        <v>2212</v>
      </c>
      <c r="B643" s="189" t="s">
        <v>2213</v>
      </c>
      <c r="C643" s="361">
        <v>46218.0</v>
      </c>
      <c r="D643" s="201">
        <v>15.0</v>
      </c>
      <c r="E643" s="201">
        <v>7.0</v>
      </c>
      <c r="F643" s="201">
        <v>2026.0</v>
      </c>
      <c r="G643" s="361">
        <v>46219.0</v>
      </c>
      <c r="H643" s="201">
        <v>16.0</v>
      </c>
      <c r="I643" s="201">
        <v>7.0</v>
      </c>
      <c r="J643" s="201">
        <v>2026.0</v>
      </c>
      <c r="K643" s="189" t="s">
        <v>46</v>
      </c>
      <c r="L643" s="189" t="s">
        <v>1177</v>
      </c>
      <c r="M643" s="189">
        <v>1.0</v>
      </c>
      <c r="N643" s="189">
        <v>1.0</v>
      </c>
      <c r="O643" s="189"/>
      <c r="P643" s="189">
        <v>2.0</v>
      </c>
      <c r="Q643" s="361">
        <v>46218.99616898148</v>
      </c>
      <c r="R643" s="362">
        <v>15.0</v>
      </c>
      <c r="S643" s="362">
        <v>7.0</v>
      </c>
      <c r="T643" s="201">
        <v>2026.0</v>
      </c>
      <c r="U643" s="189" t="s">
        <v>245</v>
      </c>
      <c r="V643" s="189">
        <v>29.75</v>
      </c>
      <c r="W643" s="361">
        <v>46218.99616898148</v>
      </c>
      <c r="X643" s="201">
        <v>15.0</v>
      </c>
      <c r="Y643" s="201">
        <v>7.0</v>
      </c>
      <c r="Z643" s="201">
        <v>2026.0</v>
      </c>
      <c r="AA643" s="189" t="s">
        <v>245</v>
      </c>
    </row>
    <row r="644" ht="15.75" hidden="1" customHeight="1">
      <c r="A644" s="189" t="s">
        <v>2214</v>
      </c>
      <c r="B644" s="189" t="s">
        <v>2215</v>
      </c>
      <c r="C644" s="361">
        <v>46218.0</v>
      </c>
      <c r="D644" s="201">
        <v>15.0</v>
      </c>
      <c r="E644" s="201">
        <v>7.0</v>
      </c>
      <c r="F644" s="201">
        <v>2026.0</v>
      </c>
      <c r="G644" s="361">
        <v>46219.0</v>
      </c>
      <c r="H644" s="201">
        <v>16.0</v>
      </c>
      <c r="I644" s="201">
        <v>7.0</v>
      </c>
      <c r="J644" s="201">
        <v>2026.0</v>
      </c>
      <c r="K644" s="189" t="s">
        <v>46</v>
      </c>
      <c r="L644" s="189" t="s">
        <v>1177</v>
      </c>
      <c r="M644" s="189">
        <v>1.0</v>
      </c>
      <c r="N644" s="189">
        <v>1.0</v>
      </c>
      <c r="O644" s="189"/>
      <c r="P644" s="189">
        <v>2.0</v>
      </c>
      <c r="Q644" s="361">
        <v>46218.99743055556</v>
      </c>
      <c r="R644" s="362">
        <v>15.0</v>
      </c>
      <c r="S644" s="362">
        <v>7.0</v>
      </c>
      <c r="T644" s="201">
        <v>2026.0</v>
      </c>
      <c r="U644" s="189" t="s">
        <v>245</v>
      </c>
      <c r="V644" s="189">
        <v>29.75</v>
      </c>
      <c r="W644" s="361">
        <v>46218.99743055556</v>
      </c>
      <c r="X644" s="201">
        <v>15.0</v>
      </c>
      <c r="Y644" s="201">
        <v>7.0</v>
      </c>
      <c r="Z644" s="201">
        <v>2026.0</v>
      </c>
      <c r="AA644" s="189" t="s">
        <v>245</v>
      </c>
    </row>
    <row r="645" ht="15.75" hidden="1" customHeight="1">
      <c r="A645" s="189" t="s">
        <v>2216</v>
      </c>
      <c r="B645" s="189" t="s">
        <v>2217</v>
      </c>
      <c r="C645" s="361">
        <v>46218.0</v>
      </c>
      <c r="D645" s="201">
        <v>15.0</v>
      </c>
      <c r="E645" s="201">
        <v>7.0</v>
      </c>
      <c r="F645" s="201">
        <v>2026.0</v>
      </c>
      <c r="G645" s="361">
        <v>46219.0</v>
      </c>
      <c r="H645" s="201">
        <v>16.0</v>
      </c>
      <c r="I645" s="201">
        <v>7.0</v>
      </c>
      <c r="J645" s="201">
        <v>2026.0</v>
      </c>
      <c r="K645" s="189" t="s">
        <v>46</v>
      </c>
      <c r="L645" s="189" t="s">
        <v>1177</v>
      </c>
      <c r="M645" s="189">
        <v>1.0</v>
      </c>
      <c r="N645" s="189">
        <v>1.0</v>
      </c>
      <c r="O645" s="189"/>
      <c r="P645" s="189">
        <v>2.0</v>
      </c>
      <c r="Q645" s="361">
        <v>46219.29671296296</v>
      </c>
      <c r="R645" s="362">
        <v>16.0</v>
      </c>
      <c r="S645" s="362">
        <v>7.0</v>
      </c>
      <c r="T645" s="201">
        <v>2026.0</v>
      </c>
      <c r="U645" s="189" t="s">
        <v>12</v>
      </c>
      <c r="V645" s="189">
        <v>46.75</v>
      </c>
      <c r="W645" s="361">
        <v>46219.29671296296</v>
      </c>
      <c r="X645" s="201">
        <v>16.0</v>
      </c>
      <c r="Y645" s="201">
        <v>7.0</v>
      </c>
      <c r="Z645" s="201">
        <v>2026.0</v>
      </c>
      <c r="AA645" s="189" t="s">
        <v>12</v>
      </c>
    </row>
    <row r="646" ht="15.75" hidden="1" customHeight="1">
      <c r="A646" s="189" t="s">
        <v>2218</v>
      </c>
      <c r="B646" s="189" t="s">
        <v>2219</v>
      </c>
      <c r="C646" s="361">
        <v>46219.0</v>
      </c>
      <c r="D646" s="201">
        <v>16.0</v>
      </c>
      <c r="E646" s="201">
        <v>7.0</v>
      </c>
      <c r="F646" s="201">
        <v>2026.0</v>
      </c>
      <c r="G646" s="361">
        <v>46220.0</v>
      </c>
      <c r="H646" s="201">
        <v>17.0</v>
      </c>
      <c r="I646" s="201">
        <v>7.0</v>
      </c>
      <c r="J646" s="201">
        <v>2026.0</v>
      </c>
      <c r="K646" s="189" t="s">
        <v>46</v>
      </c>
      <c r="L646" s="189" t="s">
        <v>1177</v>
      </c>
      <c r="M646" s="189">
        <v>1.0</v>
      </c>
      <c r="N646" s="189">
        <v>1.0</v>
      </c>
      <c r="O646" s="189"/>
      <c r="P646" s="189">
        <v>2.0</v>
      </c>
      <c r="Q646" s="361">
        <v>46219.75840277778</v>
      </c>
      <c r="R646" s="362">
        <v>16.0</v>
      </c>
      <c r="S646" s="362">
        <v>7.0</v>
      </c>
      <c r="T646" s="201">
        <v>2026.0</v>
      </c>
      <c r="U646" s="189" t="s">
        <v>245</v>
      </c>
      <c r="V646" s="189">
        <v>35.7</v>
      </c>
      <c r="W646" s="361">
        <v>46219.75811342592</v>
      </c>
      <c r="X646" s="201">
        <v>16.0</v>
      </c>
      <c r="Y646" s="201">
        <v>7.0</v>
      </c>
      <c r="Z646" s="201">
        <v>2026.0</v>
      </c>
      <c r="AA646" s="189" t="s">
        <v>245</v>
      </c>
    </row>
    <row r="647" ht="15.75" hidden="1" customHeight="1">
      <c r="A647" s="189" t="s">
        <v>2220</v>
      </c>
      <c r="B647" s="189" t="s">
        <v>2221</v>
      </c>
      <c r="C647" s="361">
        <v>46219.0</v>
      </c>
      <c r="D647" s="201">
        <v>16.0</v>
      </c>
      <c r="E647" s="201">
        <v>7.0</v>
      </c>
      <c r="F647" s="201">
        <v>2026.0</v>
      </c>
      <c r="G647" s="361">
        <v>46223.0</v>
      </c>
      <c r="H647" s="201">
        <v>20.0</v>
      </c>
      <c r="I647" s="201">
        <v>7.0</v>
      </c>
      <c r="J647" s="201">
        <v>2026.0</v>
      </c>
      <c r="K647" s="189" t="s">
        <v>46</v>
      </c>
      <c r="L647" s="189" t="s">
        <v>1177</v>
      </c>
      <c r="M647" s="189">
        <v>1.0</v>
      </c>
      <c r="N647" s="189">
        <v>4.0</v>
      </c>
      <c r="O647" s="189"/>
      <c r="P647" s="189">
        <v>8.0</v>
      </c>
      <c r="Q647" s="361">
        <v>46220.81832175926</v>
      </c>
      <c r="R647" s="362">
        <v>17.0</v>
      </c>
      <c r="S647" s="362">
        <v>7.0</v>
      </c>
      <c r="T647" s="201">
        <v>2026.0</v>
      </c>
      <c r="U647" s="189" t="s">
        <v>245</v>
      </c>
      <c r="V647" s="189">
        <v>150.45</v>
      </c>
      <c r="W647" s="361">
        <v>46220.81783564815</v>
      </c>
      <c r="X647" s="201">
        <v>17.0</v>
      </c>
      <c r="Y647" s="201">
        <v>7.0</v>
      </c>
      <c r="Z647" s="201">
        <v>2026.0</v>
      </c>
      <c r="AA647" s="189" t="s">
        <v>245</v>
      </c>
    </row>
    <row r="648" ht="15.75" hidden="1" customHeight="1">
      <c r="A648" s="189" t="s">
        <v>2222</v>
      </c>
      <c r="B648" s="189" t="s">
        <v>2223</v>
      </c>
      <c r="C648" s="361">
        <v>46220.0</v>
      </c>
      <c r="D648" s="201">
        <v>17.0</v>
      </c>
      <c r="E648" s="201">
        <v>7.0</v>
      </c>
      <c r="F648" s="201">
        <v>2026.0</v>
      </c>
      <c r="G648" s="361">
        <v>46221.0</v>
      </c>
      <c r="H648" s="201">
        <v>18.0</v>
      </c>
      <c r="I648" s="201">
        <v>7.0</v>
      </c>
      <c r="J648" s="201">
        <v>2026.0</v>
      </c>
      <c r="K648" s="189" t="s">
        <v>46</v>
      </c>
      <c r="L648" s="189" t="s">
        <v>1177</v>
      </c>
      <c r="M648" s="189">
        <v>1.0</v>
      </c>
      <c r="N648" s="189">
        <v>1.0</v>
      </c>
      <c r="O648" s="189"/>
      <c r="P648" s="189">
        <v>2.0</v>
      </c>
      <c r="Q648" s="361">
        <v>46220.93638888889</v>
      </c>
      <c r="R648" s="362">
        <v>17.0</v>
      </c>
      <c r="S648" s="362">
        <v>7.0</v>
      </c>
      <c r="T648" s="201">
        <v>2026.0</v>
      </c>
      <c r="U648" s="189" t="s">
        <v>245</v>
      </c>
      <c r="V648" s="189">
        <v>46.75</v>
      </c>
      <c r="W648" s="361">
        <v>46220.93638888889</v>
      </c>
      <c r="X648" s="201">
        <v>17.0</v>
      </c>
      <c r="Y648" s="201">
        <v>7.0</v>
      </c>
      <c r="Z648" s="201">
        <v>2026.0</v>
      </c>
      <c r="AA648" s="189" t="s">
        <v>245</v>
      </c>
    </row>
    <row r="649" ht="15.75" hidden="1" customHeight="1">
      <c r="A649" s="189" t="s">
        <v>2218</v>
      </c>
      <c r="B649" s="189" t="s">
        <v>2224</v>
      </c>
      <c r="C649" s="361">
        <v>46220.0</v>
      </c>
      <c r="D649" s="201">
        <v>17.0</v>
      </c>
      <c r="E649" s="201">
        <v>7.0</v>
      </c>
      <c r="F649" s="201">
        <v>2026.0</v>
      </c>
      <c r="G649" s="361">
        <v>46221.0</v>
      </c>
      <c r="H649" s="201">
        <v>18.0</v>
      </c>
      <c r="I649" s="201">
        <v>7.0</v>
      </c>
      <c r="J649" s="201">
        <v>2026.0</v>
      </c>
      <c r="K649" s="189" t="s">
        <v>46</v>
      </c>
      <c r="L649" s="189" t="s">
        <v>1177</v>
      </c>
      <c r="M649" s="189">
        <v>1.0</v>
      </c>
      <c r="N649" s="189">
        <v>1.0</v>
      </c>
      <c r="O649" s="189"/>
      <c r="P649" s="189">
        <v>2.0</v>
      </c>
      <c r="Q649" s="361">
        <v>46221.47662037037</v>
      </c>
      <c r="R649" s="362">
        <v>18.0</v>
      </c>
      <c r="S649" s="362">
        <v>7.0</v>
      </c>
      <c r="T649" s="201">
        <v>2026.0</v>
      </c>
      <c r="U649" s="189" t="s">
        <v>245</v>
      </c>
      <c r="V649" s="189">
        <v>27.2</v>
      </c>
      <c r="W649" s="361">
        <v>46221.47550925926</v>
      </c>
      <c r="X649" s="201">
        <v>18.0</v>
      </c>
      <c r="Y649" s="201">
        <v>7.0</v>
      </c>
      <c r="Z649" s="201">
        <v>2026.0</v>
      </c>
      <c r="AA649" s="189" t="s">
        <v>245</v>
      </c>
    </row>
    <row r="650" ht="15.75" hidden="1" customHeight="1">
      <c r="A650" s="189" t="s">
        <v>2225</v>
      </c>
      <c r="B650" s="189" t="s">
        <v>2226</v>
      </c>
      <c r="C650" s="361">
        <v>46221.0</v>
      </c>
      <c r="D650" s="201">
        <v>18.0</v>
      </c>
      <c r="E650" s="201">
        <v>7.0</v>
      </c>
      <c r="F650" s="201">
        <v>2026.0</v>
      </c>
      <c r="G650" s="361">
        <v>46223.0</v>
      </c>
      <c r="H650" s="201">
        <v>20.0</v>
      </c>
      <c r="I650" s="201">
        <v>7.0</v>
      </c>
      <c r="J650" s="201">
        <v>2026.0</v>
      </c>
      <c r="K650" s="189" t="s">
        <v>46</v>
      </c>
      <c r="L650" s="189" t="s">
        <v>1177</v>
      </c>
      <c r="M650" s="189">
        <v>1.0</v>
      </c>
      <c r="N650" s="189">
        <v>2.0</v>
      </c>
      <c r="O650" s="189"/>
      <c r="P650" s="189">
        <v>4.0</v>
      </c>
      <c r="Q650" s="361">
        <v>46221.65163194444</v>
      </c>
      <c r="R650" s="362">
        <v>18.0</v>
      </c>
      <c r="S650" s="362">
        <v>7.0</v>
      </c>
      <c r="T650" s="201">
        <v>2026.0</v>
      </c>
      <c r="U650" s="189" t="s">
        <v>245</v>
      </c>
      <c r="V650" s="189">
        <v>54.4</v>
      </c>
      <c r="W650" s="361">
        <v>46221.65130787037</v>
      </c>
      <c r="X650" s="201">
        <v>18.0</v>
      </c>
      <c r="Y650" s="201">
        <v>7.0</v>
      </c>
      <c r="Z650" s="201">
        <v>2026.0</v>
      </c>
      <c r="AA650" s="189" t="s">
        <v>245</v>
      </c>
    </row>
    <row r="651" ht="15.75" hidden="1" customHeight="1">
      <c r="A651" s="189" t="s">
        <v>2227</v>
      </c>
      <c r="B651" s="189" t="s">
        <v>2228</v>
      </c>
      <c r="C651" s="361">
        <v>46222.0</v>
      </c>
      <c r="D651" s="201">
        <v>19.0</v>
      </c>
      <c r="E651" s="201">
        <v>7.0</v>
      </c>
      <c r="F651" s="201">
        <v>2026.0</v>
      </c>
      <c r="G651" s="361">
        <v>46223.0</v>
      </c>
      <c r="H651" s="201">
        <v>20.0</v>
      </c>
      <c r="I651" s="201">
        <v>7.0</v>
      </c>
      <c r="J651" s="201">
        <v>2026.0</v>
      </c>
      <c r="K651" s="189" t="s">
        <v>46</v>
      </c>
      <c r="L651" s="189" t="s">
        <v>1177</v>
      </c>
      <c r="M651" s="189">
        <v>1.0</v>
      </c>
      <c r="N651" s="189">
        <v>1.0</v>
      </c>
      <c r="O651" s="189"/>
      <c r="P651" s="189">
        <v>2.0</v>
      </c>
      <c r="Q651" s="361">
        <v>46223.48422453704</v>
      </c>
      <c r="R651" s="362">
        <v>20.0</v>
      </c>
      <c r="S651" s="362">
        <v>7.0</v>
      </c>
      <c r="T651" s="201">
        <v>2026.0</v>
      </c>
      <c r="U651" s="189" t="s">
        <v>245</v>
      </c>
      <c r="V651" s="189">
        <v>29.75</v>
      </c>
      <c r="W651" s="361">
        <v>46223.48422453704</v>
      </c>
      <c r="X651" s="201">
        <v>20.0</v>
      </c>
      <c r="Y651" s="201">
        <v>7.0</v>
      </c>
      <c r="Z651" s="201">
        <v>2026.0</v>
      </c>
      <c r="AA651" s="189" t="s">
        <v>245</v>
      </c>
    </row>
    <row r="652" ht="15.75" hidden="1" customHeight="1">
      <c r="A652" s="189" t="s">
        <v>2229</v>
      </c>
      <c r="B652" s="189" t="s">
        <v>2230</v>
      </c>
      <c r="C652" s="361">
        <v>46222.0</v>
      </c>
      <c r="D652" s="201">
        <v>19.0</v>
      </c>
      <c r="E652" s="201">
        <v>7.0</v>
      </c>
      <c r="F652" s="201">
        <v>2026.0</v>
      </c>
      <c r="G652" s="361">
        <v>46224.0</v>
      </c>
      <c r="H652" s="201">
        <v>21.0</v>
      </c>
      <c r="I652" s="201">
        <v>7.0</v>
      </c>
      <c r="J652" s="201">
        <v>2026.0</v>
      </c>
      <c r="K652" s="189" t="s">
        <v>46</v>
      </c>
      <c r="L652" s="189" t="s">
        <v>1177</v>
      </c>
      <c r="M652" s="189">
        <v>1.0</v>
      </c>
      <c r="N652" s="189">
        <v>2.0</v>
      </c>
      <c r="O652" s="189"/>
      <c r="P652" s="189">
        <v>4.0</v>
      </c>
      <c r="Q652" s="361">
        <v>46223.039768518516</v>
      </c>
      <c r="R652" s="362">
        <v>20.0</v>
      </c>
      <c r="S652" s="362">
        <v>7.0</v>
      </c>
      <c r="T652" s="201">
        <v>2026.0</v>
      </c>
      <c r="U652" s="189" t="s">
        <v>245</v>
      </c>
      <c r="V652" s="189">
        <v>54.4</v>
      </c>
      <c r="W652" s="361">
        <v>46223.039768518516</v>
      </c>
      <c r="X652" s="201">
        <v>20.0</v>
      </c>
      <c r="Y652" s="201">
        <v>7.0</v>
      </c>
      <c r="Z652" s="201">
        <v>2026.0</v>
      </c>
      <c r="AA652" s="189" t="s">
        <v>245</v>
      </c>
    </row>
    <row r="653" ht="15.75" hidden="1" customHeight="1">
      <c r="A653" s="189" t="s">
        <v>2231</v>
      </c>
      <c r="B653" s="189" t="s">
        <v>2232</v>
      </c>
      <c r="C653" s="361">
        <v>46223.0</v>
      </c>
      <c r="D653" s="201">
        <v>20.0</v>
      </c>
      <c r="E653" s="201">
        <v>7.0</v>
      </c>
      <c r="F653" s="201">
        <v>2026.0</v>
      </c>
      <c r="G653" s="361">
        <v>46224.0</v>
      </c>
      <c r="H653" s="201">
        <v>21.0</v>
      </c>
      <c r="I653" s="201">
        <v>7.0</v>
      </c>
      <c r="J653" s="201">
        <v>2026.0</v>
      </c>
      <c r="K653" s="189" t="s">
        <v>46</v>
      </c>
      <c r="L653" s="189" t="s">
        <v>1177</v>
      </c>
      <c r="M653" s="189">
        <v>1.0</v>
      </c>
      <c r="N653" s="189">
        <v>1.0</v>
      </c>
      <c r="O653" s="189"/>
      <c r="P653" s="189">
        <v>2.0</v>
      </c>
      <c r="Q653" s="361">
        <v>46224.30458333333</v>
      </c>
      <c r="R653" s="362">
        <v>21.0</v>
      </c>
      <c r="S653" s="362">
        <v>7.0</v>
      </c>
      <c r="T653" s="201">
        <v>2026.0</v>
      </c>
      <c r="U653" s="189" t="s">
        <v>245</v>
      </c>
      <c r="V653" s="189">
        <v>29.75</v>
      </c>
      <c r="W653" s="361">
        <v>46224.30458333333</v>
      </c>
      <c r="X653" s="201">
        <v>21.0</v>
      </c>
      <c r="Y653" s="201">
        <v>7.0</v>
      </c>
      <c r="Z653" s="201">
        <v>2026.0</v>
      </c>
      <c r="AA653" s="189" t="s">
        <v>245</v>
      </c>
    </row>
    <row r="654" ht="15.75" hidden="1" customHeight="1">
      <c r="A654" s="189" t="s">
        <v>2233</v>
      </c>
      <c r="B654" s="189" t="s">
        <v>2234</v>
      </c>
      <c r="C654" s="361">
        <v>46224.0</v>
      </c>
      <c r="D654" s="201">
        <v>21.0</v>
      </c>
      <c r="E654" s="201">
        <v>7.0</v>
      </c>
      <c r="F654" s="201">
        <v>2026.0</v>
      </c>
      <c r="G654" s="361">
        <v>46228.0</v>
      </c>
      <c r="H654" s="201">
        <v>25.0</v>
      </c>
      <c r="I654" s="201">
        <v>7.0</v>
      </c>
      <c r="J654" s="201">
        <v>2026.0</v>
      </c>
      <c r="K654" s="189" t="s">
        <v>46</v>
      </c>
      <c r="L654" s="189" t="s">
        <v>1177</v>
      </c>
      <c r="M654" s="189">
        <v>1.0</v>
      </c>
      <c r="N654" s="189">
        <v>4.0</v>
      </c>
      <c r="O654" s="189"/>
      <c r="P654" s="189">
        <v>8.0</v>
      </c>
      <c r="Q654" s="361">
        <v>46224.9240162037</v>
      </c>
      <c r="R654" s="362">
        <v>21.0</v>
      </c>
      <c r="S654" s="362">
        <v>7.0</v>
      </c>
      <c r="T654" s="201">
        <v>2026.0</v>
      </c>
      <c r="U654" s="189" t="s">
        <v>245</v>
      </c>
      <c r="V654" s="189">
        <v>153.0</v>
      </c>
      <c r="W654" s="361">
        <v>46224.9240162037</v>
      </c>
      <c r="X654" s="201">
        <v>21.0</v>
      </c>
      <c r="Y654" s="201">
        <v>7.0</v>
      </c>
      <c r="Z654" s="201">
        <v>2026.0</v>
      </c>
      <c r="AA654" s="189" t="s">
        <v>245</v>
      </c>
    </row>
    <row r="655" ht="15.75" hidden="1" customHeight="1">
      <c r="A655" s="189" t="s">
        <v>2235</v>
      </c>
      <c r="B655" s="189" t="s">
        <v>2236</v>
      </c>
      <c r="C655" s="361">
        <v>46224.0</v>
      </c>
      <c r="D655" s="201">
        <v>21.0</v>
      </c>
      <c r="E655" s="201">
        <v>7.0</v>
      </c>
      <c r="F655" s="201">
        <v>2026.0</v>
      </c>
      <c r="G655" s="361">
        <v>46227.0</v>
      </c>
      <c r="H655" s="201">
        <v>24.0</v>
      </c>
      <c r="I655" s="201">
        <v>7.0</v>
      </c>
      <c r="J655" s="201">
        <v>2026.0</v>
      </c>
      <c r="K655" s="189" t="s">
        <v>46</v>
      </c>
      <c r="L655" s="189" t="s">
        <v>1177</v>
      </c>
      <c r="M655" s="189">
        <v>1.0</v>
      </c>
      <c r="N655" s="189">
        <v>3.0</v>
      </c>
      <c r="O655" s="189"/>
      <c r="P655" s="189">
        <v>6.0</v>
      </c>
      <c r="Q655" s="361">
        <v>46224.84690972222</v>
      </c>
      <c r="R655" s="362">
        <v>21.0</v>
      </c>
      <c r="S655" s="362">
        <v>7.0</v>
      </c>
      <c r="T655" s="201">
        <v>2026.0</v>
      </c>
      <c r="U655" s="189" t="s">
        <v>245</v>
      </c>
      <c r="V655" s="189">
        <v>86.7</v>
      </c>
      <c r="W655" s="361">
        <v>46224.84690972222</v>
      </c>
      <c r="X655" s="201">
        <v>21.0</v>
      </c>
      <c r="Y655" s="201">
        <v>7.0</v>
      </c>
      <c r="Z655" s="201">
        <v>2026.0</v>
      </c>
      <c r="AA655" s="189" t="s">
        <v>245</v>
      </c>
    </row>
    <row r="656" ht="15.75" hidden="1" customHeight="1">
      <c r="A656" s="189" t="s">
        <v>2237</v>
      </c>
      <c r="B656" s="189" t="s">
        <v>2238</v>
      </c>
      <c r="C656" s="361">
        <v>46224.0</v>
      </c>
      <c r="D656" s="201">
        <v>21.0</v>
      </c>
      <c r="E656" s="201">
        <v>7.0</v>
      </c>
      <c r="F656" s="201">
        <v>2026.0</v>
      </c>
      <c r="G656" s="361">
        <v>46226.0</v>
      </c>
      <c r="H656" s="201">
        <v>23.0</v>
      </c>
      <c r="I656" s="201">
        <v>7.0</v>
      </c>
      <c r="J656" s="201">
        <v>2026.0</v>
      </c>
      <c r="K656" s="189" t="s">
        <v>46</v>
      </c>
      <c r="L656" s="189" t="s">
        <v>1177</v>
      </c>
      <c r="M656" s="189">
        <v>1.0</v>
      </c>
      <c r="N656" s="189">
        <v>2.0</v>
      </c>
      <c r="O656" s="189"/>
      <c r="P656" s="189">
        <v>4.0</v>
      </c>
      <c r="Q656" s="361">
        <v>46224.65675925926</v>
      </c>
      <c r="R656" s="362">
        <v>21.0</v>
      </c>
      <c r="S656" s="362">
        <v>7.0</v>
      </c>
      <c r="T656" s="201">
        <v>2026.0</v>
      </c>
      <c r="U656" s="189" t="s">
        <v>245</v>
      </c>
      <c r="V656" s="189">
        <v>59.5</v>
      </c>
      <c r="W656" s="361">
        <v>46224.65675925926</v>
      </c>
      <c r="X656" s="201">
        <v>21.0</v>
      </c>
      <c r="Y656" s="201">
        <v>7.0</v>
      </c>
      <c r="Z656" s="201">
        <v>2026.0</v>
      </c>
      <c r="AA656" s="189" t="s">
        <v>245</v>
      </c>
    </row>
    <row r="657" ht="15.75" hidden="1" customHeight="1">
      <c r="A657" s="189" t="s">
        <v>2239</v>
      </c>
      <c r="B657" s="189" t="s">
        <v>2240</v>
      </c>
      <c r="C657" s="361">
        <v>46218.0</v>
      </c>
      <c r="D657" s="201">
        <v>15.0</v>
      </c>
      <c r="E657" s="201">
        <v>7.0</v>
      </c>
      <c r="F657" s="201">
        <v>2026.0</v>
      </c>
      <c r="G657" s="361">
        <v>46225.0</v>
      </c>
      <c r="H657" s="201">
        <v>22.0</v>
      </c>
      <c r="I657" s="201">
        <v>7.0</v>
      </c>
      <c r="J657" s="201">
        <v>2026.0</v>
      </c>
      <c r="K657" s="189" t="s">
        <v>46</v>
      </c>
      <c r="L657" s="189" t="s">
        <v>1177</v>
      </c>
      <c r="M657" s="189">
        <v>1.0</v>
      </c>
      <c r="N657" s="189">
        <v>7.0</v>
      </c>
      <c r="O657" s="189"/>
      <c r="P657" s="189">
        <v>14.0</v>
      </c>
      <c r="Q657" s="361">
        <v>46225.46355324074</v>
      </c>
      <c r="R657" s="362">
        <v>22.0</v>
      </c>
      <c r="S657" s="362">
        <v>7.0</v>
      </c>
      <c r="T657" s="201">
        <v>2026.0</v>
      </c>
      <c r="U657" s="189" t="s">
        <v>245</v>
      </c>
      <c r="V657" s="189">
        <v>301.75</v>
      </c>
      <c r="W657" s="361">
        <v>46225.46355324074</v>
      </c>
      <c r="X657" s="201">
        <v>22.0</v>
      </c>
      <c r="Y657" s="201">
        <v>7.0</v>
      </c>
      <c r="Z657" s="201">
        <v>2026.0</v>
      </c>
      <c r="AA657" s="189" t="s">
        <v>245</v>
      </c>
    </row>
    <row r="658" ht="15.75" hidden="1" customHeight="1">
      <c r="A658" s="189" t="s">
        <v>2241</v>
      </c>
      <c r="B658" s="189" t="s">
        <v>2242</v>
      </c>
      <c r="C658" s="361">
        <v>46224.0</v>
      </c>
      <c r="D658" s="201">
        <v>21.0</v>
      </c>
      <c r="E658" s="201">
        <v>7.0</v>
      </c>
      <c r="F658" s="201">
        <v>2026.0</v>
      </c>
      <c r="G658" s="361">
        <v>46227.0</v>
      </c>
      <c r="H658" s="201">
        <v>24.0</v>
      </c>
      <c r="I658" s="201">
        <v>7.0</v>
      </c>
      <c r="J658" s="201">
        <v>2026.0</v>
      </c>
      <c r="K658" s="189" t="s">
        <v>46</v>
      </c>
      <c r="L658" s="189" t="s">
        <v>1177</v>
      </c>
      <c r="M658" s="189">
        <v>1.0</v>
      </c>
      <c r="N658" s="189">
        <v>3.0</v>
      </c>
      <c r="O658" s="189"/>
      <c r="P658" s="189">
        <v>6.0</v>
      </c>
      <c r="Q658" s="361">
        <v>46225.4378125</v>
      </c>
      <c r="R658" s="362">
        <v>22.0</v>
      </c>
      <c r="S658" s="362">
        <v>7.0</v>
      </c>
      <c r="T658" s="201">
        <v>2026.0</v>
      </c>
      <c r="U658" s="189" t="s">
        <v>245</v>
      </c>
      <c r="V658" s="189">
        <v>104.55</v>
      </c>
      <c r="W658" s="361">
        <v>46225.4378125</v>
      </c>
      <c r="X658" s="201">
        <v>22.0</v>
      </c>
      <c r="Y658" s="201">
        <v>7.0</v>
      </c>
      <c r="Z658" s="201">
        <v>2026.0</v>
      </c>
      <c r="AA658" s="189" t="s">
        <v>245</v>
      </c>
    </row>
    <row r="659" ht="15.75" hidden="1" customHeight="1">
      <c r="A659" s="189" t="s">
        <v>2243</v>
      </c>
      <c r="B659" s="189" t="s">
        <v>2244</v>
      </c>
      <c r="C659" s="361">
        <v>46225.0</v>
      </c>
      <c r="D659" s="201">
        <v>22.0</v>
      </c>
      <c r="E659" s="201">
        <v>7.0</v>
      </c>
      <c r="F659" s="201">
        <v>2026.0</v>
      </c>
      <c r="G659" s="361">
        <v>46228.0</v>
      </c>
      <c r="H659" s="201">
        <v>25.0</v>
      </c>
      <c r="I659" s="201">
        <v>7.0</v>
      </c>
      <c r="J659" s="201">
        <v>2026.0</v>
      </c>
      <c r="K659" s="189" t="s">
        <v>46</v>
      </c>
      <c r="L659" s="189" t="s">
        <v>1177</v>
      </c>
      <c r="M659" s="189">
        <v>1.0</v>
      </c>
      <c r="N659" s="189">
        <v>3.0</v>
      </c>
      <c r="O659" s="189"/>
      <c r="P659" s="189">
        <v>6.0</v>
      </c>
      <c r="Q659" s="361">
        <v>46225.905648148146</v>
      </c>
      <c r="R659" s="362">
        <v>22.0</v>
      </c>
      <c r="S659" s="362">
        <v>7.0</v>
      </c>
      <c r="T659" s="201">
        <v>2026.0</v>
      </c>
      <c r="U659" s="189" t="s">
        <v>245</v>
      </c>
      <c r="V659" s="189">
        <v>114.75</v>
      </c>
      <c r="W659" s="361">
        <v>46225.905648148146</v>
      </c>
      <c r="X659" s="201">
        <v>22.0</v>
      </c>
      <c r="Y659" s="201">
        <v>7.0</v>
      </c>
      <c r="Z659" s="201">
        <v>2026.0</v>
      </c>
      <c r="AA659" s="189" t="s">
        <v>245</v>
      </c>
    </row>
    <row r="660" ht="15.75" hidden="1" customHeight="1">
      <c r="A660" s="357" t="s">
        <v>2245</v>
      </c>
      <c r="B660" s="357" t="s">
        <v>2246</v>
      </c>
      <c r="C660" s="358">
        <v>46225.0</v>
      </c>
      <c r="D660" s="359">
        <v>22.0</v>
      </c>
      <c r="E660" s="359">
        <v>7.0</v>
      </c>
      <c r="F660" s="359">
        <v>2026.0</v>
      </c>
      <c r="G660" s="358">
        <v>46230.0</v>
      </c>
      <c r="H660" s="359">
        <v>27.0</v>
      </c>
      <c r="I660" s="359">
        <v>7.0</v>
      </c>
      <c r="J660" s="359">
        <v>2026.0</v>
      </c>
      <c r="K660" s="357" t="s">
        <v>46</v>
      </c>
      <c r="L660" s="357" t="s">
        <v>1177</v>
      </c>
      <c r="M660" s="357">
        <v>1.0</v>
      </c>
      <c r="N660" s="357">
        <v>6.0</v>
      </c>
      <c r="O660" s="359"/>
      <c r="P660" s="359">
        <v>10.0</v>
      </c>
      <c r="Q660" s="358">
        <v>46226.97275462963</v>
      </c>
      <c r="R660" s="360">
        <v>23.0</v>
      </c>
      <c r="S660" s="360">
        <v>7.0</v>
      </c>
      <c r="T660" s="359">
        <v>2026.0</v>
      </c>
      <c r="U660" s="357" t="s">
        <v>245</v>
      </c>
      <c r="V660" s="357">
        <v>318.75</v>
      </c>
      <c r="W660" s="358">
        <v>46226.97275462963</v>
      </c>
      <c r="X660" s="359">
        <v>23.0</v>
      </c>
      <c r="Y660" s="359">
        <v>7.0</v>
      </c>
      <c r="Z660" s="359">
        <v>2026.0</v>
      </c>
      <c r="AA660" s="357" t="s">
        <v>245</v>
      </c>
    </row>
    <row r="661" ht="15.75" hidden="1" customHeight="1">
      <c r="A661" s="189" t="s">
        <v>2247</v>
      </c>
      <c r="B661" s="189" t="s">
        <v>2248</v>
      </c>
      <c r="C661" s="361">
        <v>46225.0</v>
      </c>
      <c r="D661" s="201">
        <v>22.0</v>
      </c>
      <c r="E661" s="201">
        <v>7.0</v>
      </c>
      <c r="F661" s="201">
        <v>2026.0</v>
      </c>
      <c r="G661" s="361">
        <v>46227.0</v>
      </c>
      <c r="H661" s="201">
        <v>24.0</v>
      </c>
      <c r="I661" s="201">
        <v>7.0</v>
      </c>
      <c r="J661" s="201">
        <v>2026.0</v>
      </c>
      <c r="K661" s="189" t="s">
        <v>46</v>
      </c>
      <c r="L661" s="189" t="s">
        <v>1177</v>
      </c>
      <c r="M661" s="189">
        <v>1.0</v>
      </c>
      <c r="N661" s="189">
        <v>2.0</v>
      </c>
      <c r="O661" s="189"/>
      <c r="P661" s="189">
        <v>4.0</v>
      </c>
      <c r="Q661" s="361">
        <v>46226.90043981482</v>
      </c>
      <c r="R661" s="362">
        <v>23.0</v>
      </c>
      <c r="S661" s="362">
        <v>7.0</v>
      </c>
      <c r="T661" s="201">
        <v>2026.0</v>
      </c>
      <c r="U661" s="189" t="s">
        <v>245</v>
      </c>
      <c r="V661" s="189">
        <v>59.5</v>
      </c>
      <c r="W661" s="361">
        <v>46226.90043981482</v>
      </c>
      <c r="X661" s="201">
        <v>23.0</v>
      </c>
      <c r="Y661" s="201">
        <v>7.0</v>
      </c>
      <c r="Z661" s="201">
        <v>2026.0</v>
      </c>
      <c r="AA661" s="189" t="s">
        <v>245</v>
      </c>
    </row>
    <row r="662" ht="15.75" hidden="1" customHeight="1">
      <c r="A662" s="189" t="s">
        <v>2249</v>
      </c>
      <c r="B662" s="189" t="s">
        <v>2250</v>
      </c>
      <c r="C662" s="361">
        <v>46225.0</v>
      </c>
      <c r="D662" s="201">
        <v>22.0</v>
      </c>
      <c r="E662" s="201">
        <v>7.0</v>
      </c>
      <c r="F662" s="201">
        <v>2026.0</v>
      </c>
      <c r="G662" s="361">
        <v>46226.0</v>
      </c>
      <c r="H662" s="201">
        <v>23.0</v>
      </c>
      <c r="I662" s="201">
        <v>7.0</v>
      </c>
      <c r="J662" s="201">
        <v>2026.0</v>
      </c>
      <c r="K662" s="189" t="s">
        <v>46</v>
      </c>
      <c r="L662" s="189" t="s">
        <v>1177</v>
      </c>
      <c r="M662" s="189">
        <v>1.0</v>
      </c>
      <c r="N662" s="189">
        <v>1.0</v>
      </c>
      <c r="O662" s="189"/>
      <c r="P662" s="189">
        <v>2.0</v>
      </c>
      <c r="Q662" s="361">
        <v>46226.46913194445</v>
      </c>
      <c r="R662" s="362">
        <v>23.0</v>
      </c>
      <c r="S662" s="362">
        <v>7.0</v>
      </c>
      <c r="T662" s="201">
        <v>2026.0</v>
      </c>
      <c r="U662" s="189" t="s">
        <v>245</v>
      </c>
      <c r="V662" s="189">
        <v>46.75</v>
      </c>
      <c r="W662" s="361">
        <v>46226.468726851854</v>
      </c>
      <c r="X662" s="201">
        <v>23.0</v>
      </c>
      <c r="Y662" s="201">
        <v>7.0</v>
      </c>
      <c r="Z662" s="201">
        <v>2026.0</v>
      </c>
      <c r="AA662" s="189" t="s">
        <v>245</v>
      </c>
    </row>
    <row r="663" ht="15.75" hidden="1" customHeight="1">
      <c r="A663" s="189" t="s">
        <v>2251</v>
      </c>
      <c r="B663" s="189" t="s">
        <v>2252</v>
      </c>
      <c r="C663" s="361">
        <v>46226.0</v>
      </c>
      <c r="D663" s="201">
        <v>23.0</v>
      </c>
      <c r="E663" s="201">
        <v>7.0</v>
      </c>
      <c r="F663" s="201">
        <v>2026.0</v>
      </c>
      <c r="G663" s="361">
        <v>46228.0</v>
      </c>
      <c r="H663" s="201">
        <v>25.0</v>
      </c>
      <c r="I663" s="201">
        <v>7.0</v>
      </c>
      <c r="J663" s="201">
        <v>2026.0</v>
      </c>
      <c r="K663" s="189" t="s">
        <v>46</v>
      </c>
      <c r="L663" s="189" t="s">
        <v>1177</v>
      </c>
      <c r="M663" s="189">
        <v>1.0</v>
      </c>
      <c r="N663" s="189">
        <v>2.0</v>
      </c>
      <c r="O663" s="189"/>
      <c r="P663" s="189">
        <v>4.0</v>
      </c>
      <c r="Q663" s="361">
        <v>46226.97361111111</v>
      </c>
      <c r="R663" s="362">
        <v>23.0</v>
      </c>
      <c r="S663" s="362">
        <v>7.0</v>
      </c>
      <c r="T663" s="201">
        <v>2026.0</v>
      </c>
      <c r="U663" s="189" t="s">
        <v>245</v>
      </c>
      <c r="V663" s="189">
        <v>93.5</v>
      </c>
      <c r="W663" s="361">
        <v>46226.97361111111</v>
      </c>
      <c r="X663" s="201">
        <v>23.0</v>
      </c>
      <c r="Y663" s="201">
        <v>7.0</v>
      </c>
      <c r="Z663" s="201">
        <v>2026.0</v>
      </c>
      <c r="AA663" s="189" t="s">
        <v>245</v>
      </c>
    </row>
    <row r="664" ht="15.75" hidden="1" customHeight="1">
      <c r="A664" s="189" t="s">
        <v>2253</v>
      </c>
      <c r="B664" s="189" t="s">
        <v>2254</v>
      </c>
      <c r="C664" s="361">
        <v>46226.0</v>
      </c>
      <c r="D664" s="201">
        <v>23.0</v>
      </c>
      <c r="E664" s="201">
        <v>7.0</v>
      </c>
      <c r="F664" s="201">
        <v>2026.0</v>
      </c>
      <c r="G664" s="361">
        <v>46230.0</v>
      </c>
      <c r="H664" s="201">
        <v>27.0</v>
      </c>
      <c r="I664" s="201">
        <v>7.0</v>
      </c>
      <c r="J664" s="201">
        <v>2026.0</v>
      </c>
      <c r="K664" s="189" t="s">
        <v>46</v>
      </c>
      <c r="L664" s="189" t="s">
        <v>1177</v>
      </c>
      <c r="M664" s="189">
        <v>1.0</v>
      </c>
      <c r="N664" s="189">
        <v>4.0</v>
      </c>
      <c r="O664" s="189"/>
      <c r="P664" s="189">
        <v>8.0</v>
      </c>
      <c r="Q664" s="361">
        <v>46226.8921412037</v>
      </c>
      <c r="R664" s="362">
        <v>23.0</v>
      </c>
      <c r="S664" s="362">
        <v>7.0</v>
      </c>
      <c r="T664" s="201">
        <v>2026.0</v>
      </c>
      <c r="U664" s="189" t="s">
        <v>245</v>
      </c>
      <c r="V664" s="189">
        <v>178.5</v>
      </c>
      <c r="W664" s="361">
        <v>46226.8921412037</v>
      </c>
      <c r="X664" s="201">
        <v>23.0</v>
      </c>
      <c r="Y664" s="201">
        <v>7.0</v>
      </c>
      <c r="Z664" s="201">
        <v>2026.0</v>
      </c>
      <c r="AA664" s="189" t="s">
        <v>245</v>
      </c>
    </row>
    <row r="665" ht="15.75" hidden="1" customHeight="1">
      <c r="A665" s="189" t="s">
        <v>2255</v>
      </c>
      <c r="B665" s="189" t="s">
        <v>2256</v>
      </c>
      <c r="C665" s="361">
        <v>46226.0</v>
      </c>
      <c r="D665" s="201">
        <v>23.0</v>
      </c>
      <c r="E665" s="201">
        <v>7.0</v>
      </c>
      <c r="F665" s="201">
        <v>2026.0</v>
      </c>
      <c r="G665" s="361">
        <v>46230.0</v>
      </c>
      <c r="H665" s="201">
        <v>27.0</v>
      </c>
      <c r="I665" s="201">
        <v>7.0</v>
      </c>
      <c r="J665" s="201">
        <v>2026.0</v>
      </c>
      <c r="K665" s="189" t="s">
        <v>46</v>
      </c>
      <c r="L665" s="189" t="s">
        <v>1177</v>
      </c>
      <c r="M665" s="189">
        <v>1.0</v>
      </c>
      <c r="N665" s="189">
        <v>4.0</v>
      </c>
      <c r="O665" s="189"/>
      <c r="P665" s="189">
        <v>8.0</v>
      </c>
      <c r="Q665" s="361">
        <v>46227.366377314815</v>
      </c>
      <c r="R665" s="362">
        <v>24.0</v>
      </c>
      <c r="S665" s="362">
        <v>7.0</v>
      </c>
      <c r="T665" s="201">
        <v>2026.0</v>
      </c>
      <c r="U665" s="189" t="s">
        <v>245</v>
      </c>
      <c r="V665" s="189">
        <v>134.3</v>
      </c>
      <c r="W665" s="361">
        <v>46227.36597222222</v>
      </c>
      <c r="X665" s="201">
        <v>24.0</v>
      </c>
      <c r="Y665" s="201">
        <v>7.0</v>
      </c>
      <c r="Z665" s="201">
        <v>2026.0</v>
      </c>
      <c r="AA665" s="189" t="s">
        <v>245</v>
      </c>
    </row>
    <row r="666" ht="15.75" hidden="1" customHeight="1">
      <c r="A666" s="189" t="s">
        <v>1471</v>
      </c>
      <c r="B666" s="189" t="s">
        <v>2257</v>
      </c>
      <c r="C666" s="361">
        <v>46227.0</v>
      </c>
      <c r="D666" s="201">
        <v>24.0</v>
      </c>
      <c r="E666" s="201">
        <v>7.0</v>
      </c>
      <c r="F666" s="201">
        <v>2026.0</v>
      </c>
      <c r="G666" s="361">
        <v>46228.0</v>
      </c>
      <c r="H666" s="201">
        <v>25.0</v>
      </c>
      <c r="I666" s="201">
        <v>7.0</v>
      </c>
      <c r="J666" s="201">
        <v>2026.0</v>
      </c>
      <c r="K666" s="189" t="s">
        <v>46</v>
      </c>
      <c r="L666" s="189" t="s">
        <v>1177</v>
      </c>
      <c r="M666" s="189">
        <v>1.0</v>
      </c>
      <c r="N666" s="189">
        <v>1.0</v>
      </c>
      <c r="O666" s="189"/>
      <c r="P666" s="189">
        <v>2.0</v>
      </c>
      <c r="Q666" s="361">
        <v>46227.77369212963</v>
      </c>
      <c r="R666" s="362">
        <v>24.0</v>
      </c>
      <c r="S666" s="362">
        <v>7.0</v>
      </c>
      <c r="T666" s="201">
        <v>2026.0</v>
      </c>
      <c r="U666" s="189" t="s">
        <v>245</v>
      </c>
      <c r="V666" s="189">
        <v>29.75</v>
      </c>
      <c r="W666" s="361">
        <v>46227.77324074074</v>
      </c>
      <c r="X666" s="201">
        <v>24.0</v>
      </c>
      <c r="Y666" s="201">
        <v>7.0</v>
      </c>
      <c r="Z666" s="201">
        <v>2026.0</v>
      </c>
      <c r="AA666" s="189" t="s">
        <v>245</v>
      </c>
    </row>
    <row r="667" ht="15.75" hidden="1" customHeight="1">
      <c r="A667" s="189" t="s">
        <v>2258</v>
      </c>
      <c r="B667" s="189" t="s">
        <v>2259</v>
      </c>
      <c r="C667" s="361">
        <v>46226.0</v>
      </c>
      <c r="D667" s="201">
        <v>23.0</v>
      </c>
      <c r="E667" s="201">
        <v>7.0</v>
      </c>
      <c r="F667" s="201">
        <v>2026.0</v>
      </c>
      <c r="G667" s="361">
        <v>46229.0</v>
      </c>
      <c r="H667" s="201">
        <v>26.0</v>
      </c>
      <c r="I667" s="201">
        <v>7.0</v>
      </c>
      <c r="J667" s="201">
        <v>2026.0</v>
      </c>
      <c r="K667" s="189" t="s">
        <v>46</v>
      </c>
      <c r="L667" s="189" t="s">
        <v>1177</v>
      </c>
      <c r="M667" s="189">
        <v>1.0</v>
      </c>
      <c r="N667" s="189">
        <v>3.0</v>
      </c>
      <c r="O667" s="189"/>
      <c r="P667" s="189">
        <v>6.0</v>
      </c>
      <c r="Q667" s="361">
        <v>46228.79733796296</v>
      </c>
      <c r="R667" s="362">
        <v>25.0</v>
      </c>
      <c r="S667" s="362">
        <v>7.0</v>
      </c>
      <c r="T667" s="201">
        <v>2026.0</v>
      </c>
      <c r="U667" s="189" t="s">
        <v>245</v>
      </c>
      <c r="V667" s="189">
        <v>89.25</v>
      </c>
      <c r="W667" s="361">
        <v>46228.79699074074</v>
      </c>
      <c r="X667" s="201">
        <v>25.0</v>
      </c>
      <c r="Y667" s="201">
        <v>7.0</v>
      </c>
      <c r="Z667" s="201">
        <v>2026.0</v>
      </c>
      <c r="AA667" s="189" t="s">
        <v>245</v>
      </c>
    </row>
    <row r="668" ht="15.75" hidden="1" customHeight="1">
      <c r="A668" s="189" t="s">
        <v>2260</v>
      </c>
      <c r="B668" s="189" t="s">
        <v>2261</v>
      </c>
      <c r="C668" s="361">
        <v>46227.0</v>
      </c>
      <c r="D668" s="201">
        <v>24.0</v>
      </c>
      <c r="E668" s="201">
        <v>7.0</v>
      </c>
      <c r="F668" s="201">
        <v>2026.0</v>
      </c>
      <c r="G668" s="361">
        <v>46228.0</v>
      </c>
      <c r="H668" s="201">
        <v>25.0</v>
      </c>
      <c r="I668" s="201">
        <v>7.0</v>
      </c>
      <c r="J668" s="201">
        <v>2026.0</v>
      </c>
      <c r="K668" s="189" t="s">
        <v>46</v>
      </c>
      <c r="L668" s="189" t="s">
        <v>1177</v>
      </c>
      <c r="M668" s="189">
        <v>1.0</v>
      </c>
      <c r="N668" s="189">
        <v>1.0</v>
      </c>
      <c r="O668" s="189"/>
      <c r="P668" s="189">
        <v>2.0</v>
      </c>
      <c r="Q668" s="361">
        <v>46228.376226851855</v>
      </c>
      <c r="R668" s="362">
        <v>25.0</v>
      </c>
      <c r="S668" s="362">
        <v>7.0</v>
      </c>
      <c r="T668" s="201">
        <v>2026.0</v>
      </c>
      <c r="U668" s="189" t="s">
        <v>245</v>
      </c>
      <c r="V668" s="189">
        <v>29.75</v>
      </c>
      <c r="W668" s="361">
        <v>46228.37446759259</v>
      </c>
      <c r="X668" s="201">
        <v>25.0</v>
      </c>
      <c r="Y668" s="201">
        <v>7.0</v>
      </c>
      <c r="Z668" s="201">
        <v>2026.0</v>
      </c>
      <c r="AA668" s="189" t="s">
        <v>245</v>
      </c>
    </row>
    <row r="669" ht="15.75" hidden="1" customHeight="1">
      <c r="A669" s="189" t="s">
        <v>2262</v>
      </c>
      <c r="B669" s="189" t="s">
        <v>2263</v>
      </c>
      <c r="C669" s="361">
        <v>46228.0</v>
      </c>
      <c r="D669" s="201">
        <v>25.0</v>
      </c>
      <c r="E669" s="201">
        <v>7.0</v>
      </c>
      <c r="F669" s="201">
        <v>2026.0</v>
      </c>
      <c r="G669" s="361">
        <v>46230.0</v>
      </c>
      <c r="H669" s="201">
        <v>27.0</v>
      </c>
      <c r="I669" s="201">
        <v>7.0</v>
      </c>
      <c r="J669" s="201">
        <v>2026.0</v>
      </c>
      <c r="K669" s="189" t="s">
        <v>46</v>
      </c>
      <c r="L669" s="189" t="s">
        <v>1177</v>
      </c>
      <c r="M669" s="189">
        <v>1.0</v>
      </c>
      <c r="N669" s="189">
        <v>2.0</v>
      </c>
      <c r="O669" s="189"/>
      <c r="P669" s="189">
        <v>4.0</v>
      </c>
      <c r="Q669" s="361">
        <v>46228.78258101852</v>
      </c>
      <c r="R669" s="362">
        <v>25.0</v>
      </c>
      <c r="S669" s="362">
        <v>7.0</v>
      </c>
      <c r="T669" s="201">
        <v>2026.0</v>
      </c>
      <c r="U669" s="189" t="s">
        <v>245</v>
      </c>
      <c r="V669" s="189">
        <v>93.5</v>
      </c>
      <c r="W669" s="361">
        <v>46228.78225694445</v>
      </c>
      <c r="X669" s="201">
        <v>25.0</v>
      </c>
      <c r="Y669" s="201">
        <v>7.0</v>
      </c>
      <c r="Z669" s="201">
        <v>2026.0</v>
      </c>
      <c r="AA669" s="189" t="s">
        <v>245</v>
      </c>
    </row>
    <row r="670" ht="15.75" hidden="1" customHeight="1">
      <c r="A670" s="189" t="s">
        <v>2264</v>
      </c>
      <c r="B670" s="189" t="s">
        <v>2265</v>
      </c>
      <c r="C670" s="361">
        <v>46228.0</v>
      </c>
      <c r="D670" s="201">
        <v>25.0</v>
      </c>
      <c r="E670" s="201">
        <v>7.0</v>
      </c>
      <c r="F670" s="201">
        <v>2026.0</v>
      </c>
      <c r="G670" s="361">
        <v>46231.0</v>
      </c>
      <c r="H670" s="201">
        <v>28.0</v>
      </c>
      <c r="I670" s="201">
        <v>7.0</v>
      </c>
      <c r="J670" s="201">
        <v>2026.0</v>
      </c>
      <c r="K670" s="189" t="s">
        <v>46</v>
      </c>
      <c r="L670" s="189" t="s">
        <v>1177</v>
      </c>
      <c r="M670" s="189">
        <v>1.0</v>
      </c>
      <c r="N670" s="189">
        <v>3.0</v>
      </c>
      <c r="O670" s="189"/>
      <c r="P670" s="189">
        <v>6.0</v>
      </c>
      <c r="Q670" s="361">
        <v>46230.47625</v>
      </c>
      <c r="R670" s="362">
        <v>27.0</v>
      </c>
      <c r="S670" s="362">
        <v>7.0</v>
      </c>
      <c r="T670" s="201">
        <v>2026.0</v>
      </c>
      <c r="U670" s="189" t="s">
        <v>245</v>
      </c>
      <c r="V670" s="189">
        <v>113.9</v>
      </c>
      <c r="W670" s="361">
        <v>46230.47625</v>
      </c>
      <c r="X670" s="201">
        <v>27.0</v>
      </c>
      <c r="Y670" s="201">
        <v>7.0</v>
      </c>
      <c r="Z670" s="201">
        <v>2026.0</v>
      </c>
      <c r="AA670" s="189" t="s">
        <v>245</v>
      </c>
    </row>
    <row r="671" ht="15.75" hidden="1" customHeight="1">
      <c r="A671" s="189" t="s">
        <v>2266</v>
      </c>
      <c r="B671" s="189" t="s">
        <v>2267</v>
      </c>
      <c r="C671" s="361">
        <v>46230.0</v>
      </c>
      <c r="D671" s="201">
        <v>27.0</v>
      </c>
      <c r="E671" s="201">
        <v>7.0</v>
      </c>
      <c r="F671" s="201">
        <v>2026.0</v>
      </c>
      <c r="G671" s="361">
        <v>46232.0</v>
      </c>
      <c r="H671" s="201">
        <v>29.0</v>
      </c>
      <c r="I671" s="201">
        <v>7.0</v>
      </c>
      <c r="J671" s="201">
        <v>2026.0</v>
      </c>
      <c r="K671" s="189" t="s">
        <v>46</v>
      </c>
      <c r="L671" s="189" t="s">
        <v>1177</v>
      </c>
      <c r="M671" s="189">
        <v>1.0</v>
      </c>
      <c r="N671" s="189">
        <v>2.0</v>
      </c>
      <c r="O671" s="189"/>
      <c r="P671" s="189">
        <v>4.0</v>
      </c>
      <c r="Q671" s="361">
        <v>46230.641388888886</v>
      </c>
      <c r="R671" s="362">
        <v>27.0</v>
      </c>
      <c r="S671" s="362">
        <v>7.0</v>
      </c>
      <c r="T671" s="201">
        <v>2026.0</v>
      </c>
      <c r="U671" s="189" t="s">
        <v>245</v>
      </c>
      <c r="V671" s="189">
        <v>67.15</v>
      </c>
      <c r="W671" s="361">
        <v>46230.641388888886</v>
      </c>
      <c r="X671" s="201">
        <v>27.0</v>
      </c>
      <c r="Y671" s="201">
        <v>7.0</v>
      </c>
      <c r="Z671" s="201">
        <v>2026.0</v>
      </c>
      <c r="AA671" s="189" t="s">
        <v>245</v>
      </c>
    </row>
    <row r="672" ht="15.75" hidden="1" customHeight="1">
      <c r="A672" s="189" t="s">
        <v>2268</v>
      </c>
      <c r="B672" s="189" t="s">
        <v>2269</v>
      </c>
      <c r="C672" s="361">
        <v>46229.0</v>
      </c>
      <c r="D672" s="201">
        <v>26.0</v>
      </c>
      <c r="E672" s="201">
        <v>7.0</v>
      </c>
      <c r="F672" s="201">
        <v>2026.0</v>
      </c>
      <c r="G672" s="361">
        <v>46232.0</v>
      </c>
      <c r="H672" s="201">
        <v>29.0</v>
      </c>
      <c r="I672" s="201">
        <v>7.0</v>
      </c>
      <c r="J672" s="201">
        <v>2026.0</v>
      </c>
      <c r="K672" s="189" t="s">
        <v>46</v>
      </c>
      <c r="L672" s="189" t="s">
        <v>1177</v>
      </c>
      <c r="M672" s="189">
        <v>1.0</v>
      </c>
      <c r="N672" s="189">
        <v>3.0</v>
      </c>
      <c r="O672" s="189"/>
      <c r="P672" s="189">
        <v>6.0</v>
      </c>
      <c r="Q672" s="361">
        <v>46231.84342592592</v>
      </c>
      <c r="R672" s="362">
        <v>28.0</v>
      </c>
      <c r="S672" s="362">
        <v>7.0</v>
      </c>
      <c r="T672" s="201">
        <v>2026.0</v>
      </c>
      <c r="U672" s="189" t="s">
        <v>245</v>
      </c>
      <c r="V672" s="189">
        <v>140.25</v>
      </c>
      <c r="W672" s="361">
        <v>46231.84342592592</v>
      </c>
      <c r="X672" s="201">
        <v>28.0</v>
      </c>
      <c r="Y672" s="201">
        <v>7.0</v>
      </c>
      <c r="Z672" s="201">
        <v>2026.0</v>
      </c>
      <c r="AA672" s="189" t="s">
        <v>245</v>
      </c>
    </row>
    <row r="673" ht="15.75" hidden="1" customHeight="1">
      <c r="A673" s="189" t="s">
        <v>2270</v>
      </c>
      <c r="B673" s="189" t="s">
        <v>2271</v>
      </c>
      <c r="C673" s="361">
        <v>46230.0</v>
      </c>
      <c r="D673" s="201">
        <v>27.0</v>
      </c>
      <c r="E673" s="201">
        <v>7.0</v>
      </c>
      <c r="F673" s="201">
        <v>2026.0</v>
      </c>
      <c r="G673" s="361">
        <v>46234.0</v>
      </c>
      <c r="H673" s="201">
        <v>31.0</v>
      </c>
      <c r="I673" s="201">
        <v>7.0</v>
      </c>
      <c r="J673" s="201">
        <v>2026.0</v>
      </c>
      <c r="K673" s="189" t="s">
        <v>46</v>
      </c>
      <c r="L673" s="189" t="s">
        <v>1177</v>
      </c>
      <c r="M673" s="189">
        <v>1.0</v>
      </c>
      <c r="N673" s="189">
        <v>4.0</v>
      </c>
      <c r="O673" s="189"/>
      <c r="P673" s="189">
        <v>8.0</v>
      </c>
      <c r="Q673" s="361">
        <v>46231.006875</v>
      </c>
      <c r="R673" s="362">
        <v>28.0</v>
      </c>
      <c r="S673" s="362">
        <v>7.0</v>
      </c>
      <c r="T673" s="201">
        <v>2026.0</v>
      </c>
      <c r="U673" s="189" t="s">
        <v>245</v>
      </c>
      <c r="V673" s="189">
        <v>153.0</v>
      </c>
      <c r="W673" s="361">
        <v>46231.006875</v>
      </c>
      <c r="X673" s="201">
        <v>28.0</v>
      </c>
      <c r="Y673" s="201">
        <v>7.0</v>
      </c>
      <c r="Z673" s="201">
        <v>2026.0</v>
      </c>
      <c r="AA673" s="189" t="s">
        <v>245</v>
      </c>
    </row>
    <row r="674" ht="15.75" hidden="1" customHeight="1">
      <c r="A674" s="189" t="s">
        <v>2272</v>
      </c>
      <c r="B674" s="189" t="s">
        <v>2273</v>
      </c>
      <c r="C674" s="361">
        <v>46231.0</v>
      </c>
      <c r="D674" s="201">
        <v>28.0</v>
      </c>
      <c r="E674" s="201">
        <v>7.0</v>
      </c>
      <c r="F674" s="201">
        <v>2026.0</v>
      </c>
      <c r="G674" s="361">
        <v>46234.0</v>
      </c>
      <c r="H674" s="201">
        <v>31.0</v>
      </c>
      <c r="I674" s="201">
        <v>7.0</v>
      </c>
      <c r="J674" s="201">
        <v>2026.0</v>
      </c>
      <c r="K674" s="189" t="s">
        <v>46</v>
      </c>
      <c r="L674" s="189" t="s">
        <v>1177</v>
      </c>
      <c r="M674" s="189">
        <v>1.0</v>
      </c>
      <c r="N674" s="189">
        <v>3.0</v>
      </c>
      <c r="O674" s="189"/>
      <c r="P674" s="189">
        <v>6.0</v>
      </c>
      <c r="Q674" s="361">
        <v>46232.70413194445</v>
      </c>
      <c r="R674" s="362">
        <v>29.0</v>
      </c>
      <c r="S674" s="362">
        <v>7.0</v>
      </c>
      <c r="T674" s="201">
        <v>2026.0</v>
      </c>
      <c r="U674" s="189" t="s">
        <v>245</v>
      </c>
      <c r="V674" s="189">
        <v>89.25</v>
      </c>
      <c r="W674" s="361">
        <v>46232.70413194445</v>
      </c>
      <c r="X674" s="201">
        <v>29.0</v>
      </c>
      <c r="Y674" s="201">
        <v>7.0</v>
      </c>
      <c r="Z674" s="201">
        <v>2026.0</v>
      </c>
      <c r="AA674" s="189" t="s">
        <v>245</v>
      </c>
    </row>
    <row r="675" ht="15.75" hidden="1" customHeight="1">
      <c r="A675" s="189" t="s">
        <v>2274</v>
      </c>
      <c r="B675" s="189" t="s">
        <v>2275</v>
      </c>
      <c r="C675" s="361">
        <v>46233.0</v>
      </c>
      <c r="D675" s="201">
        <v>30.0</v>
      </c>
      <c r="E675" s="201">
        <v>7.0</v>
      </c>
      <c r="F675" s="201">
        <v>2026.0</v>
      </c>
      <c r="G675" s="361">
        <v>46235.0</v>
      </c>
      <c r="H675" s="201">
        <v>1.0</v>
      </c>
      <c r="I675" s="201">
        <v>8.0</v>
      </c>
      <c r="J675" s="201">
        <v>2026.0</v>
      </c>
      <c r="K675" s="189" t="s">
        <v>46</v>
      </c>
      <c r="L675" s="189" t="s">
        <v>1177</v>
      </c>
      <c r="M675" s="189">
        <v>1.0</v>
      </c>
      <c r="N675" s="189">
        <v>2.0</v>
      </c>
      <c r="O675" s="189"/>
      <c r="P675" s="189">
        <v>4.0</v>
      </c>
      <c r="Q675" s="361">
        <v>46233.93256944444</v>
      </c>
      <c r="R675" s="362">
        <v>30.0</v>
      </c>
      <c r="S675" s="362">
        <v>7.0</v>
      </c>
      <c r="T675" s="201">
        <v>2026.0</v>
      </c>
      <c r="U675" s="189" t="s">
        <v>245</v>
      </c>
      <c r="V675" s="189">
        <v>59.5</v>
      </c>
      <c r="W675" s="361">
        <v>46233.93256944444</v>
      </c>
      <c r="X675" s="201">
        <v>30.0</v>
      </c>
      <c r="Y675" s="201">
        <v>7.0</v>
      </c>
      <c r="Z675" s="201">
        <v>2026.0</v>
      </c>
      <c r="AA675" s="189" t="s">
        <v>245</v>
      </c>
    </row>
    <row r="676" ht="15.75" hidden="1" customHeight="1">
      <c r="A676" s="189" t="s">
        <v>2266</v>
      </c>
      <c r="B676" s="189" t="s">
        <v>2276</v>
      </c>
      <c r="C676" s="361">
        <v>46232.0</v>
      </c>
      <c r="D676" s="201">
        <v>29.0</v>
      </c>
      <c r="E676" s="201">
        <v>7.0</v>
      </c>
      <c r="F676" s="201">
        <v>2026.0</v>
      </c>
      <c r="G676" s="361">
        <v>46233.0</v>
      </c>
      <c r="H676" s="201">
        <v>30.0</v>
      </c>
      <c r="I676" s="201">
        <v>7.0</v>
      </c>
      <c r="J676" s="201">
        <v>2026.0</v>
      </c>
      <c r="K676" s="189" t="s">
        <v>46</v>
      </c>
      <c r="L676" s="189" t="s">
        <v>1177</v>
      </c>
      <c r="M676" s="189">
        <v>1.0</v>
      </c>
      <c r="N676" s="189">
        <v>1.0</v>
      </c>
      <c r="O676" s="189"/>
      <c r="P676" s="189">
        <v>2.0</v>
      </c>
      <c r="Q676" s="361">
        <v>46234.907488425924</v>
      </c>
      <c r="R676" s="362">
        <v>31.0</v>
      </c>
      <c r="S676" s="362">
        <v>7.0</v>
      </c>
      <c r="T676" s="201">
        <v>2026.0</v>
      </c>
      <c r="U676" s="189" t="s">
        <v>245</v>
      </c>
      <c r="V676" s="419">
        <v>38.25</v>
      </c>
      <c r="W676" s="361">
        <v>46234.907488425924</v>
      </c>
      <c r="X676" s="201">
        <v>31.0</v>
      </c>
      <c r="Y676" s="201">
        <v>7.0</v>
      </c>
      <c r="Z676" s="201">
        <v>2026.0</v>
      </c>
      <c r="AA676" s="189" t="s">
        <v>245</v>
      </c>
    </row>
    <row r="677" ht="15.75" hidden="1" customHeight="1">
      <c r="A677" s="189" t="s">
        <v>2277</v>
      </c>
      <c r="B677" s="189" t="s">
        <v>2278</v>
      </c>
      <c r="C677" s="361">
        <v>46233.0</v>
      </c>
      <c r="D677" s="201">
        <v>30.0</v>
      </c>
      <c r="E677" s="201">
        <v>7.0</v>
      </c>
      <c r="F677" s="201">
        <v>2026.0</v>
      </c>
      <c r="G677" s="361">
        <v>46234.0</v>
      </c>
      <c r="H677" s="201">
        <v>31.0</v>
      </c>
      <c r="I677" s="201">
        <v>7.0</v>
      </c>
      <c r="J677" s="201">
        <v>2026.0</v>
      </c>
      <c r="K677" s="189" t="s">
        <v>46</v>
      </c>
      <c r="L677" s="189" t="s">
        <v>1177</v>
      </c>
      <c r="M677" s="189">
        <v>1.0</v>
      </c>
      <c r="N677" s="189">
        <v>1.0</v>
      </c>
      <c r="O677" s="189"/>
      <c r="P677" s="189">
        <v>2.0</v>
      </c>
      <c r="Q677" s="361">
        <v>46234.40488425926</v>
      </c>
      <c r="R677" s="362">
        <v>31.0</v>
      </c>
      <c r="S677" s="362">
        <v>7.0</v>
      </c>
      <c r="T677" s="201">
        <v>2026.0</v>
      </c>
      <c r="U677" s="189" t="s">
        <v>245</v>
      </c>
      <c r="V677" s="419">
        <v>29.75</v>
      </c>
      <c r="W677" s="361">
        <v>46234.40415509259</v>
      </c>
      <c r="X677" s="201">
        <v>31.0</v>
      </c>
      <c r="Y677" s="201">
        <v>7.0</v>
      </c>
      <c r="Z677" s="201">
        <v>2026.0</v>
      </c>
      <c r="AA677" s="189" t="s">
        <v>245</v>
      </c>
    </row>
    <row r="678" ht="15.75" hidden="1" customHeight="1">
      <c r="A678" s="357" t="s">
        <v>2279</v>
      </c>
      <c r="B678" s="357" t="s">
        <v>2280</v>
      </c>
      <c r="C678" s="358">
        <v>46233.0</v>
      </c>
      <c r="D678" s="359">
        <v>30.0</v>
      </c>
      <c r="E678" s="359">
        <v>7.0</v>
      </c>
      <c r="F678" s="359">
        <v>2026.0</v>
      </c>
      <c r="G678" s="358">
        <v>46237.0</v>
      </c>
      <c r="H678" s="359">
        <v>3.0</v>
      </c>
      <c r="I678" s="359">
        <v>8.0</v>
      </c>
      <c r="J678" s="359">
        <v>2026.0</v>
      </c>
      <c r="K678" s="357" t="s">
        <v>46</v>
      </c>
      <c r="L678" s="357" t="s">
        <v>1177</v>
      </c>
      <c r="M678" s="357">
        <v>1.0</v>
      </c>
      <c r="N678" s="357">
        <v>4.0</v>
      </c>
      <c r="O678" s="357"/>
      <c r="P678" s="357">
        <v>8.0</v>
      </c>
      <c r="Q678" s="358">
        <v>46234.01476851852</v>
      </c>
      <c r="R678" s="360">
        <v>31.0</v>
      </c>
      <c r="S678" s="360">
        <v>7.0</v>
      </c>
      <c r="T678" s="359">
        <v>2026.0</v>
      </c>
      <c r="U678" s="357" t="s">
        <v>245</v>
      </c>
      <c r="V678" s="357">
        <v>150.45</v>
      </c>
      <c r="W678" s="358">
        <v>46234.01476851852</v>
      </c>
      <c r="X678" s="359">
        <v>31.0</v>
      </c>
      <c r="Y678" s="359">
        <v>7.0</v>
      </c>
      <c r="Z678" s="359">
        <v>2026.0</v>
      </c>
      <c r="AA678" s="357" t="s">
        <v>245</v>
      </c>
    </row>
    <row r="679" ht="15.75" hidden="1" customHeight="1">
      <c r="A679" s="189" t="s">
        <v>2281</v>
      </c>
      <c r="B679" s="189" t="s">
        <v>2282</v>
      </c>
      <c r="C679" s="361">
        <v>46234.0</v>
      </c>
      <c r="D679" s="201">
        <v>31.0</v>
      </c>
      <c r="E679" s="201">
        <v>7.0</v>
      </c>
      <c r="F679" s="201">
        <v>2026.0</v>
      </c>
      <c r="G679" s="361">
        <v>46235.0</v>
      </c>
      <c r="H679" s="201">
        <v>1.0</v>
      </c>
      <c r="I679" s="201">
        <v>8.0</v>
      </c>
      <c r="J679" s="201">
        <v>2026.0</v>
      </c>
      <c r="K679" s="189" t="s">
        <v>46</v>
      </c>
      <c r="L679" s="189" t="s">
        <v>1177</v>
      </c>
      <c r="M679" s="189">
        <v>1.0</v>
      </c>
      <c r="N679" s="189">
        <v>1.0</v>
      </c>
      <c r="O679" s="189"/>
      <c r="P679" s="189">
        <v>2.0</v>
      </c>
      <c r="Q679" s="361">
        <v>46234.8084375</v>
      </c>
      <c r="R679" s="362">
        <v>31.0</v>
      </c>
      <c r="S679" s="362">
        <v>7.0</v>
      </c>
      <c r="T679" s="201">
        <v>2026.0</v>
      </c>
      <c r="U679" s="189" t="s">
        <v>262</v>
      </c>
      <c r="V679" s="189">
        <v>29.75</v>
      </c>
      <c r="W679" s="361">
        <v>46234.807604166665</v>
      </c>
      <c r="X679" s="201">
        <v>31.0</v>
      </c>
      <c r="Y679" s="201">
        <v>7.0</v>
      </c>
      <c r="Z679" s="201">
        <v>2026.0</v>
      </c>
      <c r="AA679" s="189" t="s">
        <v>262</v>
      </c>
    </row>
    <row r="680" ht="15.75" hidden="1" customHeight="1">
      <c r="A680" s="189" t="s">
        <v>2283</v>
      </c>
      <c r="B680" s="189" t="s">
        <v>2284</v>
      </c>
      <c r="C680" s="361">
        <v>46234.0</v>
      </c>
      <c r="D680" s="201">
        <v>31.0</v>
      </c>
      <c r="E680" s="201">
        <v>7.0</v>
      </c>
      <c r="F680" s="201">
        <v>2026.0</v>
      </c>
      <c r="G680" s="361">
        <v>46235.0</v>
      </c>
      <c r="H680" s="201">
        <v>1.0</v>
      </c>
      <c r="I680" s="201">
        <v>8.0</v>
      </c>
      <c r="J680" s="201">
        <v>2026.0</v>
      </c>
      <c r="K680" s="189" t="s">
        <v>46</v>
      </c>
      <c r="L680" s="189" t="s">
        <v>1177</v>
      </c>
      <c r="M680" s="189">
        <v>1.0</v>
      </c>
      <c r="N680" s="189">
        <v>1.0</v>
      </c>
      <c r="O680" s="189"/>
      <c r="P680" s="189">
        <v>2.0</v>
      </c>
      <c r="Q680" s="361">
        <v>46234.71943287037</v>
      </c>
      <c r="R680" s="362">
        <v>31.0</v>
      </c>
      <c r="S680" s="362">
        <v>7.0</v>
      </c>
      <c r="T680" s="201">
        <v>2026.0</v>
      </c>
      <c r="U680" s="189" t="s">
        <v>245</v>
      </c>
      <c r="V680" s="419">
        <v>38.25</v>
      </c>
      <c r="W680" s="361">
        <v>46234.71905092592</v>
      </c>
      <c r="X680" s="201">
        <v>31.0</v>
      </c>
      <c r="Y680" s="201">
        <v>7.0</v>
      </c>
      <c r="Z680" s="201">
        <v>2026.0</v>
      </c>
      <c r="AA680" s="189" t="s">
        <v>245</v>
      </c>
    </row>
    <row r="681" ht="15.75" hidden="1" customHeight="1">
      <c r="A681" s="189" t="s">
        <v>2285</v>
      </c>
      <c r="B681" s="189" t="s">
        <v>2286</v>
      </c>
      <c r="C681" s="361">
        <v>46206.0</v>
      </c>
      <c r="D681" s="201">
        <v>3.0</v>
      </c>
      <c r="E681" s="201">
        <v>7.0</v>
      </c>
      <c r="F681" s="201">
        <v>2026.0</v>
      </c>
      <c r="G681" s="361">
        <v>46208.0</v>
      </c>
      <c r="H681" s="201">
        <v>5.0</v>
      </c>
      <c r="I681" s="201">
        <v>7.0</v>
      </c>
      <c r="J681" s="201">
        <v>2026.0</v>
      </c>
      <c r="K681" s="189" t="s">
        <v>46</v>
      </c>
      <c r="L681" s="189" t="s">
        <v>1177</v>
      </c>
      <c r="M681" s="189">
        <v>2.0</v>
      </c>
      <c r="N681" s="189">
        <v>2.0</v>
      </c>
      <c r="O681" s="189"/>
      <c r="P681" s="189">
        <v>8.0</v>
      </c>
      <c r="Q681" s="361">
        <v>46206.619722222225</v>
      </c>
      <c r="R681" s="362">
        <v>3.0</v>
      </c>
      <c r="S681" s="362">
        <v>7.0</v>
      </c>
      <c r="T681" s="201">
        <v>2026.0</v>
      </c>
      <c r="U681" s="189" t="s">
        <v>245</v>
      </c>
      <c r="V681" s="189">
        <v>119.0</v>
      </c>
      <c r="W681" s="361">
        <v>46206.61883101852</v>
      </c>
      <c r="X681" s="201">
        <v>3.0</v>
      </c>
      <c r="Y681" s="201">
        <v>7.0</v>
      </c>
      <c r="Z681" s="201">
        <v>2026.0</v>
      </c>
      <c r="AA681" s="189" t="s">
        <v>245</v>
      </c>
    </row>
    <row r="682" ht="15.75" hidden="1" customHeight="1">
      <c r="A682" s="357" t="s">
        <v>2287</v>
      </c>
      <c r="B682" s="357" t="s">
        <v>2288</v>
      </c>
      <c r="C682" s="358">
        <v>46210.0</v>
      </c>
      <c r="D682" s="359">
        <v>7.0</v>
      </c>
      <c r="E682" s="359">
        <v>7.0</v>
      </c>
      <c r="F682" s="359">
        <v>2026.0</v>
      </c>
      <c r="G682" s="358">
        <v>46214.0</v>
      </c>
      <c r="H682" s="359">
        <v>11.0</v>
      </c>
      <c r="I682" s="359">
        <v>7.0</v>
      </c>
      <c r="J682" s="359">
        <v>2026.0</v>
      </c>
      <c r="K682" s="357" t="s">
        <v>46</v>
      </c>
      <c r="L682" s="357" t="s">
        <v>1177</v>
      </c>
      <c r="M682" s="357">
        <v>2.0</v>
      </c>
      <c r="N682" s="357">
        <v>4.0</v>
      </c>
      <c r="O682" s="359"/>
      <c r="P682" s="359">
        <v>16.0</v>
      </c>
      <c r="Q682" s="358">
        <v>46211.03134259259</v>
      </c>
      <c r="R682" s="360">
        <v>8.0</v>
      </c>
      <c r="S682" s="360">
        <v>7.0</v>
      </c>
      <c r="T682" s="359">
        <v>2026.0</v>
      </c>
      <c r="U682" s="357" t="s">
        <v>245</v>
      </c>
      <c r="V682" s="357">
        <v>510.0</v>
      </c>
      <c r="W682" s="358">
        <v>46211.03134259259</v>
      </c>
      <c r="X682" s="359">
        <v>8.0</v>
      </c>
      <c r="Y682" s="359">
        <v>7.0</v>
      </c>
      <c r="Z682" s="359">
        <v>2026.0</v>
      </c>
      <c r="AA682" s="357" t="s">
        <v>245</v>
      </c>
    </row>
    <row r="683" ht="15.75" hidden="1" customHeight="1">
      <c r="A683" s="189" t="s">
        <v>2289</v>
      </c>
      <c r="B683" s="189" t="s">
        <v>2290</v>
      </c>
      <c r="C683" s="361">
        <v>46211.0</v>
      </c>
      <c r="D683" s="201">
        <v>8.0</v>
      </c>
      <c r="E683" s="201">
        <v>7.0</v>
      </c>
      <c r="F683" s="201">
        <v>2026.0</v>
      </c>
      <c r="G683" s="361">
        <v>46214.0</v>
      </c>
      <c r="H683" s="201">
        <v>11.0</v>
      </c>
      <c r="I683" s="201">
        <v>7.0</v>
      </c>
      <c r="J683" s="201">
        <v>2026.0</v>
      </c>
      <c r="K683" s="189" t="s">
        <v>46</v>
      </c>
      <c r="L683" s="189" t="s">
        <v>1177</v>
      </c>
      <c r="M683" s="189">
        <v>2.0</v>
      </c>
      <c r="N683" s="189">
        <v>3.0</v>
      </c>
      <c r="O683" s="189"/>
      <c r="P683" s="189">
        <v>12.0</v>
      </c>
      <c r="Q683" s="361">
        <v>46214.45686342593</v>
      </c>
      <c r="R683" s="362">
        <v>11.0</v>
      </c>
      <c r="S683" s="362">
        <v>7.0</v>
      </c>
      <c r="T683" s="201">
        <v>2026.0</v>
      </c>
      <c r="U683" s="189" t="s">
        <v>12</v>
      </c>
      <c r="V683" s="189">
        <v>178.5</v>
      </c>
      <c r="W683" s="361">
        <v>46214.45644675926</v>
      </c>
      <c r="X683" s="201">
        <v>11.0</v>
      </c>
      <c r="Y683" s="201">
        <v>7.0</v>
      </c>
      <c r="Z683" s="201">
        <v>2026.0</v>
      </c>
      <c r="AA683" s="189" t="s">
        <v>12</v>
      </c>
    </row>
    <row r="684" ht="15.75" hidden="1" customHeight="1">
      <c r="A684" s="189" t="s">
        <v>2291</v>
      </c>
      <c r="B684" s="189" t="s">
        <v>2292</v>
      </c>
      <c r="C684" s="361">
        <v>46216.0</v>
      </c>
      <c r="D684" s="201">
        <v>13.0</v>
      </c>
      <c r="E684" s="201">
        <v>7.0</v>
      </c>
      <c r="F684" s="201">
        <v>2026.0</v>
      </c>
      <c r="G684" s="361">
        <v>46217.0</v>
      </c>
      <c r="H684" s="201">
        <v>14.0</v>
      </c>
      <c r="I684" s="201">
        <v>7.0</v>
      </c>
      <c r="J684" s="201">
        <v>2026.0</v>
      </c>
      <c r="K684" s="189" t="s">
        <v>46</v>
      </c>
      <c r="L684" s="189" t="s">
        <v>1177</v>
      </c>
      <c r="M684" s="189">
        <v>2.0</v>
      </c>
      <c r="N684" s="189">
        <v>1.0</v>
      </c>
      <c r="O684" s="189"/>
      <c r="P684" s="189">
        <v>4.0</v>
      </c>
      <c r="Q684" s="361">
        <v>46217.93787037037</v>
      </c>
      <c r="R684" s="362">
        <v>14.0</v>
      </c>
      <c r="S684" s="362">
        <v>7.0</v>
      </c>
      <c r="T684" s="201">
        <v>2026.0</v>
      </c>
      <c r="U684" s="189" t="s">
        <v>245</v>
      </c>
      <c r="V684" s="189">
        <v>59.5</v>
      </c>
      <c r="W684" s="361">
        <v>46217.93787037037</v>
      </c>
      <c r="X684" s="201">
        <v>14.0</v>
      </c>
      <c r="Y684" s="201">
        <v>7.0</v>
      </c>
      <c r="Z684" s="201">
        <v>2026.0</v>
      </c>
      <c r="AA684" s="189" t="s">
        <v>245</v>
      </c>
    </row>
    <row r="685" ht="15.75" hidden="1" customHeight="1">
      <c r="A685" s="189" t="s">
        <v>2293</v>
      </c>
      <c r="B685" s="189" t="s">
        <v>2294</v>
      </c>
      <c r="C685" s="361">
        <v>46218.0</v>
      </c>
      <c r="D685" s="201">
        <v>15.0</v>
      </c>
      <c r="E685" s="201">
        <v>7.0</v>
      </c>
      <c r="F685" s="201">
        <v>2026.0</v>
      </c>
      <c r="G685" s="361">
        <v>46219.0</v>
      </c>
      <c r="H685" s="201">
        <v>16.0</v>
      </c>
      <c r="I685" s="201">
        <v>7.0</v>
      </c>
      <c r="J685" s="201">
        <v>2026.0</v>
      </c>
      <c r="K685" s="189" t="s">
        <v>46</v>
      </c>
      <c r="L685" s="189" t="s">
        <v>1177</v>
      </c>
      <c r="M685" s="189">
        <v>2.0</v>
      </c>
      <c r="N685" s="189">
        <v>1.0</v>
      </c>
      <c r="O685" s="189"/>
      <c r="P685" s="189">
        <v>4.0</v>
      </c>
      <c r="Q685" s="361">
        <v>46219.42016203704</v>
      </c>
      <c r="R685" s="362">
        <v>16.0</v>
      </c>
      <c r="S685" s="362">
        <v>7.0</v>
      </c>
      <c r="T685" s="201">
        <v>2026.0</v>
      </c>
      <c r="U685" s="189" t="s">
        <v>12</v>
      </c>
      <c r="V685" s="189">
        <v>59.5</v>
      </c>
      <c r="W685" s="361">
        <v>46219.41936342593</v>
      </c>
      <c r="X685" s="201">
        <v>16.0</v>
      </c>
      <c r="Y685" s="201">
        <v>7.0</v>
      </c>
      <c r="Z685" s="201">
        <v>2026.0</v>
      </c>
      <c r="AA685" s="189" t="s">
        <v>12</v>
      </c>
    </row>
    <row r="686" ht="15.75" hidden="1" customHeight="1">
      <c r="A686" s="189" t="s">
        <v>2295</v>
      </c>
      <c r="B686" s="189" t="s">
        <v>2296</v>
      </c>
      <c r="C686" s="361">
        <v>46223.0</v>
      </c>
      <c r="D686" s="201">
        <v>20.0</v>
      </c>
      <c r="E686" s="201">
        <v>7.0</v>
      </c>
      <c r="F686" s="201">
        <v>2026.0</v>
      </c>
      <c r="G686" s="361">
        <v>46224.0</v>
      </c>
      <c r="H686" s="201">
        <v>21.0</v>
      </c>
      <c r="I686" s="201">
        <v>7.0</v>
      </c>
      <c r="J686" s="201">
        <v>2026.0</v>
      </c>
      <c r="K686" s="189" t="s">
        <v>46</v>
      </c>
      <c r="L686" s="189" t="s">
        <v>1177</v>
      </c>
      <c r="M686" s="189">
        <v>2.0</v>
      </c>
      <c r="N686" s="189">
        <v>1.0</v>
      </c>
      <c r="O686" s="189"/>
      <c r="P686" s="189">
        <v>4.0</v>
      </c>
      <c r="Q686" s="361">
        <v>46223.82230324074</v>
      </c>
      <c r="R686" s="362">
        <v>20.0</v>
      </c>
      <c r="S686" s="362">
        <v>7.0</v>
      </c>
      <c r="T686" s="201">
        <v>2026.0</v>
      </c>
      <c r="U686" s="189" t="s">
        <v>245</v>
      </c>
      <c r="V686" s="189">
        <v>59.5</v>
      </c>
      <c r="W686" s="361">
        <v>46223.82230324074</v>
      </c>
      <c r="X686" s="201">
        <v>20.0</v>
      </c>
      <c r="Y686" s="201">
        <v>7.0</v>
      </c>
      <c r="Z686" s="201">
        <v>2026.0</v>
      </c>
      <c r="AA686" s="189" t="s">
        <v>245</v>
      </c>
    </row>
    <row r="687" ht="15.75" hidden="1" customHeight="1">
      <c r="A687" s="189" t="s">
        <v>2297</v>
      </c>
      <c r="B687" s="189" t="s">
        <v>2298</v>
      </c>
      <c r="C687" s="361">
        <v>46222.0</v>
      </c>
      <c r="D687" s="201">
        <v>19.0</v>
      </c>
      <c r="E687" s="201">
        <v>7.0</v>
      </c>
      <c r="F687" s="201">
        <v>2026.0</v>
      </c>
      <c r="G687" s="361">
        <v>46224.0</v>
      </c>
      <c r="H687" s="201">
        <v>21.0</v>
      </c>
      <c r="I687" s="201">
        <v>7.0</v>
      </c>
      <c r="J687" s="201">
        <v>2026.0</v>
      </c>
      <c r="K687" s="189" t="s">
        <v>46</v>
      </c>
      <c r="L687" s="189" t="s">
        <v>1177</v>
      </c>
      <c r="M687" s="189">
        <v>2.0</v>
      </c>
      <c r="N687" s="189">
        <v>2.0</v>
      </c>
      <c r="O687" s="189"/>
      <c r="P687" s="189">
        <v>8.0</v>
      </c>
      <c r="Q687" s="361">
        <v>46224.463275462964</v>
      </c>
      <c r="R687" s="362">
        <v>21.0</v>
      </c>
      <c r="S687" s="362">
        <v>7.0</v>
      </c>
      <c r="T687" s="201">
        <v>2026.0</v>
      </c>
      <c r="U687" s="189" t="s">
        <v>245</v>
      </c>
      <c r="V687" s="189">
        <v>108.8</v>
      </c>
      <c r="W687" s="361">
        <v>46224.463275462964</v>
      </c>
      <c r="X687" s="201">
        <v>21.0</v>
      </c>
      <c r="Y687" s="201">
        <v>7.0</v>
      </c>
      <c r="Z687" s="201">
        <v>2026.0</v>
      </c>
      <c r="AA687" s="189" t="s">
        <v>245</v>
      </c>
    </row>
    <row r="688" ht="15.75" hidden="1" customHeight="1">
      <c r="A688" s="189" t="s">
        <v>2299</v>
      </c>
      <c r="B688" s="189" t="s">
        <v>2300</v>
      </c>
      <c r="C688" s="361">
        <v>46224.0</v>
      </c>
      <c r="D688" s="201">
        <v>21.0</v>
      </c>
      <c r="E688" s="201">
        <v>7.0</v>
      </c>
      <c r="F688" s="201">
        <v>2026.0</v>
      </c>
      <c r="G688" s="361">
        <v>46225.0</v>
      </c>
      <c r="H688" s="201">
        <v>22.0</v>
      </c>
      <c r="I688" s="201">
        <v>7.0</v>
      </c>
      <c r="J688" s="201">
        <v>2026.0</v>
      </c>
      <c r="K688" s="189" t="s">
        <v>46</v>
      </c>
      <c r="L688" s="189" t="s">
        <v>1177</v>
      </c>
      <c r="M688" s="189">
        <v>2.0</v>
      </c>
      <c r="N688" s="189">
        <v>1.0</v>
      </c>
      <c r="O688" s="189"/>
      <c r="P688" s="189">
        <v>4.0</v>
      </c>
      <c r="Q688" s="361">
        <v>46224.90043981482</v>
      </c>
      <c r="R688" s="362">
        <v>21.0</v>
      </c>
      <c r="S688" s="362">
        <v>7.0</v>
      </c>
      <c r="T688" s="201">
        <v>2026.0</v>
      </c>
      <c r="U688" s="189" t="s">
        <v>245</v>
      </c>
      <c r="V688" s="189">
        <v>59.5</v>
      </c>
      <c r="W688" s="361">
        <v>46224.90043981482</v>
      </c>
      <c r="X688" s="201">
        <v>21.0</v>
      </c>
      <c r="Y688" s="201">
        <v>7.0</v>
      </c>
      <c r="Z688" s="201">
        <v>2026.0</v>
      </c>
      <c r="AA688" s="189" t="s">
        <v>245</v>
      </c>
    </row>
    <row r="689" ht="15.75" hidden="1" customHeight="1">
      <c r="A689" s="189" t="s">
        <v>2301</v>
      </c>
      <c r="B689" s="189" t="s">
        <v>2302</v>
      </c>
      <c r="C689" s="361">
        <v>46230.0</v>
      </c>
      <c r="D689" s="201">
        <v>27.0</v>
      </c>
      <c r="E689" s="201">
        <v>7.0</v>
      </c>
      <c r="F689" s="201">
        <v>2026.0</v>
      </c>
      <c r="G689" s="361">
        <v>46231.0</v>
      </c>
      <c r="H689" s="201">
        <v>28.0</v>
      </c>
      <c r="I689" s="201">
        <v>7.0</v>
      </c>
      <c r="J689" s="201">
        <v>2026.0</v>
      </c>
      <c r="K689" s="189" t="s">
        <v>46</v>
      </c>
      <c r="L689" s="189" t="s">
        <v>1177</v>
      </c>
      <c r="M689" s="189">
        <v>2.0</v>
      </c>
      <c r="N689" s="189">
        <v>1.0</v>
      </c>
      <c r="O689" s="189"/>
      <c r="P689" s="189">
        <v>4.0</v>
      </c>
      <c r="Q689" s="361">
        <v>46230.654016203705</v>
      </c>
      <c r="R689" s="362">
        <v>27.0</v>
      </c>
      <c r="S689" s="362">
        <v>7.0</v>
      </c>
      <c r="T689" s="201">
        <v>2026.0</v>
      </c>
      <c r="U689" s="189" t="s">
        <v>245</v>
      </c>
      <c r="V689" s="189">
        <v>59.5</v>
      </c>
      <c r="W689" s="361">
        <v>46230.654016203705</v>
      </c>
      <c r="X689" s="201">
        <v>27.0</v>
      </c>
      <c r="Y689" s="201">
        <v>7.0</v>
      </c>
      <c r="Z689" s="201">
        <v>2026.0</v>
      </c>
      <c r="AA689" s="189" t="s">
        <v>245</v>
      </c>
    </row>
    <row r="690" ht="15.75" hidden="1" customHeight="1">
      <c r="A690" s="189" t="s">
        <v>2303</v>
      </c>
      <c r="B690" s="189" t="s">
        <v>2304</v>
      </c>
      <c r="C690" s="361">
        <v>46232.0</v>
      </c>
      <c r="D690" s="201">
        <v>29.0</v>
      </c>
      <c r="E690" s="201">
        <v>7.0</v>
      </c>
      <c r="F690" s="201">
        <v>2026.0</v>
      </c>
      <c r="G690" s="361">
        <v>46233.0</v>
      </c>
      <c r="H690" s="201">
        <v>30.0</v>
      </c>
      <c r="I690" s="201">
        <v>7.0</v>
      </c>
      <c r="J690" s="201">
        <v>2026.0</v>
      </c>
      <c r="K690" s="189" t="s">
        <v>46</v>
      </c>
      <c r="L690" s="189" t="s">
        <v>1177</v>
      </c>
      <c r="M690" s="189">
        <v>2.0</v>
      </c>
      <c r="N690" s="189">
        <v>1.0</v>
      </c>
      <c r="O690" s="189"/>
      <c r="P690" s="189">
        <v>4.0</v>
      </c>
      <c r="Q690" s="361">
        <v>46233.44715277778</v>
      </c>
      <c r="R690" s="362">
        <v>30.0</v>
      </c>
      <c r="S690" s="362">
        <v>7.0</v>
      </c>
      <c r="T690" s="201">
        <v>2026.0</v>
      </c>
      <c r="U690" s="189" t="s">
        <v>245</v>
      </c>
      <c r="V690" s="189">
        <v>59.5</v>
      </c>
      <c r="W690" s="361">
        <v>46233.446388888886</v>
      </c>
      <c r="X690" s="201">
        <v>30.0</v>
      </c>
      <c r="Y690" s="201">
        <v>7.0</v>
      </c>
      <c r="Z690" s="201">
        <v>2026.0</v>
      </c>
      <c r="AA690" s="189" t="s">
        <v>245</v>
      </c>
    </row>
    <row r="691" ht="15.75" hidden="1" customHeight="1">
      <c r="A691" s="357" t="s">
        <v>2305</v>
      </c>
      <c r="B691" s="357" t="s">
        <v>2306</v>
      </c>
      <c r="C691" s="358">
        <v>46233.0</v>
      </c>
      <c r="D691" s="359">
        <v>30.0</v>
      </c>
      <c r="E691" s="359">
        <v>7.0</v>
      </c>
      <c r="F691" s="359">
        <v>2026.0</v>
      </c>
      <c r="G691" s="358">
        <v>46234.0</v>
      </c>
      <c r="H691" s="359">
        <v>31.0</v>
      </c>
      <c r="I691" s="359">
        <v>7.0</v>
      </c>
      <c r="J691" s="359">
        <v>2026.0</v>
      </c>
      <c r="K691" s="357" t="s">
        <v>46</v>
      </c>
      <c r="L691" s="357" t="s">
        <v>1177</v>
      </c>
      <c r="M691" s="357">
        <v>2.0</v>
      </c>
      <c r="N691" s="357">
        <v>1.0</v>
      </c>
      <c r="O691" s="357"/>
      <c r="P691" s="357">
        <v>4.0</v>
      </c>
      <c r="Q691" s="358">
        <v>46234.01357638889</v>
      </c>
      <c r="R691" s="360">
        <v>31.0</v>
      </c>
      <c r="S691" s="360">
        <v>7.0</v>
      </c>
      <c r="T691" s="359">
        <v>2026.0</v>
      </c>
      <c r="U691" s="357" t="s">
        <v>245</v>
      </c>
      <c r="V691" s="357">
        <v>74.8</v>
      </c>
      <c r="W691" s="358">
        <v>46234.01357638889</v>
      </c>
      <c r="X691" s="359">
        <v>31.0</v>
      </c>
      <c r="Y691" s="359">
        <v>7.0</v>
      </c>
      <c r="Z691" s="359">
        <v>2026.0</v>
      </c>
      <c r="AA691" s="357" t="s">
        <v>245</v>
      </c>
    </row>
    <row r="692" ht="15.75" hidden="1" customHeight="1">
      <c r="A692" s="189" t="s">
        <v>2266</v>
      </c>
      <c r="B692" s="189" t="s">
        <v>2307</v>
      </c>
      <c r="C692" s="361">
        <v>46234.0</v>
      </c>
      <c r="D692" s="201">
        <v>31.0</v>
      </c>
      <c r="E692" s="201">
        <v>7.0</v>
      </c>
      <c r="F692" s="201">
        <v>2026.0</v>
      </c>
      <c r="G692" s="361">
        <v>46236.0</v>
      </c>
      <c r="H692" s="201">
        <v>2.0</v>
      </c>
      <c r="I692" s="201">
        <v>8.0</v>
      </c>
      <c r="J692" s="201">
        <v>2026.0</v>
      </c>
      <c r="K692" s="189" t="s">
        <v>46</v>
      </c>
      <c r="L692" s="189" t="s">
        <v>1177</v>
      </c>
      <c r="M692" s="189">
        <v>2.0</v>
      </c>
      <c r="N692" s="189">
        <v>2.0</v>
      </c>
      <c r="O692" s="189"/>
      <c r="P692" s="189">
        <v>8.0</v>
      </c>
      <c r="Q692" s="361">
        <v>46234.908171296294</v>
      </c>
      <c r="R692" s="362">
        <v>31.0</v>
      </c>
      <c r="S692" s="362">
        <v>7.0</v>
      </c>
      <c r="T692" s="201">
        <v>2026.0</v>
      </c>
      <c r="U692" s="189" t="s">
        <v>245</v>
      </c>
      <c r="V692" s="419">
        <v>144.5</v>
      </c>
      <c r="W692" s="361">
        <v>46234.908171296294</v>
      </c>
      <c r="X692" s="201">
        <v>31.0</v>
      </c>
      <c r="Y692" s="201">
        <v>7.0</v>
      </c>
      <c r="Z692" s="201">
        <v>2026.0</v>
      </c>
      <c r="AA692" s="189" t="s">
        <v>245</v>
      </c>
    </row>
    <row r="693" ht="15.75" hidden="1" customHeight="1">
      <c r="A693" s="189" t="s">
        <v>2308</v>
      </c>
      <c r="B693" s="189" t="s">
        <v>2309</v>
      </c>
      <c r="C693" s="361">
        <v>46217.0</v>
      </c>
      <c r="D693" s="201">
        <v>14.0</v>
      </c>
      <c r="E693" s="201">
        <v>7.0</v>
      </c>
      <c r="F693" s="201">
        <v>2026.0</v>
      </c>
      <c r="G693" s="361">
        <v>46218.0</v>
      </c>
      <c r="H693" s="201">
        <v>15.0</v>
      </c>
      <c r="I693" s="201">
        <v>7.0</v>
      </c>
      <c r="J693" s="201">
        <v>2026.0</v>
      </c>
      <c r="K693" s="189" t="s">
        <v>46</v>
      </c>
      <c r="L693" s="189" t="s">
        <v>1177</v>
      </c>
      <c r="M693" s="189">
        <v>3.0</v>
      </c>
      <c r="N693" s="189">
        <v>1.0</v>
      </c>
      <c r="O693" s="189"/>
      <c r="P693" s="189">
        <v>6.0</v>
      </c>
      <c r="Q693" s="361">
        <v>46218.05520833333</v>
      </c>
      <c r="R693" s="362">
        <v>15.0</v>
      </c>
      <c r="S693" s="362">
        <v>7.0</v>
      </c>
      <c r="T693" s="201">
        <v>2026.0</v>
      </c>
      <c r="U693" s="189" t="s">
        <v>245</v>
      </c>
      <c r="V693" s="189">
        <v>89.25</v>
      </c>
      <c r="W693" s="361">
        <v>46218.05520833333</v>
      </c>
      <c r="X693" s="201">
        <v>15.0</v>
      </c>
      <c r="Y693" s="201">
        <v>7.0</v>
      </c>
      <c r="Z693" s="201">
        <v>2026.0</v>
      </c>
      <c r="AA693" s="189" t="s">
        <v>245</v>
      </c>
    </row>
    <row r="694" ht="15.75" hidden="1" customHeight="1">
      <c r="A694" s="189" t="s">
        <v>2310</v>
      </c>
      <c r="B694" s="189" t="s">
        <v>2311</v>
      </c>
      <c r="C694" s="361">
        <v>46221.0</v>
      </c>
      <c r="D694" s="201">
        <v>18.0</v>
      </c>
      <c r="E694" s="201">
        <v>7.0</v>
      </c>
      <c r="F694" s="201">
        <v>2026.0</v>
      </c>
      <c r="G694" s="361">
        <v>46222.0</v>
      </c>
      <c r="H694" s="201">
        <v>19.0</v>
      </c>
      <c r="I694" s="201">
        <v>7.0</v>
      </c>
      <c r="J694" s="201">
        <v>2026.0</v>
      </c>
      <c r="K694" s="189" t="s">
        <v>46</v>
      </c>
      <c r="L694" s="189" t="s">
        <v>1177</v>
      </c>
      <c r="M694" s="189">
        <v>3.0</v>
      </c>
      <c r="N694" s="189">
        <v>1.0</v>
      </c>
      <c r="O694" s="189"/>
      <c r="P694" s="189">
        <v>6.0</v>
      </c>
      <c r="Q694" s="361">
        <v>46222.02164351852</v>
      </c>
      <c r="R694" s="362">
        <v>19.0</v>
      </c>
      <c r="S694" s="362">
        <v>7.0</v>
      </c>
      <c r="T694" s="201">
        <v>2026.0</v>
      </c>
      <c r="U694" s="189" t="s">
        <v>12</v>
      </c>
      <c r="V694" s="189">
        <v>89.25</v>
      </c>
      <c r="W694" s="361">
        <v>46222.02164351852</v>
      </c>
      <c r="X694" s="201">
        <v>19.0</v>
      </c>
      <c r="Y694" s="201">
        <v>7.0</v>
      </c>
      <c r="Z694" s="201">
        <v>2026.0</v>
      </c>
      <c r="AA694" s="189" t="s">
        <v>12</v>
      </c>
    </row>
    <row r="695" ht="15.75" hidden="1" customHeight="1">
      <c r="A695" s="189" t="s">
        <v>2312</v>
      </c>
      <c r="B695" s="189" t="s">
        <v>2313</v>
      </c>
      <c r="C695" s="361">
        <v>46232.0</v>
      </c>
      <c r="D695" s="201">
        <v>29.0</v>
      </c>
      <c r="E695" s="201">
        <v>7.0</v>
      </c>
      <c r="F695" s="201">
        <v>2026.0</v>
      </c>
      <c r="G695" s="361">
        <v>46233.0</v>
      </c>
      <c r="H695" s="201">
        <v>30.0</v>
      </c>
      <c r="I695" s="201">
        <v>7.0</v>
      </c>
      <c r="J695" s="201">
        <v>2026.0</v>
      </c>
      <c r="K695" s="189" t="s">
        <v>46</v>
      </c>
      <c r="L695" s="189" t="s">
        <v>1177</v>
      </c>
      <c r="M695" s="189">
        <v>3.0</v>
      </c>
      <c r="N695" s="189">
        <v>1.0</v>
      </c>
      <c r="O695" s="189"/>
      <c r="P695" s="189">
        <v>6.0</v>
      </c>
      <c r="Q695" s="361">
        <v>46232.743784722225</v>
      </c>
      <c r="R695" s="362">
        <v>29.0</v>
      </c>
      <c r="S695" s="362">
        <v>7.0</v>
      </c>
      <c r="T695" s="201">
        <v>2026.0</v>
      </c>
      <c r="U695" s="189" t="s">
        <v>245</v>
      </c>
      <c r="V695" s="189">
        <v>89.25</v>
      </c>
      <c r="W695" s="361">
        <v>46232.743784722225</v>
      </c>
      <c r="X695" s="201">
        <v>29.0</v>
      </c>
      <c r="Y695" s="201">
        <v>7.0</v>
      </c>
      <c r="Z695" s="201">
        <v>2026.0</v>
      </c>
      <c r="AA695" s="189" t="s">
        <v>245</v>
      </c>
    </row>
    <row r="696" ht="15.75" customHeight="1">
      <c r="A696" s="340" t="s">
        <v>2314</v>
      </c>
      <c r="B696" s="191"/>
      <c r="C696" s="343">
        <v>46198.0</v>
      </c>
      <c r="D696" s="194">
        <v>25.0</v>
      </c>
      <c r="E696" s="194">
        <v>6.0</v>
      </c>
      <c r="F696" s="194">
        <v>2026.0</v>
      </c>
      <c r="G696" s="343">
        <v>46202.0</v>
      </c>
      <c r="H696" s="194">
        <v>29.0</v>
      </c>
      <c r="I696" s="194">
        <v>6.0</v>
      </c>
      <c r="J696" s="194">
        <v>2026.0</v>
      </c>
      <c r="K696" s="74" t="s">
        <v>2315</v>
      </c>
      <c r="L696" s="74" t="s">
        <v>1929</v>
      </c>
      <c r="M696" s="74">
        <v>1.0</v>
      </c>
      <c r="N696" s="74">
        <v>4.0</v>
      </c>
      <c r="O696" s="74"/>
      <c r="P696" s="74">
        <v>8.0</v>
      </c>
      <c r="Q696" s="343">
        <v>46198.0</v>
      </c>
      <c r="R696" s="185">
        <v>25.0</v>
      </c>
      <c r="S696" s="185">
        <v>6.0</v>
      </c>
      <c r="T696" s="194">
        <v>2026.0</v>
      </c>
      <c r="U696" s="74" t="s">
        <v>238</v>
      </c>
      <c r="V696" s="74">
        <v>140.0</v>
      </c>
      <c r="W696" s="343">
        <v>46198.0</v>
      </c>
      <c r="X696" s="194">
        <v>25.0</v>
      </c>
      <c r="Y696" s="194">
        <v>6.0</v>
      </c>
      <c r="Z696" s="194">
        <v>2026.0</v>
      </c>
      <c r="AA696" s="74" t="s">
        <v>238</v>
      </c>
    </row>
    <row r="697" ht="15.75" hidden="1" customHeight="1">
      <c r="A697" s="189" t="s">
        <v>2316</v>
      </c>
      <c r="B697" s="189" t="s">
        <v>2317</v>
      </c>
      <c r="C697" s="361">
        <v>46233.0</v>
      </c>
      <c r="D697" s="201">
        <v>30.0</v>
      </c>
      <c r="E697" s="201">
        <v>7.0</v>
      </c>
      <c r="F697" s="201">
        <v>2026.0</v>
      </c>
      <c r="G697" s="361">
        <v>46235.0</v>
      </c>
      <c r="H697" s="201">
        <v>1.0</v>
      </c>
      <c r="I697" s="201">
        <v>8.0</v>
      </c>
      <c r="J697" s="201">
        <v>2026.0</v>
      </c>
      <c r="K697" s="189" t="s">
        <v>46</v>
      </c>
      <c r="L697" s="189" t="s">
        <v>1177</v>
      </c>
      <c r="M697" s="189">
        <v>2.0</v>
      </c>
      <c r="N697" s="189">
        <v>2.0</v>
      </c>
      <c r="O697" s="201">
        <f t="shared" ref="O697:O699" si="1">N697*M697</f>
        <v>4</v>
      </c>
      <c r="P697" s="189">
        <v>8.0</v>
      </c>
      <c r="Q697" s="420">
        <v>46235.0</v>
      </c>
      <c r="R697" s="362">
        <v>1.0</v>
      </c>
      <c r="S697" s="362">
        <v>8.0</v>
      </c>
      <c r="T697" s="201">
        <v>2026.0</v>
      </c>
      <c r="U697" s="189" t="s">
        <v>245</v>
      </c>
      <c r="V697" s="189">
        <v>119.0</v>
      </c>
      <c r="W697" s="420">
        <v>46235.0</v>
      </c>
      <c r="X697" s="201">
        <v>1.0</v>
      </c>
      <c r="Y697" s="201">
        <v>8.0</v>
      </c>
      <c r="Z697" s="201">
        <v>2026.0</v>
      </c>
      <c r="AA697" s="189" t="s">
        <v>245</v>
      </c>
    </row>
    <row r="698" ht="15.75" hidden="1" customHeight="1">
      <c r="A698" s="189" t="s">
        <v>2318</v>
      </c>
      <c r="B698" s="189" t="s">
        <v>2319</v>
      </c>
      <c r="C698" s="361">
        <v>46234.0</v>
      </c>
      <c r="D698" s="201">
        <v>31.0</v>
      </c>
      <c r="E698" s="201">
        <v>7.0</v>
      </c>
      <c r="F698" s="201">
        <v>2026.0</v>
      </c>
      <c r="G698" s="361">
        <v>46238.0</v>
      </c>
      <c r="H698" s="201">
        <v>4.0</v>
      </c>
      <c r="I698" s="201">
        <v>8.0</v>
      </c>
      <c r="J698" s="201">
        <v>2026.0</v>
      </c>
      <c r="K698" s="189" t="s">
        <v>46</v>
      </c>
      <c r="L698" s="189" t="s">
        <v>1177</v>
      </c>
      <c r="M698" s="189">
        <v>1.0</v>
      </c>
      <c r="N698" s="189">
        <v>4.0</v>
      </c>
      <c r="O698" s="201">
        <f t="shared" si="1"/>
        <v>4</v>
      </c>
      <c r="P698" s="189">
        <v>8.0</v>
      </c>
      <c r="Q698" s="420">
        <v>46235.0</v>
      </c>
      <c r="R698" s="362">
        <v>1.0</v>
      </c>
      <c r="S698" s="362">
        <v>8.0</v>
      </c>
      <c r="T698" s="201">
        <v>2026.0</v>
      </c>
      <c r="U698" s="189" t="s">
        <v>245</v>
      </c>
      <c r="V698" s="189">
        <v>238.0</v>
      </c>
      <c r="W698" s="420">
        <v>46235.0</v>
      </c>
      <c r="X698" s="201">
        <v>1.0</v>
      </c>
      <c r="Y698" s="201">
        <v>8.0</v>
      </c>
      <c r="Z698" s="201">
        <v>2026.0</v>
      </c>
      <c r="AA698" s="189" t="s">
        <v>245</v>
      </c>
    </row>
    <row r="699" ht="15.75" hidden="1" customHeight="1">
      <c r="A699" s="189" t="s">
        <v>2320</v>
      </c>
      <c r="B699" s="189" t="s">
        <v>2321</v>
      </c>
      <c r="C699" s="361">
        <v>46234.0</v>
      </c>
      <c r="D699" s="201">
        <v>31.0</v>
      </c>
      <c r="E699" s="201">
        <v>7.0</v>
      </c>
      <c r="F699" s="201">
        <v>2026.0</v>
      </c>
      <c r="G699" s="361">
        <v>46235.0</v>
      </c>
      <c r="H699" s="201">
        <v>1.0</v>
      </c>
      <c r="I699" s="201">
        <v>8.0</v>
      </c>
      <c r="J699" s="201">
        <v>2026.0</v>
      </c>
      <c r="K699" s="189" t="s">
        <v>46</v>
      </c>
      <c r="L699" s="189" t="s">
        <v>1177</v>
      </c>
      <c r="M699" s="189">
        <v>1.0</v>
      </c>
      <c r="N699" s="189">
        <v>1.0</v>
      </c>
      <c r="O699" s="201">
        <f t="shared" si="1"/>
        <v>1</v>
      </c>
      <c r="P699" s="189">
        <v>2.0</v>
      </c>
      <c r="Q699" s="420">
        <v>46235.0</v>
      </c>
      <c r="R699" s="362">
        <v>1.0</v>
      </c>
      <c r="S699" s="362">
        <v>8.0</v>
      </c>
      <c r="T699" s="201">
        <v>2026.0</v>
      </c>
      <c r="U699" s="189" t="s">
        <v>245</v>
      </c>
      <c r="V699" s="189">
        <v>29.75</v>
      </c>
      <c r="W699" s="420">
        <v>46235.0</v>
      </c>
      <c r="X699" s="201">
        <v>1.0</v>
      </c>
      <c r="Y699" s="201">
        <v>8.0</v>
      </c>
      <c r="Z699" s="201">
        <v>2026.0</v>
      </c>
      <c r="AA699" s="189" t="s">
        <v>245</v>
      </c>
    </row>
    <row r="700" ht="15.75" hidden="1" customHeight="1">
      <c r="A700" s="340" t="s">
        <v>2322</v>
      </c>
      <c r="B700" s="191"/>
      <c r="C700" s="343">
        <v>46178.0</v>
      </c>
      <c r="D700" s="194">
        <v>5.0</v>
      </c>
      <c r="E700" s="194">
        <v>6.0</v>
      </c>
      <c r="F700" s="194">
        <v>2026.0</v>
      </c>
      <c r="G700" s="343">
        <v>46179.0</v>
      </c>
      <c r="H700" s="194">
        <v>6.0</v>
      </c>
      <c r="I700" s="194">
        <v>6.0</v>
      </c>
      <c r="J700" s="194">
        <v>2026.0</v>
      </c>
      <c r="K700" s="74" t="s">
        <v>57</v>
      </c>
      <c r="L700" s="74" t="s">
        <v>1929</v>
      </c>
      <c r="M700" s="74">
        <v>1.0</v>
      </c>
      <c r="N700" s="74">
        <v>1.0</v>
      </c>
      <c r="O700" s="74"/>
      <c r="P700" s="74">
        <v>2.0</v>
      </c>
      <c r="Q700" s="343">
        <v>46179.0</v>
      </c>
      <c r="R700" s="185">
        <v>6.0</v>
      </c>
      <c r="S700" s="185">
        <v>6.0</v>
      </c>
      <c r="T700" s="194">
        <v>2026.0</v>
      </c>
      <c r="U700" s="74" t="s">
        <v>245</v>
      </c>
      <c r="V700" s="74">
        <v>32.0</v>
      </c>
      <c r="W700" s="343">
        <v>46179.0</v>
      </c>
      <c r="X700" s="194">
        <v>6.0</v>
      </c>
      <c r="Y700" s="194">
        <v>6.0</v>
      </c>
      <c r="Z700" s="194">
        <v>2026.0</v>
      </c>
      <c r="AA700" s="74" t="s">
        <v>245</v>
      </c>
    </row>
    <row r="701" ht="15.75" customHeight="1">
      <c r="A701" s="340" t="s">
        <v>2323</v>
      </c>
      <c r="B701" s="191"/>
      <c r="C701" s="343">
        <v>46175.0</v>
      </c>
      <c r="D701" s="194">
        <v>2.0</v>
      </c>
      <c r="E701" s="194">
        <v>6.0</v>
      </c>
      <c r="F701" s="194">
        <v>2026.0</v>
      </c>
      <c r="G701" s="343">
        <v>46177.0</v>
      </c>
      <c r="H701" s="194">
        <v>4.0</v>
      </c>
      <c r="I701" s="194">
        <v>6.0</v>
      </c>
      <c r="J701" s="194">
        <v>2026.0</v>
      </c>
      <c r="K701" s="74" t="s">
        <v>2315</v>
      </c>
      <c r="L701" s="74" t="s">
        <v>1929</v>
      </c>
      <c r="M701" s="74">
        <v>1.0</v>
      </c>
      <c r="N701" s="74">
        <v>2.0</v>
      </c>
      <c r="O701" s="74"/>
      <c r="P701" s="74">
        <v>4.0</v>
      </c>
      <c r="Q701" s="343">
        <v>46176.0</v>
      </c>
      <c r="R701" s="185">
        <v>3.0</v>
      </c>
      <c r="S701" s="185">
        <v>6.0</v>
      </c>
      <c r="T701" s="194">
        <v>2026.0</v>
      </c>
      <c r="U701" s="74" t="s">
        <v>238</v>
      </c>
      <c r="V701" s="74">
        <v>90.0</v>
      </c>
      <c r="W701" s="343">
        <v>46176.0</v>
      </c>
      <c r="X701" s="194">
        <v>3.0</v>
      </c>
      <c r="Y701" s="194">
        <v>6.0</v>
      </c>
      <c r="Z701" s="194">
        <v>2026.0</v>
      </c>
      <c r="AA701" s="74" t="s">
        <v>238</v>
      </c>
    </row>
    <row r="702" ht="15.75" customHeight="1">
      <c r="A702" s="340" t="s">
        <v>2324</v>
      </c>
      <c r="B702" s="191"/>
      <c r="C702" s="343">
        <v>46193.0</v>
      </c>
      <c r="D702" s="194">
        <v>20.0</v>
      </c>
      <c r="E702" s="194">
        <v>6.0</v>
      </c>
      <c r="F702" s="194">
        <v>2026.0</v>
      </c>
      <c r="G702" s="343">
        <v>46197.0</v>
      </c>
      <c r="H702" s="194">
        <v>24.0</v>
      </c>
      <c r="I702" s="194">
        <v>6.0</v>
      </c>
      <c r="J702" s="194">
        <v>2026.0</v>
      </c>
      <c r="K702" s="74" t="s">
        <v>2315</v>
      </c>
      <c r="L702" s="74" t="s">
        <v>1929</v>
      </c>
      <c r="M702" s="74">
        <v>1.0</v>
      </c>
      <c r="N702" s="74">
        <v>4.0</v>
      </c>
      <c r="O702" s="74"/>
      <c r="P702" s="74">
        <v>8.0</v>
      </c>
      <c r="Q702" s="343">
        <v>46192.0</v>
      </c>
      <c r="R702" s="185">
        <v>19.0</v>
      </c>
      <c r="S702" s="185">
        <v>6.0</v>
      </c>
      <c r="T702" s="194">
        <v>2026.0</v>
      </c>
      <c r="U702" s="74" t="s">
        <v>238</v>
      </c>
      <c r="V702" s="74">
        <v>140.0</v>
      </c>
      <c r="W702" s="343">
        <v>46192.0</v>
      </c>
      <c r="X702" s="194">
        <v>19.0</v>
      </c>
      <c r="Y702" s="194">
        <v>6.0</v>
      </c>
      <c r="Z702" s="194">
        <v>2026.0</v>
      </c>
      <c r="AA702" s="74" t="s">
        <v>238</v>
      </c>
    </row>
    <row r="703" ht="15.75" hidden="1" customHeight="1">
      <c r="A703" s="421" t="s">
        <v>2325</v>
      </c>
      <c r="B703" s="422"/>
      <c r="C703" s="423">
        <v>46187.0</v>
      </c>
      <c r="D703" s="424">
        <v>14.0</v>
      </c>
      <c r="E703" s="424">
        <v>6.0</v>
      </c>
      <c r="F703" s="424">
        <v>2026.0</v>
      </c>
      <c r="G703" s="423">
        <v>46188.0</v>
      </c>
      <c r="H703" s="424">
        <v>15.0</v>
      </c>
      <c r="I703" s="424">
        <v>6.0</v>
      </c>
      <c r="J703" s="424">
        <v>2026.0</v>
      </c>
      <c r="K703" s="425" t="s">
        <v>2315</v>
      </c>
      <c r="L703" s="425" t="s">
        <v>1929</v>
      </c>
      <c r="M703" s="425">
        <v>1.0</v>
      </c>
      <c r="N703" s="425">
        <v>1.0</v>
      </c>
      <c r="O703" s="425"/>
      <c r="P703" s="425">
        <v>2.0</v>
      </c>
      <c r="Q703" s="423">
        <v>46187.0</v>
      </c>
      <c r="R703" s="426">
        <v>14.0</v>
      </c>
      <c r="S703" s="426">
        <v>6.0</v>
      </c>
      <c r="T703" s="424">
        <v>2026.0</v>
      </c>
      <c r="U703" s="425"/>
      <c r="V703" s="425">
        <v>45.0</v>
      </c>
      <c r="W703" s="423">
        <v>46187.0</v>
      </c>
      <c r="X703" s="424">
        <v>14.0</v>
      </c>
      <c r="Y703" s="424">
        <v>6.0</v>
      </c>
      <c r="Z703" s="424">
        <v>2026.0</v>
      </c>
      <c r="AA703" s="425"/>
    </row>
    <row r="704" ht="15.75" customHeight="1">
      <c r="A704" s="340" t="s">
        <v>2326</v>
      </c>
      <c r="B704" s="191"/>
      <c r="C704" s="343">
        <v>46202.0</v>
      </c>
      <c r="D704" s="194">
        <v>29.0</v>
      </c>
      <c r="E704" s="194">
        <v>6.0</v>
      </c>
      <c r="F704" s="194">
        <v>2026.0</v>
      </c>
      <c r="G704" s="343">
        <v>46203.0</v>
      </c>
      <c r="H704" s="194">
        <v>30.0</v>
      </c>
      <c r="I704" s="194">
        <v>6.0</v>
      </c>
      <c r="J704" s="194">
        <v>2026.0</v>
      </c>
      <c r="K704" s="74" t="s">
        <v>2315</v>
      </c>
      <c r="L704" s="74" t="s">
        <v>1929</v>
      </c>
      <c r="M704" s="74">
        <v>1.0</v>
      </c>
      <c r="N704" s="74">
        <v>1.0</v>
      </c>
      <c r="O704" s="74"/>
      <c r="P704" s="74">
        <v>2.0</v>
      </c>
      <c r="Q704" s="343">
        <v>46201.0</v>
      </c>
      <c r="R704" s="185">
        <v>28.0</v>
      </c>
      <c r="S704" s="185">
        <v>6.0</v>
      </c>
      <c r="T704" s="194">
        <v>2026.0</v>
      </c>
      <c r="U704" s="74" t="s">
        <v>238</v>
      </c>
      <c r="V704" s="74">
        <v>35.0</v>
      </c>
      <c r="W704" s="343">
        <v>46201.0</v>
      </c>
      <c r="X704" s="194">
        <v>28.0</v>
      </c>
      <c r="Y704" s="194">
        <v>6.0</v>
      </c>
      <c r="Z704" s="194">
        <v>2026.0</v>
      </c>
      <c r="AA704" s="74" t="s">
        <v>238</v>
      </c>
    </row>
    <row r="705" ht="15.75" customHeight="1">
      <c r="A705" s="189" t="s">
        <v>2326</v>
      </c>
      <c r="B705" s="427"/>
      <c r="C705" s="361">
        <v>46202.0</v>
      </c>
      <c r="D705" s="201">
        <v>29.0</v>
      </c>
      <c r="E705" s="201">
        <v>6.0</v>
      </c>
      <c r="F705" s="201">
        <v>2026.0</v>
      </c>
      <c r="G705" s="361">
        <v>46203.0</v>
      </c>
      <c r="H705" s="201">
        <v>30.0</v>
      </c>
      <c r="I705" s="201">
        <v>6.0</v>
      </c>
      <c r="J705" s="201">
        <v>2026.0</v>
      </c>
      <c r="K705" s="189" t="s">
        <v>2315</v>
      </c>
      <c r="L705" s="189" t="s">
        <v>1929</v>
      </c>
      <c r="M705" s="201">
        <v>1.0</v>
      </c>
      <c r="N705" s="201">
        <v>1.0</v>
      </c>
      <c r="O705" s="201"/>
      <c r="P705" s="201">
        <v>2.0</v>
      </c>
      <c r="Q705" s="361">
        <v>46205.0</v>
      </c>
      <c r="R705" s="362">
        <v>2.0</v>
      </c>
      <c r="S705" s="362">
        <v>7.0</v>
      </c>
      <c r="T705" s="201">
        <v>2026.0</v>
      </c>
      <c r="U705" s="189" t="s">
        <v>238</v>
      </c>
      <c r="V705" s="189">
        <v>33.26</v>
      </c>
      <c r="W705" s="361">
        <v>46205.0</v>
      </c>
      <c r="X705" s="201">
        <v>2.0</v>
      </c>
      <c r="Y705" s="201">
        <v>7.0</v>
      </c>
      <c r="Z705" s="201">
        <v>2026.0</v>
      </c>
      <c r="AA705" s="189" t="s">
        <v>238</v>
      </c>
    </row>
    <row r="706" ht="15.75" customHeight="1">
      <c r="A706" s="189" t="s">
        <v>2327</v>
      </c>
      <c r="B706" s="427"/>
      <c r="C706" s="361">
        <v>46233.0</v>
      </c>
      <c r="D706" s="201">
        <v>30.0</v>
      </c>
      <c r="E706" s="201">
        <v>7.0</v>
      </c>
      <c r="F706" s="201">
        <v>2026.0</v>
      </c>
      <c r="G706" s="361">
        <v>46235.0</v>
      </c>
      <c r="H706" s="201">
        <v>1.0</v>
      </c>
      <c r="I706" s="201">
        <v>8.0</v>
      </c>
      <c r="J706" s="201">
        <v>2026.0</v>
      </c>
      <c r="K706" s="189" t="s">
        <v>2315</v>
      </c>
      <c r="L706" s="189" t="s">
        <v>1929</v>
      </c>
      <c r="M706" s="201">
        <v>1.0</v>
      </c>
      <c r="N706" s="201">
        <v>2.0</v>
      </c>
      <c r="O706" s="201"/>
      <c r="P706" s="201">
        <v>4.0</v>
      </c>
      <c r="Q706" s="361">
        <v>46223.0</v>
      </c>
      <c r="R706" s="362">
        <v>20.0</v>
      </c>
      <c r="S706" s="362">
        <v>7.0</v>
      </c>
      <c r="T706" s="201">
        <v>2026.0</v>
      </c>
      <c r="U706" s="189" t="s">
        <v>238</v>
      </c>
      <c r="V706" s="189">
        <v>66.32</v>
      </c>
      <c r="W706" s="361">
        <v>46223.0</v>
      </c>
      <c r="X706" s="201">
        <v>20.0</v>
      </c>
      <c r="Y706" s="201">
        <v>7.0</v>
      </c>
      <c r="Z706" s="201">
        <v>2026.0</v>
      </c>
      <c r="AA706" s="189" t="s">
        <v>238</v>
      </c>
    </row>
    <row r="707" ht="15.75" hidden="1" customHeight="1">
      <c r="A707" s="189" t="s">
        <v>2328</v>
      </c>
      <c r="B707" s="417"/>
      <c r="C707" s="361">
        <v>46220.0</v>
      </c>
      <c r="D707" s="201">
        <v>17.0</v>
      </c>
      <c r="E707" s="201">
        <v>7.0</v>
      </c>
      <c r="F707" s="201">
        <v>2026.0</v>
      </c>
      <c r="G707" s="361">
        <v>46222.0</v>
      </c>
      <c r="H707" s="201">
        <v>19.0</v>
      </c>
      <c r="I707" s="201">
        <v>7.0</v>
      </c>
      <c r="J707" s="201">
        <v>2026.0</v>
      </c>
      <c r="K707" s="189" t="s">
        <v>2315</v>
      </c>
      <c r="L707" s="189" t="s">
        <v>1929</v>
      </c>
      <c r="M707" s="201">
        <v>2.0</v>
      </c>
      <c r="N707" s="201">
        <v>2.0</v>
      </c>
      <c r="O707" s="201"/>
      <c r="P707" s="201">
        <v>8.0</v>
      </c>
      <c r="Q707" s="361">
        <v>46221.0</v>
      </c>
      <c r="R707" s="362">
        <v>18.0</v>
      </c>
      <c r="S707" s="362">
        <v>7.0</v>
      </c>
      <c r="T707" s="201">
        <v>2026.0</v>
      </c>
      <c r="U707" s="189" t="s">
        <v>262</v>
      </c>
      <c r="V707" s="202">
        <v>120.0</v>
      </c>
      <c r="W707" s="361">
        <v>46221.0</v>
      </c>
      <c r="X707" s="201">
        <v>18.0</v>
      </c>
      <c r="Y707" s="201">
        <v>7.0</v>
      </c>
      <c r="Z707" s="201">
        <v>2026.0</v>
      </c>
      <c r="AA707" s="189" t="s">
        <v>262</v>
      </c>
    </row>
    <row r="708" ht="15.75" customHeight="1">
      <c r="A708" s="189" t="s">
        <v>2329</v>
      </c>
      <c r="B708" s="417"/>
      <c r="C708" s="361">
        <v>46234.0</v>
      </c>
      <c r="D708" s="201">
        <v>31.0</v>
      </c>
      <c r="E708" s="201">
        <v>7.0</v>
      </c>
      <c r="F708" s="201">
        <v>2026.0</v>
      </c>
      <c r="G708" s="361">
        <v>46235.0</v>
      </c>
      <c r="H708" s="201">
        <v>1.0</v>
      </c>
      <c r="I708" s="201">
        <v>8.0</v>
      </c>
      <c r="J708" s="201">
        <v>2026.0</v>
      </c>
      <c r="K708" s="189" t="s">
        <v>2315</v>
      </c>
      <c r="L708" s="189" t="s">
        <v>2330</v>
      </c>
      <c r="M708" s="201">
        <v>1.0</v>
      </c>
      <c r="N708" s="201">
        <v>1.0</v>
      </c>
      <c r="O708" s="201"/>
      <c r="P708" s="201">
        <v>2.0</v>
      </c>
      <c r="Q708" s="361">
        <v>46231.0</v>
      </c>
      <c r="R708" s="362">
        <v>28.0</v>
      </c>
      <c r="S708" s="362">
        <v>7.0</v>
      </c>
      <c r="T708" s="201">
        <v>2026.0</v>
      </c>
      <c r="U708" s="189" t="s">
        <v>238</v>
      </c>
      <c r="V708" s="189">
        <v>38.18</v>
      </c>
      <c r="W708" s="361">
        <v>46231.0</v>
      </c>
      <c r="X708" s="201">
        <v>28.0</v>
      </c>
      <c r="Y708" s="201">
        <v>7.0</v>
      </c>
      <c r="Z708" s="201">
        <v>2026.0</v>
      </c>
      <c r="AA708" s="189" t="s">
        <v>238</v>
      </c>
    </row>
    <row r="709" ht="15.75" customHeight="1">
      <c r="A709" s="189" t="s">
        <v>2331</v>
      </c>
      <c r="B709" s="427"/>
      <c r="C709" s="361">
        <v>46248.0</v>
      </c>
      <c r="D709" s="201">
        <v>14.0</v>
      </c>
      <c r="E709" s="201">
        <v>8.0</v>
      </c>
      <c r="F709" s="201">
        <v>2026.0</v>
      </c>
      <c r="G709" s="361">
        <v>46249.0</v>
      </c>
      <c r="H709" s="201">
        <v>15.0</v>
      </c>
      <c r="I709" s="201">
        <v>8.0</v>
      </c>
      <c r="J709" s="201">
        <v>2026.0</v>
      </c>
      <c r="K709" s="189" t="s">
        <v>2315</v>
      </c>
      <c r="L709" s="189" t="s">
        <v>1177</v>
      </c>
      <c r="M709" s="201">
        <v>1.0</v>
      </c>
      <c r="N709" s="201">
        <v>1.0</v>
      </c>
      <c r="O709" s="201">
        <f t="shared" ref="O709:O718" si="2">N709*M709</f>
        <v>1</v>
      </c>
      <c r="P709" s="201">
        <v>2.0</v>
      </c>
      <c r="Q709" s="361">
        <v>46237.0</v>
      </c>
      <c r="R709" s="362">
        <v>3.0</v>
      </c>
      <c r="S709" s="362">
        <v>8.0</v>
      </c>
      <c r="T709" s="201">
        <v>2026.0</v>
      </c>
      <c r="U709" s="189" t="s">
        <v>238</v>
      </c>
      <c r="V709" s="201">
        <v>42.53</v>
      </c>
      <c r="W709" s="361">
        <v>46237.0</v>
      </c>
      <c r="X709" s="201">
        <v>3.0</v>
      </c>
      <c r="Y709" s="201">
        <v>8.0</v>
      </c>
      <c r="Z709" s="201">
        <v>2026.0</v>
      </c>
      <c r="AA709" s="189" t="s">
        <v>238</v>
      </c>
    </row>
    <row r="710" ht="15.75" hidden="1" customHeight="1">
      <c r="A710" s="189" t="s">
        <v>2332</v>
      </c>
      <c r="B710" s="201">
        <v>5.588951145E9</v>
      </c>
      <c r="C710" s="361">
        <v>46243.0</v>
      </c>
      <c r="D710" s="201">
        <v>9.0</v>
      </c>
      <c r="E710" s="201">
        <v>8.0</v>
      </c>
      <c r="F710" s="201">
        <v>2026.0</v>
      </c>
      <c r="G710" s="361">
        <v>46244.0</v>
      </c>
      <c r="H710" s="201">
        <v>10.0</v>
      </c>
      <c r="I710" s="201">
        <v>8.0</v>
      </c>
      <c r="J710" s="201">
        <v>2026.0</v>
      </c>
      <c r="K710" s="189" t="s">
        <v>36</v>
      </c>
      <c r="L710" s="189" t="s">
        <v>1177</v>
      </c>
      <c r="M710" s="201">
        <v>1.0</v>
      </c>
      <c r="N710" s="201">
        <v>1.0</v>
      </c>
      <c r="O710" s="201">
        <f t="shared" si="2"/>
        <v>1</v>
      </c>
      <c r="P710" s="201">
        <v>2.0</v>
      </c>
      <c r="Q710" s="361">
        <v>46266.0</v>
      </c>
      <c r="R710" s="362">
        <v>1.0</v>
      </c>
      <c r="S710" s="362">
        <v>9.0</v>
      </c>
      <c r="T710" s="201">
        <v>2026.0</v>
      </c>
      <c r="U710" s="189" t="s">
        <v>36</v>
      </c>
      <c r="V710" s="201">
        <v>26.72</v>
      </c>
      <c r="W710" s="361">
        <v>46266.0</v>
      </c>
      <c r="X710" s="201">
        <v>1.0</v>
      </c>
      <c r="Y710" s="201">
        <v>9.0</v>
      </c>
      <c r="Z710" s="201">
        <v>2026.0</v>
      </c>
      <c r="AA710" s="189" t="s">
        <v>36</v>
      </c>
    </row>
    <row r="711" ht="15.75" hidden="1" customHeight="1">
      <c r="A711" s="189" t="s">
        <v>2333</v>
      </c>
      <c r="B711" s="201">
        <v>5.811992395E9</v>
      </c>
      <c r="C711" s="361">
        <v>46262.0</v>
      </c>
      <c r="D711" s="201">
        <v>28.0</v>
      </c>
      <c r="E711" s="201">
        <v>8.0</v>
      </c>
      <c r="F711" s="201">
        <v>2026.0</v>
      </c>
      <c r="G711" s="361">
        <v>46263.0</v>
      </c>
      <c r="H711" s="201">
        <v>29.0</v>
      </c>
      <c r="I711" s="201">
        <v>8.0</v>
      </c>
      <c r="J711" s="201">
        <v>2026.0</v>
      </c>
      <c r="K711" s="189" t="s">
        <v>36</v>
      </c>
      <c r="L711" s="189" t="s">
        <v>1177</v>
      </c>
      <c r="M711" s="201">
        <v>1.0</v>
      </c>
      <c r="N711" s="201">
        <v>1.0</v>
      </c>
      <c r="O711" s="201">
        <f t="shared" si="2"/>
        <v>1</v>
      </c>
      <c r="P711" s="201">
        <v>2.0</v>
      </c>
      <c r="Q711" s="361">
        <v>46266.0</v>
      </c>
      <c r="R711" s="362">
        <v>1.0</v>
      </c>
      <c r="S711" s="362">
        <v>9.0</v>
      </c>
      <c r="T711" s="201">
        <v>2026.0</v>
      </c>
      <c r="U711" s="189" t="s">
        <v>36</v>
      </c>
      <c r="V711" s="201">
        <v>29.23</v>
      </c>
      <c r="W711" s="361">
        <v>46266.0</v>
      </c>
      <c r="X711" s="201">
        <v>1.0</v>
      </c>
      <c r="Y711" s="201">
        <v>9.0</v>
      </c>
      <c r="Z711" s="201">
        <v>2026.0</v>
      </c>
      <c r="AA711" s="189" t="s">
        <v>36</v>
      </c>
    </row>
    <row r="712" ht="15.75" hidden="1" customHeight="1">
      <c r="A712" s="189" t="s">
        <v>2334</v>
      </c>
      <c r="B712" s="201">
        <v>6.251900396E9</v>
      </c>
      <c r="C712" s="361">
        <v>46261.0</v>
      </c>
      <c r="D712" s="201">
        <v>27.0</v>
      </c>
      <c r="E712" s="201">
        <v>8.0</v>
      </c>
      <c r="F712" s="201">
        <v>2026.0</v>
      </c>
      <c r="G712" s="361">
        <v>46262.0</v>
      </c>
      <c r="H712" s="201">
        <v>28.0</v>
      </c>
      <c r="I712" s="201">
        <v>8.0</v>
      </c>
      <c r="J712" s="201">
        <v>2026.0</v>
      </c>
      <c r="K712" s="189" t="s">
        <v>36</v>
      </c>
      <c r="L712" s="189" t="s">
        <v>1177</v>
      </c>
      <c r="M712" s="201">
        <v>1.0</v>
      </c>
      <c r="N712" s="201">
        <v>1.0</v>
      </c>
      <c r="O712" s="201">
        <f t="shared" si="2"/>
        <v>1</v>
      </c>
      <c r="P712" s="201">
        <v>2.0</v>
      </c>
      <c r="Q712" s="361">
        <v>46266.0</v>
      </c>
      <c r="R712" s="362">
        <v>1.0</v>
      </c>
      <c r="S712" s="362">
        <v>9.0</v>
      </c>
      <c r="T712" s="201">
        <v>2026.0</v>
      </c>
      <c r="U712" s="189" t="s">
        <v>36</v>
      </c>
      <c r="V712" s="201">
        <v>29.23</v>
      </c>
      <c r="W712" s="361">
        <v>46266.0</v>
      </c>
      <c r="X712" s="201">
        <v>1.0</v>
      </c>
      <c r="Y712" s="201">
        <v>9.0</v>
      </c>
      <c r="Z712" s="201">
        <v>2026.0</v>
      </c>
      <c r="AA712" s="189" t="s">
        <v>36</v>
      </c>
    </row>
    <row r="713" ht="15.75" hidden="1" customHeight="1">
      <c r="A713" s="189" t="s">
        <v>2335</v>
      </c>
      <c r="B713" s="201">
        <v>5.105428116E9</v>
      </c>
      <c r="C713" s="361">
        <v>46245.0</v>
      </c>
      <c r="D713" s="201">
        <v>11.0</v>
      </c>
      <c r="E713" s="201">
        <v>8.0</v>
      </c>
      <c r="F713" s="201">
        <v>2026.0</v>
      </c>
      <c r="G713" s="361">
        <v>46246.0</v>
      </c>
      <c r="H713" s="201">
        <v>12.0</v>
      </c>
      <c r="I713" s="201">
        <v>8.0</v>
      </c>
      <c r="J713" s="201">
        <v>2026.0</v>
      </c>
      <c r="K713" s="189" t="s">
        <v>36</v>
      </c>
      <c r="L713" s="189" t="s">
        <v>1177</v>
      </c>
      <c r="M713" s="201">
        <v>1.0</v>
      </c>
      <c r="N713" s="201">
        <v>1.0</v>
      </c>
      <c r="O713" s="201">
        <f t="shared" si="2"/>
        <v>1</v>
      </c>
      <c r="P713" s="201">
        <v>2.0</v>
      </c>
      <c r="Q713" s="361">
        <v>46266.0</v>
      </c>
      <c r="R713" s="362">
        <v>1.0</v>
      </c>
      <c r="S713" s="362">
        <v>9.0</v>
      </c>
      <c r="T713" s="201">
        <v>2026.0</v>
      </c>
      <c r="U713" s="189" t="s">
        <v>36</v>
      </c>
      <c r="V713" s="201">
        <v>29.23</v>
      </c>
      <c r="W713" s="361">
        <v>46266.0</v>
      </c>
      <c r="X713" s="201">
        <v>1.0</v>
      </c>
      <c r="Y713" s="201">
        <v>9.0</v>
      </c>
      <c r="Z713" s="201">
        <v>2026.0</v>
      </c>
      <c r="AA713" s="189" t="s">
        <v>36</v>
      </c>
    </row>
    <row r="714" ht="15.75" hidden="1" customHeight="1">
      <c r="A714" s="189" t="s">
        <v>2336</v>
      </c>
      <c r="B714" s="201">
        <v>6.68421616E9</v>
      </c>
      <c r="C714" s="361">
        <v>46243.0</v>
      </c>
      <c r="D714" s="201">
        <v>9.0</v>
      </c>
      <c r="E714" s="201">
        <v>8.0</v>
      </c>
      <c r="F714" s="201">
        <v>2026.0</v>
      </c>
      <c r="G714" s="361">
        <v>46244.0</v>
      </c>
      <c r="H714" s="201">
        <v>10.0</v>
      </c>
      <c r="I714" s="201">
        <v>8.0</v>
      </c>
      <c r="J714" s="201">
        <v>2026.0</v>
      </c>
      <c r="K714" s="189" t="s">
        <v>36</v>
      </c>
      <c r="L714" s="189" t="s">
        <v>1177</v>
      </c>
      <c r="M714" s="201">
        <v>2.0</v>
      </c>
      <c r="N714" s="201">
        <v>1.0</v>
      </c>
      <c r="O714" s="201">
        <f t="shared" si="2"/>
        <v>2</v>
      </c>
      <c r="P714" s="201">
        <v>4.0</v>
      </c>
      <c r="Q714" s="361">
        <v>46266.0</v>
      </c>
      <c r="R714" s="362">
        <v>1.0</v>
      </c>
      <c r="S714" s="362">
        <v>9.0</v>
      </c>
      <c r="T714" s="201">
        <v>2026.0</v>
      </c>
      <c r="U714" s="189" t="s">
        <v>36</v>
      </c>
      <c r="V714" s="201">
        <v>58.46</v>
      </c>
      <c r="W714" s="361">
        <v>46266.0</v>
      </c>
      <c r="X714" s="201">
        <v>1.0</v>
      </c>
      <c r="Y714" s="201">
        <v>9.0</v>
      </c>
      <c r="Z714" s="201">
        <v>2026.0</v>
      </c>
      <c r="AA714" s="189" t="s">
        <v>36</v>
      </c>
    </row>
    <row r="715" ht="15.75" hidden="1" customHeight="1">
      <c r="A715" s="189" t="s">
        <v>2337</v>
      </c>
      <c r="B715" s="189" t="s">
        <v>2338</v>
      </c>
      <c r="C715" s="361">
        <v>46262.0</v>
      </c>
      <c r="D715" s="201">
        <v>28.0</v>
      </c>
      <c r="E715" s="201">
        <v>8.0</v>
      </c>
      <c r="F715" s="201">
        <v>2026.0</v>
      </c>
      <c r="G715" s="361">
        <v>46263.0</v>
      </c>
      <c r="H715" s="201">
        <v>29.0</v>
      </c>
      <c r="I715" s="201">
        <v>8.0</v>
      </c>
      <c r="J715" s="201">
        <v>2026.0</v>
      </c>
      <c r="K715" s="189" t="s">
        <v>51</v>
      </c>
      <c r="L715" s="189" t="s">
        <v>1177</v>
      </c>
      <c r="M715" s="201">
        <v>1.0</v>
      </c>
      <c r="N715" s="201">
        <v>1.0</v>
      </c>
      <c r="O715" s="201">
        <f t="shared" si="2"/>
        <v>1</v>
      </c>
      <c r="P715" s="201">
        <v>2.0</v>
      </c>
      <c r="Q715" s="361">
        <v>46265.0</v>
      </c>
      <c r="R715" s="362">
        <v>31.0</v>
      </c>
      <c r="S715" s="362">
        <v>8.0</v>
      </c>
      <c r="T715" s="201">
        <v>2026.0</v>
      </c>
      <c r="U715" s="189" t="s">
        <v>2</v>
      </c>
      <c r="V715" s="201">
        <v>29.57</v>
      </c>
      <c r="W715" s="361">
        <v>46265.0</v>
      </c>
      <c r="X715" s="201">
        <v>31.0</v>
      </c>
      <c r="Y715" s="201">
        <v>8.0</v>
      </c>
      <c r="Z715" s="201">
        <v>2026.0</v>
      </c>
      <c r="AA715" s="189" t="s">
        <v>2</v>
      </c>
    </row>
    <row r="716" ht="15.75" hidden="1" customHeight="1">
      <c r="A716" s="189" t="s">
        <v>2339</v>
      </c>
      <c r="B716" s="189" t="s">
        <v>2340</v>
      </c>
      <c r="C716" s="361">
        <v>46238.0</v>
      </c>
      <c r="D716" s="201">
        <v>4.0</v>
      </c>
      <c r="E716" s="201">
        <v>8.0</v>
      </c>
      <c r="F716" s="201">
        <v>2026.0</v>
      </c>
      <c r="G716" s="361">
        <v>46239.0</v>
      </c>
      <c r="H716" s="201">
        <v>5.0</v>
      </c>
      <c r="I716" s="201">
        <v>8.0</v>
      </c>
      <c r="J716" s="201">
        <v>2026.0</v>
      </c>
      <c r="K716" s="189" t="s">
        <v>51</v>
      </c>
      <c r="L716" s="189" t="s">
        <v>1177</v>
      </c>
      <c r="M716" s="201">
        <v>2.0</v>
      </c>
      <c r="N716" s="201">
        <v>1.0</v>
      </c>
      <c r="O716" s="201">
        <f t="shared" si="2"/>
        <v>2</v>
      </c>
      <c r="P716" s="201">
        <v>4.0</v>
      </c>
      <c r="Q716" s="361">
        <v>46265.0</v>
      </c>
      <c r="R716" s="362">
        <v>31.0</v>
      </c>
      <c r="S716" s="362">
        <v>8.0</v>
      </c>
      <c r="T716" s="201">
        <v>2026.0</v>
      </c>
      <c r="U716" s="189" t="s">
        <v>2</v>
      </c>
      <c r="V716" s="201">
        <v>59.15</v>
      </c>
      <c r="W716" s="361">
        <v>46265.0</v>
      </c>
      <c r="X716" s="201">
        <v>31.0</v>
      </c>
      <c r="Y716" s="201">
        <v>8.0</v>
      </c>
      <c r="Z716" s="201">
        <v>2026.0</v>
      </c>
      <c r="AA716" s="189" t="s">
        <v>2</v>
      </c>
    </row>
    <row r="717" ht="15.75" hidden="1" customHeight="1">
      <c r="A717" s="189" t="s">
        <v>2341</v>
      </c>
      <c r="B717" s="189" t="s">
        <v>2342</v>
      </c>
      <c r="C717" s="361">
        <v>46260.0</v>
      </c>
      <c r="D717" s="201">
        <v>26.0</v>
      </c>
      <c r="E717" s="201">
        <v>8.0</v>
      </c>
      <c r="F717" s="201">
        <v>2026.0</v>
      </c>
      <c r="G717" s="361">
        <v>46261.0</v>
      </c>
      <c r="H717" s="201">
        <v>27.0</v>
      </c>
      <c r="I717" s="201">
        <v>8.0</v>
      </c>
      <c r="J717" s="201">
        <v>2026.0</v>
      </c>
      <c r="K717" s="189" t="s">
        <v>51</v>
      </c>
      <c r="L717" s="189" t="s">
        <v>1177</v>
      </c>
      <c r="M717" s="201">
        <v>2.0</v>
      </c>
      <c r="N717" s="201">
        <v>1.0</v>
      </c>
      <c r="O717" s="201">
        <f t="shared" si="2"/>
        <v>2</v>
      </c>
      <c r="P717" s="201">
        <v>4.0</v>
      </c>
      <c r="Q717" s="361">
        <v>46265.0</v>
      </c>
      <c r="R717" s="362">
        <v>31.0</v>
      </c>
      <c r="S717" s="362">
        <v>8.0</v>
      </c>
      <c r="T717" s="201">
        <v>2026.0</v>
      </c>
      <c r="U717" s="189" t="s">
        <v>2</v>
      </c>
      <c r="V717" s="201">
        <v>59.15</v>
      </c>
      <c r="W717" s="361">
        <v>46265.0</v>
      </c>
      <c r="X717" s="201">
        <v>31.0</v>
      </c>
      <c r="Y717" s="201">
        <v>8.0</v>
      </c>
      <c r="Z717" s="201">
        <v>2026.0</v>
      </c>
      <c r="AA717" s="189" t="s">
        <v>2</v>
      </c>
    </row>
    <row r="718" ht="15.75" hidden="1" customHeight="1">
      <c r="A718" s="189" t="s">
        <v>2343</v>
      </c>
      <c r="B718" s="189" t="s">
        <v>2344</v>
      </c>
      <c r="C718" s="361">
        <v>46233.0</v>
      </c>
      <c r="D718" s="201">
        <v>30.0</v>
      </c>
      <c r="E718" s="201">
        <v>7.0</v>
      </c>
      <c r="F718" s="201">
        <v>2026.0</v>
      </c>
      <c r="G718" s="361">
        <v>46235.0</v>
      </c>
      <c r="H718" s="201">
        <v>1.0</v>
      </c>
      <c r="I718" s="201">
        <v>8.0</v>
      </c>
      <c r="J718" s="201">
        <v>2026.0</v>
      </c>
      <c r="K718" s="189" t="s">
        <v>51</v>
      </c>
      <c r="L718" s="189" t="s">
        <v>1177</v>
      </c>
      <c r="M718" s="201">
        <v>1.0</v>
      </c>
      <c r="N718" s="201">
        <v>2.0</v>
      </c>
      <c r="O718" s="201">
        <f t="shared" si="2"/>
        <v>2</v>
      </c>
      <c r="P718" s="201">
        <v>4.0</v>
      </c>
      <c r="Q718" s="361">
        <v>46265.0</v>
      </c>
      <c r="R718" s="362">
        <v>31.0</v>
      </c>
      <c r="S718" s="362">
        <v>8.0</v>
      </c>
      <c r="T718" s="201">
        <v>2026.0</v>
      </c>
      <c r="U718" s="189" t="s">
        <v>2</v>
      </c>
      <c r="V718" s="201">
        <v>59.15</v>
      </c>
      <c r="W718" s="361">
        <v>46265.0</v>
      </c>
      <c r="X718" s="201">
        <v>31.0</v>
      </c>
      <c r="Y718" s="201">
        <v>8.0</v>
      </c>
      <c r="Z718" s="201">
        <v>2026.0</v>
      </c>
      <c r="AA718" s="189" t="s">
        <v>2</v>
      </c>
    </row>
    <row r="719" ht="15.75" hidden="1" customHeight="1">
      <c r="A719" s="189" t="s">
        <v>2345</v>
      </c>
      <c r="B719" s="189" t="s">
        <v>2346</v>
      </c>
      <c r="C719" s="361">
        <v>46217.0</v>
      </c>
      <c r="D719" s="201">
        <v>14.0</v>
      </c>
      <c r="E719" s="201">
        <v>7.0</v>
      </c>
      <c r="F719" s="201">
        <v>2026.0</v>
      </c>
      <c r="G719" s="361">
        <v>46223.0</v>
      </c>
      <c r="H719" s="201">
        <v>20.0</v>
      </c>
      <c r="I719" s="201">
        <v>7.0</v>
      </c>
      <c r="J719" s="201">
        <v>2026.0</v>
      </c>
      <c r="K719" s="189" t="s">
        <v>46</v>
      </c>
      <c r="L719" s="189" t="s">
        <v>1177</v>
      </c>
      <c r="M719" s="189">
        <v>1.0</v>
      </c>
      <c r="N719" s="189">
        <v>6.0</v>
      </c>
      <c r="O719" s="189"/>
      <c r="P719" s="189">
        <v>12.0</v>
      </c>
      <c r="Q719" s="191">
        <v>46237.0</v>
      </c>
      <c r="R719" s="339">
        <v>3.0</v>
      </c>
      <c r="S719" s="339">
        <v>8.0</v>
      </c>
      <c r="T719" s="74">
        <v>2026.0</v>
      </c>
      <c r="U719" s="189" t="s">
        <v>12</v>
      </c>
      <c r="V719" s="189">
        <v>280.5</v>
      </c>
      <c r="W719" s="191">
        <v>46237.0</v>
      </c>
      <c r="X719" s="339">
        <v>3.0</v>
      </c>
      <c r="Y719" s="339">
        <v>8.0</v>
      </c>
      <c r="Z719" s="74">
        <v>2026.0</v>
      </c>
      <c r="AA719" s="189" t="s">
        <v>12</v>
      </c>
    </row>
    <row r="720" ht="15.75" hidden="1" customHeight="1">
      <c r="A720" s="189" t="s">
        <v>2347</v>
      </c>
      <c r="B720" s="189" t="s">
        <v>2348</v>
      </c>
      <c r="C720" s="361">
        <v>46243.0</v>
      </c>
      <c r="D720" s="201">
        <v>9.0</v>
      </c>
      <c r="E720" s="201">
        <v>8.0</v>
      </c>
      <c r="F720" s="201">
        <v>2026.0</v>
      </c>
      <c r="G720" s="361">
        <v>46244.0</v>
      </c>
      <c r="H720" s="201">
        <v>10.0</v>
      </c>
      <c r="I720" s="201">
        <v>8.0</v>
      </c>
      <c r="J720" s="201">
        <v>2026.0</v>
      </c>
      <c r="K720" s="189" t="s">
        <v>46</v>
      </c>
      <c r="L720" s="189" t="s">
        <v>1177</v>
      </c>
      <c r="M720" s="201">
        <v>1.0</v>
      </c>
      <c r="N720" s="201">
        <v>1.0</v>
      </c>
      <c r="O720" s="201">
        <f t="shared" ref="O720:O730" si="3">N720*M720</f>
        <v>1</v>
      </c>
      <c r="P720" s="201">
        <v>2.0</v>
      </c>
      <c r="Q720" s="361">
        <v>46243.67388888889</v>
      </c>
      <c r="R720" s="362">
        <v>9.0</v>
      </c>
      <c r="S720" s="362">
        <v>8.0</v>
      </c>
      <c r="T720" s="201">
        <v>2026.0</v>
      </c>
      <c r="U720" s="189" t="s">
        <v>245</v>
      </c>
      <c r="V720" s="201">
        <v>29.75</v>
      </c>
      <c r="W720" s="361">
        <v>46243.67388888889</v>
      </c>
      <c r="X720" s="201">
        <v>9.0</v>
      </c>
      <c r="Y720" s="201">
        <v>8.0</v>
      </c>
      <c r="Z720" s="201">
        <v>2026.0</v>
      </c>
      <c r="AA720" s="189" t="s">
        <v>245</v>
      </c>
    </row>
    <row r="721" ht="15.75" hidden="1" customHeight="1">
      <c r="A721" s="189" t="s">
        <v>2349</v>
      </c>
      <c r="B721" s="201">
        <v>5.634542367E9</v>
      </c>
      <c r="C721" s="361">
        <v>46260.0</v>
      </c>
      <c r="D721" s="201">
        <v>26.0</v>
      </c>
      <c r="E721" s="201">
        <v>8.0</v>
      </c>
      <c r="F721" s="201">
        <v>2026.0</v>
      </c>
      <c r="G721" s="361">
        <v>46263.0</v>
      </c>
      <c r="H721" s="201">
        <v>29.0</v>
      </c>
      <c r="I721" s="201">
        <v>8.0</v>
      </c>
      <c r="J721" s="201">
        <v>2026.0</v>
      </c>
      <c r="K721" s="189" t="s">
        <v>36</v>
      </c>
      <c r="L721" s="189" t="s">
        <v>1177</v>
      </c>
      <c r="M721" s="201">
        <v>1.0</v>
      </c>
      <c r="N721" s="201">
        <v>3.0</v>
      </c>
      <c r="O721" s="201">
        <f t="shared" si="3"/>
        <v>3</v>
      </c>
      <c r="P721" s="201">
        <v>6.0</v>
      </c>
      <c r="Q721" s="361">
        <v>46266.0</v>
      </c>
      <c r="R721" s="362">
        <v>1.0</v>
      </c>
      <c r="S721" s="362">
        <v>9.0</v>
      </c>
      <c r="T721" s="201">
        <v>2026.0</v>
      </c>
      <c r="U721" s="189" t="s">
        <v>36</v>
      </c>
      <c r="V721" s="201">
        <v>96.06</v>
      </c>
      <c r="W721" s="361">
        <v>46266.0</v>
      </c>
      <c r="X721" s="201">
        <v>1.0</v>
      </c>
      <c r="Y721" s="201">
        <v>9.0</v>
      </c>
      <c r="Z721" s="201">
        <v>2026.0</v>
      </c>
      <c r="AA721" s="189" t="s">
        <v>36</v>
      </c>
    </row>
    <row r="722" ht="15.75" hidden="1" customHeight="1">
      <c r="A722" s="189" t="s">
        <v>2350</v>
      </c>
      <c r="B722" s="201">
        <v>6.180939019E9</v>
      </c>
      <c r="C722" s="361">
        <v>46259.0</v>
      </c>
      <c r="D722" s="201">
        <v>25.0</v>
      </c>
      <c r="E722" s="201">
        <v>8.0</v>
      </c>
      <c r="F722" s="201">
        <v>2026.0</v>
      </c>
      <c r="G722" s="361">
        <v>46262.0</v>
      </c>
      <c r="H722" s="201">
        <v>28.0</v>
      </c>
      <c r="I722" s="201">
        <v>8.0</v>
      </c>
      <c r="J722" s="201">
        <v>2026.0</v>
      </c>
      <c r="K722" s="189" t="s">
        <v>36</v>
      </c>
      <c r="L722" s="189" t="s">
        <v>1177</v>
      </c>
      <c r="M722" s="201">
        <v>1.0</v>
      </c>
      <c r="N722" s="201">
        <v>3.0</v>
      </c>
      <c r="O722" s="201">
        <f t="shared" si="3"/>
        <v>3</v>
      </c>
      <c r="P722" s="201">
        <v>6.0</v>
      </c>
      <c r="Q722" s="361">
        <v>46266.0</v>
      </c>
      <c r="R722" s="362">
        <v>1.0</v>
      </c>
      <c r="S722" s="362">
        <v>9.0</v>
      </c>
      <c r="T722" s="201">
        <v>2026.0</v>
      </c>
      <c r="U722" s="189" t="s">
        <v>36</v>
      </c>
      <c r="V722" s="201">
        <v>96.06</v>
      </c>
      <c r="W722" s="361">
        <v>46266.0</v>
      </c>
      <c r="X722" s="201">
        <v>1.0</v>
      </c>
      <c r="Y722" s="201">
        <v>9.0</v>
      </c>
      <c r="Z722" s="201">
        <v>2026.0</v>
      </c>
      <c r="AA722" s="189" t="s">
        <v>36</v>
      </c>
    </row>
    <row r="723" ht="15.75" hidden="1" customHeight="1">
      <c r="A723" s="189" t="s">
        <v>2351</v>
      </c>
      <c r="B723" s="189" t="s">
        <v>2352</v>
      </c>
      <c r="C723" s="361">
        <v>46262.0</v>
      </c>
      <c r="D723" s="201">
        <v>28.0</v>
      </c>
      <c r="E723" s="201">
        <v>8.0</v>
      </c>
      <c r="F723" s="201">
        <v>2026.0</v>
      </c>
      <c r="G723" s="361">
        <v>46264.0</v>
      </c>
      <c r="H723" s="201">
        <v>30.0</v>
      </c>
      <c r="I723" s="201">
        <v>8.0</v>
      </c>
      <c r="J723" s="201">
        <v>2026.0</v>
      </c>
      <c r="K723" s="189" t="s">
        <v>51</v>
      </c>
      <c r="L723" s="189" t="s">
        <v>1177</v>
      </c>
      <c r="M723" s="201">
        <v>1.0</v>
      </c>
      <c r="N723" s="201">
        <v>2.0</v>
      </c>
      <c r="O723" s="201">
        <f t="shared" si="3"/>
        <v>2</v>
      </c>
      <c r="P723" s="201">
        <v>4.0</v>
      </c>
      <c r="Q723" s="361">
        <v>46265.0</v>
      </c>
      <c r="R723" s="362">
        <v>31.0</v>
      </c>
      <c r="S723" s="362">
        <v>8.0</v>
      </c>
      <c r="T723" s="201">
        <v>2026.0</v>
      </c>
      <c r="U723" s="189" t="s">
        <v>2</v>
      </c>
      <c r="V723" s="201">
        <v>67.6</v>
      </c>
      <c r="W723" s="361">
        <v>46265.0</v>
      </c>
      <c r="X723" s="201">
        <v>31.0</v>
      </c>
      <c r="Y723" s="201">
        <v>8.0</v>
      </c>
      <c r="Z723" s="201">
        <v>2026.0</v>
      </c>
      <c r="AA723" s="189" t="s">
        <v>2</v>
      </c>
    </row>
    <row r="724" ht="15.75" hidden="1" customHeight="1">
      <c r="A724" s="189" t="s">
        <v>2353</v>
      </c>
      <c r="B724" s="189" t="s">
        <v>2354</v>
      </c>
      <c r="C724" s="361">
        <v>46261.0</v>
      </c>
      <c r="D724" s="201">
        <v>27.0</v>
      </c>
      <c r="E724" s="201">
        <v>8.0</v>
      </c>
      <c r="F724" s="201">
        <v>2026.0</v>
      </c>
      <c r="G724" s="361">
        <v>46262.0</v>
      </c>
      <c r="H724" s="201">
        <v>28.0</v>
      </c>
      <c r="I724" s="201">
        <v>8.0</v>
      </c>
      <c r="J724" s="201">
        <v>2026.0</v>
      </c>
      <c r="K724" s="189" t="s">
        <v>46</v>
      </c>
      <c r="L724" s="189" t="s">
        <v>1177</v>
      </c>
      <c r="M724" s="201">
        <v>1.0</v>
      </c>
      <c r="N724" s="201">
        <v>1.0</v>
      </c>
      <c r="O724" s="201">
        <f t="shared" si="3"/>
        <v>1</v>
      </c>
      <c r="P724" s="201">
        <v>2.0</v>
      </c>
      <c r="Q724" s="361">
        <v>46261.85923611111</v>
      </c>
      <c r="R724" s="362">
        <v>27.0</v>
      </c>
      <c r="S724" s="362">
        <v>8.0</v>
      </c>
      <c r="T724" s="201">
        <v>2026.0</v>
      </c>
      <c r="U724" s="189" t="s">
        <v>245</v>
      </c>
      <c r="V724" s="201">
        <v>29.75</v>
      </c>
      <c r="W724" s="361">
        <v>46261.85923611111</v>
      </c>
      <c r="X724" s="201">
        <v>27.0</v>
      </c>
      <c r="Y724" s="201">
        <v>8.0</v>
      </c>
      <c r="Z724" s="201">
        <v>2026.0</v>
      </c>
      <c r="AA724" s="189" t="s">
        <v>245</v>
      </c>
    </row>
    <row r="725" ht="15.75" hidden="1" customHeight="1">
      <c r="A725" s="189" t="s">
        <v>2355</v>
      </c>
      <c r="B725" s="201">
        <v>5.159658422E9</v>
      </c>
      <c r="C725" s="361">
        <v>46258.0</v>
      </c>
      <c r="D725" s="201">
        <v>24.0</v>
      </c>
      <c r="E725" s="201">
        <v>8.0</v>
      </c>
      <c r="F725" s="201">
        <v>2026.0</v>
      </c>
      <c r="G725" s="361">
        <v>46261.0</v>
      </c>
      <c r="H725" s="201">
        <v>27.0</v>
      </c>
      <c r="I725" s="201">
        <v>8.0</v>
      </c>
      <c r="J725" s="201">
        <v>2026.0</v>
      </c>
      <c r="K725" s="189" t="s">
        <v>36</v>
      </c>
      <c r="L725" s="189" t="s">
        <v>1177</v>
      </c>
      <c r="M725" s="201">
        <v>3.0</v>
      </c>
      <c r="N725" s="201">
        <v>3.0</v>
      </c>
      <c r="O725" s="201">
        <f t="shared" si="3"/>
        <v>9</v>
      </c>
      <c r="P725" s="201">
        <v>14.0</v>
      </c>
      <c r="Q725" s="361">
        <v>46266.0</v>
      </c>
      <c r="R725" s="362">
        <v>1.0</v>
      </c>
      <c r="S725" s="362">
        <v>9.0</v>
      </c>
      <c r="T725" s="201">
        <v>2026.0</v>
      </c>
      <c r="U725" s="189" t="s">
        <v>36</v>
      </c>
      <c r="V725" s="201">
        <v>317.26</v>
      </c>
      <c r="W725" s="361">
        <v>46266.0</v>
      </c>
      <c r="X725" s="201">
        <v>1.0</v>
      </c>
      <c r="Y725" s="201">
        <v>9.0</v>
      </c>
      <c r="Z725" s="201">
        <v>2026.0</v>
      </c>
      <c r="AA725" s="189" t="s">
        <v>36</v>
      </c>
    </row>
    <row r="726" ht="15.75" hidden="1" customHeight="1">
      <c r="A726" s="189" t="s">
        <v>2356</v>
      </c>
      <c r="B726" s="201">
        <v>5.620278485E9</v>
      </c>
      <c r="C726" s="361">
        <v>46261.0</v>
      </c>
      <c r="D726" s="201">
        <v>27.0</v>
      </c>
      <c r="E726" s="201">
        <v>8.0</v>
      </c>
      <c r="F726" s="201">
        <v>2026.0</v>
      </c>
      <c r="G726" s="361">
        <v>46265.0</v>
      </c>
      <c r="H726" s="201">
        <v>31.0</v>
      </c>
      <c r="I726" s="201">
        <v>8.0</v>
      </c>
      <c r="J726" s="201">
        <v>2026.0</v>
      </c>
      <c r="K726" s="189" t="s">
        <v>36</v>
      </c>
      <c r="L726" s="189" t="s">
        <v>1177</v>
      </c>
      <c r="M726" s="201">
        <v>1.0</v>
      </c>
      <c r="N726" s="201">
        <v>4.0</v>
      </c>
      <c r="O726" s="201">
        <f t="shared" si="3"/>
        <v>4</v>
      </c>
      <c r="P726" s="201">
        <v>8.0</v>
      </c>
      <c r="Q726" s="361">
        <v>46266.0</v>
      </c>
      <c r="R726" s="362">
        <v>1.0</v>
      </c>
      <c r="S726" s="362">
        <v>9.0</v>
      </c>
      <c r="T726" s="201">
        <v>2026.0</v>
      </c>
      <c r="U726" s="189" t="s">
        <v>36</v>
      </c>
      <c r="V726" s="201">
        <v>142.01</v>
      </c>
      <c r="W726" s="361">
        <v>46266.0</v>
      </c>
      <c r="X726" s="201">
        <v>1.0</v>
      </c>
      <c r="Y726" s="201">
        <v>9.0</v>
      </c>
      <c r="Z726" s="201">
        <v>2026.0</v>
      </c>
      <c r="AA726" s="189" t="s">
        <v>36</v>
      </c>
    </row>
    <row r="727" ht="15.75" hidden="1" customHeight="1">
      <c r="A727" s="189" t="s">
        <v>2357</v>
      </c>
      <c r="B727" s="201">
        <v>5.93801863E9</v>
      </c>
      <c r="C727" s="361">
        <v>46237.0</v>
      </c>
      <c r="D727" s="201">
        <v>3.0</v>
      </c>
      <c r="E727" s="201">
        <v>8.0</v>
      </c>
      <c r="F727" s="201">
        <v>2026.0</v>
      </c>
      <c r="G727" s="361">
        <v>46238.0</v>
      </c>
      <c r="H727" s="201">
        <v>4.0</v>
      </c>
      <c r="I727" s="201">
        <v>8.0</v>
      </c>
      <c r="J727" s="201">
        <v>2026.0</v>
      </c>
      <c r="K727" s="189" t="s">
        <v>36</v>
      </c>
      <c r="L727" s="189" t="s">
        <v>2358</v>
      </c>
      <c r="M727" s="201">
        <v>1.0</v>
      </c>
      <c r="N727" s="201">
        <v>1.0</v>
      </c>
      <c r="O727" s="201">
        <f t="shared" si="3"/>
        <v>1</v>
      </c>
      <c r="P727" s="201">
        <v>2.0</v>
      </c>
      <c r="Q727" s="361">
        <v>46266.0</v>
      </c>
      <c r="R727" s="362">
        <v>1.0</v>
      </c>
      <c r="S727" s="362">
        <v>9.0</v>
      </c>
      <c r="T727" s="201">
        <v>2026.0</v>
      </c>
      <c r="U727" s="189" t="s">
        <v>36</v>
      </c>
      <c r="V727" s="201">
        <v>35.62</v>
      </c>
      <c r="W727" s="361">
        <v>46266.0</v>
      </c>
      <c r="X727" s="201">
        <v>1.0</v>
      </c>
      <c r="Y727" s="201">
        <v>9.0</v>
      </c>
      <c r="Z727" s="201">
        <v>2026.0</v>
      </c>
      <c r="AA727" s="189" t="s">
        <v>36</v>
      </c>
    </row>
    <row r="728" ht="15.75" hidden="1" customHeight="1">
      <c r="A728" s="189" t="s">
        <v>2359</v>
      </c>
      <c r="B728" s="201">
        <v>5.209390105E9</v>
      </c>
      <c r="C728" s="361">
        <v>46235.0</v>
      </c>
      <c r="D728" s="201">
        <v>1.0</v>
      </c>
      <c r="E728" s="201">
        <v>8.0</v>
      </c>
      <c r="F728" s="201">
        <v>2026.0</v>
      </c>
      <c r="G728" s="361">
        <v>46236.0</v>
      </c>
      <c r="H728" s="201">
        <v>2.0</v>
      </c>
      <c r="I728" s="201">
        <v>8.0</v>
      </c>
      <c r="J728" s="201">
        <v>2026.0</v>
      </c>
      <c r="K728" s="189" t="s">
        <v>36</v>
      </c>
      <c r="L728" s="189" t="s">
        <v>1177</v>
      </c>
      <c r="M728" s="201">
        <v>1.0</v>
      </c>
      <c r="N728" s="201">
        <v>1.0</v>
      </c>
      <c r="O728" s="201">
        <f t="shared" si="3"/>
        <v>1</v>
      </c>
      <c r="P728" s="201">
        <v>2.0</v>
      </c>
      <c r="Q728" s="361">
        <v>46266.0</v>
      </c>
      <c r="R728" s="362">
        <v>1.0</v>
      </c>
      <c r="S728" s="362">
        <v>9.0</v>
      </c>
      <c r="T728" s="201">
        <v>2026.0</v>
      </c>
      <c r="U728" s="189" t="s">
        <v>36</v>
      </c>
      <c r="V728" s="201">
        <v>36.76</v>
      </c>
      <c r="W728" s="361">
        <v>46266.0</v>
      </c>
      <c r="X728" s="201">
        <v>1.0</v>
      </c>
      <c r="Y728" s="201">
        <v>9.0</v>
      </c>
      <c r="Z728" s="201">
        <v>2026.0</v>
      </c>
      <c r="AA728" s="189" t="s">
        <v>36</v>
      </c>
    </row>
    <row r="729" ht="15.75" hidden="1" customHeight="1">
      <c r="A729" s="189" t="s">
        <v>2360</v>
      </c>
      <c r="B729" s="189" t="s">
        <v>2361</v>
      </c>
      <c r="C729" s="361">
        <v>46261.0</v>
      </c>
      <c r="D729" s="201">
        <v>27.0</v>
      </c>
      <c r="E729" s="201">
        <v>8.0</v>
      </c>
      <c r="F729" s="201">
        <v>2026.0</v>
      </c>
      <c r="G729" s="361">
        <v>46266.0</v>
      </c>
      <c r="H729" s="201">
        <v>1.0</v>
      </c>
      <c r="I729" s="201">
        <v>9.0</v>
      </c>
      <c r="J729" s="201">
        <v>2026.0</v>
      </c>
      <c r="K729" s="189" t="s">
        <v>51</v>
      </c>
      <c r="L729" s="189" t="s">
        <v>1177</v>
      </c>
      <c r="M729" s="201">
        <v>2.0</v>
      </c>
      <c r="N729" s="201">
        <v>5.0</v>
      </c>
      <c r="O729" s="201">
        <f t="shared" si="3"/>
        <v>10</v>
      </c>
      <c r="P729" s="201">
        <v>14.0</v>
      </c>
      <c r="Q729" s="361">
        <v>46265.0</v>
      </c>
      <c r="R729" s="362">
        <v>31.0</v>
      </c>
      <c r="S729" s="362">
        <v>8.0</v>
      </c>
      <c r="T729" s="201">
        <v>2026.0</v>
      </c>
      <c r="U729" s="189" t="s">
        <v>2</v>
      </c>
      <c r="V729" s="201">
        <v>369.35</v>
      </c>
      <c r="W729" s="361">
        <v>46265.0</v>
      </c>
      <c r="X729" s="201">
        <v>31.0</v>
      </c>
      <c r="Y729" s="201">
        <v>8.0</v>
      </c>
      <c r="Z729" s="201">
        <v>2026.0</v>
      </c>
      <c r="AA729" s="189" t="s">
        <v>2</v>
      </c>
    </row>
    <row r="730" ht="15.75" hidden="1" customHeight="1">
      <c r="A730" s="189" t="s">
        <v>2362</v>
      </c>
      <c r="B730" s="189" t="s">
        <v>2363</v>
      </c>
      <c r="C730" s="361">
        <v>46256.0</v>
      </c>
      <c r="D730" s="201">
        <v>22.0</v>
      </c>
      <c r="E730" s="201">
        <v>8.0</v>
      </c>
      <c r="F730" s="201">
        <v>2026.0</v>
      </c>
      <c r="G730" s="361">
        <v>46266.0</v>
      </c>
      <c r="H730" s="201">
        <v>1.0</v>
      </c>
      <c r="I730" s="201">
        <v>9.0</v>
      </c>
      <c r="J730" s="201">
        <v>2026.0</v>
      </c>
      <c r="K730" s="189" t="s">
        <v>51</v>
      </c>
      <c r="L730" s="189" t="s">
        <v>1177</v>
      </c>
      <c r="M730" s="201">
        <v>1.0</v>
      </c>
      <c r="N730" s="201">
        <v>10.0</v>
      </c>
      <c r="O730" s="201">
        <f t="shared" si="3"/>
        <v>10</v>
      </c>
      <c r="P730" s="201">
        <v>14.0</v>
      </c>
      <c r="Q730" s="361">
        <v>46265.0</v>
      </c>
      <c r="R730" s="362">
        <v>31.0</v>
      </c>
      <c r="S730" s="362">
        <v>8.0</v>
      </c>
      <c r="T730" s="201">
        <v>2026.0</v>
      </c>
      <c r="U730" s="189" t="s">
        <v>2</v>
      </c>
      <c r="V730" s="201">
        <v>371.8</v>
      </c>
      <c r="W730" s="361">
        <v>46265.0</v>
      </c>
      <c r="X730" s="201">
        <v>31.0</v>
      </c>
      <c r="Y730" s="201">
        <v>8.0</v>
      </c>
      <c r="Z730" s="201">
        <v>2026.0</v>
      </c>
      <c r="AA730" s="189" t="s">
        <v>2</v>
      </c>
    </row>
    <row r="731" ht="15.75" hidden="1" customHeight="1">
      <c r="A731" s="189" t="s">
        <v>2364</v>
      </c>
      <c r="B731" s="189" t="s">
        <v>2365</v>
      </c>
      <c r="C731" s="361">
        <v>46233.0</v>
      </c>
      <c r="D731" s="201">
        <v>30.0</v>
      </c>
      <c r="E731" s="201">
        <v>7.0</v>
      </c>
      <c r="F731" s="201">
        <v>2026.0</v>
      </c>
      <c r="G731" s="361">
        <v>46234.0</v>
      </c>
      <c r="H731" s="201">
        <v>31.0</v>
      </c>
      <c r="I731" s="201">
        <v>7.0</v>
      </c>
      <c r="J731" s="201">
        <v>2026.0</v>
      </c>
      <c r="K731" s="189" t="s">
        <v>51</v>
      </c>
      <c r="L731" s="189" t="s">
        <v>1177</v>
      </c>
      <c r="M731" s="201">
        <v>1.0</v>
      </c>
      <c r="N731" s="201">
        <v>1.0</v>
      </c>
      <c r="O731" s="201"/>
      <c r="P731" s="201">
        <v>2.0</v>
      </c>
      <c r="Q731" s="361">
        <v>46265.0</v>
      </c>
      <c r="R731" s="362">
        <v>31.0</v>
      </c>
      <c r="S731" s="362">
        <v>8.0</v>
      </c>
      <c r="T731" s="201">
        <v>2026.0</v>
      </c>
      <c r="U731" s="189" t="s">
        <v>2</v>
      </c>
      <c r="V731" s="201">
        <v>37.18</v>
      </c>
      <c r="W731" s="361">
        <v>46265.0</v>
      </c>
      <c r="X731" s="201">
        <v>31.0</v>
      </c>
      <c r="Y731" s="201">
        <v>8.0</v>
      </c>
      <c r="Z731" s="201">
        <v>2026.0</v>
      </c>
      <c r="AA731" s="189" t="s">
        <v>2</v>
      </c>
    </row>
    <row r="732" ht="15.75" hidden="1" customHeight="1">
      <c r="A732" s="189" t="s">
        <v>2366</v>
      </c>
      <c r="B732" s="201">
        <v>5.609219627E9</v>
      </c>
      <c r="C732" s="361">
        <v>46263.0</v>
      </c>
      <c r="D732" s="201">
        <v>29.0</v>
      </c>
      <c r="E732" s="201">
        <v>8.0</v>
      </c>
      <c r="F732" s="201">
        <v>2026.0</v>
      </c>
      <c r="G732" s="361">
        <v>46264.0</v>
      </c>
      <c r="H732" s="201">
        <v>30.0</v>
      </c>
      <c r="I732" s="201">
        <v>8.0</v>
      </c>
      <c r="J732" s="201">
        <v>2026.0</v>
      </c>
      <c r="K732" s="189" t="s">
        <v>36</v>
      </c>
      <c r="L732" s="189" t="s">
        <v>1177</v>
      </c>
      <c r="M732" s="201">
        <v>1.0</v>
      </c>
      <c r="N732" s="201">
        <v>1.0</v>
      </c>
      <c r="O732" s="201">
        <f t="shared" ref="O732:O960" si="4">N732*M732</f>
        <v>1</v>
      </c>
      <c r="P732" s="201">
        <v>2.0</v>
      </c>
      <c r="Q732" s="361">
        <v>46266.0</v>
      </c>
      <c r="R732" s="362">
        <v>1.0</v>
      </c>
      <c r="S732" s="362">
        <v>9.0</v>
      </c>
      <c r="T732" s="201">
        <v>2026.0</v>
      </c>
      <c r="U732" s="189" t="s">
        <v>36</v>
      </c>
      <c r="V732" s="201">
        <v>37.59</v>
      </c>
      <c r="W732" s="361">
        <v>46266.0</v>
      </c>
      <c r="X732" s="201">
        <v>1.0</v>
      </c>
      <c r="Y732" s="201">
        <v>9.0</v>
      </c>
      <c r="Z732" s="201">
        <v>2026.0</v>
      </c>
      <c r="AA732" s="189" t="s">
        <v>36</v>
      </c>
    </row>
    <row r="733" ht="15.75" hidden="1" customHeight="1">
      <c r="A733" s="189" t="s">
        <v>2367</v>
      </c>
      <c r="B733" s="201">
        <v>5.566041501E9</v>
      </c>
      <c r="C733" s="361">
        <v>46262.0</v>
      </c>
      <c r="D733" s="201">
        <v>28.0</v>
      </c>
      <c r="E733" s="201">
        <v>8.0</v>
      </c>
      <c r="F733" s="201">
        <v>2026.0</v>
      </c>
      <c r="G733" s="361">
        <v>46263.0</v>
      </c>
      <c r="H733" s="201">
        <v>29.0</v>
      </c>
      <c r="I733" s="201">
        <v>8.0</v>
      </c>
      <c r="J733" s="201">
        <v>2026.0</v>
      </c>
      <c r="K733" s="189" t="s">
        <v>36</v>
      </c>
      <c r="L733" s="189" t="s">
        <v>1177</v>
      </c>
      <c r="M733" s="201">
        <v>1.0</v>
      </c>
      <c r="N733" s="201">
        <v>1.0</v>
      </c>
      <c r="O733" s="201">
        <f t="shared" si="4"/>
        <v>1</v>
      </c>
      <c r="P733" s="201">
        <v>2.0</v>
      </c>
      <c r="Q733" s="361">
        <v>46266.0</v>
      </c>
      <c r="R733" s="362">
        <v>1.0</v>
      </c>
      <c r="S733" s="362">
        <v>9.0</v>
      </c>
      <c r="T733" s="201">
        <v>2026.0</v>
      </c>
      <c r="U733" s="189" t="s">
        <v>36</v>
      </c>
      <c r="V733" s="201">
        <v>37.59</v>
      </c>
      <c r="W733" s="361">
        <v>46266.0</v>
      </c>
      <c r="X733" s="201">
        <v>1.0</v>
      </c>
      <c r="Y733" s="201">
        <v>9.0</v>
      </c>
      <c r="Z733" s="201">
        <v>2026.0</v>
      </c>
      <c r="AA733" s="189" t="s">
        <v>36</v>
      </c>
    </row>
    <row r="734" ht="15.75" hidden="1" customHeight="1">
      <c r="A734" s="189" t="s">
        <v>2368</v>
      </c>
      <c r="B734" s="201">
        <v>6.492448568E9</v>
      </c>
      <c r="C734" s="361">
        <v>46261.0</v>
      </c>
      <c r="D734" s="201">
        <v>27.0</v>
      </c>
      <c r="E734" s="201">
        <v>8.0</v>
      </c>
      <c r="F734" s="201">
        <v>2026.0</v>
      </c>
      <c r="G734" s="361">
        <v>46262.0</v>
      </c>
      <c r="H734" s="201">
        <v>28.0</v>
      </c>
      <c r="I734" s="201">
        <v>8.0</v>
      </c>
      <c r="J734" s="201">
        <v>2026.0</v>
      </c>
      <c r="K734" s="189" t="s">
        <v>36</v>
      </c>
      <c r="L734" s="189" t="s">
        <v>1177</v>
      </c>
      <c r="M734" s="201">
        <v>1.0</v>
      </c>
      <c r="N734" s="201">
        <v>1.0</v>
      </c>
      <c r="O734" s="201">
        <f t="shared" si="4"/>
        <v>1</v>
      </c>
      <c r="P734" s="201">
        <v>2.0</v>
      </c>
      <c r="Q734" s="361">
        <v>46266.0</v>
      </c>
      <c r="R734" s="362">
        <v>1.0</v>
      </c>
      <c r="S734" s="362">
        <v>9.0</v>
      </c>
      <c r="T734" s="201">
        <v>2026.0</v>
      </c>
      <c r="U734" s="189" t="s">
        <v>36</v>
      </c>
      <c r="V734" s="201">
        <v>37.59</v>
      </c>
      <c r="W734" s="361">
        <v>46266.0</v>
      </c>
      <c r="X734" s="201">
        <v>1.0</v>
      </c>
      <c r="Y734" s="201">
        <v>9.0</v>
      </c>
      <c r="Z734" s="201">
        <v>2026.0</v>
      </c>
      <c r="AA734" s="189" t="s">
        <v>36</v>
      </c>
    </row>
    <row r="735" ht="15.75" hidden="1" customHeight="1">
      <c r="A735" s="189" t="s">
        <v>2369</v>
      </c>
      <c r="B735" s="201">
        <v>6.874081882E9</v>
      </c>
      <c r="C735" s="361">
        <v>46258.0</v>
      </c>
      <c r="D735" s="201">
        <v>24.0</v>
      </c>
      <c r="E735" s="201">
        <v>8.0</v>
      </c>
      <c r="F735" s="201">
        <v>2026.0</v>
      </c>
      <c r="G735" s="361">
        <v>46259.0</v>
      </c>
      <c r="H735" s="201">
        <v>25.0</v>
      </c>
      <c r="I735" s="201">
        <v>8.0</v>
      </c>
      <c r="J735" s="201">
        <v>2026.0</v>
      </c>
      <c r="K735" s="189" t="s">
        <v>36</v>
      </c>
      <c r="L735" s="189" t="s">
        <v>1177</v>
      </c>
      <c r="M735" s="201">
        <v>1.0</v>
      </c>
      <c r="N735" s="201">
        <v>1.0</v>
      </c>
      <c r="O735" s="201">
        <f t="shared" si="4"/>
        <v>1</v>
      </c>
      <c r="P735" s="201">
        <v>2.0</v>
      </c>
      <c r="Q735" s="361">
        <v>46266.0</v>
      </c>
      <c r="R735" s="362">
        <v>1.0</v>
      </c>
      <c r="S735" s="362">
        <v>9.0</v>
      </c>
      <c r="T735" s="201">
        <v>2026.0</v>
      </c>
      <c r="U735" s="189" t="s">
        <v>36</v>
      </c>
      <c r="V735" s="201">
        <v>37.59</v>
      </c>
      <c r="W735" s="361">
        <v>46266.0</v>
      </c>
      <c r="X735" s="201">
        <v>1.0</v>
      </c>
      <c r="Y735" s="201">
        <v>9.0</v>
      </c>
      <c r="Z735" s="201">
        <v>2026.0</v>
      </c>
      <c r="AA735" s="189" t="s">
        <v>36</v>
      </c>
    </row>
    <row r="736" ht="15.75" hidden="1" customHeight="1">
      <c r="A736" s="189" t="s">
        <v>2370</v>
      </c>
      <c r="B736" s="201">
        <v>5.060281599E9</v>
      </c>
      <c r="C736" s="361">
        <v>46258.0</v>
      </c>
      <c r="D736" s="201">
        <v>24.0</v>
      </c>
      <c r="E736" s="201">
        <v>8.0</v>
      </c>
      <c r="F736" s="201">
        <v>2026.0</v>
      </c>
      <c r="G736" s="361">
        <v>46259.0</v>
      </c>
      <c r="H736" s="201">
        <v>25.0</v>
      </c>
      <c r="I736" s="201">
        <v>8.0</v>
      </c>
      <c r="J736" s="201">
        <v>2026.0</v>
      </c>
      <c r="K736" s="189" t="s">
        <v>36</v>
      </c>
      <c r="L736" s="189" t="s">
        <v>1177</v>
      </c>
      <c r="M736" s="201">
        <v>1.0</v>
      </c>
      <c r="N736" s="201">
        <v>1.0</v>
      </c>
      <c r="O736" s="201">
        <f t="shared" si="4"/>
        <v>1</v>
      </c>
      <c r="P736" s="201">
        <v>2.0</v>
      </c>
      <c r="Q736" s="361">
        <v>46266.0</v>
      </c>
      <c r="R736" s="362">
        <v>1.0</v>
      </c>
      <c r="S736" s="362">
        <v>9.0</v>
      </c>
      <c r="T736" s="201">
        <v>2026.0</v>
      </c>
      <c r="U736" s="189" t="s">
        <v>36</v>
      </c>
      <c r="V736" s="201">
        <v>37.59</v>
      </c>
      <c r="W736" s="361">
        <v>46266.0</v>
      </c>
      <c r="X736" s="201">
        <v>1.0</v>
      </c>
      <c r="Y736" s="201">
        <v>9.0</v>
      </c>
      <c r="Z736" s="201">
        <v>2026.0</v>
      </c>
      <c r="AA736" s="189" t="s">
        <v>36</v>
      </c>
    </row>
    <row r="737" ht="15.75" hidden="1" customHeight="1">
      <c r="A737" s="189" t="s">
        <v>2371</v>
      </c>
      <c r="B737" s="201">
        <v>6.878595543E9</v>
      </c>
      <c r="C737" s="361">
        <v>46257.0</v>
      </c>
      <c r="D737" s="201">
        <v>23.0</v>
      </c>
      <c r="E737" s="201">
        <v>8.0</v>
      </c>
      <c r="F737" s="201">
        <v>2026.0</v>
      </c>
      <c r="G737" s="361">
        <v>46258.0</v>
      </c>
      <c r="H737" s="201">
        <v>24.0</v>
      </c>
      <c r="I737" s="201">
        <v>8.0</v>
      </c>
      <c r="J737" s="201">
        <v>2026.0</v>
      </c>
      <c r="K737" s="189" t="s">
        <v>36</v>
      </c>
      <c r="L737" s="189" t="s">
        <v>1177</v>
      </c>
      <c r="M737" s="201">
        <v>1.0</v>
      </c>
      <c r="N737" s="201">
        <v>1.0</v>
      </c>
      <c r="O737" s="201">
        <f t="shared" si="4"/>
        <v>1</v>
      </c>
      <c r="P737" s="201">
        <v>2.0</v>
      </c>
      <c r="Q737" s="361">
        <v>46266.0</v>
      </c>
      <c r="R737" s="362">
        <v>1.0</v>
      </c>
      <c r="S737" s="362">
        <v>9.0</v>
      </c>
      <c r="T737" s="201">
        <v>2026.0</v>
      </c>
      <c r="U737" s="189" t="s">
        <v>36</v>
      </c>
      <c r="V737" s="201">
        <v>37.59</v>
      </c>
      <c r="W737" s="361">
        <v>46266.0</v>
      </c>
      <c r="X737" s="201">
        <v>1.0</v>
      </c>
      <c r="Y737" s="201">
        <v>9.0</v>
      </c>
      <c r="Z737" s="201">
        <v>2026.0</v>
      </c>
      <c r="AA737" s="189" t="s">
        <v>36</v>
      </c>
    </row>
    <row r="738" ht="15.75" hidden="1" customHeight="1">
      <c r="A738" s="189" t="s">
        <v>2372</v>
      </c>
      <c r="B738" s="201">
        <v>6.016135312E9</v>
      </c>
      <c r="C738" s="361">
        <v>46257.0</v>
      </c>
      <c r="D738" s="201">
        <v>23.0</v>
      </c>
      <c r="E738" s="201">
        <v>8.0</v>
      </c>
      <c r="F738" s="201">
        <v>2026.0</v>
      </c>
      <c r="G738" s="361">
        <v>46258.0</v>
      </c>
      <c r="H738" s="201">
        <v>24.0</v>
      </c>
      <c r="I738" s="201">
        <v>8.0</v>
      </c>
      <c r="J738" s="201">
        <v>2026.0</v>
      </c>
      <c r="K738" s="189" t="s">
        <v>36</v>
      </c>
      <c r="L738" s="189" t="s">
        <v>1177</v>
      </c>
      <c r="M738" s="201">
        <v>1.0</v>
      </c>
      <c r="N738" s="201">
        <v>1.0</v>
      </c>
      <c r="O738" s="201">
        <f t="shared" si="4"/>
        <v>1</v>
      </c>
      <c r="P738" s="201">
        <v>2.0</v>
      </c>
      <c r="Q738" s="361">
        <v>46266.0</v>
      </c>
      <c r="R738" s="362">
        <v>1.0</v>
      </c>
      <c r="S738" s="362">
        <v>9.0</v>
      </c>
      <c r="T738" s="201">
        <v>2026.0</v>
      </c>
      <c r="U738" s="189" t="s">
        <v>36</v>
      </c>
      <c r="V738" s="201">
        <v>37.59</v>
      </c>
      <c r="W738" s="361">
        <v>46266.0</v>
      </c>
      <c r="X738" s="201">
        <v>1.0</v>
      </c>
      <c r="Y738" s="201">
        <v>9.0</v>
      </c>
      <c r="Z738" s="201">
        <v>2026.0</v>
      </c>
      <c r="AA738" s="189" t="s">
        <v>36</v>
      </c>
    </row>
    <row r="739" ht="15.75" hidden="1" customHeight="1">
      <c r="A739" s="189" t="s">
        <v>2373</v>
      </c>
      <c r="B739" s="201">
        <v>6.866175774E9</v>
      </c>
      <c r="C739" s="361">
        <v>46252.0</v>
      </c>
      <c r="D739" s="201">
        <v>18.0</v>
      </c>
      <c r="E739" s="201">
        <v>8.0</v>
      </c>
      <c r="F739" s="201">
        <v>2026.0</v>
      </c>
      <c r="G739" s="361">
        <v>46253.0</v>
      </c>
      <c r="H739" s="201">
        <v>19.0</v>
      </c>
      <c r="I739" s="201">
        <v>8.0</v>
      </c>
      <c r="J739" s="201">
        <v>2026.0</v>
      </c>
      <c r="K739" s="189" t="s">
        <v>36</v>
      </c>
      <c r="L739" s="189" t="s">
        <v>1177</v>
      </c>
      <c r="M739" s="201">
        <v>1.0</v>
      </c>
      <c r="N739" s="201">
        <v>1.0</v>
      </c>
      <c r="O739" s="201">
        <f t="shared" si="4"/>
        <v>1</v>
      </c>
      <c r="P739" s="201">
        <v>2.0</v>
      </c>
      <c r="Q739" s="361">
        <v>46266.0</v>
      </c>
      <c r="R739" s="362">
        <v>1.0</v>
      </c>
      <c r="S739" s="362">
        <v>9.0</v>
      </c>
      <c r="T739" s="201">
        <v>2026.0</v>
      </c>
      <c r="U739" s="189" t="s">
        <v>36</v>
      </c>
      <c r="V739" s="201">
        <v>37.59</v>
      </c>
      <c r="W739" s="361">
        <v>46266.0</v>
      </c>
      <c r="X739" s="201">
        <v>1.0</v>
      </c>
      <c r="Y739" s="201">
        <v>9.0</v>
      </c>
      <c r="Z739" s="201">
        <v>2026.0</v>
      </c>
      <c r="AA739" s="189" t="s">
        <v>36</v>
      </c>
    </row>
    <row r="740" ht="15.75" hidden="1" customHeight="1">
      <c r="A740" s="189" t="s">
        <v>2374</v>
      </c>
      <c r="B740" s="201">
        <v>5.95303731E9</v>
      </c>
      <c r="C740" s="361">
        <v>46250.0</v>
      </c>
      <c r="D740" s="201">
        <v>16.0</v>
      </c>
      <c r="E740" s="201">
        <v>8.0</v>
      </c>
      <c r="F740" s="201">
        <v>2026.0</v>
      </c>
      <c r="G740" s="361">
        <v>46251.0</v>
      </c>
      <c r="H740" s="201">
        <v>17.0</v>
      </c>
      <c r="I740" s="201">
        <v>8.0</v>
      </c>
      <c r="J740" s="201">
        <v>2026.0</v>
      </c>
      <c r="K740" s="189" t="s">
        <v>36</v>
      </c>
      <c r="L740" s="189" t="s">
        <v>1177</v>
      </c>
      <c r="M740" s="201">
        <v>1.0</v>
      </c>
      <c r="N740" s="201">
        <v>1.0</v>
      </c>
      <c r="O740" s="201">
        <f t="shared" si="4"/>
        <v>1</v>
      </c>
      <c r="P740" s="201">
        <v>2.0</v>
      </c>
      <c r="Q740" s="361">
        <v>46266.0</v>
      </c>
      <c r="R740" s="362">
        <v>1.0</v>
      </c>
      <c r="S740" s="362">
        <v>9.0</v>
      </c>
      <c r="T740" s="201">
        <v>2026.0</v>
      </c>
      <c r="U740" s="189" t="s">
        <v>36</v>
      </c>
      <c r="V740" s="201">
        <v>37.59</v>
      </c>
      <c r="W740" s="361">
        <v>46266.0</v>
      </c>
      <c r="X740" s="201">
        <v>1.0</v>
      </c>
      <c r="Y740" s="201">
        <v>9.0</v>
      </c>
      <c r="Z740" s="201">
        <v>2026.0</v>
      </c>
      <c r="AA740" s="189" t="s">
        <v>36</v>
      </c>
    </row>
    <row r="741" ht="15.75" hidden="1" customHeight="1">
      <c r="A741" s="189" t="s">
        <v>2375</v>
      </c>
      <c r="B741" s="201">
        <v>6.709178169E9</v>
      </c>
      <c r="C741" s="361">
        <v>46249.0</v>
      </c>
      <c r="D741" s="201">
        <v>15.0</v>
      </c>
      <c r="E741" s="201">
        <v>8.0</v>
      </c>
      <c r="F741" s="201">
        <v>2026.0</v>
      </c>
      <c r="G741" s="361">
        <v>46250.0</v>
      </c>
      <c r="H741" s="201">
        <v>16.0</v>
      </c>
      <c r="I741" s="201">
        <v>8.0</v>
      </c>
      <c r="J741" s="201">
        <v>2026.0</v>
      </c>
      <c r="K741" s="189" t="s">
        <v>36</v>
      </c>
      <c r="L741" s="189" t="s">
        <v>1177</v>
      </c>
      <c r="M741" s="201">
        <v>1.0</v>
      </c>
      <c r="N741" s="201">
        <v>1.0</v>
      </c>
      <c r="O741" s="201">
        <f t="shared" si="4"/>
        <v>1</v>
      </c>
      <c r="P741" s="201">
        <v>2.0</v>
      </c>
      <c r="Q741" s="361">
        <v>46266.0</v>
      </c>
      <c r="R741" s="362">
        <v>1.0</v>
      </c>
      <c r="S741" s="362">
        <v>9.0</v>
      </c>
      <c r="T741" s="201">
        <v>2026.0</v>
      </c>
      <c r="U741" s="189" t="s">
        <v>36</v>
      </c>
      <c r="V741" s="201">
        <v>37.59</v>
      </c>
      <c r="W741" s="361">
        <v>46266.0</v>
      </c>
      <c r="X741" s="201">
        <v>1.0</v>
      </c>
      <c r="Y741" s="201">
        <v>9.0</v>
      </c>
      <c r="Z741" s="201">
        <v>2026.0</v>
      </c>
      <c r="AA741" s="189" t="s">
        <v>36</v>
      </c>
    </row>
    <row r="742" ht="15.75" hidden="1" customHeight="1">
      <c r="A742" s="189" t="s">
        <v>2376</v>
      </c>
      <c r="B742" s="201">
        <v>6.687871246E9</v>
      </c>
      <c r="C742" s="361">
        <v>46249.0</v>
      </c>
      <c r="D742" s="201">
        <v>15.0</v>
      </c>
      <c r="E742" s="201">
        <v>8.0</v>
      </c>
      <c r="F742" s="201">
        <v>2026.0</v>
      </c>
      <c r="G742" s="361">
        <v>46250.0</v>
      </c>
      <c r="H742" s="201">
        <v>16.0</v>
      </c>
      <c r="I742" s="201">
        <v>8.0</v>
      </c>
      <c r="J742" s="201">
        <v>2026.0</v>
      </c>
      <c r="K742" s="189" t="s">
        <v>36</v>
      </c>
      <c r="L742" s="189" t="s">
        <v>1177</v>
      </c>
      <c r="M742" s="201">
        <v>1.0</v>
      </c>
      <c r="N742" s="201">
        <v>1.0</v>
      </c>
      <c r="O742" s="201">
        <f t="shared" si="4"/>
        <v>1</v>
      </c>
      <c r="P742" s="201">
        <v>2.0</v>
      </c>
      <c r="Q742" s="361">
        <v>46266.0</v>
      </c>
      <c r="R742" s="362">
        <v>1.0</v>
      </c>
      <c r="S742" s="362">
        <v>9.0</v>
      </c>
      <c r="T742" s="201">
        <v>2026.0</v>
      </c>
      <c r="U742" s="189" t="s">
        <v>36</v>
      </c>
      <c r="V742" s="201">
        <v>37.59</v>
      </c>
      <c r="W742" s="361">
        <v>46266.0</v>
      </c>
      <c r="X742" s="201">
        <v>1.0</v>
      </c>
      <c r="Y742" s="201">
        <v>9.0</v>
      </c>
      <c r="Z742" s="201">
        <v>2026.0</v>
      </c>
      <c r="AA742" s="189" t="s">
        <v>36</v>
      </c>
    </row>
    <row r="743" ht="15.75" hidden="1" customHeight="1">
      <c r="A743" s="189" t="s">
        <v>2377</v>
      </c>
      <c r="B743" s="201">
        <v>6.646618259E9</v>
      </c>
      <c r="C743" s="361">
        <v>46248.0</v>
      </c>
      <c r="D743" s="201">
        <v>14.0</v>
      </c>
      <c r="E743" s="201">
        <v>8.0</v>
      </c>
      <c r="F743" s="201">
        <v>2026.0</v>
      </c>
      <c r="G743" s="361">
        <v>46249.0</v>
      </c>
      <c r="H743" s="201">
        <v>15.0</v>
      </c>
      <c r="I743" s="201">
        <v>8.0</v>
      </c>
      <c r="J743" s="201">
        <v>2026.0</v>
      </c>
      <c r="K743" s="189" t="s">
        <v>36</v>
      </c>
      <c r="L743" s="189" t="s">
        <v>1177</v>
      </c>
      <c r="M743" s="201">
        <v>1.0</v>
      </c>
      <c r="N743" s="201">
        <v>1.0</v>
      </c>
      <c r="O743" s="201">
        <f t="shared" si="4"/>
        <v>1</v>
      </c>
      <c r="P743" s="201">
        <v>2.0</v>
      </c>
      <c r="Q743" s="361">
        <v>46266.0</v>
      </c>
      <c r="R743" s="362">
        <v>1.0</v>
      </c>
      <c r="S743" s="362">
        <v>9.0</v>
      </c>
      <c r="T743" s="201">
        <v>2026.0</v>
      </c>
      <c r="U743" s="189" t="s">
        <v>36</v>
      </c>
      <c r="V743" s="201">
        <v>37.59</v>
      </c>
      <c r="W743" s="361">
        <v>46266.0</v>
      </c>
      <c r="X743" s="201">
        <v>1.0</v>
      </c>
      <c r="Y743" s="201">
        <v>9.0</v>
      </c>
      <c r="Z743" s="201">
        <v>2026.0</v>
      </c>
      <c r="AA743" s="189" t="s">
        <v>36</v>
      </c>
    </row>
    <row r="744" ht="15.75" hidden="1" customHeight="1">
      <c r="A744" s="189" t="s">
        <v>2378</v>
      </c>
      <c r="B744" s="201">
        <v>5.322837883E9</v>
      </c>
      <c r="C744" s="361">
        <v>46248.0</v>
      </c>
      <c r="D744" s="201">
        <v>14.0</v>
      </c>
      <c r="E744" s="201">
        <v>8.0</v>
      </c>
      <c r="F744" s="201">
        <v>2026.0</v>
      </c>
      <c r="G744" s="361">
        <v>46249.0</v>
      </c>
      <c r="H744" s="201">
        <v>15.0</v>
      </c>
      <c r="I744" s="201">
        <v>8.0</v>
      </c>
      <c r="J744" s="201">
        <v>2026.0</v>
      </c>
      <c r="K744" s="189" t="s">
        <v>36</v>
      </c>
      <c r="L744" s="189" t="s">
        <v>1177</v>
      </c>
      <c r="M744" s="201">
        <v>1.0</v>
      </c>
      <c r="N744" s="201">
        <v>1.0</v>
      </c>
      <c r="O744" s="201">
        <f t="shared" si="4"/>
        <v>1</v>
      </c>
      <c r="P744" s="201">
        <v>2.0</v>
      </c>
      <c r="Q744" s="361">
        <v>46266.0</v>
      </c>
      <c r="R744" s="362">
        <v>1.0</v>
      </c>
      <c r="S744" s="362">
        <v>9.0</v>
      </c>
      <c r="T744" s="201">
        <v>2026.0</v>
      </c>
      <c r="U744" s="189" t="s">
        <v>36</v>
      </c>
      <c r="V744" s="201">
        <v>37.59</v>
      </c>
      <c r="W744" s="361">
        <v>46266.0</v>
      </c>
      <c r="X744" s="201">
        <v>1.0</v>
      </c>
      <c r="Y744" s="201">
        <v>9.0</v>
      </c>
      <c r="Z744" s="201">
        <v>2026.0</v>
      </c>
      <c r="AA744" s="189" t="s">
        <v>36</v>
      </c>
    </row>
    <row r="745" ht="15.75" hidden="1" customHeight="1">
      <c r="A745" s="189" t="s">
        <v>2379</v>
      </c>
      <c r="B745" s="201">
        <v>5.470551302E9</v>
      </c>
      <c r="C745" s="361">
        <v>46247.0</v>
      </c>
      <c r="D745" s="201">
        <v>13.0</v>
      </c>
      <c r="E745" s="201">
        <v>8.0</v>
      </c>
      <c r="F745" s="201">
        <v>2026.0</v>
      </c>
      <c r="G745" s="361">
        <v>46248.0</v>
      </c>
      <c r="H745" s="201">
        <v>14.0</v>
      </c>
      <c r="I745" s="201">
        <v>8.0</v>
      </c>
      <c r="J745" s="201">
        <v>2026.0</v>
      </c>
      <c r="K745" s="189" t="s">
        <v>36</v>
      </c>
      <c r="L745" s="189" t="s">
        <v>1177</v>
      </c>
      <c r="M745" s="201">
        <v>1.0</v>
      </c>
      <c r="N745" s="201">
        <v>1.0</v>
      </c>
      <c r="O745" s="201">
        <f t="shared" si="4"/>
        <v>1</v>
      </c>
      <c r="P745" s="201">
        <v>2.0</v>
      </c>
      <c r="Q745" s="361">
        <v>46266.0</v>
      </c>
      <c r="R745" s="362">
        <v>1.0</v>
      </c>
      <c r="S745" s="362">
        <v>9.0</v>
      </c>
      <c r="T745" s="201">
        <v>2026.0</v>
      </c>
      <c r="U745" s="189" t="s">
        <v>36</v>
      </c>
      <c r="V745" s="201">
        <v>37.59</v>
      </c>
      <c r="W745" s="361">
        <v>46266.0</v>
      </c>
      <c r="X745" s="201">
        <v>1.0</v>
      </c>
      <c r="Y745" s="201">
        <v>9.0</v>
      </c>
      <c r="Z745" s="201">
        <v>2026.0</v>
      </c>
      <c r="AA745" s="189" t="s">
        <v>36</v>
      </c>
    </row>
    <row r="746" ht="15.75" hidden="1" customHeight="1">
      <c r="A746" s="189" t="s">
        <v>2380</v>
      </c>
      <c r="B746" s="201">
        <v>6.654249052E9</v>
      </c>
      <c r="C746" s="361">
        <v>46246.0</v>
      </c>
      <c r="D746" s="201">
        <v>12.0</v>
      </c>
      <c r="E746" s="201">
        <v>8.0</v>
      </c>
      <c r="F746" s="201">
        <v>2026.0</v>
      </c>
      <c r="G746" s="361">
        <v>46247.0</v>
      </c>
      <c r="H746" s="201">
        <v>13.0</v>
      </c>
      <c r="I746" s="201">
        <v>8.0</v>
      </c>
      <c r="J746" s="201">
        <v>2026.0</v>
      </c>
      <c r="K746" s="189" t="s">
        <v>36</v>
      </c>
      <c r="L746" s="189" t="s">
        <v>1177</v>
      </c>
      <c r="M746" s="201">
        <v>1.0</v>
      </c>
      <c r="N746" s="201">
        <v>1.0</v>
      </c>
      <c r="O746" s="201">
        <f t="shared" si="4"/>
        <v>1</v>
      </c>
      <c r="P746" s="201">
        <v>2.0</v>
      </c>
      <c r="Q746" s="361">
        <v>46266.0</v>
      </c>
      <c r="R746" s="362">
        <v>1.0</v>
      </c>
      <c r="S746" s="362">
        <v>9.0</v>
      </c>
      <c r="T746" s="201">
        <v>2026.0</v>
      </c>
      <c r="U746" s="189" t="s">
        <v>36</v>
      </c>
      <c r="V746" s="201">
        <v>37.59</v>
      </c>
      <c r="W746" s="361">
        <v>46266.0</v>
      </c>
      <c r="X746" s="201">
        <v>1.0</v>
      </c>
      <c r="Y746" s="201">
        <v>9.0</v>
      </c>
      <c r="Z746" s="201">
        <v>2026.0</v>
      </c>
      <c r="AA746" s="189" t="s">
        <v>36</v>
      </c>
    </row>
    <row r="747" ht="15.75" hidden="1" customHeight="1">
      <c r="A747" s="189" t="s">
        <v>2381</v>
      </c>
      <c r="B747" s="201">
        <v>6.077235044E9</v>
      </c>
      <c r="C747" s="361">
        <v>46246.0</v>
      </c>
      <c r="D747" s="201">
        <v>12.0</v>
      </c>
      <c r="E747" s="201">
        <v>8.0</v>
      </c>
      <c r="F747" s="201">
        <v>2026.0</v>
      </c>
      <c r="G747" s="361">
        <v>46247.0</v>
      </c>
      <c r="H747" s="201">
        <v>13.0</v>
      </c>
      <c r="I747" s="201">
        <v>8.0</v>
      </c>
      <c r="J747" s="201">
        <v>2026.0</v>
      </c>
      <c r="K747" s="189" t="s">
        <v>36</v>
      </c>
      <c r="L747" s="189" t="s">
        <v>1177</v>
      </c>
      <c r="M747" s="201">
        <v>1.0</v>
      </c>
      <c r="N747" s="201">
        <v>1.0</v>
      </c>
      <c r="O747" s="201">
        <f t="shared" si="4"/>
        <v>1</v>
      </c>
      <c r="P747" s="201">
        <v>2.0</v>
      </c>
      <c r="Q747" s="361">
        <v>46266.0</v>
      </c>
      <c r="R747" s="362">
        <v>1.0</v>
      </c>
      <c r="S747" s="362">
        <v>9.0</v>
      </c>
      <c r="T747" s="201">
        <v>2026.0</v>
      </c>
      <c r="U747" s="189" t="s">
        <v>36</v>
      </c>
      <c r="V747" s="201">
        <v>37.59</v>
      </c>
      <c r="W747" s="361">
        <v>46266.0</v>
      </c>
      <c r="X747" s="201">
        <v>1.0</v>
      </c>
      <c r="Y747" s="201">
        <v>9.0</v>
      </c>
      <c r="Z747" s="201">
        <v>2026.0</v>
      </c>
      <c r="AA747" s="189" t="s">
        <v>36</v>
      </c>
    </row>
    <row r="748" ht="15.75" hidden="1" customHeight="1">
      <c r="A748" s="189" t="s">
        <v>2382</v>
      </c>
      <c r="B748" s="201">
        <v>5.08629976E9</v>
      </c>
      <c r="C748" s="361">
        <v>46246.0</v>
      </c>
      <c r="D748" s="201">
        <v>12.0</v>
      </c>
      <c r="E748" s="201">
        <v>8.0</v>
      </c>
      <c r="F748" s="201">
        <v>2026.0</v>
      </c>
      <c r="G748" s="361">
        <v>46247.0</v>
      </c>
      <c r="H748" s="201">
        <v>13.0</v>
      </c>
      <c r="I748" s="201">
        <v>8.0</v>
      </c>
      <c r="J748" s="201">
        <v>2026.0</v>
      </c>
      <c r="K748" s="189" t="s">
        <v>36</v>
      </c>
      <c r="L748" s="189" t="s">
        <v>1177</v>
      </c>
      <c r="M748" s="201">
        <v>1.0</v>
      </c>
      <c r="N748" s="201">
        <v>1.0</v>
      </c>
      <c r="O748" s="201">
        <f t="shared" si="4"/>
        <v>1</v>
      </c>
      <c r="P748" s="201">
        <v>2.0</v>
      </c>
      <c r="Q748" s="361">
        <v>46266.0</v>
      </c>
      <c r="R748" s="362">
        <v>1.0</v>
      </c>
      <c r="S748" s="362">
        <v>9.0</v>
      </c>
      <c r="T748" s="201">
        <v>2026.0</v>
      </c>
      <c r="U748" s="189" t="s">
        <v>36</v>
      </c>
      <c r="V748" s="201">
        <v>37.59</v>
      </c>
      <c r="W748" s="361">
        <v>46266.0</v>
      </c>
      <c r="X748" s="201">
        <v>1.0</v>
      </c>
      <c r="Y748" s="201">
        <v>9.0</v>
      </c>
      <c r="Z748" s="201">
        <v>2026.0</v>
      </c>
      <c r="AA748" s="189" t="s">
        <v>36</v>
      </c>
    </row>
    <row r="749" ht="15.75" hidden="1" customHeight="1">
      <c r="A749" s="189" t="s">
        <v>2383</v>
      </c>
      <c r="B749" s="201">
        <v>6.430574422E9</v>
      </c>
      <c r="C749" s="361">
        <v>46243.0</v>
      </c>
      <c r="D749" s="201">
        <v>9.0</v>
      </c>
      <c r="E749" s="201">
        <v>8.0</v>
      </c>
      <c r="F749" s="201">
        <v>2026.0</v>
      </c>
      <c r="G749" s="361">
        <v>46244.0</v>
      </c>
      <c r="H749" s="201">
        <v>10.0</v>
      </c>
      <c r="I749" s="201">
        <v>8.0</v>
      </c>
      <c r="J749" s="201">
        <v>2026.0</v>
      </c>
      <c r="K749" s="189" t="s">
        <v>36</v>
      </c>
      <c r="L749" s="189" t="s">
        <v>1177</v>
      </c>
      <c r="M749" s="201">
        <v>1.0</v>
      </c>
      <c r="N749" s="201">
        <v>1.0</v>
      </c>
      <c r="O749" s="201">
        <f t="shared" si="4"/>
        <v>1</v>
      </c>
      <c r="P749" s="201">
        <v>2.0</v>
      </c>
      <c r="Q749" s="361">
        <v>46266.0</v>
      </c>
      <c r="R749" s="362">
        <v>1.0</v>
      </c>
      <c r="S749" s="362">
        <v>9.0</v>
      </c>
      <c r="T749" s="201">
        <v>2026.0</v>
      </c>
      <c r="U749" s="189" t="s">
        <v>36</v>
      </c>
      <c r="V749" s="201">
        <v>37.59</v>
      </c>
      <c r="W749" s="361">
        <v>46266.0</v>
      </c>
      <c r="X749" s="201">
        <v>1.0</v>
      </c>
      <c r="Y749" s="201">
        <v>9.0</v>
      </c>
      <c r="Z749" s="201">
        <v>2026.0</v>
      </c>
      <c r="AA749" s="189" t="s">
        <v>36</v>
      </c>
    </row>
    <row r="750" ht="15.75" hidden="1" customHeight="1">
      <c r="A750" s="189" t="s">
        <v>2384</v>
      </c>
      <c r="B750" s="201">
        <v>5.983812872E9</v>
      </c>
      <c r="C750" s="361">
        <v>46242.0</v>
      </c>
      <c r="D750" s="201">
        <v>8.0</v>
      </c>
      <c r="E750" s="201">
        <v>8.0</v>
      </c>
      <c r="F750" s="201">
        <v>2026.0</v>
      </c>
      <c r="G750" s="361">
        <v>46243.0</v>
      </c>
      <c r="H750" s="201">
        <v>9.0</v>
      </c>
      <c r="I750" s="201">
        <v>8.0</v>
      </c>
      <c r="J750" s="201">
        <v>2026.0</v>
      </c>
      <c r="K750" s="189" t="s">
        <v>36</v>
      </c>
      <c r="L750" s="189" t="s">
        <v>1177</v>
      </c>
      <c r="M750" s="201">
        <v>1.0</v>
      </c>
      <c r="N750" s="201">
        <v>1.0</v>
      </c>
      <c r="O750" s="201">
        <f t="shared" si="4"/>
        <v>1</v>
      </c>
      <c r="P750" s="201">
        <v>2.0</v>
      </c>
      <c r="Q750" s="361">
        <v>46266.0</v>
      </c>
      <c r="R750" s="362">
        <v>1.0</v>
      </c>
      <c r="S750" s="362">
        <v>9.0</v>
      </c>
      <c r="T750" s="201">
        <v>2026.0</v>
      </c>
      <c r="U750" s="189" t="s">
        <v>36</v>
      </c>
      <c r="V750" s="201">
        <v>37.59</v>
      </c>
      <c r="W750" s="361">
        <v>46266.0</v>
      </c>
      <c r="X750" s="201">
        <v>1.0</v>
      </c>
      <c r="Y750" s="201">
        <v>9.0</v>
      </c>
      <c r="Z750" s="201">
        <v>2026.0</v>
      </c>
      <c r="AA750" s="189" t="s">
        <v>36</v>
      </c>
    </row>
    <row r="751" ht="15.75" hidden="1" customHeight="1">
      <c r="A751" s="189" t="s">
        <v>2385</v>
      </c>
      <c r="B751" s="201">
        <v>6.422510627E9</v>
      </c>
      <c r="C751" s="361">
        <v>46236.0</v>
      </c>
      <c r="D751" s="201">
        <v>2.0</v>
      </c>
      <c r="E751" s="201">
        <v>8.0</v>
      </c>
      <c r="F751" s="201">
        <v>2026.0</v>
      </c>
      <c r="G751" s="361">
        <v>46237.0</v>
      </c>
      <c r="H751" s="201">
        <v>3.0</v>
      </c>
      <c r="I751" s="201">
        <v>8.0</v>
      </c>
      <c r="J751" s="201">
        <v>2026.0</v>
      </c>
      <c r="K751" s="189" t="s">
        <v>36</v>
      </c>
      <c r="L751" s="189" t="s">
        <v>1177</v>
      </c>
      <c r="M751" s="201">
        <v>1.0</v>
      </c>
      <c r="N751" s="201">
        <v>1.0</v>
      </c>
      <c r="O751" s="201">
        <f t="shared" si="4"/>
        <v>1</v>
      </c>
      <c r="P751" s="201">
        <v>2.0</v>
      </c>
      <c r="Q751" s="361">
        <v>46266.0</v>
      </c>
      <c r="R751" s="362">
        <v>1.0</v>
      </c>
      <c r="S751" s="362">
        <v>9.0</v>
      </c>
      <c r="T751" s="201">
        <v>2026.0</v>
      </c>
      <c r="U751" s="189" t="s">
        <v>36</v>
      </c>
      <c r="V751" s="201">
        <v>37.59</v>
      </c>
      <c r="W751" s="361">
        <v>46266.0</v>
      </c>
      <c r="X751" s="201">
        <v>1.0</v>
      </c>
      <c r="Y751" s="201">
        <v>9.0</v>
      </c>
      <c r="Z751" s="201">
        <v>2026.0</v>
      </c>
      <c r="AA751" s="189" t="s">
        <v>36</v>
      </c>
    </row>
    <row r="752" ht="15.75" hidden="1" customHeight="1">
      <c r="A752" s="189" t="s">
        <v>2386</v>
      </c>
      <c r="B752" s="201">
        <v>6.539831806E9</v>
      </c>
      <c r="C752" s="361">
        <v>46235.0</v>
      </c>
      <c r="D752" s="201">
        <v>1.0</v>
      </c>
      <c r="E752" s="201">
        <v>8.0</v>
      </c>
      <c r="F752" s="201">
        <v>2026.0</v>
      </c>
      <c r="G752" s="361">
        <v>46236.0</v>
      </c>
      <c r="H752" s="201">
        <v>2.0</v>
      </c>
      <c r="I752" s="201">
        <v>8.0</v>
      </c>
      <c r="J752" s="201">
        <v>2026.0</v>
      </c>
      <c r="K752" s="189" t="s">
        <v>36</v>
      </c>
      <c r="L752" s="189" t="s">
        <v>1177</v>
      </c>
      <c r="M752" s="201">
        <v>1.0</v>
      </c>
      <c r="N752" s="201">
        <v>1.0</v>
      </c>
      <c r="O752" s="201">
        <f t="shared" si="4"/>
        <v>1</v>
      </c>
      <c r="P752" s="201">
        <v>2.0</v>
      </c>
      <c r="Q752" s="361">
        <v>46266.0</v>
      </c>
      <c r="R752" s="362">
        <v>1.0</v>
      </c>
      <c r="S752" s="362">
        <v>9.0</v>
      </c>
      <c r="T752" s="201">
        <v>2026.0</v>
      </c>
      <c r="U752" s="189" t="s">
        <v>36</v>
      </c>
      <c r="V752" s="201">
        <v>37.59</v>
      </c>
      <c r="W752" s="361">
        <v>46266.0</v>
      </c>
      <c r="X752" s="201">
        <v>1.0</v>
      </c>
      <c r="Y752" s="201">
        <v>9.0</v>
      </c>
      <c r="Z752" s="201">
        <v>2026.0</v>
      </c>
      <c r="AA752" s="189" t="s">
        <v>36</v>
      </c>
    </row>
    <row r="753" ht="15.75" hidden="1" customHeight="1">
      <c r="A753" s="189" t="s">
        <v>2387</v>
      </c>
      <c r="B753" s="201">
        <v>6.515586861E9</v>
      </c>
      <c r="C753" s="361">
        <v>46235.0</v>
      </c>
      <c r="D753" s="201">
        <v>1.0</v>
      </c>
      <c r="E753" s="201">
        <v>8.0</v>
      </c>
      <c r="F753" s="201">
        <v>2026.0</v>
      </c>
      <c r="G753" s="361">
        <v>46236.0</v>
      </c>
      <c r="H753" s="201">
        <v>2.0</v>
      </c>
      <c r="I753" s="201">
        <v>8.0</v>
      </c>
      <c r="J753" s="201">
        <v>2026.0</v>
      </c>
      <c r="K753" s="189" t="s">
        <v>36</v>
      </c>
      <c r="L753" s="189" t="s">
        <v>1177</v>
      </c>
      <c r="M753" s="201">
        <v>1.0</v>
      </c>
      <c r="N753" s="201">
        <v>1.0</v>
      </c>
      <c r="O753" s="201">
        <f t="shared" si="4"/>
        <v>1</v>
      </c>
      <c r="P753" s="201">
        <v>2.0</v>
      </c>
      <c r="Q753" s="361">
        <v>46266.0</v>
      </c>
      <c r="R753" s="362">
        <v>1.0</v>
      </c>
      <c r="S753" s="362">
        <v>9.0</v>
      </c>
      <c r="T753" s="201">
        <v>2026.0</v>
      </c>
      <c r="U753" s="189" t="s">
        <v>36</v>
      </c>
      <c r="V753" s="201">
        <v>37.59</v>
      </c>
      <c r="W753" s="361">
        <v>46266.0</v>
      </c>
      <c r="X753" s="201">
        <v>1.0</v>
      </c>
      <c r="Y753" s="201">
        <v>9.0</v>
      </c>
      <c r="Z753" s="201">
        <v>2026.0</v>
      </c>
      <c r="AA753" s="189" t="s">
        <v>36</v>
      </c>
    </row>
    <row r="754" ht="15.75" hidden="1" customHeight="1">
      <c r="A754" s="189" t="s">
        <v>2388</v>
      </c>
      <c r="B754" s="201">
        <v>5.792867297E9</v>
      </c>
      <c r="C754" s="361">
        <v>46260.0</v>
      </c>
      <c r="D754" s="201">
        <v>26.0</v>
      </c>
      <c r="E754" s="201">
        <v>8.0</v>
      </c>
      <c r="F754" s="201">
        <v>2026.0</v>
      </c>
      <c r="G754" s="361">
        <v>46262.0</v>
      </c>
      <c r="H754" s="201">
        <v>28.0</v>
      </c>
      <c r="I754" s="201">
        <v>8.0</v>
      </c>
      <c r="J754" s="201">
        <v>2026.0</v>
      </c>
      <c r="K754" s="189" t="s">
        <v>36</v>
      </c>
      <c r="L754" s="189" t="s">
        <v>1177</v>
      </c>
      <c r="M754" s="201">
        <v>1.0</v>
      </c>
      <c r="N754" s="201">
        <v>2.0</v>
      </c>
      <c r="O754" s="201">
        <f t="shared" si="4"/>
        <v>2</v>
      </c>
      <c r="P754" s="201">
        <v>4.0</v>
      </c>
      <c r="Q754" s="361">
        <v>46266.0</v>
      </c>
      <c r="R754" s="362">
        <v>1.0</v>
      </c>
      <c r="S754" s="362">
        <v>9.0</v>
      </c>
      <c r="T754" s="201">
        <v>2026.0</v>
      </c>
      <c r="U754" s="189" t="s">
        <v>36</v>
      </c>
      <c r="V754" s="201">
        <v>75.18</v>
      </c>
      <c r="W754" s="361">
        <v>46266.0</v>
      </c>
      <c r="X754" s="201">
        <v>1.0</v>
      </c>
      <c r="Y754" s="201">
        <v>9.0</v>
      </c>
      <c r="Z754" s="201">
        <v>2026.0</v>
      </c>
      <c r="AA754" s="189" t="s">
        <v>36</v>
      </c>
    </row>
    <row r="755" ht="15.75" hidden="1" customHeight="1">
      <c r="A755" s="189" t="s">
        <v>2389</v>
      </c>
      <c r="B755" s="201">
        <v>6.492372905E9</v>
      </c>
      <c r="C755" s="361">
        <v>46259.0</v>
      </c>
      <c r="D755" s="201">
        <v>25.0</v>
      </c>
      <c r="E755" s="201">
        <v>8.0</v>
      </c>
      <c r="F755" s="201">
        <v>2026.0</v>
      </c>
      <c r="G755" s="361">
        <v>46261.0</v>
      </c>
      <c r="H755" s="201">
        <v>27.0</v>
      </c>
      <c r="I755" s="201">
        <v>8.0</v>
      </c>
      <c r="J755" s="201">
        <v>2026.0</v>
      </c>
      <c r="K755" s="189" t="s">
        <v>36</v>
      </c>
      <c r="L755" s="189" t="s">
        <v>1177</v>
      </c>
      <c r="M755" s="201">
        <v>1.0</v>
      </c>
      <c r="N755" s="201">
        <v>2.0</v>
      </c>
      <c r="O755" s="201">
        <f t="shared" si="4"/>
        <v>2</v>
      </c>
      <c r="P755" s="201">
        <v>4.0</v>
      </c>
      <c r="Q755" s="361">
        <v>46266.0</v>
      </c>
      <c r="R755" s="362">
        <v>1.0</v>
      </c>
      <c r="S755" s="362">
        <v>9.0</v>
      </c>
      <c r="T755" s="201">
        <v>2026.0</v>
      </c>
      <c r="U755" s="189" t="s">
        <v>36</v>
      </c>
      <c r="V755" s="201">
        <v>75.18</v>
      </c>
      <c r="W755" s="361">
        <v>46266.0</v>
      </c>
      <c r="X755" s="201">
        <v>1.0</v>
      </c>
      <c r="Y755" s="201">
        <v>9.0</v>
      </c>
      <c r="Z755" s="201">
        <v>2026.0</v>
      </c>
      <c r="AA755" s="189" t="s">
        <v>36</v>
      </c>
    </row>
    <row r="756" ht="15.75" hidden="1" customHeight="1">
      <c r="A756" s="189" t="s">
        <v>2390</v>
      </c>
      <c r="B756" s="201">
        <v>5.648192855E9</v>
      </c>
      <c r="C756" s="361">
        <v>46259.0</v>
      </c>
      <c r="D756" s="201">
        <v>25.0</v>
      </c>
      <c r="E756" s="201">
        <v>8.0</v>
      </c>
      <c r="F756" s="201">
        <v>2026.0</v>
      </c>
      <c r="G756" s="361">
        <v>46261.0</v>
      </c>
      <c r="H756" s="201">
        <v>27.0</v>
      </c>
      <c r="I756" s="201">
        <v>8.0</v>
      </c>
      <c r="J756" s="201">
        <v>2026.0</v>
      </c>
      <c r="K756" s="189" t="s">
        <v>36</v>
      </c>
      <c r="L756" s="189" t="s">
        <v>1177</v>
      </c>
      <c r="M756" s="201">
        <v>1.0</v>
      </c>
      <c r="N756" s="201">
        <v>2.0</v>
      </c>
      <c r="O756" s="201">
        <f t="shared" si="4"/>
        <v>2</v>
      </c>
      <c r="P756" s="201">
        <v>4.0</v>
      </c>
      <c r="Q756" s="361">
        <v>46266.0</v>
      </c>
      <c r="R756" s="362">
        <v>1.0</v>
      </c>
      <c r="S756" s="362">
        <v>9.0</v>
      </c>
      <c r="T756" s="201">
        <v>2026.0</v>
      </c>
      <c r="U756" s="189" t="s">
        <v>36</v>
      </c>
      <c r="V756" s="201">
        <v>75.18</v>
      </c>
      <c r="W756" s="361">
        <v>46266.0</v>
      </c>
      <c r="X756" s="201">
        <v>1.0</v>
      </c>
      <c r="Y756" s="201">
        <v>9.0</v>
      </c>
      <c r="Z756" s="201">
        <v>2026.0</v>
      </c>
      <c r="AA756" s="189" t="s">
        <v>36</v>
      </c>
    </row>
    <row r="757" ht="15.75" hidden="1" customHeight="1">
      <c r="A757" s="189" t="s">
        <v>2391</v>
      </c>
      <c r="B757" s="201">
        <v>6.878563984E9</v>
      </c>
      <c r="C757" s="361">
        <v>46255.0</v>
      </c>
      <c r="D757" s="201">
        <v>21.0</v>
      </c>
      <c r="E757" s="201">
        <v>8.0</v>
      </c>
      <c r="F757" s="201">
        <v>2026.0</v>
      </c>
      <c r="G757" s="361">
        <v>46257.0</v>
      </c>
      <c r="H757" s="201">
        <v>23.0</v>
      </c>
      <c r="I757" s="201">
        <v>8.0</v>
      </c>
      <c r="J757" s="201">
        <v>2026.0</v>
      </c>
      <c r="K757" s="189" t="s">
        <v>36</v>
      </c>
      <c r="L757" s="189" t="s">
        <v>1177</v>
      </c>
      <c r="M757" s="201">
        <v>1.0</v>
      </c>
      <c r="N757" s="201">
        <v>2.0</v>
      </c>
      <c r="O757" s="201">
        <f t="shared" si="4"/>
        <v>2</v>
      </c>
      <c r="P757" s="201">
        <v>4.0</v>
      </c>
      <c r="Q757" s="361">
        <v>46266.0</v>
      </c>
      <c r="R757" s="362">
        <v>1.0</v>
      </c>
      <c r="S757" s="362">
        <v>9.0</v>
      </c>
      <c r="T757" s="201">
        <v>2026.0</v>
      </c>
      <c r="U757" s="189" t="s">
        <v>36</v>
      </c>
      <c r="V757" s="201">
        <v>75.18</v>
      </c>
      <c r="W757" s="361">
        <v>46266.0</v>
      </c>
      <c r="X757" s="201">
        <v>1.0</v>
      </c>
      <c r="Y757" s="201">
        <v>9.0</v>
      </c>
      <c r="Z757" s="201">
        <v>2026.0</v>
      </c>
      <c r="AA757" s="189" t="s">
        <v>36</v>
      </c>
    </row>
    <row r="758" ht="15.75" hidden="1" customHeight="1">
      <c r="A758" s="189" t="s">
        <v>2392</v>
      </c>
      <c r="B758" s="201">
        <v>6.866121514E9</v>
      </c>
      <c r="C758" s="361">
        <v>46254.0</v>
      </c>
      <c r="D758" s="201">
        <v>20.0</v>
      </c>
      <c r="E758" s="201">
        <v>8.0</v>
      </c>
      <c r="F758" s="201">
        <v>2026.0</v>
      </c>
      <c r="G758" s="361">
        <v>46256.0</v>
      </c>
      <c r="H758" s="201">
        <v>22.0</v>
      </c>
      <c r="I758" s="201">
        <v>8.0</v>
      </c>
      <c r="J758" s="201">
        <v>2026.0</v>
      </c>
      <c r="K758" s="189" t="s">
        <v>36</v>
      </c>
      <c r="L758" s="189" t="s">
        <v>1177</v>
      </c>
      <c r="M758" s="201">
        <v>1.0</v>
      </c>
      <c r="N758" s="201">
        <v>2.0</v>
      </c>
      <c r="O758" s="201">
        <f t="shared" si="4"/>
        <v>2</v>
      </c>
      <c r="P758" s="201">
        <v>4.0</v>
      </c>
      <c r="Q758" s="361">
        <v>46266.0</v>
      </c>
      <c r="R758" s="362">
        <v>1.0</v>
      </c>
      <c r="S758" s="362">
        <v>9.0</v>
      </c>
      <c r="T758" s="201">
        <v>2026.0</v>
      </c>
      <c r="U758" s="189" t="s">
        <v>36</v>
      </c>
      <c r="V758" s="201">
        <v>75.18</v>
      </c>
      <c r="W758" s="361">
        <v>46266.0</v>
      </c>
      <c r="X758" s="201">
        <v>1.0</v>
      </c>
      <c r="Y758" s="201">
        <v>9.0</v>
      </c>
      <c r="Z758" s="201">
        <v>2026.0</v>
      </c>
      <c r="AA758" s="189" t="s">
        <v>36</v>
      </c>
    </row>
    <row r="759" ht="15.75" hidden="1" customHeight="1">
      <c r="A759" s="189" t="s">
        <v>2393</v>
      </c>
      <c r="B759" s="201">
        <v>5.98382561E9</v>
      </c>
      <c r="C759" s="361">
        <v>46249.0</v>
      </c>
      <c r="D759" s="201">
        <v>15.0</v>
      </c>
      <c r="E759" s="201">
        <v>8.0</v>
      </c>
      <c r="F759" s="201">
        <v>2026.0</v>
      </c>
      <c r="G759" s="361">
        <v>46251.0</v>
      </c>
      <c r="H759" s="201">
        <v>17.0</v>
      </c>
      <c r="I759" s="201">
        <v>8.0</v>
      </c>
      <c r="J759" s="201">
        <v>2026.0</v>
      </c>
      <c r="K759" s="189" t="s">
        <v>36</v>
      </c>
      <c r="L759" s="189" t="s">
        <v>1177</v>
      </c>
      <c r="M759" s="201">
        <v>1.0</v>
      </c>
      <c r="N759" s="201">
        <v>2.0</v>
      </c>
      <c r="O759" s="201">
        <f t="shared" si="4"/>
        <v>2</v>
      </c>
      <c r="P759" s="201">
        <v>4.0</v>
      </c>
      <c r="Q759" s="361">
        <v>46266.0</v>
      </c>
      <c r="R759" s="362">
        <v>1.0</v>
      </c>
      <c r="S759" s="362">
        <v>9.0</v>
      </c>
      <c r="T759" s="201">
        <v>2026.0</v>
      </c>
      <c r="U759" s="189" t="s">
        <v>36</v>
      </c>
      <c r="V759" s="201">
        <v>75.18</v>
      </c>
      <c r="W759" s="361">
        <v>46266.0</v>
      </c>
      <c r="X759" s="201">
        <v>1.0</v>
      </c>
      <c r="Y759" s="201">
        <v>9.0</v>
      </c>
      <c r="Z759" s="201">
        <v>2026.0</v>
      </c>
      <c r="AA759" s="189" t="s">
        <v>36</v>
      </c>
    </row>
    <row r="760" ht="15.75" hidden="1" customHeight="1">
      <c r="A760" s="189" t="s">
        <v>2394</v>
      </c>
      <c r="B760" s="201">
        <v>6.946977176E9</v>
      </c>
      <c r="C760" s="361">
        <v>46247.0</v>
      </c>
      <c r="D760" s="201">
        <v>13.0</v>
      </c>
      <c r="E760" s="201">
        <v>8.0</v>
      </c>
      <c r="F760" s="201">
        <v>2026.0</v>
      </c>
      <c r="G760" s="361">
        <v>46249.0</v>
      </c>
      <c r="H760" s="201">
        <v>15.0</v>
      </c>
      <c r="I760" s="201">
        <v>8.0</v>
      </c>
      <c r="J760" s="201">
        <v>2026.0</v>
      </c>
      <c r="K760" s="189" t="s">
        <v>36</v>
      </c>
      <c r="L760" s="189" t="s">
        <v>1177</v>
      </c>
      <c r="M760" s="201">
        <v>1.0</v>
      </c>
      <c r="N760" s="201">
        <v>2.0</v>
      </c>
      <c r="O760" s="201">
        <f t="shared" si="4"/>
        <v>2</v>
      </c>
      <c r="P760" s="201">
        <v>4.0</v>
      </c>
      <c r="Q760" s="361">
        <v>46266.0</v>
      </c>
      <c r="R760" s="362">
        <v>1.0</v>
      </c>
      <c r="S760" s="362">
        <v>9.0</v>
      </c>
      <c r="T760" s="201">
        <v>2026.0</v>
      </c>
      <c r="U760" s="189" t="s">
        <v>36</v>
      </c>
      <c r="V760" s="201">
        <v>75.18</v>
      </c>
      <c r="W760" s="361">
        <v>46266.0</v>
      </c>
      <c r="X760" s="201">
        <v>1.0</v>
      </c>
      <c r="Y760" s="201">
        <v>9.0</v>
      </c>
      <c r="Z760" s="201">
        <v>2026.0</v>
      </c>
      <c r="AA760" s="189" t="s">
        <v>36</v>
      </c>
    </row>
    <row r="761" ht="15.75" hidden="1" customHeight="1">
      <c r="A761" s="189" t="s">
        <v>2395</v>
      </c>
      <c r="B761" s="201">
        <v>5.544548033E9</v>
      </c>
      <c r="C761" s="361">
        <v>46247.0</v>
      </c>
      <c r="D761" s="201">
        <v>13.0</v>
      </c>
      <c r="E761" s="201">
        <v>8.0</v>
      </c>
      <c r="F761" s="201">
        <v>2026.0</v>
      </c>
      <c r="G761" s="361">
        <v>46249.0</v>
      </c>
      <c r="H761" s="201">
        <v>15.0</v>
      </c>
      <c r="I761" s="201">
        <v>8.0</v>
      </c>
      <c r="J761" s="201">
        <v>2026.0</v>
      </c>
      <c r="K761" s="189" t="s">
        <v>36</v>
      </c>
      <c r="L761" s="189" t="s">
        <v>1177</v>
      </c>
      <c r="M761" s="201">
        <v>1.0</v>
      </c>
      <c r="N761" s="201">
        <v>2.0</v>
      </c>
      <c r="O761" s="201">
        <f t="shared" si="4"/>
        <v>2</v>
      </c>
      <c r="P761" s="201">
        <v>4.0</v>
      </c>
      <c r="Q761" s="361">
        <v>46266.0</v>
      </c>
      <c r="R761" s="362">
        <v>1.0</v>
      </c>
      <c r="S761" s="362">
        <v>9.0</v>
      </c>
      <c r="T761" s="201">
        <v>2026.0</v>
      </c>
      <c r="U761" s="189" t="s">
        <v>36</v>
      </c>
      <c r="V761" s="201">
        <v>75.18</v>
      </c>
      <c r="W761" s="361">
        <v>46266.0</v>
      </c>
      <c r="X761" s="201">
        <v>1.0</v>
      </c>
      <c r="Y761" s="201">
        <v>9.0</v>
      </c>
      <c r="Z761" s="201">
        <v>2026.0</v>
      </c>
      <c r="AA761" s="189" t="s">
        <v>36</v>
      </c>
    </row>
    <row r="762" ht="15.75" hidden="1" customHeight="1">
      <c r="A762" s="189" t="s">
        <v>1798</v>
      </c>
      <c r="B762" s="201">
        <v>5.863504716E9</v>
      </c>
      <c r="C762" s="361">
        <v>46237.0</v>
      </c>
      <c r="D762" s="201">
        <v>3.0</v>
      </c>
      <c r="E762" s="201">
        <v>8.0</v>
      </c>
      <c r="F762" s="201">
        <v>2026.0</v>
      </c>
      <c r="G762" s="361">
        <v>46239.0</v>
      </c>
      <c r="H762" s="201">
        <v>5.0</v>
      </c>
      <c r="I762" s="201">
        <v>8.0</v>
      </c>
      <c r="J762" s="201">
        <v>2026.0</v>
      </c>
      <c r="K762" s="189" t="s">
        <v>36</v>
      </c>
      <c r="L762" s="189" t="s">
        <v>1177</v>
      </c>
      <c r="M762" s="201">
        <v>1.0</v>
      </c>
      <c r="N762" s="201">
        <v>2.0</v>
      </c>
      <c r="O762" s="201">
        <f t="shared" si="4"/>
        <v>2</v>
      </c>
      <c r="P762" s="201">
        <v>4.0</v>
      </c>
      <c r="Q762" s="361">
        <v>46266.0</v>
      </c>
      <c r="R762" s="362">
        <v>1.0</v>
      </c>
      <c r="S762" s="362">
        <v>9.0</v>
      </c>
      <c r="T762" s="201">
        <v>2026.0</v>
      </c>
      <c r="U762" s="189" t="s">
        <v>36</v>
      </c>
      <c r="V762" s="201">
        <v>75.18</v>
      </c>
      <c r="W762" s="361">
        <v>46266.0</v>
      </c>
      <c r="X762" s="201">
        <v>1.0</v>
      </c>
      <c r="Y762" s="201">
        <v>9.0</v>
      </c>
      <c r="Z762" s="201">
        <v>2026.0</v>
      </c>
      <c r="AA762" s="189" t="s">
        <v>36</v>
      </c>
    </row>
    <row r="763" ht="15.75" hidden="1" customHeight="1">
      <c r="A763" s="189" t="s">
        <v>2396</v>
      </c>
      <c r="B763" s="201">
        <v>5.601675546E9</v>
      </c>
      <c r="C763" s="361">
        <v>46235.0</v>
      </c>
      <c r="D763" s="201">
        <v>1.0</v>
      </c>
      <c r="E763" s="201">
        <v>8.0</v>
      </c>
      <c r="F763" s="201">
        <v>2026.0</v>
      </c>
      <c r="G763" s="361">
        <v>46236.0</v>
      </c>
      <c r="H763" s="201">
        <v>2.0</v>
      </c>
      <c r="I763" s="201">
        <v>8.0</v>
      </c>
      <c r="J763" s="201">
        <v>2026.0</v>
      </c>
      <c r="K763" s="189" t="s">
        <v>36</v>
      </c>
      <c r="L763" s="189" t="s">
        <v>1177</v>
      </c>
      <c r="M763" s="201">
        <v>2.0</v>
      </c>
      <c r="N763" s="201">
        <v>1.0</v>
      </c>
      <c r="O763" s="201">
        <f t="shared" si="4"/>
        <v>2</v>
      </c>
      <c r="P763" s="201">
        <v>4.0</v>
      </c>
      <c r="Q763" s="361">
        <v>46266.0</v>
      </c>
      <c r="R763" s="362">
        <v>1.0</v>
      </c>
      <c r="S763" s="362">
        <v>9.0</v>
      </c>
      <c r="T763" s="201">
        <v>2026.0</v>
      </c>
      <c r="U763" s="189" t="s">
        <v>36</v>
      </c>
      <c r="V763" s="201">
        <v>75.18</v>
      </c>
      <c r="W763" s="361">
        <v>46266.0</v>
      </c>
      <c r="X763" s="201">
        <v>1.0</v>
      </c>
      <c r="Y763" s="201">
        <v>9.0</v>
      </c>
      <c r="Z763" s="201">
        <v>2026.0</v>
      </c>
      <c r="AA763" s="189" t="s">
        <v>36</v>
      </c>
    </row>
    <row r="764" ht="15.75" hidden="1" customHeight="1">
      <c r="A764" s="189" t="s">
        <v>2397</v>
      </c>
      <c r="B764" s="201">
        <v>6.578717966E9</v>
      </c>
      <c r="C764" s="361">
        <v>46259.0</v>
      </c>
      <c r="D764" s="201">
        <v>25.0</v>
      </c>
      <c r="E764" s="201">
        <v>8.0</v>
      </c>
      <c r="F764" s="201">
        <v>2026.0</v>
      </c>
      <c r="G764" s="361">
        <v>46261.0</v>
      </c>
      <c r="H764" s="201">
        <v>27.0</v>
      </c>
      <c r="I764" s="201">
        <v>8.0</v>
      </c>
      <c r="J764" s="201">
        <v>2026.0</v>
      </c>
      <c r="K764" s="189" t="s">
        <v>36</v>
      </c>
      <c r="L764" s="189" t="s">
        <v>1177</v>
      </c>
      <c r="M764" s="201">
        <v>2.0</v>
      </c>
      <c r="N764" s="201">
        <v>2.0</v>
      </c>
      <c r="O764" s="201">
        <f t="shared" si="4"/>
        <v>4</v>
      </c>
      <c r="P764" s="201">
        <v>8.0</v>
      </c>
      <c r="Q764" s="361">
        <v>46266.0</v>
      </c>
      <c r="R764" s="362">
        <v>1.0</v>
      </c>
      <c r="S764" s="362">
        <v>9.0</v>
      </c>
      <c r="T764" s="201">
        <v>2026.0</v>
      </c>
      <c r="U764" s="189" t="s">
        <v>36</v>
      </c>
      <c r="V764" s="201">
        <v>150.36</v>
      </c>
      <c r="W764" s="361">
        <v>46266.0</v>
      </c>
      <c r="X764" s="201">
        <v>1.0</v>
      </c>
      <c r="Y764" s="201">
        <v>9.0</v>
      </c>
      <c r="Z764" s="201">
        <v>2026.0</v>
      </c>
      <c r="AA764" s="189" t="s">
        <v>36</v>
      </c>
    </row>
    <row r="765" ht="15.75" hidden="1" customHeight="1">
      <c r="A765" s="189" t="s">
        <v>2398</v>
      </c>
      <c r="B765" s="201">
        <v>6.394024947E9</v>
      </c>
      <c r="C765" s="361">
        <v>46256.0</v>
      </c>
      <c r="D765" s="201">
        <v>22.0</v>
      </c>
      <c r="E765" s="201">
        <v>8.0</v>
      </c>
      <c r="F765" s="201">
        <v>2026.0</v>
      </c>
      <c r="G765" s="361">
        <v>46261.0</v>
      </c>
      <c r="H765" s="201">
        <v>27.0</v>
      </c>
      <c r="I765" s="201">
        <v>8.0</v>
      </c>
      <c r="J765" s="201">
        <v>2026.0</v>
      </c>
      <c r="K765" s="189" t="s">
        <v>36</v>
      </c>
      <c r="L765" s="189" t="s">
        <v>1177</v>
      </c>
      <c r="M765" s="201">
        <v>1.0</v>
      </c>
      <c r="N765" s="201">
        <v>5.0</v>
      </c>
      <c r="O765" s="201">
        <f t="shared" si="4"/>
        <v>5</v>
      </c>
      <c r="P765" s="201">
        <v>10.0</v>
      </c>
      <c r="Q765" s="361">
        <v>46266.0</v>
      </c>
      <c r="R765" s="362">
        <v>1.0</v>
      </c>
      <c r="S765" s="362">
        <v>9.0</v>
      </c>
      <c r="T765" s="201">
        <v>2026.0</v>
      </c>
      <c r="U765" s="189" t="s">
        <v>36</v>
      </c>
      <c r="V765" s="201">
        <v>187.96</v>
      </c>
      <c r="W765" s="361">
        <v>46266.0</v>
      </c>
      <c r="X765" s="201">
        <v>1.0</v>
      </c>
      <c r="Y765" s="201">
        <v>9.0</v>
      </c>
      <c r="Z765" s="201">
        <v>2026.0</v>
      </c>
      <c r="AA765" s="189" t="s">
        <v>36</v>
      </c>
    </row>
    <row r="766" ht="15.75" hidden="1" customHeight="1">
      <c r="A766" s="189" t="s">
        <v>2399</v>
      </c>
      <c r="B766" s="201">
        <v>6.131611443E9</v>
      </c>
      <c r="C766" s="361">
        <v>46246.0</v>
      </c>
      <c r="D766" s="201">
        <v>12.0</v>
      </c>
      <c r="E766" s="201">
        <v>8.0</v>
      </c>
      <c r="F766" s="201">
        <v>2026.0</v>
      </c>
      <c r="G766" s="361">
        <v>46250.0</v>
      </c>
      <c r="H766" s="201">
        <v>16.0</v>
      </c>
      <c r="I766" s="201">
        <v>8.0</v>
      </c>
      <c r="J766" s="201">
        <v>2026.0</v>
      </c>
      <c r="K766" s="189" t="s">
        <v>36</v>
      </c>
      <c r="L766" s="189" t="s">
        <v>1177</v>
      </c>
      <c r="M766" s="201">
        <v>1.0</v>
      </c>
      <c r="N766" s="201">
        <v>4.0</v>
      </c>
      <c r="O766" s="201">
        <f t="shared" si="4"/>
        <v>4</v>
      </c>
      <c r="P766" s="201">
        <v>8.0</v>
      </c>
      <c r="Q766" s="361">
        <v>46266.0</v>
      </c>
      <c r="R766" s="362">
        <v>1.0</v>
      </c>
      <c r="S766" s="362">
        <v>9.0</v>
      </c>
      <c r="T766" s="201">
        <v>2026.0</v>
      </c>
      <c r="U766" s="189" t="s">
        <v>36</v>
      </c>
      <c r="V766" s="201">
        <v>150.37</v>
      </c>
      <c r="W766" s="361">
        <v>46266.0</v>
      </c>
      <c r="X766" s="201">
        <v>1.0</v>
      </c>
      <c r="Y766" s="201">
        <v>9.0</v>
      </c>
      <c r="Z766" s="201">
        <v>2026.0</v>
      </c>
      <c r="AA766" s="189" t="s">
        <v>36</v>
      </c>
    </row>
    <row r="767" ht="15.75" hidden="1" customHeight="1">
      <c r="A767" s="189" t="s">
        <v>2400</v>
      </c>
      <c r="B767" s="201">
        <v>6.930069632E9</v>
      </c>
      <c r="C767" s="361">
        <v>46262.0</v>
      </c>
      <c r="D767" s="201">
        <v>28.0</v>
      </c>
      <c r="E767" s="201">
        <v>8.0</v>
      </c>
      <c r="F767" s="201">
        <v>2026.0</v>
      </c>
      <c r="G767" s="361">
        <v>46265.0</v>
      </c>
      <c r="H767" s="201">
        <v>31.0</v>
      </c>
      <c r="I767" s="201">
        <v>8.0</v>
      </c>
      <c r="J767" s="201">
        <v>2026.0</v>
      </c>
      <c r="K767" s="189" t="s">
        <v>36</v>
      </c>
      <c r="L767" s="189" t="s">
        <v>1177</v>
      </c>
      <c r="M767" s="201">
        <v>1.0</v>
      </c>
      <c r="N767" s="201">
        <v>3.0</v>
      </c>
      <c r="O767" s="201">
        <f t="shared" si="4"/>
        <v>3</v>
      </c>
      <c r="P767" s="201">
        <v>6.0</v>
      </c>
      <c r="Q767" s="361">
        <v>46266.0</v>
      </c>
      <c r="R767" s="362">
        <v>1.0</v>
      </c>
      <c r="S767" s="362">
        <v>9.0</v>
      </c>
      <c r="T767" s="201">
        <v>2026.0</v>
      </c>
      <c r="U767" s="189" t="s">
        <v>36</v>
      </c>
      <c r="V767" s="201">
        <v>112.78</v>
      </c>
      <c r="W767" s="361">
        <v>46266.0</v>
      </c>
      <c r="X767" s="201">
        <v>1.0</v>
      </c>
      <c r="Y767" s="201">
        <v>9.0</v>
      </c>
      <c r="Z767" s="201">
        <v>2026.0</v>
      </c>
      <c r="AA767" s="189" t="s">
        <v>36</v>
      </c>
    </row>
    <row r="768" ht="15.75" hidden="1" customHeight="1">
      <c r="A768" s="189" t="s">
        <v>2401</v>
      </c>
      <c r="B768" s="201">
        <v>5.09836488E9</v>
      </c>
      <c r="C768" s="361">
        <v>46262.0</v>
      </c>
      <c r="D768" s="201">
        <v>28.0</v>
      </c>
      <c r="E768" s="201">
        <v>8.0</v>
      </c>
      <c r="F768" s="201">
        <v>2026.0</v>
      </c>
      <c r="G768" s="361">
        <v>46265.0</v>
      </c>
      <c r="H768" s="201">
        <v>31.0</v>
      </c>
      <c r="I768" s="201">
        <v>8.0</v>
      </c>
      <c r="J768" s="201">
        <v>2026.0</v>
      </c>
      <c r="K768" s="189" t="s">
        <v>36</v>
      </c>
      <c r="L768" s="189" t="s">
        <v>1177</v>
      </c>
      <c r="M768" s="201">
        <v>1.0</v>
      </c>
      <c r="N768" s="201">
        <v>3.0</v>
      </c>
      <c r="O768" s="201">
        <f t="shared" si="4"/>
        <v>3</v>
      </c>
      <c r="P768" s="201">
        <v>6.0</v>
      </c>
      <c r="Q768" s="361">
        <v>46266.0</v>
      </c>
      <c r="R768" s="362">
        <v>1.0</v>
      </c>
      <c r="S768" s="362">
        <v>9.0</v>
      </c>
      <c r="T768" s="201">
        <v>2026.0</v>
      </c>
      <c r="U768" s="189" t="s">
        <v>36</v>
      </c>
      <c r="V768" s="201">
        <v>112.78</v>
      </c>
      <c r="W768" s="361">
        <v>46266.0</v>
      </c>
      <c r="X768" s="201">
        <v>1.0</v>
      </c>
      <c r="Y768" s="201">
        <v>9.0</v>
      </c>
      <c r="Z768" s="201">
        <v>2026.0</v>
      </c>
      <c r="AA768" s="189" t="s">
        <v>36</v>
      </c>
    </row>
    <row r="769" ht="15.75" hidden="1" customHeight="1">
      <c r="A769" s="189" t="s">
        <v>2402</v>
      </c>
      <c r="B769" s="201">
        <v>6.245854719E9</v>
      </c>
      <c r="C769" s="361">
        <v>46261.0</v>
      </c>
      <c r="D769" s="201">
        <v>27.0</v>
      </c>
      <c r="E769" s="201">
        <v>8.0</v>
      </c>
      <c r="F769" s="201">
        <v>2026.0</v>
      </c>
      <c r="G769" s="361">
        <v>46264.0</v>
      </c>
      <c r="H769" s="201">
        <v>30.0</v>
      </c>
      <c r="I769" s="201">
        <v>8.0</v>
      </c>
      <c r="J769" s="201">
        <v>2026.0</v>
      </c>
      <c r="K769" s="189" t="s">
        <v>36</v>
      </c>
      <c r="L769" s="189" t="s">
        <v>1177</v>
      </c>
      <c r="M769" s="201">
        <v>1.0</v>
      </c>
      <c r="N769" s="201">
        <v>3.0</v>
      </c>
      <c r="O769" s="201">
        <f t="shared" si="4"/>
        <v>3</v>
      </c>
      <c r="P769" s="201">
        <v>6.0</v>
      </c>
      <c r="Q769" s="361">
        <v>46266.0</v>
      </c>
      <c r="R769" s="362">
        <v>1.0</v>
      </c>
      <c r="S769" s="362">
        <v>9.0</v>
      </c>
      <c r="T769" s="201">
        <v>2026.0</v>
      </c>
      <c r="U769" s="189" t="s">
        <v>36</v>
      </c>
      <c r="V769" s="201">
        <v>112.78</v>
      </c>
      <c r="W769" s="361">
        <v>46266.0</v>
      </c>
      <c r="X769" s="201">
        <v>1.0</v>
      </c>
      <c r="Y769" s="201">
        <v>9.0</v>
      </c>
      <c r="Z769" s="201">
        <v>2026.0</v>
      </c>
      <c r="AA769" s="189" t="s">
        <v>36</v>
      </c>
    </row>
    <row r="770" ht="15.75" hidden="1" customHeight="1">
      <c r="A770" s="189" t="s">
        <v>2403</v>
      </c>
      <c r="B770" s="201">
        <v>6.223137585E9</v>
      </c>
      <c r="C770" s="361">
        <v>46255.0</v>
      </c>
      <c r="D770" s="201">
        <v>21.0</v>
      </c>
      <c r="E770" s="201">
        <v>8.0</v>
      </c>
      <c r="F770" s="201">
        <v>2026.0</v>
      </c>
      <c r="G770" s="361">
        <v>46258.0</v>
      </c>
      <c r="H770" s="201">
        <v>24.0</v>
      </c>
      <c r="I770" s="201">
        <v>8.0</v>
      </c>
      <c r="J770" s="201">
        <v>2026.0</v>
      </c>
      <c r="K770" s="189" t="s">
        <v>36</v>
      </c>
      <c r="L770" s="189" t="s">
        <v>1177</v>
      </c>
      <c r="M770" s="201">
        <v>1.0</v>
      </c>
      <c r="N770" s="201">
        <v>3.0</v>
      </c>
      <c r="O770" s="201">
        <f t="shared" si="4"/>
        <v>3</v>
      </c>
      <c r="P770" s="201">
        <v>6.0</v>
      </c>
      <c r="Q770" s="361">
        <v>46266.0</v>
      </c>
      <c r="R770" s="362">
        <v>1.0</v>
      </c>
      <c r="S770" s="362">
        <v>9.0</v>
      </c>
      <c r="T770" s="201">
        <v>2026.0</v>
      </c>
      <c r="U770" s="189" t="s">
        <v>36</v>
      </c>
      <c r="V770" s="201">
        <v>112.78</v>
      </c>
      <c r="W770" s="361">
        <v>46266.0</v>
      </c>
      <c r="X770" s="201">
        <v>1.0</v>
      </c>
      <c r="Y770" s="201">
        <v>9.0</v>
      </c>
      <c r="Z770" s="201">
        <v>2026.0</v>
      </c>
      <c r="AA770" s="189" t="s">
        <v>36</v>
      </c>
    </row>
    <row r="771" ht="15.75" hidden="1" customHeight="1">
      <c r="A771" s="189" t="s">
        <v>2404</v>
      </c>
      <c r="B771" s="201">
        <v>6.588089096E9</v>
      </c>
      <c r="C771" s="361">
        <v>46236.0</v>
      </c>
      <c r="D771" s="201">
        <v>2.0</v>
      </c>
      <c r="E771" s="201">
        <v>8.0</v>
      </c>
      <c r="F771" s="201">
        <v>2026.0</v>
      </c>
      <c r="G771" s="361">
        <v>46239.0</v>
      </c>
      <c r="H771" s="201">
        <v>5.0</v>
      </c>
      <c r="I771" s="201">
        <v>8.0</v>
      </c>
      <c r="J771" s="201">
        <v>2026.0</v>
      </c>
      <c r="K771" s="189" t="s">
        <v>36</v>
      </c>
      <c r="L771" s="189" t="s">
        <v>1177</v>
      </c>
      <c r="M771" s="201">
        <v>1.0</v>
      </c>
      <c r="N771" s="201">
        <v>3.0</v>
      </c>
      <c r="O771" s="201">
        <f t="shared" si="4"/>
        <v>3</v>
      </c>
      <c r="P771" s="201">
        <v>6.0</v>
      </c>
      <c r="Q771" s="361">
        <v>46266.0</v>
      </c>
      <c r="R771" s="362">
        <v>1.0</v>
      </c>
      <c r="S771" s="362">
        <v>9.0</v>
      </c>
      <c r="T771" s="201">
        <v>2026.0</v>
      </c>
      <c r="U771" s="189" t="s">
        <v>36</v>
      </c>
      <c r="V771" s="201">
        <v>112.78</v>
      </c>
      <c r="W771" s="361">
        <v>46266.0</v>
      </c>
      <c r="X771" s="201">
        <v>1.0</v>
      </c>
      <c r="Y771" s="201">
        <v>9.0</v>
      </c>
      <c r="Z771" s="201">
        <v>2026.0</v>
      </c>
      <c r="AA771" s="189" t="s">
        <v>36</v>
      </c>
    </row>
    <row r="772" ht="15.75" hidden="1" customHeight="1">
      <c r="A772" s="189" t="s">
        <v>2405</v>
      </c>
      <c r="B772" s="189" t="s">
        <v>2406</v>
      </c>
      <c r="C772" s="361">
        <v>46249.0</v>
      </c>
      <c r="D772" s="201">
        <v>15.0</v>
      </c>
      <c r="E772" s="201">
        <v>8.0</v>
      </c>
      <c r="F772" s="201">
        <v>2026.0</v>
      </c>
      <c r="G772" s="361">
        <v>46250.0</v>
      </c>
      <c r="H772" s="201">
        <v>16.0</v>
      </c>
      <c r="I772" s="201">
        <v>8.0</v>
      </c>
      <c r="J772" s="201">
        <v>2026.0</v>
      </c>
      <c r="K772" s="189" t="s">
        <v>51</v>
      </c>
      <c r="L772" s="189" t="s">
        <v>1177</v>
      </c>
      <c r="M772" s="201">
        <v>1.0</v>
      </c>
      <c r="N772" s="201">
        <v>1.0</v>
      </c>
      <c r="O772" s="201">
        <f t="shared" si="4"/>
        <v>1</v>
      </c>
      <c r="P772" s="201">
        <v>2.0</v>
      </c>
      <c r="Q772" s="361">
        <v>46265.0</v>
      </c>
      <c r="R772" s="362">
        <v>31.0</v>
      </c>
      <c r="S772" s="362">
        <v>8.0</v>
      </c>
      <c r="T772" s="201">
        <v>2026.0</v>
      </c>
      <c r="U772" s="189" t="s">
        <v>2</v>
      </c>
      <c r="V772" s="201">
        <v>38.02</v>
      </c>
      <c r="W772" s="361">
        <v>46265.0</v>
      </c>
      <c r="X772" s="201">
        <v>31.0</v>
      </c>
      <c r="Y772" s="201">
        <v>8.0</v>
      </c>
      <c r="Z772" s="201">
        <v>2026.0</v>
      </c>
      <c r="AA772" s="189" t="s">
        <v>2</v>
      </c>
    </row>
    <row r="773" ht="15.75" hidden="1" customHeight="1">
      <c r="A773" s="189" t="s">
        <v>2407</v>
      </c>
      <c r="B773" s="189" t="s">
        <v>2408</v>
      </c>
      <c r="C773" s="361">
        <v>46256.0</v>
      </c>
      <c r="D773" s="201">
        <v>22.0</v>
      </c>
      <c r="E773" s="201">
        <v>8.0</v>
      </c>
      <c r="F773" s="201">
        <v>2026.0</v>
      </c>
      <c r="G773" s="361">
        <v>46257.0</v>
      </c>
      <c r="H773" s="201">
        <v>23.0</v>
      </c>
      <c r="I773" s="201">
        <v>8.0</v>
      </c>
      <c r="J773" s="201">
        <v>2026.0</v>
      </c>
      <c r="K773" s="189" t="s">
        <v>51</v>
      </c>
      <c r="L773" s="189" t="s">
        <v>1177</v>
      </c>
      <c r="M773" s="201">
        <v>1.0</v>
      </c>
      <c r="N773" s="201">
        <v>1.0</v>
      </c>
      <c r="O773" s="201">
        <f t="shared" si="4"/>
        <v>1</v>
      </c>
      <c r="P773" s="201">
        <v>2.0</v>
      </c>
      <c r="Q773" s="361">
        <v>46265.0</v>
      </c>
      <c r="R773" s="362">
        <v>31.0</v>
      </c>
      <c r="S773" s="362">
        <v>8.0</v>
      </c>
      <c r="T773" s="201">
        <v>2026.0</v>
      </c>
      <c r="U773" s="189" t="s">
        <v>2</v>
      </c>
      <c r="V773" s="201">
        <v>38.02</v>
      </c>
      <c r="W773" s="361">
        <v>46265.0</v>
      </c>
      <c r="X773" s="201">
        <v>31.0</v>
      </c>
      <c r="Y773" s="201">
        <v>8.0</v>
      </c>
      <c r="Z773" s="201">
        <v>2026.0</v>
      </c>
      <c r="AA773" s="189" t="s">
        <v>2</v>
      </c>
    </row>
    <row r="774" ht="15.75" hidden="1" customHeight="1">
      <c r="A774" s="189" t="s">
        <v>2409</v>
      </c>
      <c r="B774" s="189" t="s">
        <v>2410</v>
      </c>
      <c r="C774" s="361">
        <v>46255.0</v>
      </c>
      <c r="D774" s="201">
        <v>21.0</v>
      </c>
      <c r="E774" s="201">
        <v>8.0</v>
      </c>
      <c r="F774" s="201">
        <v>2026.0</v>
      </c>
      <c r="G774" s="361">
        <v>46256.0</v>
      </c>
      <c r="H774" s="201">
        <v>22.0</v>
      </c>
      <c r="I774" s="201">
        <v>8.0</v>
      </c>
      <c r="J774" s="201">
        <v>2026.0</v>
      </c>
      <c r="K774" s="189" t="s">
        <v>51</v>
      </c>
      <c r="L774" s="189" t="s">
        <v>1177</v>
      </c>
      <c r="M774" s="201">
        <v>1.0</v>
      </c>
      <c r="N774" s="201">
        <v>1.0</v>
      </c>
      <c r="O774" s="201">
        <f t="shared" si="4"/>
        <v>1</v>
      </c>
      <c r="P774" s="201">
        <v>2.0</v>
      </c>
      <c r="Q774" s="361">
        <v>46265.0</v>
      </c>
      <c r="R774" s="362">
        <v>31.0</v>
      </c>
      <c r="S774" s="362">
        <v>8.0</v>
      </c>
      <c r="T774" s="201">
        <v>2026.0</v>
      </c>
      <c r="U774" s="189" t="s">
        <v>2</v>
      </c>
      <c r="V774" s="201">
        <v>38.02</v>
      </c>
      <c r="W774" s="361">
        <v>46265.0</v>
      </c>
      <c r="X774" s="201">
        <v>31.0</v>
      </c>
      <c r="Y774" s="201">
        <v>8.0</v>
      </c>
      <c r="Z774" s="201">
        <v>2026.0</v>
      </c>
      <c r="AA774" s="189" t="s">
        <v>2</v>
      </c>
    </row>
    <row r="775" ht="15.75" hidden="1" customHeight="1">
      <c r="A775" s="189" t="s">
        <v>2411</v>
      </c>
      <c r="B775" s="189" t="s">
        <v>2412</v>
      </c>
      <c r="C775" s="361">
        <v>46242.0</v>
      </c>
      <c r="D775" s="201">
        <v>8.0</v>
      </c>
      <c r="E775" s="201">
        <v>8.0</v>
      </c>
      <c r="F775" s="201">
        <v>2026.0</v>
      </c>
      <c r="G775" s="361">
        <v>46243.0</v>
      </c>
      <c r="H775" s="201">
        <v>9.0</v>
      </c>
      <c r="I775" s="201">
        <v>8.0</v>
      </c>
      <c r="J775" s="201">
        <v>2026.0</v>
      </c>
      <c r="K775" s="189" t="s">
        <v>51</v>
      </c>
      <c r="L775" s="189" t="s">
        <v>1177</v>
      </c>
      <c r="M775" s="201">
        <v>1.0</v>
      </c>
      <c r="N775" s="201">
        <v>1.0</v>
      </c>
      <c r="O775" s="201">
        <f t="shared" si="4"/>
        <v>1</v>
      </c>
      <c r="P775" s="201">
        <v>2.0</v>
      </c>
      <c r="Q775" s="361">
        <v>46265.0</v>
      </c>
      <c r="R775" s="362">
        <v>31.0</v>
      </c>
      <c r="S775" s="362">
        <v>8.0</v>
      </c>
      <c r="T775" s="201">
        <v>2026.0</v>
      </c>
      <c r="U775" s="189" t="s">
        <v>2</v>
      </c>
      <c r="V775" s="201">
        <v>38.02</v>
      </c>
      <c r="W775" s="361">
        <v>46265.0</v>
      </c>
      <c r="X775" s="201">
        <v>31.0</v>
      </c>
      <c r="Y775" s="201">
        <v>8.0</v>
      </c>
      <c r="Z775" s="201">
        <v>2026.0</v>
      </c>
      <c r="AA775" s="189" t="s">
        <v>2</v>
      </c>
    </row>
    <row r="776" ht="15.75" hidden="1" customHeight="1">
      <c r="A776" s="189" t="s">
        <v>2413</v>
      </c>
      <c r="B776" s="189" t="s">
        <v>2414</v>
      </c>
      <c r="C776" s="361">
        <v>46242.0</v>
      </c>
      <c r="D776" s="201">
        <v>8.0</v>
      </c>
      <c r="E776" s="201">
        <v>8.0</v>
      </c>
      <c r="F776" s="201">
        <v>2026.0</v>
      </c>
      <c r="G776" s="361">
        <v>46244.0</v>
      </c>
      <c r="H776" s="201">
        <v>10.0</v>
      </c>
      <c r="I776" s="201">
        <v>8.0</v>
      </c>
      <c r="J776" s="201">
        <v>2026.0</v>
      </c>
      <c r="K776" s="189" t="s">
        <v>51</v>
      </c>
      <c r="L776" s="189" t="s">
        <v>1177</v>
      </c>
      <c r="M776" s="201">
        <v>1.0</v>
      </c>
      <c r="N776" s="201">
        <v>2.0</v>
      </c>
      <c r="O776" s="201">
        <f t="shared" si="4"/>
        <v>2</v>
      </c>
      <c r="P776" s="201">
        <v>4.0</v>
      </c>
      <c r="Q776" s="361">
        <v>46265.0</v>
      </c>
      <c r="R776" s="362">
        <v>31.0</v>
      </c>
      <c r="S776" s="362">
        <v>8.0</v>
      </c>
      <c r="T776" s="201">
        <v>2026.0</v>
      </c>
      <c r="U776" s="189" t="s">
        <v>2</v>
      </c>
      <c r="V776" s="201">
        <v>76.05</v>
      </c>
      <c r="W776" s="361">
        <v>46265.0</v>
      </c>
      <c r="X776" s="201">
        <v>31.0</v>
      </c>
      <c r="Y776" s="201">
        <v>8.0</v>
      </c>
      <c r="Z776" s="201">
        <v>2026.0</v>
      </c>
      <c r="AA776" s="189" t="s">
        <v>2</v>
      </c>
    </row>
    <row r="777" ht="15.75" hidden="1" customHeight="1">
      <c r="A777" s="189" t="s">
        <v>2415</v>
      </c>
      <c r="B777" s="189" t="s">
        <v>2416</v>
      </c>
      <c r="C777" s="361">
        <v>46250.0</v>
      </c>
      <c r="D777" s="201">
        <v>16.0</v>
      </c>
      <c r="E777" s="201">
        <v>8.0</v>
      </c>
      <c r="F777" s="201">
        <v>2026.0</v>
      </c>
      <c r="G777" s="361">
        <v>46251.0</v>
      </c>
      <c r="H777" s="201">
        <v>17.0</v>
      </c>
      <c r="I777" s="201">
        <v>8.0</v>
      </c>
      <c r="J777" s="201">
        <v>2026.0</v>
      </c>
      <c r="K777" s="189" t="s">
        <v>51</v>
      </c>
      <c r="L777" s="189" t="s">
        <v>1177</v>
      </c>
      <c r="M777" s="201">
        <v>2.0</v>
      </c>
      <c r="N777" s="201">
        <v>1.0</v>
      </c>
      <c r="O777" s="201">
        <f t="shared" si="4"/>
        <v>2</v>
      </c>
      <c r="P777" s="201">
        <v>4.0</v>
      </c>
      <c r="Q777" s="361">
        <v>46265.0</v>
      </c>
      <c r="R777" s="362">
        <v>31.0</v>
      </c>
      <c r="S777" s="362">
        <v>8.0</v>
      </c>
      <c r="T777" s="201">
        <v>2026.0</v>
      </c>
      <c r="U777" s="189" t="s">
        <v>2</v>
      </c>
      <c r="V777" s="201">
        <v>76.05</v>
      </c>
      <c r="W777" s="361">
        <v>46265.0</v>
      </c>
      <c r="X777" s="201">
        <v>31.0</v>
      </c>
      <c r="Y777" s="201">
        <v>8.0</v>
      </c>
      <c r="Z777" s="201">
        <v>2026.0</v>
      </c>
      <c r="AA777" s="189" t="s">
        <v>2</v>
      </c>
    </row>
    <row r="778" ht="15.75" hidden="1" customHeight="1">
      <c r="A778" s="189" t="s">
        <v>2417</v>
      </c>
      <c r="B778" s="189" t="s">
        <v>2418</v>
      </c>
      <c r="C778" s="361">
        <v>46245.0</v>
      </c>
      <c r="D778" s="201">
        <v>11.0</v>
      </c>
      <c r="E778" s="201">
        <v>8.0</v>
      </c>
      <c r="F778" s="201">
        <v>2026.0</v>
      </c>
      <c r="G778" s="361">
        <v>46246.0</v>
      </c>
      <c r="H778" s="201">
        <v>12.0</v>
      </c>
      <c r="I778" s="201">
        <v>8.0</v>
      </c>
      <c r="J778" s="201">
        <v>2026.0</v>
      </c>
      <c r="K778" s="189" t="s">
        <v>51</v>
      </c>
      <c r="L778" s="189" t="s">
        <v>1177</v>
      </c>
      <c r="M778" s="201">
        <v>2.0</v>
      </c>
      <c r="N778" s="201">
        <v>1.0</v>
      </c>
      <c r="O778" s="201">
        <f t="shared" si="4"/>
        <v>2</v>
      </c>
      <c r="P778" s="201">
        <v>4.0</v>
      </c>
      <c r="Q778" s="361">
        <v>46265.0</v>
      </c>
      <c r="R778" s="362">
        <v>31.0</v>
      </c>
      <c r="S778" s="362">
        <v>8.0</v>
      </c>
      <c r="T778" s="201">
        <v>2026.0</v>
      </c>
      <c r="U778" s="189" t="s">
        <v>2</v>
      </c>
      <c r="V778" s="201">
        <v>76.05</v>
      </c>
      <c r="W778" s="361">
        <v>46265.0</v>
      </c>
      <c r="X778" s="201">
        <v>31.0</v>
      </c>
      <c r="Y778" s="201">
        <v>8.0</v>
      </c>
      <c r="Z778" s="201">
        <v>2026.0</v>
      </c>
      <c r="AA778" s="189" t="s">
        <v>2</v>
      </c>
    </row>
    <row r="779" ht="15.75" hidden="1" customHeight="1">
      <c r="A779" s="189" t="s">
        <v>2419</v>
      </c>
      <c r="B779" s="189" t="s">
        <v>2420</v>
      </c>
      <c r="C779" s="361">
        <v>46263.0</v>
      </c>
      <c r="D779" s="201">
        <v>29.0</v>
      </c>
      <c r="E779" s="201">
        <v>8.0</v>
      </c>
      <c r="F779" s="201">
        <v>2026.0</v>
      </c>
      <c r="G779" s="361">
        <v>46264.0</v>
      </c>
      <c r="H779" s="201">
        <v>30.0</v>
      </c>
      <c r="I779" s="201">
        <v>8.0</v>
      </c>
      <c r="J779" s="201">
        <v>2026.0</v>
      </c>
      <c r="K779" s="189" t="s">
        <v>51</v>
      </c>
      <c r="L779" s="189" t="s">
        <v>1177</v>
      </c>
      <c r="M779" s="201">
        <v>2.0</v>
      </c>
      <c r="N779" s="201">
        <v>1.0</v>
      </c>
      <c r="O779" s="201">
        <f t="shared" si="4"/>
        <v>2</v>
      </c>
      <c r="P779" s="201">
        <v>4.0</v>
      </c>
      <c r="Q779" s="361">
        <v>46265.0</v>
      </c>
      <c r="R779" s="362">
        <v>31.0</v>
      </c>
      <c r="S779" s="362">
        <v>8.0</v>
      </c>
      <c r="T779" s="201">
        <v>2026.0</v>
      </c>
      <c r="U779" s="189" t="s">
        <v>2</v>
      </c>
      <c r="V779" s="201">
        <v>76.05</v>
      </c>
      <c r="W779" s="361">
        <v>46265.0</v>
      </c>
      <c r="X779" s="201">
        <v>31.0</v>
      </c>
      <c r="Y779" s="201">
        <v>8.0</v>
      </c>
      <c r="Z779" s="201">
        <v>2026.0</v>
      </c>
      <c r="AA779" s="189" t="s">
        <v>2</v>
      </c>
    </row>
    <row r="780" ht="15.75" hidden="1" customHeight="1">
      <c r="A780" s="189" t="s">
        <v>2421</v>
      </c>
      <c r="B780" s="189" t="s">
        <v>2422</v>
      </c>
      <c r="C780" s="361">
        <v>46264.0</v>
      </c>
      <c r="D780" s="201">
        <v>30.0</v>
      </c>
      <c r="E780" s="201">
        <v>8.0</v>
      </c>
      <c r="F780" s="201">
        <v>2026.0</v>
      </c>
      <c r="G780" s="361">
        <v>46268.0</v>
      </c>
      <c r="H780" s="201">
        <v>3.0</v>
      </c>
      <c r="I780" s="201">
        <v>9.0</v>
      </c>
      <c r="J780" s="201">
        <v>2026.0</v>
      </c>
      <c r="K780" s="189" t="s">
        <v>46</v>
      </c>
      <c r="L780" s="189" t="s">
        <v>1177</v>
      </c>
      <c r="M780" s="201">
        <v>2.0</v>
      </c>
      <c r="N780" s="201">
        <v>4.0</v>
      </c>
      <c r="O780" s="201">
        <f t="shared" si="4"/>
        <v>8</v>
      </c>
      <c r="P780" s="201">
        <v>14.0</v>
      </c>
      <c r="Q780" s="361">
        <v>46265.48956018518</v>
      </c>
      <c r="R780" s="362">
        <v>31.0</v>
      </c>
      <c r="S780" s="362">
        <v>8.0</v>
      </c>
      <c r="T780" s="201">
        <v>2026.0</v>
      </c>
      <c r="U780" s="189" t="s">
        <v>12</v>
      </c>
      <c r="V780" s="201">
        <v>272.0</v>
      </c>
      <c r="W780" s="361">
        <v>46265.48956018518</v>
      </c>
      <c r="X780" s="201">
        <v>31.0</v>
      </c>
      <c r="Y780" s="201">
        <v>8.0</v>
      </c>
      <c r="Z780" s="201">
        <v>2026.0</v>
      </c>
      <c r="AA780" s="189" t="s">
        <v>12</v>
      </c>
    </row>
    <row r="781" ht="15.75" hidden="1" customHeight="1">
      <c r="A781" s="189" t="s">
        <v>2423</v>
      </c>
      <c r="B781" s="189" t="s">
        <v>2424</v>
      </c>
      <c r="C781" s="361">
        <v>46235.0</v>
      </c>
      <c r="D781" s="201">
        <v>1.0</v>
      </c>
      <c r="E781" s="201">
        <v>8.0</v>
      </c>
      <c r="F781" s="201">
        <v>2026.0</v>
      </c>
      <c r="G781" s="361">
        <v>46238.0</v>
      </c>
      <c r="H781" s="201">
        <v>4.0</v>
      </c>
      <c r="I781" s="201">
        <v>8.0</v>
      </c>
      <c r="J781" s="201">
        <v>2026.0</v>
      </c>
      <c r="K781" s="189" t="s">
        <v>46</v>
      </c>
      <c r="L781" s="189" t="s">
        <v>1177</v>
      </c>
      <c r="M781" s="201">
        <v>1.0</v>
      </c>
      <c r="N781" s="201">
        <v>3.0</v>
      </c>
      <c r="O781" s="201">
        <f t="shared" si="4"/>
        <v>3</v>
      </c>
      <c r="P781" s="201">
        <v>6.0</v>
      </c>
      <c r="Q781" s="361">
        <v>46235.738333333335</v>
      </c>
      <c r="R781" s="362">
        <v>1.0</v>
      </c>
      <c r="S781" s="362">
        <v>8.0</v>
      </c>
      <c r="T781" s="201">
        <v>2026.0</v>
      </c>
      <c r="U781" s="189" t="s">
        <v>245</v>
      </c>
      <c r="V781" s="201">
        <v>114.75</v>
      </c>
      <c r="W781" s="361">
        <v>46235.737349537034</v>
      </c>
      <c r="X781" s="201">
        <v>1.0</v>
      </c>
      <c r="Y781" s="201">
        <v>8.0</v>
      </c>
      <c r="Z781" s="201">
        <v>2026.0</v>
      </c>
      <c r="AA781" s="189" t="s">
        <v>245</v>
      </c>
    </row>
    <row r="782" ht="15.75" hidden="1" customHeight="1">
      <c r="A782" s="189" t="s">
        <v>2425</v>
      </c>
      <c r="B782" s="189" t="s">
        <v>2426</v>
      </c>
      <c r="C782" s="361">
        <v>46235.0</v>
      </c>
      <c r="D782" s="201">
        <v>1.0</v>
      </c>
      <c r="E782" s="201">
        <v>8.0</v>
      </c>
      <c r="F782" s="201">
        <v>2026.0</v>
      </c>
      <c r="G782" s="361">
        <v>46238.0</v>
      </c>
      <c r="H782" s="201">
        <v>4.0</v>
      </c>
      <c r="I782" s="201">
        <v>8.0</v>
      </c>
      <c r="J782" s="201">
        <v>2026.0</v>
      </c>
      <c r="K782" s="189" t="s">
        <v>46</v>
      </c>
      <c r="L782" s="189" t="s">
        <v>1177</v>
      </c>
      <c r="M782" s="201">
        <v>1.0</v>
      </c>
      <c r="N782" s="201">
        <v>3.0</v>
      </c>
      <c r="O782" s="201">
        <f t="shared" si="4"/>
        <v>3</v>
      </c>
      <c r="P782" s="201">
        <v>6.0</v>
      </c>
      <c r="Q782" s="361">
        <v>46235.87769675926</v>
      </c>
      <c r="R782" s="362">
        <v>1.0</v>
      </c>
      <c r="S782" s="362">
        <v>8.0</v>
      </c>
      <c r="T782" s="201">
        <v>2026.0</v>
      </c>
      <c r="U782" s="189" t="s">
        <v>245</v>
      </c>
      <c r="V782" s="201">
        <v>114.75</v>
      </c>
      <c r="W782" s="361">
        <v>46235.87769675926</v>
      </c>
      <c r="X782" s="201">
        <v>1.0</v>
      </c>
      <c r="Y782" s="201">
        <v>8.0</v>
      </c>
      <c r="Z782" s="201">
        <v>2026.0</v>
      </c>
      <c r="AA782" s="189" t="s">
        <v>245</v>
      </c>
    </row>
    <row r="783" ht="15.75" hidden="1" customHeight="1">
      <c r="A783" s="189" t="s">
        <v>2427</v>
      </c>
      <c r="B783" s="189" t="s">
        <v>2428</v>
      </c>
      <c r="C783" s="361">
        <v>46236.0</v>
      </c>
      <c r="D783" s="201">
        <v>2.0</v>
      </c>
      <c r="E783" s="201">
        <v>8.0</v>
      </c>
      <c r="F783" s="201">
        <v>2026.0</v>
      </c>
      <c r="G783" s="361">
        <v>46238.0</v>
      </c>
      <c r="H783" s="201">
        <v>4.0</v>
      </c>
      <c r="I783" s="201">
        <v>8.0</v>
      </c>
      <c r="J783" s="201">
        <v>2026.0</v>
      </c>
      <c r="K783" s="189" t="s">
        <v>46</v>
      </c>
      <c r="L783" s="189" t="s">
        <v>1177</v>
      </c>
      <c r="M783" s="201">
        <v>2.0</v>
      </c>
      <c r="N783" s="201">
        <v>2.0</v>
      </c>
      <c r="O783" s="201">
        <f t="shared" si="4"/>
        <v>4</v>
      </c>
      <c r="P783" s="201">
        <v>8.0</v>
      </c>
      <c r="Q783" s="361">
        <v>46236.646828703706</v>
      </c>
      <c r="R783" s="362">
        <v>2.0</v>
      </c>
      <c r="S783" s="362">
        <v>8.0</v>
      </c>
      <c r="T783" s="201">
        <v>2026.0</v>
      </c>
      <c r="U783" s="189" t="s">
        <v>245</v>
      </c>
      <c r="V783" s="201">
        <v>153.0</v>
      </c>
      <c r="W783" s="361">
        <v>46236.646828703706</v>
      </c>
      <c r="X783" s="201">
        <v>2.0</v>
      </c>
      <c r="Y783" s="201">
        <v>8.0</v>
      </c>
      <c r="Z783" s="201">
        <v>2026.0</v>
      </c>
      <c r="AA783" s="189" t="s">
        <v>245</v>
      </c>
    </row>
    <row r="784" ht="15.75" hidden="1" customHeight="1">
      <c r="A784" s="189" t="s">
        <v>2429</v>
      </c>
      <c r="B784" s="189" t="s">
        <v>2430</v>
      </c>
      <c r="C784" s="361">
        <v>46244.0</v>
      </c>
      <c r="D784" s="201">
        <v>10.0</v>
      </c>
      <c r="E784" s="201">
        <v>8.0</v>
      </c>
      <c r="F784" s="201">
        <v>2026.0</v>
      </c>
      <c r="G784" s="361">
        <v>46246.0</v>
      </c>
      <c r="H784" s="201">
        <v>12.0</v>
      </c>
      <c r="I784" s="201">
        <v>8.0</v>
      </c>
      <c r="J784" s="201">
        <v>2026.0</v>
      </c>
      <c r="K784" s="189" t="s">
        <v>46</v>
      </c>
      <c r="L784" s="189" t="s">
        <v>1177</v>
      </c>
      <c r="M784" s="201">
        <v>3.0</v>
      </c>
      <c r="N784" s="201">
        <v>2.0</v>
      </c>
      <c r="O784" s="201">
        <f t="shared" si="4"/>
        <v>6</v>
      </c>
      <c r="P784" s="201">
        <v>12.0</v>
      </c>
      <c r="Q784" s="361">
        <v>46244.89171296296</v>
      </c>
      <c r="R784" s="362">
        <v>10.0</v>
      </c>
      <c r="S784" s="362">
        <v>8.0</v>
      </c>
      <c r="T784" s="201">
        <v>2026.0</v>
      </c>
      <c r="U784" s="189" t="s">
        <v>245</v>
      </c>
      <c r="V784" s="201">
        <v>229.5</v>
      </c>
      <c r="W784" s="361">
        <v>46244.89171296296</v>
      </c>
      <c r="X784" s="201">
        <v>10.0</v>
      </c>
      <c r="Y784" s="201">
        <v>8.0</v>
      </c>
      <c r="Z784" s="201">
        <v>2026.0</v>
      </c>
      <c r="AA784" s="189" t="s">
        <v>245</v>
      </c>
    </row>
    <row r="785" ht="15.75" hidden="1" customHeight="1">
      <c r="A785" s="189" t="s">
        <v>2431</v>
      </c>
      <c r="B785" s="189" t="s">
        <v>2432</v>
      </c>
      <c r="C785" s="361">
        <v>46245.0</v>
      </c>
      <c r="D785" s="201">
        <v>11.0</v>
      </c>
      <c r="E785" s="201">
        <v>8.0</v>
      </c>
      <c r="F785" s="201">
        <v>2026.0</v>
      </c>
      <c r="G785" s="361">
        <v>46247.0</v>
      </c>
      <c r="H785" s="201">
        <v>13.0</v>
      </c>
      <c r="I785" s="201">
        <v>8.0</v>
      </c>
      <c r="J785" s="201">
        <v>2026.0</v>
      </c>
      <c r="K785" s="189" t="s">
        <v>46</v>
      </c>
      <c r="L785" s="189" t="s">
        <v>1177</v>
      </c>
      <c r="M785" s="201">
        <v>2.0</v>
      </c>
      <c r="N785" s="201">
        <v>2.0</v>
      </c>
      <c r="O785" s="201">
        <f t="shared" si="4"/>
        <v>4</v>
      </c>
      <c r="P785" s="201">
        <v>8.0</v>
      </c>
      <c r="Q785" s="361">
        <v>46246.76258101852</v>
      </c>
      <c r="R785" s="362">
        <v>12.0</v>
      </c>
      <c r="S785" s="362">
        <v>8.0</v>
      </c>
      <c r="T785" s="201">
        <v>2026.0</v>
      </c>
      <c r="U785" s="189" t="s">
        <v>245</v>
      </c>
      <c r="V785" s="201">
        <v>153.0</v>
      </c>
      <c r="W785" s="361">
        <v>46246.76258101852</v>
      </c>
      <c r="X785" s="201">
        <v>12.0</v>
      </c>
      <c r="Y785" s="201">
        <v>8.0</v>
      </c>
      <c r="Z785" s="201">
        <v>2026.0</v>
      </c>
      <c r="AA785" s="189" t="s">
        <v>245</v>
      </c>
    </row>
    <row r="786" ht="15.75" hidden="1" customHeight="1">
      <c r="A786" s="189" t="s">
        <v>2433</v>
      </c>
      <c r="B786" s="189" t="s">
        <v>2434</v>
      </c>
      <c r="C786" s="361">
        <v>46246.0</v>
      </c>
      <c r="D786" s="201">
        <v>12.0</v>
      </c>
      <c r="E786" s="201">
        <v>8.0</v>
      </c>
      <c r="F786" s="201">
        <v>2026.0</v>
      </c>
      <c r="G786" s="361">
        <v>46249.0</v>
      </c>
      <c r="H786" s="201">
        <v>15.0</v>
      </c>
      <c r="I786" s="201">
        <v>8.0</v>
      </c>
      <c r="J786" s="201">
        <v>2026.0</v>
      </c>
      <c r="K786" s="189" t="s">
        <v>46</v>
      </c>
      <c r="L786" s="189" t="s">
        <v>1177</v>
      </c>
      <c r="M786" s="201">
        <v>1.0</v>
      </c>
      <c r="N786" s="201">
        <v>3.0</v>
      </c>
      <c r="O786" s="201">
        <f t="shared" si="4"/>
        <v>3</v>
      </c>
      <c r="P786" s="201">
        <v>6.0</v>
      </c>
      <c r="Q786" s="361">
        <v>46246.637083333335</v>
      </c>
      <c r="R786" s="362">
        <v>12.0</v>
      </c>
      <c r="S786" s="362">
        <v>8.0</v>
      </c>
      <c r="T786" s="201">
        <v>2026.0</v>
      </c>
      <c r="U786" s="189" t="s">
        <v>245</v>
      </c>
      <c r="V786" s="201">
        <v>114.75</v>
      </c>
      <c r="W786" s="361">
        <v>46246.637083333335</v>
      </c>
      <c r="X786" s="201">
        <v>12.0</v>
      </c>
      <c r="Y786" s="201">
        <v>8.0</v>
      </c>
      <c r="Z786" s="201">
        <v>2026.0</v>
      </c>
      <c r="AA786" s="189" t="s">
        <v>245</v>
      </c>
    </row>
    <row r="787" ht="15.75" hidden="1" customHeight="1">
      <c r="A787" s="189" t="s">
        <v>2435</v>
      </c>
      <c r="B787" s="189" t="s">
        <v>2436</v>
      </c>
      <c r="C787" s="361">
        <v>46247.0</v>
      </c>
      <c r="D787" s="201">
        <v>13.0</v>
      </c>
      <c r="E787" s="201">
        <v>8.0</v>
      </c>
      <c r="F787" s="201">
        <v>2026.0</v>
      </c>
      <c r="G787" s="361">
        <v>46250.0</v>
      </c>
      <c r="H787" s="201">
        <v>16.0</v>
      </c>
      <c r="I787" s="201">
        <v>8.0</v>
      </c>
      <c r="J787" s="201">
        <v>2026.0</v>
      </c>
      <c r="K787" s="189" t="s">
        <v>46</v>
      </c>
      <c r="L787" s="189" t="s">
        <v>1177</v>
      </c>
      <c r="M787" s="201">
        <v>1.0</v>
      </c>
      <c r="N787" s="201">
        <v>3.0</v>
      </c>
      <c r="O787" s="201">
        <f t="shared" si="4"/>
        <v>3</v>
      </c>
      <c r="P787" s="201">
        <v>6.0</v>
      </c>
      <c r="Q787" s="361">
        <v>46247.69862268519</v>
      </c>
      <c r="R787" s="362">
        <v>13.0</v>
      </c>
      <c r="S787" s="362">
        <v>8.0</v>
      </c>
      <c r="T787" s="201">
        <v>2026.0</v>
      </c>
      <c r="U787" s="189" t="s">
        <v>245</v>
      </c>
      <c r="V787" s="201">
        <v>114.75</v>
      </c>
      <c r="W787" s="361">
        <v>46247.69826388889</v>
      </c>
      <c r="X787" s="201">
        <v>13.0</v>
      </c>
      <c r="Y787" s="201">
        <v>8.0</v>
      </c>
      <c r="Z787" s="201">
        <v>2026.0</v>
      </c>
      <c r="AA787" s="189" t="s">
        <v>245</v>
      </c>
    </row>
    <row r="788" ht="15.75" hidden="1" customHeight="1">
      <c r="A788" s="189" t="s">
        <v>2437</v>
      </c>
      <c r="B788" s="189" t="s">
        <v>2438</v>
      </c>
      <c r="C788" s="361">
        <v>46247.0</v>
      </c>
      <c r="D788" s="201">
        <v>13.0</v>
      </c>
      <c r="E788" s="201">
        <v>8.0</v>
      </c>
      <c r="F788" s="201">
        <v>2026.0</v>
      </c>
      <c r="G788" s="361">
        <v>46248.0</v>
      </c>
      <c r="H788" s="201">
        <v>14.0</v>
      </c>
      <c r="I788" s="201">
        <v>8.0</v>
      </c>
      <c r="J788" s="201">
        <v>2026.0</v>
      </c>
      <c r="K788" s="189" t="s">
        <v>46</v>
      </c>
      <c r="L788" s="189" t="s">
        <v>1177</v>
      </c>
      <c r="M788" s="201">
        <v>1.0</v>
      </c>
      <c r="N788" s="201">
        <v>1.0</v>
      </c>
      <c r="O788" s="201">
        <f t="shared" si="4"/>
        <v>1</v>
      </c>
      <c r="P788" s="201">
        <v>2.0</v>
      </c>
      <c r="Q788" s="361">
        <v>46247.88525462963</v>
      </c>
      <c r="R788" s="362">
        <v>13.0</v>
      </c>
      <c r="S788" s="362">
        <v>8.0</v>
      </c>
      <c r="T788" s="201">
        <v>2026.0</v>
      </c>
      <c r="U788" s="189" t="s">
        <v>245</v>
      </c>
      <c r="V788" s="201">
        <v>38.25</v>
      </c>
      <c r="W788" s="361">
        <v>46247.88491898148</v>
      </c>
      <c r="X788" s="201">
        <v>13.0</v>
      </c>
      <c r="Y788" s="201">
        <v>8.0</v>
      </c>
      <c r="Z788" s="201">
        <v>2026.0</v>
      </c>
      <c r="AA788" s="189" t="s">
        <v>245</v>
      </c>
    </row>
    <row r="789" ht="15.75" hidden="1" customHeight="1">
      <c r="A789" s="189" t="s">
        <v>2439</v>
      </c>
      <c r="B789" s="189" t="s">
        <v>2440</v>
      </c>
      <c r="C789" s="361">
        <v>46249.0</v>
      </c>
      <c r="D789" s="201">
        <v>15.0</v>
      </c>
      <c r="E789" s="201">
        <v>8.0</v>
      </c>
      <c r="F789" s="201">
        <v>2026.0</v>
      </c>
      <c r="G789" s="361">
        <v>46251.0</v>
      </c>
      <c r="H789" s="201">
        <v>17.0</v>
      </c>
      <c r="I789" s="201">
        <v>8.0</v>
      </c>
      <c r="J789" s="201">
        <v>2026.0</v>
      </c>
      <c r="K789" s="189" t="s">
        <v>46</v>
      </c>
      <c r="L789" s="189" t="s">
        <v>1177</v>
      </c>
      <c r="M789" s="201">
        <v>1.0</v>
      </c>
      <c r="N789" s="201">
        <v>2.0</v>
      </c>
      <c r="O789" s="201">
        <f t="shared" si="4"/>
        <v>2</v>
      </c>
      <c r="P789" s="201">
        <v>4.0</v>
      </c>
      <c r="Q789" s="361">
        <v>46250.539375</v>
      </c>
      <c r="R789" s="362">
        <v>16.0</v>
      </c>
      <c r="S789" s="362">
        <v>8.0</v>
      </c>
      <c r="T789" s="201">
        <v>2026.0</v>
      </c>
      <c r="U789" s="189" t="s">
        <v>245</v>
      </c>
      <c r="V789" s="201">
        <v>76.5</v>
      </c>
      <c r="W789" s="361">
        <v>46250.53907407408</v>
      </c>
      <c r="X789" s="201">
        <v>16.0</v>
      </c>
      <c r="Y789" s="201">
        <v>8.0</v>
      </c>
      <c r="Z789" s="201">
        <v>2026.0</v>
      </c>
      <c r="AA789" s="189" t="s">
        <v>245</v>
      </c>
    </row>
    <row r="790" ht="15.75" hidden="1" customHeight="1">
      <c r="A790" s="189" t="s">
        <v>2441</v>
      </c>
      <c r="B790" s="189" t="s">
        <v>2442</v>
      </c>
      <c r="C790" s="361">
        <v>46249.0</v>
      </c>
      <c r="D790" s="201">
        <v>15.0</v>
      </c>
      <c r="E790" s="201">
        <v>8.0</v>
      </c>
      <c r="F790" s="201">
        <v>2026.0</v>
      </c>
      <c r="G790" s="361">
        <v>46250.0</v>
      </c>
      <c r="H790" s="201">
        <v>16.0</v>
      </c>
      <c r="I790" s="201">
        <v>8.0</v>
      </c>
      <c r="J790" s="201">
        <v>2026.0</v>
      </c>
      <c r="K790" s="189" t="s">
        <v>46</v>
      </c>
      <c r="L790" s="189" t="s">
        <v>1177</v>
      </c>
      <c r="M790" s="201">
        <v>1.0</v>
      </c>
      <c r="N790" s="201">
        <v>1.0</v>
      </c>
      <c r="O790" s="201">
        <f t="shared" si="4"/>
        <v>1</v>
      </c>
      <c r="P790" s="201">
        <v>2.0</v>
      </c>
      <c r="Q790" s="361">
        <v>46250.25646990741</v>
      </c>
      <c r="R790" s="362">
        <v>16.0</v>
      </c>
      <c r="S790" s="362">
        <v>8.0</v>
      </c>
      <c r="T790" s="201">
        <v>2026.0</v>
      </c>
      <c r="U790" s="189" t="s">
        <v>245</v>
      </c>
      <c r="V790" s="201">
        <v>38.25</v>
      </c>
      <c r="W790" s="361">
        <v>46250.25646990741</v>
      </c>
      <c r="X790" s="201">
        <v>16.0</v>
      </c>
      <c r="Y790" s="201">
        <v>8.0</v>
      </c>
      <c r="Z790" s="201">
        <v>2026.0</v>
      </c>
      <c r="AA790" s="189" t="s">
        <v>245</v>
      </c>
    </row>
    <row r="791" ht="15.75" hidden="1" customHeight="1">
      <c r="A791" s="189" t="s">
        <v>2443</v>
      </c>
      <c r="B791" s="189" t="s">
        <v>2444</v>
      </c>
      <c r="C791" s="361">
        <v>46253.0</v>
      </c>
      <c r="D791" s="201">
        <v>19.0</v>
      </c>
      <c r="E791" s="201">
        <v>8.0</v>
      </c>
      <c r="F791" s="201">
        <v>2026.0</v>
      </c>
      <c r="G791" s="361">
        <v>46258.0</v>
      </c>
      <c r="H791" s="201">
        <v>24.0</v>
      </c>
      <c r="I791" s="201">
        <v>8.0</v>
      </c>
      <c r="J791" s="201">
        <v>2026.0</v>
      </c>
      <c r="K791" s="189" t="s">
        <v>46</v>
      </c>
      <c r="L791" s="189" t="s">
        <v>1177</v>
      </c>
      <c r="M791" s="201">
        <v>1.0</v>
      </c>
      <c r="N791" s="201">
        <v>5.0</v>
      </c>
      <c r="O791" s="201">
        <f t="shared" si="4"/>
        <v>5</v>
      </c>
      <c r="P791" s="201">
        <v>10.0</v>
      </c>
      <c r="Q791" s="361">
        <v>46253.7409375</v>
      </c>
      <c r="R791" s="362">
        <v>19.0</v>
      </c>
      <c r="S791" s="362">
        <v>8.0</v>
      </c>
      <c r="T791" s="201">
        <v>2026.0</v>
      </c>
      <c r="U791" s="189" t="s">
        <v>245</v>
      </c>
      <c r="V791" s="201">
        <v>191.25</v>
      </c>
      <c r="W791" s="361">
        <v>46253.7409375</v>
      </c>
      <c r="X791" s="201">
        <v>19.0</v>
      </c>
      <c r="Y791" s="201">
        <v>8.0</v>
      </c>
      <c r="Z791" s="201">
        <v>2026.0</v>
      </c>
      <c r="AA791" s="189" t="s">
        <v>245</v>
      </c>
    </row>
    <row r="792" ht="15.75" hidden="1" customHeight="1">
      <c r="A792" s="189" t="s">
        <v>2445</v>
      </c>
      <c r="B792" s="189" t="s">
        <v>2446</v>
      </c>
      <c r="C792" s="361">
        <v>46254.0</v>
      </c>
      <c r="D792" s="201">
        <v>20.0</v>
      </c>
      <c r="E792" s="201">
        <v>8.0</v>
      </c>
      <c r="F792" s="201">
        <v>2026.0</v>
      </c>
      <c r="G792" s="361">
        <v>46256.0</v>
      </c>
      <c r="H792" s="201">
        <v>22.0</v>
      </c>
      <c r="I792" s="201">
        <v>8.0</v>
      </c>
      <c r="J792" s="201">
        <v>2026.0</v>
      </c>
      <c r="K792" s="189" t="s">
        <v>46</v>
      </c>
      <c r="L792" s="189" t="s">
        <v>1177</v>
      </c>
      <c r="M792" s="201">
        <v>1.0</v>
      </c>
      <c r="N792" s="201">
        <v>2.0</v>
      </c>
      <c r="O792" s="201">
        <f t="shared" si="4"/>
        <v>2</v>
      </c>
      <c r="P792" s="201">
        <v>4.0</v>
      </c>
      <c r="Q792" s="361">
        <v>46254.71084490741</v>
      </c>
      <c r="R792" s="362">
        <v>20.0</v>
      </c>
      <c r="S792" s="362">
        <v>8.0</v>
      </c>
      <c r="T792" s="201">
        <v>2026.0</v>
      </c>
      <c r="U792" s="189" t="s">
        <v>12</v>
      </c>
      <c r="V792" s="201">
        <v>76.5</v>
      </c>
      <c r="W792" s="361">
        <v>46254.71042824074</v>
      </c>
      <c r="X792" s="201">
        <v>20.0</v>
      </c>
      <c r="Y792" s="201">
        <v>8.0</v>
      </c>
      <c r="Z792" s="201">
        <v>2026.0</v>
      </c>
      <c r="AA792" s="189" t="s">
        <v>12</v>
      </c>
    </row>
    <row r="793" ht="15.75" hidden="1" customHeight="1">
      <c r="A793" s="189" t="s">
        <v>2447</v>
      </c>
      <c r="B793" s="189" t="s">
        <v>2448</v>
      </c>
      <c r="C793" s="361">
        <v>46254.0</v>
      </c>
      <c r="D793" s="201">
        <v>20.0</v>
      </c>
      <c r="E793" s="201">
        <v>8.0</v>
      </c>
      <c r="F793" s="201">
        <v>2026.0</v>
      </c>
      <c r="G793" s="361">
        <v>46256.0</v>
      </c>
      <c r="H793" s="201">
        <v>22.0</v>
      </c>
      <c r="I793" s="201">
        <v>8.0</v>
      </c>
      <c r="J793" s="201">
        <v>2026.0</v>
      </c>
      <c r="K793" s="189" t="s">
        <v>46</v>
      </c>
      <c r="L793" s="189" t="s">
        <v>1177</v>
      </c>
      <c r="M793" s="201">
        <v>1.0</v>
      </c>
      <c r="N793" s="201">
        <v>2.0</v>
      </c>
      <c r="O793" s="201">
        <f t="shared" si="4"/>
        <v>2</v>
      </c>
      <c r="P793" s="201">
        <v>4.0</v>
      </c>
      <c r="Q793" s="361">
        <v>46254.934016203704</v>
      </c>
      <c r="R793" s="362">
        <v>20.0</v>
      </c>
      <c r="S793" s="362">
        <v>8.0</v>
      </c>
      <c r="T793" s="201">
        <v>2026.0</v>
      </c>
      <c r="U793" s="189" t="s">
        <v>245</v>
      </c>
      <c r="V793" s="201">
        <v>76.5</v>
      </c>
      <c r="W793" s="361">
        <v>46254.934016203704</v>
      </c>
      <c r="X793" s="201">
        <v>20.0</v>
      </c>
      <c r="Y793" s="201">
        <v>8.0</v>
      </c>
      <c r="Z793" s="201">
        <v>2026.0</v>
      </c>
      <c r="AA793" s="189" t="s">
        <v>245</v>
      </c>
    </row>
    <row r="794" ht="15.75" hidden="1" customHeight="1">
      <c r="A794" s="189" t="s">
        <v>2449</v>
      </c>
      <c r="B794" s="189" t="s">
        <v>2450</v>
      </c>
      <c r="C794" s="361">
        <v>46256.0</v>
      </c>
      <c r="D794" s="201">
        <v>22.0</v>
      </c>
      <c r="E794" s="201">
        <v>8.0</v>
      </c>
      <c r="F794" s="201">
        <v>2026.0</v>
      </c>
      <c r="G794" s="361">
        <v>46258.0</v>
      </c>
      <c r="H794" s="201">
        <v>24.0</v>
      </c>
      <c r="I794" s="201">
        <v>8.0</v>
      </c>
      <c r="J794" s="201">
        <v>2026.0</v>
      </c>
      <c r="K794" s="189" t="s">
        <v>46</v>
      </c>
      <c r="L794" s="189" t="s">
        <v>1177</v>
      </c>
      <c r="M794" s="201">
        <v>1.0</v>
      </c>
      <c r="N794" s="201">
        <v>2.0</v>
      </c>
      <c r="O794" s="201">
        <f t="shared" si="4"/>
        <v>2</v>
      </c>
      <c r="P794" s="201">
        <v>4.0</v>
      </c>
      <c r="Q794" s="361">
        <v>46256.408217592594</v>
      </c>
      <c r="R794" s="362">
        <v>22.0</v>
      </c>
      <c r="S794" s="362">
        <v>8.0</v>
      </c>
      <c r="T794" s="201">
        <v>2026.0</v>
      </c>
      <c r="U794" s="189" t="s">
        <v>245</v>
      </c>
      <c r="V794" s="201">
        <v>76.5</v>
      </c>
      <c r="W794" s="361">
        <v>46256.40789351852</v>
      </c>
      <c r="X794" s="201">
        <v>22.0</v>
      </c>
      <c r="Y794" s="201">
        <v>8.0</v>
      </c>
      <c r="Z794" s="201">
        <v>2026.0</v>
      </c>
      <c r="AA794" s="189" t="s">
        <v>245</v>
      </c>
    </row>
    <row r="795" ht="15.75" hidden="1" customHeight="1">
      <c r="A795" s="189" t="s">
        <v>2451</v>
      </c>
      <c r="B795" s="189" t="s">
        <v>2452</v>
      </c>
      <c r="C795" s="361">
        <v>46258.0</v>
      </c>
      <c r="D795" s="201">
        <v>24.0</v>
      </c>
      <c r="E795" s="201">
        <v>8.0</v>
      </c>
      <c r="F795" s="201">
        <v>2026.0</v>
      </c>
      <c r="G795" s="361">
        <v>46260.0</v>
      </c>
      <c r="H795" s="201">
        <v>26.0</v>
      </c>
      <c r="I795" s="201">
        <v>8.0</v>
      </c>
      <c r="J795" s="201">
        <v>2026.0</v>
      </c>
      <c r="K795" s="189" t="s">
        <v>46</v>
      </c>
      <c r="L795" s="189" t="s">
        <v>1177</v>
      </c>
      <c r="M795" s="201">
        <v>2.0</v>
      </c>
      <c r="N795" s="201">
        <v>2.0</v>
      </c>
      <c r="O795" s="201">
        <f t="shared" si="4"/>
        <v>4</v>
      </c>
      <c r="P795" s="201">
        <v>8.0</v>
      </c>
      <c r="Q795" s="361">
        <v>46260.36534722222</v>
      </c>
      <c r="R795" s="362">
        <v>26.0</v>
      </c>
      <c r="S795" s="362">
        <v>8.0</v>
      </c>
      <c r="T795" s="201">
        <v>2026.0</v>
      </c>
      <c r="U795" s="189" t="s">
        <v>245</v>
      </c>
      <c r="V795" s="201">
        <v>153.0</v>
      </c>
      <c r="W795" s="361">
        <v>46260.36534722222</v>
      </c>
      <c r="X795" s="201">
        <v>26.0</v>
      </c>
      <c r="Y795" s="201">
        <v>8.0</v>
      </c>
      <c r="Z795" s="201">
        <v>2026.0</v>
      </c>
      <c r="AA795" s="189" t="s">
        <v>245</v>
      </c>
    </row>
    <row r="796" ht="15.75" hidden="1" customHeight="1">
      <c r="A796" s="189" t="s">
        <v>2453</v>
      </c>
      <c r="B796" s="189" t="s">
        <v>2454</v>
      </c>
      <c r="C796" s="361">
        <v>46259.0</v>
      </c>
      <c r="D796" s="201">
        <v>25.0</v>
      </c>
      <c r="E796" s="201">
        <v>8.0</v>
      </c>
      <c r="F796" s="201">
        <v>2026.0</v>
      </c>
      <c r="G796" s="361">
        <v>46261.0</v>
      </c>
      <c r="H796" s="201">
        <v>27.0</v>
      </c>
      <c r="I796" s="201">
        <v>8.0</v>
      </c>
      <c r="J796" s="201">
        <v>2026.0</v>
      </c>
      <c r="K796" s="189" t="s">
        <v>46</v>
      </c>
      <c r="L796" s="189" t="s">
        <v>1177</v>
      </c>
      <c r="M796" s="201">
        <v>1.0</v>
      </c>
      <c r="N796" s="201">
        <v>2.0</v>
      </c>
      <c r="O796" s="201">
        <f t="shared" si="4"/>
        <v>2</v>
      </c>
      <c r="P796" s="201">
        <v>4.0</v>
      </c>
      <c r="Q796" s="361">
        <v>46259.81689814815</v>
      </c>
      <c r="R796" s="362">
        <v>25.0</v>
      </c>
      <c r="S796" s="362">
        <v>8.0</v>
      </c>
      <c r="T796" s="201">
        <v>2026.0</v>
      </c>
      <c r="U796" s="189" t="s">
        <v>245</v>
      </c>
      <c r="V796" s="201">
        <v>76.5</v>
      </c>
      <c r="W796" s="361">
        <v>46259.81689814815</v>
      </c>
      <c r="X796" s="201">
        <v>25.0</v>
      </c>
      <c r="Y796" s="201">
        <v>8.0</v>
      </c>
      <c r="Z796" s="201">
        <v>2026.0</v>
      </c>
      <c r="AA796" s="189" t="s">
        <v>245</v>
      </c>
    </row>
    <row r="797" ht="15.75" hidden="1" customHeight="1">
      <c r="A797" s="189" t="s">
        <v>2455</v>
      </c>
      <c r="B797" s="189" t="s">
        <v>2456</v>
      </c>
      <c r="C797" s="361">
        <v>46259.0</v>
      </c>
      <c r="D797" s="201">
        <v>25.0</v>
      </c>
      <c r="E797" s="201">
        <v>8.0</v>
      </c>
      <c r="F797" s="201">
        <v>2026.0</v>
      </c>
      <c r="G797" s="361">
        <v>46260.0</v>
      </c>
      <c r="H797" s="201">
        <v>26.0</v>
      </c>
      <c r="I797" s="201">
        <v>8.0</v>
      </c>
      <c r="J797" s="201">
        <v>2026.0</v>
      </c>
      <c r="K797" s="189" t="s">
        <v>46</v>
      </c>
      <c r="L797" s="189" t="s">
        <v>1177</v>
      </c>
      <c r="M797" s="201">
        <v>1.0</v>
      </c>
      <c r="N797" s="201">
        <v>1.0</v>
      </c>
      <c r="O797" s="201">
        <f t="shared" si="4"/>
        <v>1</v>
      </c>
      <c r="P797" s="201">
        <v>2.0</v>
      </c>
      <c r="Q797" s="361">
        <v>46259.97554398148</v>
      </c>
      <c r="R797" s="362">
        <v>25.0</v>
      </c>
      <c r="S797" s="362">
        <v>8.0</v>
      </c>
      <c r="T797" s="201">
        <v>2026.0</v>
      </c>
      <c r="U797" s="189" t="s">
        <v>262</v>
      </c>
      <c r="V797" s="201">
        <v>38.25</v>
      </c>
      <c r="W797" s="361">
        <v>46259.97554398148</v>
      </c>
      <c r="X797" s="201">
        <v>25.0</v>
      </c>
      <c r="Y797" s="201">
        <v>8.0</v>
      </c>
      <c r="Z797" s="201">
        <v>2026.0</v>
      </c>
      <c r="AA797" s="189" t="s">
        <v>262</v>
      </c>
    </row>
    <row r="798" ht="15.75" hidden="1" customHeight="1">
      <c r="A798" s="189" t="s">
        <v>2457</v>
      </c>
      <c r="B798" s="189" t="s">
        <v>2458</v>
      </c>
      <c r="C798" s="361">
        <v>46259.0</v>
      </c>
      <c r="D798" s="201">
        <v>25.0</v>
      </c>
      <c r="E798" s="201">
        <v>8.0</v>
      </c>
      <c r="F798" s="201">
        <v>2026.0</v>
      </c>
      <c r="G798" s="361">
        <v>46261.0</v>
      </c>
      <c r="H798" s="201">
        <v>27.0</v>
      </c>
      <c r="I798" s="201">
        <v>8.0</v>
      </c>
      <c r="J798" s="201">
        <v>2026.0</v>
      </c>
      <c r="K798" s="189" t="s">
        <v>46</v>
      </c>
      <c r="L798" s="189" t="s">
        <v>1177</v>
      </c>
      <c r="M798" s="201">
        <v>2.0</v>
      </c>
      <c r="N798" s="201">
        <v>2.0</v>
      </c>
      <c r="O798" s="201">
        <f t="shared" si="4"/>
        <v>4</v>
      </c>
      <c r="P798" s="201">
        <v>8.0</v>
      </c>
      <c r="Q798" s="361">
        <v>46259.71671296296</v>
      </c>
      <c r="R798" s="362">
        <v>25.0</v>
      </c>
      <c r="S798" s="362">
        <v>8.0</v>
      </c>
      <c r="T798" s="201">
        <v>2026.0</v>
      </c>
      <c r="U798" s="189" t="s">
        <v>245</v>
      </c>
      <c r="V798" s="201">
        <v>153.0</v>
      </c>
      <c r="W798" s="361">
        <v>46259.71671296296</v>
      </c>
      <c r="X798" s="201">
        <v>25.0</v>
      </c>
      <c r="Y798" s="201">
        <v>8.0</v>
      </c>
      <c r="Z798" s="201">
        <v>2026.0</v>
      </c>
      <c r="AA798" s="189" t="s">
        <v>245</v>
      </c>
    </row>
    <row r="799" ht="15.75" hidden="1" customHeight="1">
      <c r="A799" s="189" t="s">
        <v>2459</v>
      </c>
      <c r="B799" s="189" t="s">
        <v>2460</v>
      </c>
      <c r="C799" s="361">
        <v>46260.0</v>
      </c>
      <c r="D799" s="201">
        <v>26.0</v>
      </c>
      <c r="E799" s="201">
        <v>8.0</v>
      </c>
      <c r="F799" s="201">
        <v>2026.0</v>
      </c>
      <c r="G799" s="361">
        <v>46261.0</v>
      </c>
      <c r="H799" s="201">
        <v>27.0</v>
      </c>
      <c r="I799" s="201">
        <v>8.0</v>
      </c>
      <c r="J799" s="201">
        <v>2026.0</v>
      </c>
      <c r="K799" s="189" t="s">
        <v>46</v>
      </c>
      <c r="L799" s="189" t="s">
        <v>1177</v>
      </c>
      <c r="M799" s="201">
        <v>2.0</v>
      </c>
      <c r="N799" s="201">
        <v>1.0</v>
      </c>
      <c r="O799" s="201">
        <f t="shared" si="4"/>
        <v>2</v>
      </c>
      <c r="P799" s="201">
        <v>4.0</v>
      </c>
      <c r="Q799" s="361">
        <v>46260.95240740741</v>
      </c>
      <c r="R799" s="362">
        <v>26.0</v>
      </c>
      <c r="S799" s="362">
        <v>8.0</v>
      </c>
      <c r="T799" s="201">
        <v>2026.0</v>
      </c>
      <c r="U799" s="189" t="s">
        <v>245</v>
      </c>
      <c r="V799" s="201">
        <v>76.5</v>
      </c>
      <c r="W799" s="361">
        <v>46260.95240740741</v>
      </c>
      <c r="X799" s="201">
        <v>26.0</v>
      </c>
      <c r="Y799" s="201">
        <v>8.0</v>
      </c>
      <c r="Z799" s="201">
        <v>2026.0</v>
      </c>
      <c r="AA799" s="189" t="s">
        <v>245</v>
      </c>
    </row>
    <row r="800" ht="15.75" hidden="1" customHeight="1">
      <c r="A800" s="189" t="s">
        <v>2461</v>
      </c>
      <c r="B800" s="189" t="s">
        <v>2462</v>
      </c>
      <c r="C800" s="361">
        <v>46261.0</v>
      </c>
      <c r="D800" s="201">
        <v>27.0</v>
      </c>
      <c r="E800" s="201">
        <v>8.0</v>
      </c>
      <c r="F800" s="201">
        <v>2026.0</v>
      </c>
      <c r="G800" s="361">
        <v>46262.0</v>
      </c>
      <c r="H800" s="201">
        <v>28.0</v>
      </c>
      <c r="I800" s="201">
        <v>8.0</v>
      </c>
      <c r="J800" s="201">
        <v>2026.0</v>
      </c>
      <c r="K800" s="189" t="s">
        <v>46</v>
      </c>
      <c r="L800" s="189" t="s">
        <v>1177</v>
      </c>
      <c r="M800" s="201">
        <v>2.0</v>
      </c>
      <c r="N800" s="201">
        <v>1.0</v>
      </c>
      <c r="O800" s="201">
        <f t="shared" si="4"/>
        <v>2</v>
      </c>
      <c r="P800" s="201">
        <v>4.0</v>
      </c>
      <c r="Q800" s="361">
        <v>46262.04450231481</v>
      </c>
      <c r="R800" s="362">
        <v>28.0</v>
      </c>
      <c r="S800" s="362">
        <v>8.0</v>
      </c>
      <c r="T800" s="201">
        <v>2026.0</v>
      </c>
      <c r="U800" s="189" t="s">
        <v>262</v>
      </c>
      <c r="V800" s="201">
        <v>76.5</v>
      </c>
      <c r="W800" s="361">
        <v>46262.04450231481</v>
      </c>
      <c r="X800" s="201">
        <v>28.0</v>
      </c>
      <c r="Y800" s="201">
        <v>8.0</v>
      </c>
      <c r="Z800" s="201">
        <v>2026.0</v>
      </c>
      <c r="AA800" s="189" t="s">
        <v>262</v>
      </c>
    </row>
    <row r="801" ht="15.75" hidden="1" customHeight="1">
      <c r="A801" s="189" t="s">
        <v>2463</v>
      </c>
      <c r="B801" s="189" t="s">
        <v>2464</v>
      </c>
      <c r="C801" s="361">
        <v>46262.0</v>
      </c>
      <c r="D801" s="201">
        <v>28.0</v>
      </c>
      <c r="E801" s="201">
        <v>8.0</v>
      </c>
      <c r="F801" s="201">
        <v>2026.0</v>
      </c>
      <c r="G801" s="361">
        <v>46265.0</v>
      </c>
      <c r="H801" s="201">
        <v>31.0</v>
      </c>
      <c r="I801" s="201">
        <v>8.0</v>
      </c>
      <c r="J801" s="201">
        <v>2026.0</v>
      </c>
      <c r="K801" s="189" t="s">
        <v>46</v>
      </c>
      <c r="L801" s="189" t="s">
        <v>1177</v>
      </c>
      <c r="M801" s="201">
        <v>1.0</v>
      </c>
      <c r="N801" s="201">
        <v>3.0</v>
      </c>
      <c r="O801" s="201">
        <f t="shared" si="4"/>
        <v>3</v>
      </c>
      <c r="P801" s="201">
        <v>6.0</v>
      </c>
      <c r="Q801" s="361">
        <v>46263.86949074074</v>
      </c>
      <c r="R801" s="362">
        <v>29.0</v>
      </c>
      <c r="S801" s="362">
        <v>8.0</v>
      </c>
      <c r="T801" s="201">
        <v>2026.0</v>
      </c>
      <c r="U801" s="189" t="s">
        <v>245</v>
      </c>
      <c r="V801" s="201">
        <v>114.75</v>
      </c>
      <c r="W801" s="361">
        <v>46263.86949074074</v>
      </c>
      <c r="X801" s="201">
        <v>29.0</v>
      </c>
      <c r="Y801" s="201">
        <v>8.0</v>
      </c>
      <c r="Z801" s="201">
        <v>2026.0</v>
      </c>
      <c r="AA801" s="189" t="s">
        <v>245</v>
      </c>
    </row>
    <row r="802" ht="15.75" hidden="1" customHeight="1">
      <c r="A802" s="189" t="s">
        <v>2465</v>
      </c>
      <c r="B802" s="189" t="s">
        <v>2466</v>
      </c>
      <c r="C802" s="361">
        <v>46262.0</v>
      </c>
      <c r="D802" s="201">
        <v>28.0</v>
      </c>
      <c r="E802" s="201">
        <v>8.0</v>
      </c>
      <c r="F802" s="201">
        <v>2026.0</v>
      </c>
      <c r="G802" s="361">
        <v>46263.0</v>
      </c>
      <c r="H802" s="201">
        <v>29.0</v>
      </c>
      <c r="I802" s="201">
        <v>8.0</v>
      </c>
      <c r="J802" s="201">
        <v>2026.0</v>
      </c>
      <c r="K802" s="189" t="s">
        <v>46</v>
      </c>
      <c r="L802" s="189" t="s">
        <v>1177</v>
      </c>
      <c r="M802" s="201">
        <v>1.0</v>
      </c>
      <c r="N802" s="201">
        <v>1.0</v>
      </c>
      <c r="O802" s="201">
        <f t="shared" si="4"/>
        <v>1</v>
      </c>
      <c r="P802" s="201">
        <v>2.0</v>
      </c>
      <c r="Q802" s="361">
        <v>46262.95668981481</v>
      </c>
      <c r="R802" s="362">
        <v>28.0</v>
      </c>
      <c r="S802" s="362">
        <v>8.0</v>
      </c>
      <c r="T802" s="201">
        <v>2026.0</v>
      </c>
      <c r="U802" s="189" t="s">
        <v>245</v>
      </c>
      <c r="V802" s="201">
        <v>38.25</v>
      </c>
      <c r="W802" s="361">
        <v>46262.95668981481</v>
      </c>
      <c r="X802" s="201">
        <v>28.0</v>
      </c>
      <c r="Y802" s="201">
        <v>8.0</v>
      </c>
      <c r="Z802" s="201">
        <v>2026.0</v>
      </c>
      <c r="AA802" s="189" t="s">
        <v>245</v>
      </c>
    </row>
    <row r="803" ht="15.75" hidden="1" customHeight="1">
      <c r="A803" s="189" t="s">
        <v>2467</v>
      </c>
      <c r="B803" s="189" t="s">
        <v>2468</v>
      </c>
      <c r="C803" s="361">
        <v>46261.0</v>
      </c>
      <c r="D803" s="201">
        <v>27.0</v>
      </c>
      <c r="E803" s="201">
        <v>8.0</v>
      </c>
      <c r="F803" s="201">
        <v>2026.0</v>
      </c>
      <c r="G803" s="361">
        <v>46275.0</v>
      </c>
      <c r="H803" s="201">
        <v>10.0</v>
      </c>
      <c r="I803" s="201">
        <v>9.0</v>
      </c>
      <c r="J803" s="201">
        <v>2026.0</v>
      </c>
      <c r="K803" s="189" t="s">
        <v>51</v>
      </c>
      <c r="L803" s="189" t="s">
        <v>1177</v>
      </c>
      <c r="M803" s="201">
        <v>1.0</v>
      </c>
      <c r="N803" s="201">
        <v>14.0</v>
      </c>
      <c r="O803" s="201">
        <f t="shared" si="4"/>
        <v>14</v>
      </c>
      <c r="P803" s="201">
        <v>14.0</v>
      </c>
      <c r="Q803" s="361">
        <v>46265.0</v>
      </c>
      <c r="R803" s="362">
        <v>31.0</v>
      </c>
      <c r="S803" s="362">
        <v>8.0</v>
      </c>
      <c r="T803" s="201">
        <v>2026.0</v>
      </c>
      <c r="U803" s="189" t="s">
        <v>2</v>
      </c>
      <c r="V803" s="201">
        <v>540.8</v>
      </c>
      <c r="W803" s="361">
        <v>46265.0</v>
      </c>
      <c r="X803" s="201">
        <v>31.0</v>
      </c>
      <c r="Y803" s="201">
        <v>8.0</v>
      </c>
      <c r="Z803" s="201">
        <v>2026.0</v>
      </c>
      <c r="AA803" s="189" t="s">
        <v>2</v>
      </c>
    </row>
    <row r="804" ht="15.75" hidden="1" customHeight="1">
      <c r="A804" s="189" t="s">
        <v>2469</v>
      </c>
      <c r="B804" s="201">
        <v>5.394168912E9</v>
      </c>
      <c r="C804" s="361">
        <v>46243.0</v>
      </c>
      <c r="D804" s="201">
        <v>9.0</v>
      </c>
      <c r="E804" s="201">
        <v>8.0</v>
      </c>
      <c r="F804" s="201">
        <v>2026.0</v>
      </c>
      <c r="G804" s="361">
        <v>46248.0</v>
      </c>
      <c r="H804" s="201">
        <v>14.0</v>
      </c>
      <c r="I804" s="201">
        <v>8.0</v>
      </c>
      <c r="J804" s="201">
        <v>2026.0</v>
      </c>
      <c r="K804" s="189" t="s">
        <v>36</v>
      </c>
      <c r="L804" s="189" t="s">
        <v>1177</v>
      </c>
      <c r="M804" s="201">
        <v>1.0</v>
      </c>
      <c r="N804" s="201">
        <v>5.0</v>
      </c>
      <c r="O804" s="201">
        <f t="shared" si="4"/>
        <v>5</v>
      </c>
      <c r="P804" s="201">
        <v>10.0</v>
      </c>
      <c r="Q804" s="361">
        <v>46266.0</v>
      </c>
      <c r="R804" s="362">
        <v>1.0</v>
      </c>
      <c r="S804" s="362">
        <v>9.0</v>
      </c>
      <c r="T804" s="201">
        <v>2026.0</v>
      </c>
      <c r="U804" s="189" t="s">
        <v>36</v>
      </c>
      <c r="V804" s="201">
        <v>196.32</v>
      </c>
      <c r="W804" s="361">
        <v>46266.0</v>
      </c>
      <c r="X804" s="201">
        <v>1.0</v>
      </c>
      <c r="Y804" s="201">
        <v>9.0</v>
      </c>
      <c r="Z804" s="201">
        <v>2026.0</v>
      </c>
      <c r="AA804" s="189" t="s">
        <v>36</v>
      </c>
    </row>
    <row r="805" ht="15.75" hidden="1" customHeight="1">
      <c r="A805" s="189" t="s">
        <v>2470</v>
      </c>
      <c r="B805" s="189" t="s">
        <v>2471</v>
      </c>
      <c r="C805" s="361">
        <v>46265.0</v>
      </c>
      <c r="D805" s="201">
        <v>31.0</v>
      </c>
      <c r="E805" s="201">
        <v>8.0</v>
      </c>
      <c r="F805" s="201">
        <v>2026.0</v>
      </c>
      <c r="G805" s="361">
        <v>46266.0</v>
      </c>
      <c r="H805" s="201">
        <v>1.0</v>
      </c>
      <c r="I805" s="201">
        <v>9.0</v>
      </c>
      <c r="J805" s="201">
        <v>2026.0</v>
      </c>
      <c r="K805" s="189" t="s">
        <v>46</v>
      </c>
      <c r="L805" s="189" t="s">
        <v>1177</v>
      </c>
      <c r="M805" s="201">
        <v>1.0</v>
      </c>
      <c r="N805" s="201">
        <v>1.0</v>
      </c>
      <c r="O805" s="201">
        <f t="shared" si="4"/>
        <v>1</v>
      </c>
      <c r="P805" s="201">
        <v>2.0</v>
      </c>
      <c r="Q805" s="361">
        <v>46265.933020833334</v>
      </c>
      <c r="R805" s="362">
        <v>31.0</v>
      </c>
      <c r="S805" s="362">
        <v>8.0</v>
      </c>
      <c r="T805" s="201">
        <v>2026.0</v>
      </c>
      <c r="U805" s="189" t="s">
        <v>262</v>
      </c>
      <c r="V805" s="201">
        <v>38.25</v>
      </c>
      <c r="W805" s="361">
        <v>46265.933020833334</v>
      </c>
      <c r="X805" s="201">
        <v>31.0</v>
      </c>
      <c r="Y805" s="201">
        <v>8.0</v>
      </c>
      <c r="Z805" s="201">
        <v>2026.0</v>
      </c>
      <c r="AA805" s="189" t="s">
        <v>262</v>
      </c>
    </row>
    <row r="806" ht="15.75" hidden="1" customHeight="1">
      <c r="A806" s="189" t="s">
        <v>2472</v>
      </c>
      <c r="B806" s="201">
        <v>5.020499285E9</v>
      </c>
      <c r="C806" s="361">
        <v>46255.0</v>
      </c>
      <c r="D806" s="201">
        <v>21.0</v>
      </c>
      <c r="E806" s="201">
        <v>8.0</v>
      </c>
      <c r="F806" s="201">
        <v>2026.0</v>
      </c>
      <c r="G806" s="361">
        <v>46259.0</v>
      </c>
      <c r="H806" s="201">
        <v>25.0</v>
      </c>
      <c r="I806" s="201">
        <v>8.0</v>
      </c>
      <c r="J806" s="201">
        <v>2026.0</v>
      </c>
      <c r="K806" s="189" t="s">
        <v>36</v>
      </c>
      <c r="L806" s="189" t="s">
        <v>1177</v>
      </c>
      <c r="M806" s="201">
        <v>1.0</v>
      </c>
      <c r="N806" s="201">
        <v>4.0</v>
      </c>
      <c r="O806" s="201">
        <f t="shared" si="4"/>
        <v>4</v>
      </c>
      <c r="P806" s="201">
        <v>8.0</v>
      </c>
      <c r="Q806" s="361">
        <v>46266.0</v>
      </c>
      <c r="R806" s="362">
        <v>1.0</v>
      </c>
      <c r="S806" s="362">
        <v>9.0</v>
      </c>
      <c r="T806" s="201">
        <v>2026.0</v>
      </c>
      <c r="U806" s="189" t="s">
        <v>36</v>
      </c>
      <c r="V806" s="201">
        <v>158.73</v>
      </c>
      <c r="W806" s="361">
        <v>46266.0</v>
      </c>
      <c r="X806" s="201">
        <v>1.0</v>
      </c>
      <c r="Y806" s="201">
        <v>9.0</v>
      </c>
      <c r="Z806" s="201">
        <v>2026.0</v>
      </c>
      <c r="AA806" s="189" t="s">
        <v>36</v>
      </c>
    </row>
    <row r="807" ht="15.75" hidden="1" customHeight="1">
      <c r="A807" s="189" t="s">
        <v>2473</v>
      </c>
      <c r="B807" s="189" t="s">
        <v>2474</v>
      </c>
      <c r="C807" s="361">
        <v>46244.0</v>
      </c>
      <c r="D807" s="201">
        <v>10.0</v>
      </c>
      <c r="E807" s="201">
        <v>8.0</v>
      </c>
      <c r="F807" s="201">
        <v>2026.0</v>
      </c>
      <c r="G807" s="361">
        <v>46250.0</v>
      </c>
      <c r="H807" s="201">
        <v>16.0</v>
      </c>
      <c r="I807" s="201">
        <v>8.0</v>
      </c>
      <c r="J807" s="201">
        <v>2026.0</v>
      </c>
      <c r="K807" s="189" t="s">
        <v>46</v>
      </c>
      <c r="L807" s="189" t="s">
        <v>1177</v>
      </c>
      <c r="M807" s="201">
        <v>1.0</v>
      </c>
      <c r="N807" s="201">
        <v>6.0</v>
      </c>
      <c r="O807" s="201">
        <f t="shared" si="4"/>
        <v>6</v>
      </c>
      <c r="P807" s="201">
        <v>12.0</v>
      </c>
      <c r="Q807" s="361">
        <v>46250.89314814815</v>
      </c>
      <c r="R807" s="362">
        <v>16.0</v>
      </c>
      <c r="S807" s="362">
        <v>8.0</v>
      </c>
      <c r="T807" s="201">
        <v>2026.0</v>
      </c>
      <c r="U807" s="189" t="s">
        <v>245</v>
      </c>
      <c r="V807" s="201">
        <v>238.0</v>
      </c>
      <c r="W807" s="361">
        <v>46250.89314814815</v>
      </c>
      <c r="X807" s="201">
        <v>16.0</v>
      </c>
      <c r="Y807" s="201">
        <v>8.0</v>
      </c>
      <c r="Z807" s="201">
        <v>2026.0</v>
      </c>
      <c r="AA807" s="189" t="s">
        <v>245</v>
      </c>
    </row>
    <row r="808" ht="15.75" hidden="1" customHeight="1">
      <c r="A808" s="189" t="s">
        <v>2475</v>
      </c>
      <c r="B808" s="201">
        <v>5.288001014E9</v>
      </c>
      <c r="C808" s="361">
        <v>46252.0</v>
      </c>
      <c r="D808" s="201">
        <v>18.0</v>
      </c>
      <c r="E808" s="201">
        <v>8.0</v>
      </c>
      <c r="F808" s="201">
        <v>2026.0</v>
      </c>
      <c r="G808" s="361">
        <v>46259.0</v>
      </c>
      <c r="H808" s="201">
        <v>25.0</v>
      </c>
      <c r="I808" s="201">
        <v>8.0</v>
      </c>
      <c r="J808" s="201">
        <v>2026.0</v>
      </c>
      <c r="K808" s="189" t="s">
        <v>36</v>
      </c>
      <c r="L808" s="189" t="s">
        <v>1177</v>
      </c>
      <c r="M808" s="201">
        <v>1.0</v>
      </c>
      <c r="N808" s="201">
        <v>7.0</v>
      </c>
      <c r="O808" s="201">
        <f t="shared" si="4"/>
        <v>7</v>
      </c>
      <c r="P808" s="201">
        <v>14.0</v>
      </c>
      <c r="Q808" s="361">
        <v>46266.0</v>
      </c>
      <c r="R808" s="362">
        <v>1.0</v>
      </c>
      <c r="S808" s="362">
        <v>9.0</v>
      </c>
      <c r="T808" s="201">
        <v>2026.0</v>
      </c>
      <c r="U808" s="189" t="s">
        <v>36</v>
      </c>
      <c r="V808" s="201">
        <v>279.86</v>
      </c>
      <c r="W808" s="361">
        <v>46266.0</v>
      </c>
      <c r="X808" s="201">
        <v>1.0</v>
      </c>
      <c r="Y808" s="201">
        <v>9.0</v>
      </c>
      <c r="Z808" s="201">
        <v>2026.0</v>
      </c>
      <c r="AA808" s="189" t="s">
        <v>36</v>
      </c>
    </row>
    <row r="809" ht="15.75" hidden="1" customHeight="1">
      <c r="A809" s="189" t="s">
        <v>2476</v>
      </c>
      <c r="B809" s="201">
        <v>6.011774075E9</v>
      </c>
      <c r="C809" s="361">
        <v>46243.0</v>
      </c>
      <c r="D809" s="201">
        <v>9.0</v>
      </c>
      <c r="E809" s="201">
        <v>8.0</v>
      </c>
      <c r="F809" s="201">
        <v>2026.0</v>
      </c>
      <c r="G809" s="361">
        <v>46246.0</v>
      </c>
      <c r="H809" s="201">
        <v>12.0</v>
      </c>
      <c r="I809" s="201">
        <v>8.0</v>
      </c>
      <c r="J809" s="201">
        <v>2026.0</v>
      </c>
      <c r="K809" s="189" t="s">
        <v>36</v>
      </c>
      <c r="L809" s="189" t="s">
        <v>1177</v>
      </c>
      <c r="M809" s="201">
        <v>1.0</v>
      </c>
      <c r="N809" s="201">
        <v>3.0</v>
      </c>
      <c r="O809" s="201">
        <f t="shared" si="4"/>
        <v>3</v>
      </c>
      <c r="P809" s="201">
        <v>6.0</v>
      </c>
      <c r="Q809" s="361">
        <v>46266.0</v>
      </c>
      <c r="R809" s="362">
        <v>1.0</v>
      </c>
      <c r="S809" s="362">
        <v>9.0</v>
      </c>
      <c r="T809" s="201">
        <v>2026.0</v>
      </c>
      <c r="U809" s="189" t="s">
        <v>36</v>
      </c>
      <c r="V809" s="201">
        <v>121.14</v>
      </c>
      <c r="W809" s="361">
        <v>46266.0</v>
      </c>
      <c r="X809" s="201">
        <v>1.0</v>
      </c>
      <c r="Y809" s="201">
        <v>9.0</v>
      </c>
      <c r="Z809" s="201">
        <v>2026.0</v>
      </c>
      <c r="AA809" s="189" t="s">
        <v>36</v>
      </c>
    </row>
    <row r="810" ht="15.75" hidden="1" customHeight="1">
      <c r="A810" s="189" t="s">
        <v>2477</v>
      </c>
      <c r="B810" s="189" t="s">
        <v>2478</v>
      </c>
      <c r="C810" s="361">
        <v>46233.0</v>
      </c>
      <c r="D810" s="201">
        <v>30.0</v>
      </c>
      <c r="E810" s="201">
        <v>7.0</v>
      </c>
      <c r="F810" s="201">
        <v>2026.0</v>
      </c>
      <c r="G810" s="361">
        <v>46240.0</v>
      </c>
      <c r="H810" s="201">
        <v>6.0</v>
      </c>
      <c r="I810" s="201">
        <v>8.0</v>
      </c>
      <c r="J810" s="201">
        <v>2026.0</v>
      </c>
      <c r="K810" s="189" t="s">
        <v>51</v>
      </c>
      <c r="L810" s="189" t="s">
        <v>1177</v>
      </c>
      <c r="M810" s="201">
        <v>1.0</v>
      </c>
      <c r="N810" s="201">
        <v>7.0</v>
      </c>
      <c r="O810" s="201">
        <f t="shared" si="4"/>
        <v>7</v>
      </c>
      <c r="P810" s="201">
        <v>14.0</v>
      </c>
      <c r="Q810" s="361">
        <v>46265.0</v>
      </c>
      <c r="R810" s="362">
        <v>31.0</v>
      </c>
      <c r="S810" s="362">
        <v>8.0</v>
      </c>
      <c r="T810" s="201">
        <v>2026.0</v>
      </c>
      <c r="U810" s="189" t="s">
        <v>2</v>
      </c>
      <c r="V810" s="201">
        <v>283.07</v>
      </c>
      <c r="W810" s="361">
        <v>46265.0</v>
      </c>
      <c r="X810" s="201">
        <v>31.0</v>
      </c>
      <c r="Y810" s="201">
        <v>8.0</v>
      </c>
      <c r="Z810" s="201">
        <v>2026.0</v>
      </c>
      <c r="AA810" s="189" t="s">
        <v>2</v>
      </c>
    </row>
    <row r="811" ht="15.75" hidden="1" customHeight="1">
      <c r="A811" s="189" t="s">
        <v>2479</v>
      </c>
      <c r="B811" s="189" t="s">
        <v>2480</v>
      </c>
      <c r="C811" s="361">
        <v>46242.0</v>
      </c>
      <c r="D811" s="201">
        <v>8.0</v>
      </c>
      <c r="E811" s="201">
        <v>8.0</v>
      </c>
      <c r="F811" s="201">
        <v>2026.0</v>
      </c>
      <c r="G811" s="361">
        <v>46247.0</v>
      </c>
      <c r="H811" s="201">
        <v>13.0</v>
      </c>
      <c r="I811" s="201">
        <v>8.0</v>
      </c>
      <c r="J811" s="201">
        <v>2026.0</v>
      </c>
      <c r="K811" s="189" t="s">
        <v>46</v>
      </c>
      <c r="L811" s="189" t="s">
        <v>1177</v>
      </c>
      <c r="M811" s="201">
        <v>1.0</v>
      </c>
      <c r="N811" s="201">
        <v>5.0</v>
      </c>
      <c r="O811" s="201">
        <f t="shared" si="4"/>
        <v>5</v>
      </c>
      <c r="P811" s="201">
        <v>10.0</v>
      </c>
      <c r="Q811" s="361">
        <v>46243.67590277778</v>
      </c>
      <c r="R811" s="362">
        <v>9.0</v>
      </c>
      <c r="S811" s="362">
        <v>8.0</v>
      </c>
      <c r="T811" s="201">
        <v>2026.0</v>
      </c>
      <c r="U811" s="189" t="s">
        <v>245</v>
      </c>
      <c r="V811" s="201">
        <v>199.75</v>
      </c>
      <c r="W811" s="361">
        <v>46243.67590277778</v>
      </c>
      <c r="X811" s="201">
        <v>9.0</v>
      </c>
      <c r="Y811" s="201">
        <v>8.0</v>
      </c>
      <c r="Z811" s="201">
        <v>2026.0</v>
      </c>
      <c r="AA811" s="189" t="s">
        <v>245</v>
      </c>
    </row>
    <row r="812" ht="15.75" hidden="1" customHeight="1">
      <c r="A812" s="189" t="s">
        <v>2481</v>
      </c>
      <c r="B812" s="201">
        <v>5.931289429E9</v>
      </c>
      <c r="C812" s="361">
        <v>46260.0</v>
      </c>
      <c r="D812" s="201">
        <v>26.0</v>
      </c>
      <c r="E812" s="201">
        <v>8.0</v>
      </c>
      <c r="F812" s="201">
        <v>2026.0</v>
      </c>
      <c r="G812" s="361">
        <v>46262.0</v>
      </c>
      <c r="H812" s="201">
        <v>28.0</v>
      </c>
      <c r="I812" s="201">
        <v>8.0</v>
      </c>
      <c r="J812" s="201">
        <v>2026.0</v>
      </c>
      <c r="K812" s="189" t="s">
        <v>36</v>
      </c>
      <c r="L812" s="189" t="s">
        <v>1177</v>
      </c>
      <c r="M812" s="201">
        <v>1.0</v>
      </c>
      <c r="N812" s="201">
        <v>2.0</v>
      </c>
      <c r="O812" s="201">
        <f t="shared" si="4"/>
        <v>2</v>
      </c>
      <c r="P812" s="201">
        <v>4.0</v>
      </c>
      <c r="Q812" s="361">
        <v>46266.0</v>
      </c>
      <c r="R812" s="362">
        <v>1.0</v>
      </c>
      <c r="S812" s="362">
        <v>9.0</v>
      </c>
      <c r="T812" s="201">
        <v>2026.0</v>
      </c>
      <c r="U812" s="189" t="s">
        <v>36</v>
      </c>
      <c r="V812" s="201">
        <v>83.54</v>
      </c>
      <c r="W812" s="361">
        <v>46266.0</v>
      </c>
      <c r="X812" s="201">
        <v>1.0</v>
      </c>
      <c r="Y812" s="201">
        <v>9.0</v>
      </c>
      <c r="Z812" s="201">
        <v>2026.0</v>
      </c>
      <c r="AA812" s="189" t="s">
        <v>36</v>
      </c>
    </row>
    <row r="813" ht="15.75" hidden="1" customHeight="1">
      <c r="A813" s="189" t="s">
        <v>2482</v>
      </c>
      <c r="B813" s="201">
        <v>5.208443472E9</v>
      </c>
      <c r="C813" s="361">
        <v>46250.0</v>
      </c>
      <c r="D813" s="201">
        <v>16.0</v>
      </c>
      <c r="E813" s="201">
        <v>8.0</v>
      </c>
      <c r="F813" s="201">
        <v>2026.0</v>
      </c>
      <c r="G813" s="361">
        <v>46252.0</v>
      </c>
      <c r="H813" s="201">
        <v>18.0</v>
      </c>
      <c r="I813" s="201">
        <v>8.0</v>
      </c>
      <c r="J813" s="201">
        <v>2026.0</v>
      </c>
      <c r="K813" s="189" t="s">
        <v>36</v>
      </c>
      <c r="L813" s="189" t="s">
        <v>1177</v>
      </c>
      <c r="M813" s="201">
        <v>1.0</v>
      </c>
      <c r="N813" s="201">
        <v>2.0</v>
      </c>
      <c r="O813" s="201">
        <f t="shared" si="4"/>
        <v>2</v>
      </c>
      <c r="P813" s="201">
        <v>4.0</v>
      </c>
      <c r="Q813" s="361">
        <v>46266.0</v>
      </c>
      <c r="R813" s="362">
        <v>1.0</v>
      </c>
      <c r="S813" s="362">
        <v>9.0</v>
      </c>
      <c r="T813" s="201">
        <v>2026.0</v>
      </c>
      <c r="U813" s="189" t="s">
        <v>36</v>
      </c>
      <c r="V813" s="201">
        <v>83.54</v>
      </c>
      <c r="W813" s="361">
        <v>46266.0</v>
      </c>
      <c r="X813" s="201">
        <v>1.0</v>
      </c>
      <c r="Y813" s="201">
        <v>9.0</v>
      </c>
      <c r="Z813" s="201">
        <v>2026.0</v>
      </c>
      <c r="AA813" s="189" t="s">
        <v>36</v>
      </c>
    </row>
    <row r="814" ht="15.75" hidden="1" customHeight="1">
      <c r="A814" s="189" t="s">
        <v>2483</v>
      </c>
      <c r="B814" s="201">
        <v>5.938500624E9</v>
      </c>
      <c r="C814" s="361">
        <v>46253.0</v>
      </c>
      <c r="D814" s="201">
        <v>19.0</v>
      </c>
      <c r="E814" s="201">
        <v>8.0</v>
      </c>
      <c r="F814" s="201">
        <v>2026.0</v>
      </c>
      <c r="G814" s="361">
        <v>46257.0</v>
      </c>
      <c r="H814" s="201">
        <v>23.0</v>
      </c>
      <c r="I814" s="201">
        <v>8.0</v>
      </c>
      <c r="J814" s="201">
        <v>2026.0</v>
      </c>
      <c r="K814" s="189" t="s">
        <v>36</v>
      </c>
      <c r="L814" s="189" t="s">
        <v>1177</v>
      </c>
      <c r="M814" s="201">
        <v>1.0</v>
      </c>
      <c r="N814" s="201">
        <v>4.0</v>
      </c>
      <c r="O814" s="201">
        <f t="shared" si="4"/>
        <v>4</v>
      </c>
      <c r="P814" s="201">
        <v>8.0</v>
      </c>
      <c r="Q814" s="361">
        <v>46266.0</v>
      </c>
      <c r="R814" s="362">
        <v>1.0</v>
      </c>
      <c r="S814" s="362">
        <v>9.0</v>
      </c>
      <c r="T814" s="201">
        <v>2026.0</v>
      </c>
      <c r="U814" s="189" t="s">
        <v>36</v>
      </c>
      <c r="V814" s="201">
        <v>167.09</v>
      </c>
      <c r="W814" s="361">
        <v>46266.0</v>
      </c>
      <c r="X814" s="201">
        <v>1.0</v>
      </c>
      <c r="Y814" s="201">
        <v>9.0</v>
      </c>
      <c r="Z814" s="201">
        <v>2026.0</v>
      </c>
      <c r="AA814" s="189" t="s">
        <v>36</v>
      </c>
    </row>
    <row r="815" ht="15.75" hidden="1" customHeight="1">
      <c r="A815" s="189" t="s">
        <v>2484</v>
      </c>
      <c r="B815" s="201">
        <v>6.858805749E9</v>
      </c>
      <c r="C815" s="361">
        <v>46244.0</v>
      </c>
      <c r="D815" s="201">
        <v>10.0</v>
      </c>
      <c r="E815" s="201">
        <v>8.0</v>
      </c>
      <c r="F815" s="201">
        <v>2026.0</v>
      </c>
      <c r="G815" s="361">
        <v>46248.0</v>
      </c>
      <c r="H815" s="201">
        <v>14.0</v>
      </c>
      <c r="I815" s="201">
        <v>8.0</v>
      </c>
      <c r="J815" s="201">
        <v>2026.0</v>
      </c>
      <c r="K815" s="189" t="s">
        <v>36</v>
      </c>
      <c r="L815" s="189" t="s">
        <v>1177</v>
      </c>
      <c r="M815" s="201">
        <v>1.0</v>
      </c>
      <c r="N815" s="201">
        <v>4.0</v>
      </c>
      <c r="O815" s="201">
        <f t="shared" si="4"/>
        <v>4</v>
      </c>
      <c r="P815" s="201">
        <v>8.0</v>
      </c>
      <c r="Q815" s="361">
        <v>46266.0</v>
      </c>
      <c r="R815" s="362">
        <v>1.0</v>
      </c>
      <c r="S815" s="362">
        <v>9.0</v>
      </c>
      <c r="T815" s="201">
        <v>2026.0</v>
      </c>
      <c r="U815" s="189" t="s">
        <v>36</v>
      </c>
      <c r="V815" s="201">
        <v>167.09</v>
      </c>
      <c r="W815" s="361">
        <v>46266.0</v>
      </c>
      <c r="X815" s="201">
        <v>1.0</v>
      </c>
      <c r="Y815" s="201">
        <v>9.0</v>
      </c>
      <c r="Z815" s="201">
        <v>2026.0</v>
      </c>
      <c r="AA815" s="189" t="s">
        <v>36</v>
      </c>
    </row>
    <row r="816" ht="15.75" hidden="1" customHeight="1">
      <c r="A816" s="189" t="s">
        <v>2485</v>
      </c>
      <c r="B816" s="189" t="s">
        <v>2486</v>
      </c>
      <c r="C816" s="361">
        <v>46256.0</v>
      </c>
      <c r="D816" s="201">
        <v>22.0</v>
      </c>
      <c r="E816" s="201">
        <v>8.0</v>
      </c>
      <c r="F816" s="201">
        <v>2026.0</v>
      </c>
      <c r="G816" s="361">
        <v>46259.0</v>
      </c>
      <c r="H816" s="201">
        <v>25.0</v>
      </c>
      <c r="I816" s="201">
        <v>8.0</v>
      </c>
      <c r="J816" s="201">
        <v>2026.0</v>
      </c>
      <c r="K816" s="189" t="s">
        <v>46</v>
      </c>
      <c r="L816" s="189" t="s">
        <v>1177</v>
      </c>
      <c r="M816" s="201">
        <v>1.0</v>
      </c>
      <c r="N816" s="201">
        <v>3.0</v>
      </c>
      <c r="O816" s="201">
        <f t="shared" si="4"/>
        <v>3</v>
      </c>
      <c r="P816" s="201">
        <v>6.0</v>
      </c>
      <c r="Q816" s="361">
        <v>46256.770266203705</v>
      </c>
      <c r="R816" s="362">
        <v>22.0</v>
      </c>
      <c r="S816" s="362">
        <v>8.0</v>
      </c>
      <c r="T816" s="201">
        <v>2026.0</v>
      </c>
      <c r="U816" s="189" t="s">
        <v>245</v>
      </c>
      <c r="V816" s="201">
        <v>123.25</v>
      </c>
      <c r="W816" s="361">
        <v>46256.77009259259</v>
      </c>
      <c r="X816" s="201">
        <v>22.0</v>
      </c>
      <c r="Y816" s="201">
        <v>8.0</v>
      </c>
      <c r="Z816" s="201">
        <v>2026.0</v>
      </c>
      <c r="AA816" s="189" t="s">
        <v>245</v>
      </c>
    </row>
    <row r="817" ht="15.75" hidden="1" customHeight="1">
      <c r="A817" s="189" t="s">
        <v>2487</v>
      </c>
      <c r="B817" s="189" t="s">
        <v>2488</v>
      </c>
      <c r="C817" s="361">
        <v>46237.0</v>
      </c>
      <c r="D817" s="201">
        <v>3.0</v>
      </c>
      <c r="E817" s="201">
        <v>8.0</v>
      </c>
      <c r="F817" s="201">
        <v>2026.0</v>
      </c>
      <c r="G817" s="361">
        <v>46239.0</v>
      </c>
      <c r="H817" s="201">
        <v>5.0</v>
      </c>
      <c r="I817" s="201">
        <v>8.0</v>
      </c>
      <c r="J817" s="201">
        <v>2026.0</v>
      </c>
      <c r="K817" s="189" t="s">
        <v>46</v>
      </c>
      <c r="L817" s="189" t="s">
        <v>1177</v>
      </c>
      <c r="M817" s="201">
        <v>1.0</v>
      </c>
      <c r="N817" s="201">
        <v>2.0</v>
      </c>
      <c r="O817" s="201">
        <f t="shared" si="4"/>
        <v>2</v>
      </c>
      <c r="P817" s="201">
        <v>4.0</v>
      </c>
      <c r="Q817" s="361">
        <v>46237.65159722222</v>
      </c>
      <c r="R817" s="362">
        <v>3.0</v>
      </c>
      <c r="S817" s="362">
        <v>8.0</v>
      </c>
      <c r="T817" s="201">
        <v>2026.0</v>
      </c>
      <c r="U817" s="189" t="s">
        <v>245</v>
      </c>
      <c r="V817" s="201">
        <v>85.0</v>
      </c>
      <c r="W817" s="361">
        <v>46237.65159722222</v>
      </c>
      <c r="X817" s="201">
        <v>3.0</v>
      </c>
      <c r="Y817" s="201">
        <v>8.0</v>
      </c>
      <c r="Z817" s="201">
        <v>2026.0</v>
      </c>
      <c r="AA817" s="189" t="s">
        <v>245</v>
      </c>
    </row>
    <row r="818" ht="15.75" hidden="1" customHeight="1">
      <c r="A818" s="189" t="s">
        <v>2489</v>
      </c>
      <c r="B818" s="189" t="s">
        <v>2490</v>
      </c>
      <c r="C818" s="361">
        <v>46238.0</v>
      </c>
      <c r="D818" s="201">
        <v>4.0</v>
      </c>
      <c r="E818" s="201">
        <v>8.0</v>
      </c>
      <c r="F818" s="201">
        <v>2026.0</v>
      </c>
      <c r="G818" s="361">
        <v>46240.0</v>
      </c>
      <c r="H818" s="201">
        <v>6.0</v>
      </c>
      <c r="I818" s="201">
        <v>8.0</v>
      </c>
      <c r="J818" s="201">
        <v>2026.0</v>
      </c>
      <c r="K818" s="189" t="s">
        <v>46</v>
      </c>
      <c r="L818" s="189" t="s">
        <v>1177</v>
      </c>
      <c r="M818" s="201">
        <v>1.0</v>
      </c>
      <c r="N818" s="201">
        <v>2.0</v>
      </c>
      <c r="O818" s="201">
        <f t="shared" si="4"/>
        <v>2</v>
      </c>
      <c r="P818" s="201">
        <v>4.0</v>
      </c>
      <c r="Q818" s="361">
        <v>46238.82258101852</v>
      </c>
      <c r="R818" s="362">
        <v>4.0</v>
      </c>
      <c r="S818" s="362">
        <v>8.0</v>
      </c>
      <c r="T818" s="201">
        <v>2026.0</v>
      </c>
      <c r="U818" s="189" t="s">
        <v>245</v>
      </c>
      <c r="V818" s="201">
        <v>85.0</v>
      </c>
      <c r="W818" s="361">
        <v>46238.82258101852</v>
      </c>
      <c r="X818" s="201">
        <v>4.0</v>
      </c>
      <c r="Y818" s="201">
        <v>8.0</v>
      </c>
      <c r="Z818" s="201">
        <v>2026.0</v>
      </c>
      <c r="AA818" s="189" t="s">
        <v>245</v>
      </c>
    </row>
    <row r="819" ht="15.75" hidden="1" customHeight="1">
      <c r="A819" s="189" t="s">
        <v>2491</v>
      </c>
      <c r="B819" s="189" t="s">
        <v>2492</v>
      </c>
      <c r="C819" s="361">
        <v>46243.0</v>
      </c>
      <c r="D819" s="201">
        <v>9.0</v>
      </c>
      <c r="E819" s="201">
        <v>8.0</v>
      </c>
      <c r="F819" s="201">
        <v>2026.0</v>
      </c>
      <c r="G819" s="361">
        <v>46245.0</v>
      </c>
      <c r="H819" s="201">
        <v>11.0</v>
      </c>
      <c r="I819" s="201">
        <v>8.0</v>
      </c>
      <c r="J819" s="201">
        <v>2026.0</v>
      </c>
      <c r="K819" s="189" t="s">
        <v>46</v>
      </c>
      <c r="L819" s="189" t="s">
        <v>1177</v>
      </c>
      <c r="M819" s="201">
        <v>1.0</v>
      </c>
      <c r="N819" s="201">
        <v>2.0</v>
      </c>
      <c r="O819" s="201">
        <f t="shared" si="4"/>
        <v>2</v>
      </c>
      <c r="P819" s="201">
        <v>4.0</v>
      </c>
      <c r="Q819" s="361">
        <v>46244.499548611115</v>
      </c>
      <c r="R819" s="362">
        <v>10.0</v>
      </c>
      <c r="S819" s="362">
        <v>8.0</v>
      </c>
      <c r="T819" s="201">
        <v>2026.0</v>
      </c>
      <c r="U819" s="189" t="s">
        <v>245</v>
      </c>
      <c r="V819" s="201">
        <v>85.0</v>
      </c>
      <c r="W819" s="361">
        <v>46244.499548611115</v>
      </c>
      <c r="X819" s="201">
        <v>10.0</v>
      </c>
      <c r="Y819" s="201">
        <v>8.0</v>
      </c>
      <c r="Z819" s="201">
        <v>2026.0</v>
      </c>
      <c r="AA819" s="189" t="s">
        <v>245</v>
      </c>
    </row>
    <row r="820" ht="15.75" hidden="1" customHeight="1">
      <c r="A820" s="189" t="s">
        <v>2493</v>
      </c>
      <c r="B820" s="201">
        <v>5.701261917E9</v>
      </c>
      <c r="C820" s="361">
        <v>46250.0</v>
      </c>
      <c r="D820" s="201">
        <v>16.0</v>
      </c>
      <c r="E820" s="201">
        <v>8.0</v>
      </c>
      <c r="F820" s="201">
        <v>2026.0</v>
      </c>
      <c r="G820" s="361">
        <v>46255.0</v>
      </c>
      <c r="H820" s="201">
        <v>21.0</v>
      </c>
      <c r="I820" s="201">
        <v>8.0</v>
      </c>
      <c r="J820" s="201">
        <v>2026.0</v>
      </c>
      <c r="K820" s="189" t="s">
        <v>36</v>
      </c>
      <c r="L820" s="189" t="s">
        <v>1177</v>
      </c>
      <c r="M820" s="201">
        <v>1.0</v>
      </c>
      <c r="N820" s="201">
        <v>5.0</v>
      </c>
      <c r="O820" s="201">
        <f t="shared" si="4"/>
        <v>5</v>
      </c>
      <c r="P820" s="201">
        <v>10.0</v>
      </c>
      <c r="Q820" s="361">
        <v>46266.0</v>
      </c>
      <c r="R820" s="362">
        <v>1.0</v>
      </c>
      <c r="S820" s="362">
        <v>9.0</v>
      </c>
      <c r="T820" s="201">
        <v>2026.0</v>
      </c>
      <c r="U820" s="189" t="s">
        <v>36</v>
      </c>
      <c r="V820" s="201">
        <v>213.04</v>
      </c>
      <c r="W820" s="361">
        <v>46266.0</v>
      </c>
      <c r="X820" s="201">
        <v>1.0</v>
      </c>
      <c r="Y820" s="201">
        <v>9.0</v>
      </c>
      <c r="Z820" s="201">
        <v>2026.0</v>
      </c>
      <c r="AA820" s="189" t="s">
        <v>36</v>
      </c>
    </row>
    <row r="821" ht="15.75" hidden="1" customHeight="1">
      <c r="A821" s="189" t="s">
        <v>2494</v>
      </c>
      <c r="B821" s="201">
        <v>6.737133666E9</v>
      </c>
      <c r="C821" s="361">
        <v>46246.0</v>
      </c>
      <c r="D821" s="201">
        <v>12.0</v>
      </c>
      <c r="E821" s="201">
        <v>8.0</v>
      </c>
      <c r="F821" s="201">
        <v>2026.0</v>
      </c>
      <c r="G821" s="361">
        <v>46253.0</v>
      </c>
      <c r="H821" s="201">
        <v>19.0</v>
      </c>
      <c r="I821" s="201">
        <v>8.0</v>
      </c>
      <c r="J821" s="201">
        <v>2026.0</v>
      </c>
      <c r="K821" s="189" t="s">
        <v>36</v>
      </c>
      <c r="L821" s="189" t="s">
        <v>1177</v>
      </c>
      <c r="M821" s="201">
        <v>1.0</v>
      </c>
      <c r="N821" s="201">
        <v>7.0</v>
      </c>
      <c r="O821" s="201">
        <f t="shared" si="4"/>
        <v>7</v>
      </c>
      <c r="P821" s="201">
        <v>14.0</v>
      </c>
      <c r="Q821" s="361">
        <v>46266.0</v>
      </c>
      <c r="R821" s="362">
        <v>1.0</v>
      </c>
      <c r="S821" s="362">
        <v>9.0</v>
      </c>
      <c r="T821" s="201">
        <v>2026.0</v>
      </c>
      <c r="U821" s="189" t="s">
        <v>36</v>
      </c>
      <c r="V821" s="201">
        <v>304.94</v>
      </c>
      <c r="W821" s="361">
        <v>46266.0</v>
      </c>
      <c r="X821" s="201">
        <v>1.0</v>
      </c>
      <c r="Y821" s="201">
        <v>9.0</v>
      </c>
      <c r="Z821" s="201">
        <v>2026.0</v>
      </c>
      <c r="AA821" s="189" t="s">
        <v>36</v>
      </c>
    </row>
    <row r="822" ht="15.75" hidden="1" customHeight="1">
      <c r="A822" s="189" t="s">
        <v>2495</v>
      </c>
      <c r="B822" s="201">
        <v>5.283990566E9</v>
      </c>
      <c r="C822" s="361">
        <v>46248.0</v>
      </c>
      <c r="D822" s="201">
        <v>14.0</v>
      </c>
      <c r="E822" s="201">
        <v>8.0</v>
      </c>
      <c r="F822" s="201">
        <v>2026.0</v>
      </c>
      <c r="G822" s="361">
        <v>46252.0</v>
      </c>
      <c r="H822" s="201">
        <v>18.0</v>
      </c>
      <c r="I822" s="201">
        <v>8.0</v>
      </c>
      <c r="J822" s="201">
        <v>2026.0</v>
      </c>
      <c r="K822" s="189" t="s">
        <v>36</v>
      </c>
      <c r="L822" s="189" t="s">
        <v>1177</v>
      </c>
      <c r="M822" s="201">
        <v>1.0</v>
      </c>
      <c r="N822" s="201">
        <v>4.0</v>
      </c>
      <c r="O822" s="201">
        <f t="shared" si="4"/>
        <v>4</v>
      </c>
      <c r="P822" s="201">
        <v>8.0</v>
      </c>
      <c r="Q822" s="361">
        <v>46266.0</v>
      </c>
      <c r="R822" s="362">
        <v>1.0</v>
      </c>
      <c r="S822" s="362">
        <v>9.0</v>
      </c>
      <c r="T822" s="201">
        <v>2026.0</v>
      </c>
      <c r="U822" s="189" t="s">
        <v>36</v>
      </c>
      <c r="V822" s="201">
        <v>175.45</v>
      </c>
      <c r="W822" s="361">
        <v>46266.0</v>
      </c>
      <c r="X822" s="201">
        <v>1.0</v>
      </c>
      <c r="Y822" s="201">
        <v>9.0</v>
      </c>
      <c r="Z822" s="201">
        <v>2026.0</v>
      </c>
      <c r="AA822" s="189" t="s">
        <v>36</v>
      </c>
    </row>
    <row r="823" ht="15.75" hidden="1" customHeight="1">
      <c r="A823" s="189" t="s">
        <v>2496</v>
      </c>
      <c r="B823" s="201">
        <v>5.463479934E9</v>
      </c>
      <c r="C823" s="361">
        <v>46246.0</v>
      </c>
      <c r="D823" s="201">
        <v>12.0</v>
      </c>
      <c r="E823" s="201">
        <v>8.0</v>
      </c>
      <c r="F823" s="201">
        <v>2026.0</v>
      </c>
      <c r="G823" s="361">
        <v>46250.0</v>
      </c>
      <c r="H823" s="201">
        <v>16.0</v>
      </c>
      <c r="I823" s="201">
        <v>8.0</v>
      </c>
      <c r="J823" s="201">
        <v>2026.0</v>
      </c>
      <c r="K823" s="189" t="s">
        <v>36</v>
      </c>
      <c r="L823" s="189" t="s">
        <v>1177</v>
      </c>
      <c r="M823" s="201">
        <v>1.0</v>
      </c>
      <c r="N823" s="201">
        <v>4.0</v>
      </c>
      <c r="O823" s="201">
        <f t="shared" si="4"/>
        <v>4</v>
      </c>
      <c r="P823" s="201">
        <v>8.0</v>
      </c>
      <c r="Q823" s="361">
        <v>46266.0</v>
      </c>
      <c r="R823" s="362">
        <v>1.0</v>
      </c>
      <c r="S823" s="362">
        <v>9.0</v>
      </c>
      <c r="T823" s="201">
        <v>2026.0</v>
      </c>
      <c r="U823" s="189" t="s">
        <v>36</v>
      </c>
      <c r="V823" s="201">
        <v>175.45</v>
      </c>
      <c r="W823" s="361">
        <v>46266.0</v>
      </c>
      <c r="X823" s="201">
        <v>1.0</v>
      </c>
      <c r="Y823" s="201">
        <v>9.0</v>
      </c>
      <c r="Z823" s="201">
        <v>2026.0</v>
      </c>
      <c r="AA823" s="189" t="s">
        <v>36</v>
      </c>
    </row>
    <row r="824" ht="15.75" hidden="1" customHeight="1">
      <c r="A824" s="189" t="s">
        <v>1842</v>
      </c>
      <c r="B824" s="201">
        <v>5.488569099E9</v>
      </c>
      <c r="C824" s="361">
        <v>46236.0</v>
      </c>
      <c r="D824" s="201">
        <v>2.0</v>
      </c>
      <c r="E824" s="201">
        <v>8.0</v>
      </c>
      <c r="F824" s="201">
        <v>2026.0</v>
      </c>
      <c r="G824" s="361">
        <v>46240.0</v>
      </c>
      <c r="H824" s="201">
        <v>6.0</v>
      </c>
      <c r="I824" s="201">
        <v>8.0</v>
      </c>
      <c r="J824" s="201">
        <v>2026.0</v>
      </c>
      <c r="K824" s="189" t="s">
        <v>36</v>
      </c>
      <c r="L824" s="189" t="s">
        <v>1177</v>
      </c>
      <c r="M824" s="201">
        <v>1.0</v>
      </c>
      <c r="N824" s="201">
        <v>4.0</v>
      </c>
      <c r="O824" s="201">
        <f t="shared" si="4"/>
        <v>4</v>
      </c>
      <c r="P824" s="201">
        <v>8.0</v>
      </c>
      <c r="Q824" s="361">
        <v>46266.0</v>
      </c>
      <c r="R824" s="362">
        <v>1.0</v>
      </c>
      <c r="S824" s="362">
        <v>9.0</v>
      </c>
      <c r="T824" s="201">
        <v>2026.0</v>
      </c>
      <c r="U824" s="189" t="s">
        <v>36</v>
      </c>
      <c r="V824" s="201">
        <v>175.45</v>
      </c>
      <c r="W824" s="361">
        <v>46266.0</v>
      </c>
      <c r="X824" s="201">
        <v>1.0</v>
      </c>
      <c r="Y824" s="201">
        <v>9.0</v>
      </c>
      <c r="Z824" s="201">
        <v>2026.0</v>
      </c>
      <c r="AA824" s="189" t="s">
        <v>36</v>
      </c>
    </row>
    <row r="825" ht="15.75" hidden="1" customHeight="1">
      <c r="A825" s="189" t="s">
        <v>2497</v>
      </c>
      <c r="B825" s="189" t="s">
        <v>2498</v>
      </c>
      <c r="C825" s="361">
        <v>46265.0</v>
      </c>
      <c r="D825" s="201">
        <v>31.0</v>
      </c>
      <c r="E825" s="201">
        <v>8.0</v>
      </c>
      <c r="F825" s="201">
        <v>2026.0</v>
      </c>
      <c r="G825" s="361">
        <v>46267.0</v>
      </c>
      <c r="H825" s="201">
        <v>2.0</v>
      </c>
      <c r="I825" s="201">
        <v>9.0</v>
      </c>
      <c r="J825" s="201">
        <v>2026.0</v>
      </c>
      <c r="K825" s="189" t="s">
        <v>46</v>
      </c>
      <c r="L825" s="189" t="s">
        <v>1177</v>
      </c>
      <c r="M825" s="201">
        <v>1.0</v>
      </c>
      <c r="N825" s="201">
        <v>2.0</v>
      </c>
      <c r="O825" s="201">
        <f t="shared" si="4"/>
        <v>2</v>
      </c>
      <c r="P825" s="201">
        <v>4.0</v>
      </c>
      <c r="Q825" s="361">
        <v>46265.723715277774</v>
      </c>
      <c r="R825" s="362">
        <v>31.0</v>
      </c>
      <c r="S825" s="362">
        <v>8.0</v>
      </c>
      <c r="T825" s="201">
        <v>2026.0</v>
      </c>
      <c r="U825" s="189" t="s">
        <v>245</v>
      </c>
      <c r="V825" s="201">
        <v>85.0</v>
      </c>
      <c r="W825" s="361">
        <v>46265.723715277774</v>
      </c>
      <c r="X825" s="201">
        <v>31.0</v>
      </c>
      <c r="Y825" s="201">
        <v>8.0</v>
      </c>
      <c r="Z825" s="201">
        <v>2026.0</v>
      </c>
      <c r="AA825" s="189" t="s">
        <v>245</v>
      </c>
    </row>
    <row r="826" ht="15.75" hidden="1" customHeight="1">
      <c r="A826" s="189" t="s">
        <v>2499</v>
      </c>
      <c r="B826" s="189" t="s">
        <v>2500</v>
      </c>
      <c r="C826" s="361">
        <v>46244.0</v>
      </c>
      <c r="D826" s="201">
        <v>10.0</v>
      </c>
      <c r="E826" s="201">
        <v>8.0</v>
      </c>
      <c r="F826" s="201">
        <v>2026.0</v>
      </c>
      <c r="G826" s="361">
        <v>46247.0</v>
      </c>
      <c r="H826" s="201">
        <v>13.0</v>
      </c>
      <c r="I826" s="201">
        <v>8.0</v>
      </c>
      <c r="J826" s="201">
        <v>2026.0</v>
      </c>
      <c r="K826" s="189" t="s">
        <v>46</v>
      </c>
      <c r="L826" s="189" t="s">
        <v>1177</v>
      </c>
      <c r="M826" s="201">
        <v>1.0</v>
      </c>
      <c r="N826" s="201">
        <v>3.0</v>
      </c>
      <c r="O826" s="201">
        <f t="shared" si="4"/>
        <v>3</v>
      </c>
      <c r="P826" s="201">
        <v>6.0</v>
      </c>
      <c r="Q826" s="361">
        <v>46246.03900462963</v>
      </c>
      <c r="R826" s="362">
        <v>12.0</v>
      </c>
      <c r="S826" s="362">
        <v>8.0</v>
      </c>
      <c r="T826" s="201">
        <v>2026.0</v>
      </c>
      <c r="U826" s="189" t="s">
        <v>245</v>
      </c>
      <c r="V826" s="201">
        <v>131.75</v>
      </c>
      <c r="W826" s="361">
        <v>46246.03900462963</v>
      </c>
      <c r="X826" s="201">
        <v>12.0</v>
      </c>
      <c r="Y826" s="201">
        <v>8.0</v>
      </c>
      <c r="Z826" s="201">
        <v>2026.0</v>
      </c>
      <c r="AA826" s="189" t="s">
        <v>245</v>
      </c>
    </row>
    <row r="827" ht="15.75" hidden="1" customHeight="1">
      <c r="A827" s="189" t="s">
        <v>2501</v>
      </c>
      <c r="B827" s="189" t="s">
        <v>2502</v>
      </c>
      <c r="C827" s="361">
        <v>46250.0</v>
      </c>
      <c r="D827" s="201">
        <v>16.0</v>
      </c>
      <c r="E827" s="201">
        <v>8.0</v>
      </c>
      <c r="F827" s="201">
        <v>2026.0</v>
      </c>
      <c r="G827" s="361">
        <v>46257.0</v>
      </c>
      <c r="H827" s="201">
        <v>23.0</v>
      </c>
      <c r="I827" s="201">
        <v>8.0</v>
      </c>
      <c r="J827" s="201">
        <v>2026.0</v>
      </c>
      <c r="K827" s="189" t="s">
        <v>51</v>
      </c>
      <c r="L827" s="189" t="s">
        <v>1177</v>
      </c>
      <c r="M827" s="201">
        <v>1.0</v>
      </c>
      <c r="N827" s="201">
        <v>7.0</v>
      </c>
      <c r="O827" s="201">
        <f t="shared" si="4"/>
        <v>7</v>
      </c>
      <c r="P827" s="201">
        <v>14.0</v>
      </c>
      <c r="Q827" s="361">
        <v>46265.0</v>
      </c>
      <c r="R827" s="362">
        <v>31.0</v>
      </c>
      <c r="S827" s="362">
        <v>8.0</v>
      </c>
      <c r="T827" s="201">
        <v>2026.0</v>
      </c>
      <c r="U827" s="189" t="s">
        <v>2</v>
      </c>
      <c r="V827" s="201">
        <v>316.87</v>
      </c>
      <c r="W827" s="361">
        <v>46265.0</v>
      </c>
      <c r="X827" s="201">
        <v>31.0</v>
      </c>
      <c r="Y827" s="201">
        <v>8.0</v>
      </c>
      <c r="Z827" s="201">
        <v>2026.0</v>
      </c>
      <c r="AA827" s="189" t="s">
        <v>2</v>
      </c>
    </row>
    <row r="828" ht="15.75" hidden="1" customHeight="1">
      <c r="A828" s="189" t="s">
        <v>1798</v>
      </c>
      <c r="B828" s="201">
        <v>6.846675933E9</v>
      </c>
      <c r="C828" s="361">
        <v>46235.0</v>
      </c>
      <c r="D828" s="201">
        <v>1.0</v>
      </c>
      <c r="E828" s="201">
        <v>8.0</v>
      </c>
      <c r="F828" s="201">
        <v>2026.0</v>
      </c>
      <c r="G828" s="361">
        <v>46237.0</v>
      </c>
      <c r="H828" s="201">
        <v>3.0</v>
      </c>
      <c r="I828" s="201">
        <v>8.0</v>
      </c>
      <c r="J828" s="201">
        <v>2026.0</v>
      </c>
      <c r="K828" s="189" t="s">
        <v>36</v>
      </c>
      <c r="L828" s="189" t="s">
        <v>1177</v>
      </c>
      <c r="M828" s="201">
        <v>1.0</v>
      </c>
      <c r="N828" s="201">
        <v>2.0</v>
      </c>
      <c r="O828" s="201">
        <f t="shared" si="4"/>
        <v>2</v>
      </c>
      <c r="P828" s="201">
        <v>4.0</v>
      </c>
      <c r="Q828" s="361">
        <v>46266.0</v>
      </c>
      <c r="R828" s="362">
        <v>1.0</v>
      </c>
      <c r="S828" s="362">
        <v>9.0</v>
      </c>
      <c r="T828" s="201">
        <v>2026.0</v>
      </c>
      <c r="U828" s="189" t="s">
        <v>36</v>
      </c>
      <c r="V828" s="201">
        <v>91.07</v>
      </c>
      <c r="W828" s="361">
        <v>46266.0</v>
      </c>
      <c r="X828" s="201">
        <v>1.0</v>
      </c>
      <c r="Y828" s="201">
        <v>9.0</v>
      </c>
      <c r="Z828" s="201">
        <v>2026.0</v>
      </c>
      <c r="AA828" s="189" t="s">
        <v>36</v>
      </c>
    </row>
    <row r="829" ht="15.75" hidden="1" customHeight="1">
      <c r="A829" s="189" t="s">
        <v>2503</v>
      </c>
      <c r="B829" s="201">
        <v>5.383426323E9</v>
      </c>
      <c r="C829" s="361">
        <v>46262.0</v>
      </c>
      <c r="D829" s="201">
        <v>28.0</v>
      </c>
      <c r="E829" s="201">
        <v>8.0</v>
      </c>
      <c r="F829" s="201">
        <v>2026.0</v>
      </c>
      <c r="G829" s="361">
        <v>46263.0</v>
      </c>
      <c r="H829" s="201">
        <v>29.0</v>
      </c>
      <c r="I829" s="201">
        <v>8.0</v>
      </c>
      <c r="J829" s="201">
        <v>2026.0</v>
      </c>
      <c r="K829" s="189" t="s">
        <v>36</v>
      </c>
      <c r="L829" s="189" t="s">
        <v>1177</v>
      </c>
      <c r="M829" s="201">
        <v>1.0</v>
      </c>
      <c r="N829" s="201">
        <v>1.0</v>
      </c>
      <c r="O829" s="201">
        <f t="shared" si="4"/>
        <v>1</v>
      </c>
      <c r="P829" s="201">
        <v>2.0</v>
      </c>
      <c r="Q829" s="361">
        <v>46266.0</v>
      </c>
      <c r="R829" s="362">
        <v>1.0</v>
      </c>
      <c r="S829" s="362">
        <v>9.0</v>
      </c>
      <c r="T829" s="201">
        <v>2026.0</v>
      </c>
      <c r="U829" s="189" t="s">
        <v>36</v>
      </c>
      <c r="V829" s="201">
        <v>45.95</v>
      </c>
      <c r="W829" s="361">
        <v>46266.0</v>
      </c>
      <c r="X829" s="201">
        <v>1.0</v>
      </c>
      <c r="Y829" s="201">
        <v>9.0</v>
      </c>
      <c r="Z829" s="201">
        <v>2026.0</v>
      </c>
      <c r="AA829" s="189" t="s">
        <v>36</v>
      </c>
    </row>
    <row r="830" ht="15.75" hidden="1" customHeight="1">
      <c r="A830" s="189" t="s">
        <v>2504</v>
      </c>
      <c r="B830" s="201">
        <v>5.773662516E9</v>
      </c>
      <c r="C830" s="361">
        <v>46261.0</v>
      </c>
      <c r="D830" s="201">
        <v>27.0</v>
      </c>
      <c r="E830" s="201">
        <v>8.0</v>
      </c>
      <c r="F830" s="201">
        <v>2026.0</v>
      </c>
      <c r="G830" s="361">
        <v>46262.0</v>
      </c>
      <c r="H830" s="201">
        <v>28.0</v>
      </c>
      <c r="I830" s="201">
        <v>8.0</v>
      </c>
      <c r="J830" s="201">
        <v>2026.0</v>
      </c>
      <c r="K830" s="189" t="s">
        <v>36</v>
      </c>
      <c r="L830" s="189" t="s">
        <v>1177</v>
      </c>
      <c r="M830" s="201">
        <v>1.0</v>
      </c>
      <c r="N830" s="201">
        <v>1.0</v>
      </c>
      <c r="O830" s="201">
        <f t="shared" si="4"/>
        <v>1</v>
      </c>
      <c r="P830" s="201">
        <v>2.0</v>
      </c>
      <c r="Q830" s="361">
        <v>46266.0</v>
      </c>
      <c r="R830" s="362">
        <v>1.0</v>
      </c>
      <c r="S830" s="362">
        <v>9.0</v>
      </c>
      <c r="T830" s="201">
        <v>2026.0</v>
      </c>
      <c r="U830" s="189" t="s">
        <v>36</v>
      </c>
      <c r="V830" s="201">
        <v>45.95</v>
      </c>
      <c r="W830" s="361">
        <v>46266.0</v>
      </c>
      <c r="X830" s="201">
        <v>1.0</v>
      </c>
      <c r="Y830" s="201">
        <v>9.0</v>
      </c>
      <c r="Z830" s="201">
        <v>2026.0</v>
      </c>
      <c r="AA830" s="189" t="s">
        <v>36</v>
      </c>
    </row>
    <row r="831" ht="15.75" hidden="1" customHeight="1">
      <c r="A831" s="189" t="s">
        <v>2505</v>
      </c>
      <c r="B831" s="201">
        <v>6.997233662E9</v>
      </c>
      <c r="C831" s="361">
        <v>46257.0</v>
      </c>
      <c r="D831" s="201">
        <v>23.0</v>
      </c>
      <c r="E831" s="201">
        <v>8.0</v>
      </c>
      <c r="F831" s="201">
        <v>2026.0</v>
      </c>
      <c r="G831" s="361">
        <v>46260.0</v>
      </c>
      <c r="H831" s="201">
        <v>26.0</v>
      </c>
      <c r="I831" s="201">
        <v>8.0</v>
      </c>
      <c r="J831" s="201">
        <v>2026.0</v>
      </c>
      <c r="K831" s="189" t="s">
        <v>36</v>
      </c>
      <c r="L831" s="189" t="s">
        <v>1177</v>
      </c>
      <c r="M831" s="201">
        <v>1.0</v>
      </c>
      <c r="N831" s="201">
        <v>1.0</v>
      </c>
      <c r="O831" s="201">
        <f t="shared" si="4"/>
        <v>1</v>
      </c>
      <c r="P831" s="201">
        <v>2.0</v>
      </c>
      <c r="Q831" s="361">
        <v>46266.0</v>
      </c>
      <c r="R831" s="362">
        <v>1.0</v>
      </c>
      <c r="S831" s="362">
        <v>9.0</v>
      </c>
      <c r="T831" s="201">
        <v>2026.0</v>
      </c>
      <c r="U831" s="189" t="s">
        <v>36</v>
      </c>
      <c r="V831" s="201">
        <v>45.95</v>
      </c>
      <c r="W831" s="361">
        <v>46266.0</v>
      </c>
      <c r="X831" s="201">
        <v>1.0</v>
      </c>
      <c r="Y831" s="201">
        <v>9.0</v>
      </c>
      <c r="Z831" s="201">
        <v>2026.0</v>
      </c>
      <c r="AA831" s="189" t="s">
        <v>36</v>
      </c>
    </row>
    <row r="832" ht="15.75" hidden="1" customHeight="1">
      <c r="A832" s="189" t="s">
        <v>2506</v>
      </c>
      <c r="B832" s="201">
        <v>6.107577152E9</v>
      </c>
      <c r="C832" s="361">
        <v>46259.0</v>
      </c>
      <c r="D832" s="201">
        <v>25.0</v>
      </c>
      <c r="E832" s="201">
        <v>8.0</v>
      </c>
      <c r="F832" s="201">
        <v>2026.0</v>
      </c>
      <c r="G832" s="361">
        <v>46260.0</v>
      </c>
      <c r="H832" s="201">
        <v>26.0</v>
      </c>
      <c r="I832" s="201">
        <v>8.0</v>
      </c>
      <c r="J832" s="201">
        <v>2026.0</v>
      </c>
      <c r="K832" s="189" t="s">
        <v>36</v>
      </c>
      <c r="L832" s="189" t="s">
        <v>1177</v>
      </c>
      <c r="M832" s="201">
        <v>1.0</v>
      </c>
      <c r="N832" s="201">
        <v>1.0</v>
      </c>
      <c r="O832" s="201">
        <f t="shared" si="4"/>
        <v>1</v>
      </c>
      <c r="P832" s="201">
        <v>2.0</v>
      </c>
      <c r="Q832" s="361">
        <v>46266.0</v>
      </c>
      <c r="R832" s="362">
        <v>1.0</v>
      </c>
      <c r="S832" s="362">
        <v>9.0</v>
      </c>
      <c r="T832" s="201">
        <v>2026.0</v>
      </c>
      <c r="U832" s="189" t="s">
        <v>36</v>
      </c>
      <c r="V832" s="201">
        <v>45.95</v>
      </c>
      <c r="W832" s="361">
        <v>46266.0</v>
      </c>
      <c r="X832" s="201">
        <v>1.0</v>
      </c>
      <c r="Y832" s="201">
        <v>9.0</v>
      </c>
      <c r="Z832" s="201">
        <v>2026.0</v>
      </c>
      <c r="AA832" s="189" t="s">
        <v>36</v>
      </c>
    </row>
    <row r="833" ht="15.75" hidden="1" customHeight="1">
      <c r="A833" s="189" t="s">
        <v>2507</v>
      </c>
      <c r="B833" s="201">
        <v>6.831195906E9</v>
      </c>
      <c r="C833" s="361">
        <v>46258.0</v>
      </c>
      <c r="D833" s="201">
        <v>24.0</v>
      </c>
      <c r="E833" s="201">
        <v>8.0</v>
      </c>
      <c r="F833" s="201">
        <v>2026.0</v>
      </c>
      <c r="G833" s="361">
        <v>46259.0</v>
      </c>
      <c r="H833" s="201">
        <v>25.0</v>
      </c>
      <c r="I833" s="201">
        <v>8.0</v>
      </c>
      <c r="J833" s="201">
        <v>2026.0</v>
      </c>
      <c r="K833" s="189" t="s">
        <v>36</v>
      </c>
      <c r="L833" s="189" t="s">
        <v>1177</v>
      </c>
      <c r="M833" s="201">
        <v>1.0</v>
      </c>
      <c r="N833" s="201">
        <v>1.0</v>
      </c>
      <c r="O833" s="201">
        <f t="shared" si="4"/>
        <v>1</v>
      </c>
      <c r="P833" s="201">
        <v>2.0</v>
      </c>
      <c r="Q833" s="361">
        <v>46266.0</v>
      </c>
      <c r="R833" s="362">
        <v>1.0</v>
      </c>
      <c r="S833" s="362">
        <v>9.0</v>
      </c>
      <c r="T833" s="201">
        <v>2026.0</v>
      </c>
      <c r="U833" s="189" t="s">
        <v>36</v>
      </c>
      <c r="V833" s="201">
        <v>45.95</v>
      </c>
      <c r="W833" s="361">
        <v>46266.0</v>
      </c>
      <c r="X833" s="201">
        <v>1.0</v>
      </c>
      <c r="Y833" s="201">
        <v>9.0</v>
      </c>
      <c r="Z833" s="201">
        <v>2026.0</v>
      </c>
      <c r="AA833" s="189" t="s">
        <v>36</v>
      </c>
    </row>
    <row r="834" ht="15.75" hidden="1" customHeight="1">
      <c r="A834" s="189" t="s">
        <v>2508</v>
      </c>
      <c r="B834" s="201">
        <v>5.424926188E9</v>
      </c>
      <c r="C834" s="361">
        <v>46257.0</v>
      </c>
      <c r="D834" s="201">
        <v>23.0</v>
      </c>
      <c r="E834" s="201">
        <v>8.0</v>
      </c>
      <c r="F834" s="201">
        <v>2026.0</v>
      </c>
      <c r="G834" s="361">
        <v>46258.0</v>
      </c>
      <c r="H834" s="201">
        <v>24.0</v>
      </c>
      <c r="I834" s="201">
        <v>8.0</v>
      </c>
      <c r="J834" s="201">
        <v>2026.0</v>
      </c>
      <c r="K834" s="189" t="s">
        <v>36</v>
      </c>
      <c r="L834" s="189" t="s">
        <v>1177</v>
      </c>
      <c r="M834" s="201">
        <v>1.0</v>
      </c>
      <c r="N834" s="201">
        <v>1.0</v>
      </c>
      <c r="O834" s="201">
        <f t="shared" si="4"/>
        <v>1</v>
      </c>
      <c r="P834" s="201">
        <v>2.0</v>
      </c>
      <c r="Q834" s="361">
        <v>46266.0</v>
      </c>
      <c r="R834" s="362">
        <v>1.0</v>
      </c>
      <c r="S834" s="362">
        <v>9.0</v>
      </c>
      <c r="T834" s="201">
        <v>2026.0</v>
      </c>
      <c r="U834" s="189" t="s">
        <v>36</v>
      </c>
      <c r="V834" s="201">
        <v>45.95</v>
      </c>
      <c r="W834" s="361">
        <v>46266.0</v>
      </c>
      <c r="X834" s="201">
        <v>1.0</v>
      </c>
      <c r="Y834" s="201">
        <v>9.0</v>
      </c>
      <c r="Z834" s="201">
        <v>2026.0</v>
      </c>
      <c r="AA834" s="189" t="s">
        <v>36</v>
      </c>
    </row>
    <row r="835" ht="15.75" hidden="1" customHeight="1">
      <c r="A835" s="189" t="s">
        <v>2509</v>
      </c>
      <c r="B835" s="201">
        <v>6.542000496E9</v>
      </c>
      <c r="C835" s="361">
        <v>46255.0</v>
      </c>
      <c r="D835" s="201">
        <v>21.0</v>
      </c>
      <c r="E835" s="201">
        <v>8.0</v>
      </c>
      <c r="F835" s="201">
        <v>2026.0</v>
      </c>
      <c r="G835" s="361">
        <v>46256.0</v>
      </c>
      <c r="H835" s="201">
        <v>22.0</v>
      </c>
      <c r="I835" s="201">
        <v>8.0</v>
      </c>
      <c r="J835" s="201">
        <v>2026.0</v>
      </c>
      <c r="K835" s="189" t="s">
        <v>36</v>
      </c>
      <c r="L835" s="189" t="s">
        <v>1177</v>
      </c>
      <c r="M835" s="201">
        <v>1.0</v>
      </c>
      <c r="N835" s="201">
        <v>1.0</v>
      </c>
      <c r="O835" s="201">
        <f t="shared" si="4"/>
        <v>1</v>
      </c>
      <c r="P835" s="201">
        <v>2.0</v>
      </c>
      <c r="Q835" s="361">
        <v>46266.0</v>
      </c>
      <c r="R835" s="362">
        <v>1.0</v>
      </c>
      <c r="S835" s="362">
        <v>9.0</v>
      </c>
      <c r="T835" s="201">
        <v>2026.0</v>
      </c>
      <c r="U835" s="189" t="s">
        <v>36</v>
      </c>
      <c r="V835" s="201">
        <v>45.95</v>
      </c>
      <c r="W835" s="361">
        <v>46266.0</v>
      </c>
      <c r="X835" s="201">
        <v>1.0</v>
      </c>
      <c r="Y835" s="201">
        <v>9.0</v>
      </c>
      <c r="Z835" s="201">
        <v>2026.0</v>
      </c>
      <c r="AA835" s="189" t="s">
        <v>36</v>
      </c>
    </row>
    <row r="836" ht="15.75" hidden="1" customHeight="1">
      <c r="A836" s="189" t="s">
        <v>2510</v>
      </c>
      <c r="B836" s="201">
        <v>5.415355838E9</v>
      </c>
      <c r="C836" s="361">
        <v>46255.0</v>
      </c>
      <c r="D836" s="201">
        <v>21.0</v>
      </c>
      <c r="E836" s="201">
        <v>8.0</v>
      </c>
      <c r="F836" s="201">
        <v>2026.0</v>
      </c>
      <c r="G836" s="361">
        <v>46256.0</v>
      </c>
      <c r="H836" s="201">
        <v>22.0</v>
      </c>
      <c r="I836" s="201">
        <v>8.0</v>
      </c>
      <c r="J836" s="201">
        <v>2026.0</v>
      </c>
      <c r="K836" s="189" t="s">
        <v>36</v>
      </c>
      <c r="L836" s="189" t="s">
        <v>1177</v>
      </c>
      <c r="M836" s="201">
        <v>1.0</v>
      </c>
      <c r="N836" s="201">
        <v>1.0</v>
      </c>
      <c r="O836" s="201">
        <f t="shared" si="4"/>
        <v>1</v>
      </c>
      <c r="P836" s="201">
        <v>2.0</v>
      </c>
      <c r="Q836" s="361">
        <v>46266.0</v>
      </c>
      <c r="R836" s="362">
        <v>1.0</v>
      </c>
      <c r="S836" s="362">
        <v>9.0</v>
      </c>
      <c r="T836" s="201">
        <v>2026.0</v>
      </c>
      <c r="U836" s="189" t="s">
        <v>36</v>
      </c>
      <c r="V836" s="201">
        <v>45.95</v>
      </c>
      <c r="W836" s="361">
        <v>46266.0</v>
      </c>
      <c r="X836" s="201">
        <v>1.0</v>
      </c>
      <c r="Y836" s="201">
        <v>9.0</v>
      </c>
      <c r="Z836" s="201">
        <v>2026.0</v>
      </c>
      <c r="AA836" s="189" t="s">
        <v>36</v>
      </c>
    </row>
    <row r="837" ht="15.75" hidden="1" customHeight="1">
      <c r="A837" s="189" t="s">
        <v>2379</v>
      </c>
      <c r="B837" s="201">
        <v>5.623168737E9</v>
      </c>
      <c r="C837" s="361">
        <v>46251.0</v>
      </c>
      <c r="D837" s="201">
        <v>17.0</v>
      </c>
      <c r="E837" s="201">
        <v>8.0</v>
      </c>
      <c r="F837" s="201">
        <v>2026.0</v>
      </c>
      <c r="G837" s="361">
        <v>46252.0</v>
      </c>
      <c r="H837" s="201">
        <v>18.0</v>
      </c>
      <c r="I837" s="201">
        <v>8.0</v>
      </c>
      <c r="J837" s="201">
        <v>2026.0</v>
      </c>
      <c r="K837" s="189" t="s">
        <v>36</v>
      </c>
      <c r="L837" s="189" t="s">
        <v>1177</v>
      </c>
      <c r="M837" s="201">
        <v>1.0</v>
      </c>
      <c r="N837" s="201">
        <v>1.0</v>
      </c>
      <c r="O837" s="201">
        <f t="shared" si="4"/>
        <v>1</v>
      </c>
      <c r="P837" s="201">
        <v>2.0</v>
      </c>
      <c r="Q837" s="361">
        <v>46266.0</v>
      </c>
      <c r="R837" s="362">
        <v>1.0</v>
      </c>
      <c r="S837" s="362">
        <v>9.0</v>
      </c>
      <c r="T837" s="201">
        <v>2026.0</v>
      </c>
      <c r="U837" s="189" t="s">
        <v>36</v>
      </c>
      <c r="V837" s="201">
        <v>45.95</v>
      </c>
      <c r="W837" s="361">
        <v>46266.0</v>
      </c>
      <c r="X837" s="201">
        <v>1.0</v>
      </c>
      <c r="Y837" s="201">
        <v>9.0</v>
      </c>
      <c r="Z837" s="201">
        <v>2026.0</v>
      </c>
      <c r="AA837" s="189" t="s">
        <v>36</v>
      </c>
    </row>
    <row r="838" ht="15.75" hidden="1" customHeight="1">
      <c r="A838" s="189" t="s">
        <v>2511</v>
      </c>
      <c r="B838" s="201">
        <v>5.959965553E9</v>
      </c>
      <c r="C838" s="361">
        <v>46250.0</v>
      </c>
      <c r="D838" s="201">
        <v>16.0</v>
      </c>
      <c r="E838" s="201">
        <v>8.0</v>
      </c>
      <c r="F838" s="201">
        <v>2026.0</v>
      </c>
      <c r="G838" s="361">
        <v>46251.0</v>
      </c>
      <c r="H838" s="201">
        <v>17.0</v>
      </c>
      <c r="I838" s="201">
        <v>8.0</v>
      </c>
      <c r="J838" s="201">
        <v>2026.0</v>
      </c>
      <c r="K838" s="189" t="s">
        <v>36</v>
      </c>
      <c r="L838" s="189" t="s">
        <v>1177</v>
      </c>
      <c r="M838" s="201">
        <v>1.0</v>
      </c>
      <c r="N838" s="201">
        <v>1.0</v>
      </c>
      <c r="O838" s="201">
        <f t="shared" si="4"/>
        <v>1</v>
      </c>
      <c r="P838" s="201">
        <v>2.0</v>
      </c>
      <c r="Q838" s="361">
        <v>46266.0</v>
      </c>
      <c r="R838" s="362">
        <v>1.0</v>
      </c>
      <c r="S838" s="362">
        <v>9.0</v>
      </c>
      <c r="T838" s="201">
        <v>2026.0</v>
      </c>
      <c r="U838" s="189" t="s">
        <v>36</v>
      </c>
      <c r="V838" s="201">
        <v>45.95</v>
      </c>
      <c r="W838" s="361">
        <v>46266.0</v>
      </c>
      <c r="X838" s="201">
        <v>1.0</v>
      </c>
      <c r="Y838" s="201">
        <v>9.0</v>
      </c>
      <c r="Z838" s="201">
        <v>2026.0</v>
      </c>
      <c r="AA838" s="189" t="s">
        <v>36</v>
      </c>
    </row>
    <row r="839" ht="15.75" hidden="1" customHeight="1">
      <c r="A839" s="189" t="s">
        <v>2512</v>
      </c>
      <c r="B839" s="201">
        <v>5.098375264E9</v>
      </c>
      <c r="C839" s="361">
        <v>46249.0</v>
      </c>
      <c r="D839" s="201">
        <v>15.0</v>
      </c>
      <c r="E839" s="201">
        <v>8.0</v>
      </c>
      <c r="F839" s="201">
        <v>2026.0</v>
      </c>
      <c r="G839" s="361">
        <v>46250.0</v>
      </c>
      <c r="H839" s="201">
        <v>16.0</v>
      </c>
      <c r="I839" s="201">
        <v>8.0</v>
      </c>
      <c r="J839" s="201">
        <v>2026.0</v>
      </c>
      <c r="K839" s="189" t="s">
        <v>36</v>
      </c>
      <c r="L839" s="189" t="s">
        <v>1177</v>
      </c>
      <c r="M839" s="201">
        <v>1.0</v>
      </c>
      <c r="N839" s="201">
        <v>1.0</v>
      </c>
      <c r="O839" s="201">
        <f t="shared" si="4"/>
        <v>1</v>
      </c>
      <c r="P839" s="201">
        <v>2.0</v>
      </c>
      <c r="Q839" s="361">
        <v>46266.0</v>
      </c>
      <c r="R839" s="362">
        <v>1.0</v>
      </c>
      <c r="S839" s="362">
        <v>9.0</v>
      </c>
      <c r="T839" s="201">
        <v>2026.0</v>
      </c>
      <c r="U839" s="189" t="s">
        <v>36</v>
      </c>
      <c r="V839" s="201">
        <v>45.95</v>
      </c>
      <c r="W839" s="361">
        <v>46266.0</v>
      </c>
      <c r="X839" s="201">
        <v>1.0</v>
      </c>
      <c r="Y839" s="201">
        <v>9.0</v>
      </c>
      <c r="Z839" s="201">
        <v>2026.0</v>
      </c>
      <c r="AA839" s="189" t="s">
        <v>36</v>
      </c>
    </row>
    <row r="840" ht="15.75" hidden="1" customHeight="1">
      <c r="A840" s="189" t="s">
        <v>2513</v>
      </c>
      <c r="B840" s="201">
        <v>6.042545125E9</v>
      </c>
      <c r="C840" s="361">
        <v>46247.0</v>
      </c>
      <c r="D840" s="201">
        <v>13.0</v>
      </c>
      <c r="E840" s="201">
        <v>8.0</v>
      </c>
      <c r="F840" s="201">
        <v>2026.0</v>
      </c>
      <c r="G840" s="361">
        <v>46248.0</v>
      </c>
      <c r="H840" s="201">
        <v>14.0</v>
      </c>
      <c r="I840" s="201">
        <v>8.0</v>
      </c>
      <c r="J840" s="201">
        <v>2026.0</v>
      </c>
      <c r="K840" s="189" t="s">
        <v>36</v>
      </c>
      <c r="L840" s="189" t="s">
        <v>1177</v>
      </c>
      <c r="M840" s="201">
        <v>1.0</v>
      </c>
      <c r="N840" s="201">
        <v>1.0</v>
      </c>
      <c r="O840" s="201">
        <f t="shared" si="4"/>
        <v>1</v>
      </c>
      <c r="P840" s="201">
        <v>2.0</v>
      </c>
      <c r="Q840" s="361">
        <v>46266.0</v>
      </c>
      <c r="R840" s="362">
        <v>1.0</v>
      </c>
      <c r="S840" s="362">
        <v>9.0</v>
      </c>
      <c r="T840" s="201">
        <v>2026.0</v>
      </c>
      <c r="U840" s="189" t="s">
        <v>36</v>
      </c>
      <c r="V840" s="201">
        <v>45.95</v>
      </c>
      <c r="W840" s="361">
        <v>46266.0</v>
      </c>
      <c r="X840" s="201">
        <v>1.0</v>
      </c>
      <c r="Y840" s="201">
        <v>9.0</v>
      </c>
      <c r="Z840" s="201">
        <v>2026.0</v>
      </c>
      <c r="AA840" s="189" t="s">
        <v>36</v>
      </c>
    </row>
    <row r="841" ht="15.75" hidden="1" customHeight="1">
      <c r="A841" s="189" t="s">
        <v>2514</v>
      </c>
      <c r="B841" s="201">
        <v>5.813385686E9</v>
      </c>
      <c r="C841" s="361">
        <v>46247.0</v>
      </c>
      <c r="D841" s="201">
        <v>13.0</v>
      </c>
      <c r="E841" s="201">
        <v>8.0</v>
      </c>
      <c r="F841" s="201">
        <v>2026.0</v>
      </c>
      <c r="G841" s="361">
        <v>46248.0</v>
      </c>
      <c r="H841" s="201">
        <v>14.0</v>
      </c>
      <c r="I841" s="201">
        <v>8.0</v>
      </c>
      <c r="J841" s="201">
        <v>2026.0</v>
      </c>
      <c r="K841" s="189" t="s">
        <v>36</v>
      </c>
      <c r="L841" s="189" t="s">
        <v>1177</v>
      </c>
      <c r="M841" s="201">
        <v>1.0</v>
      </c>
      <c r="N841" s="201">
        <v>1.0</v>
      </c>
      <c r="O841" s="201">
        <f t="shared" si="4"/>
        <v>1</v>
      </c>
      <c r="P841" s="201">
        <v>2.0</v>
      </c>
      <c r="Q841" s="361">
        <v>46266.0</v>
      </c>
      <c r="R841" s="362">
        <v>1.0</v>
      </c>
      <c r="S841" s="362">
        <v>9.0</v>
      </c>
      <c r="T841" s="201">
        <v>2026.0</v>
      </c>
      <c r="U841" s="189" t="s">
        <v>36</v>
      </c>
      <c r="V841" s="201">
        <v>45.95</v>
      </c>
      <c r="W841" s="361">
        <v>46266.0</v>
      </c>
      <c r="X841" s="201">
        <v>1.0</v>
      </c>
      <c r="Y841" s="201">
        <v>9.0</v>
      </c>
      <c r="Z841" s="201">
        <v>2026.0</v>
      </c>
      <c r="AA841" s="189" t="s">
        <v>36</v>
      </c>
    </row>
    <row r="842" ht="15.75" hidden="1" customHeight="1">
      <c r="A842" s="189" t="s">
        <v>2515</v>
      </c>
      <c r="B842" s="201">
        <v>5.060215126E9</v>
      </c>
      <c r="C842" s="361">
        <v>46246.0</v>
      </c>
      <c r="D842" s="201">
        <v>12.0</v>
      </c>
      <c r="E842" s="201">
        <v>8.0</v>
      </c>
      <c r="F842" s="201">
        <v>2026.0</v>
      </c>
      <c r="G842" s="361">
        <v>46247.0</v>
      </c>
      <c r="H842" s="201">
        <v>13.0</v>
      </c>
      <c r="I842" s="201">
        <v>8.0</v>
      </c>
      <c r="J842" s="201">
        <v>2026.0</v>
      </c>
      <c r="K842" s="189" t="s">
        <v>36</v>
      </c>
      <c r="L842" s="189" t="s">
        <v>1177</v>
      </c>
      <c r="M842" s="201">
        <v>1.0</v>
      </c>
      <c r="N842" s="201">
        <v>1.0</v>
      </c>
      <c r="O842" s="201">
        <f t="shared" si="4"/>
        <v>1</v>
      </c>
      <c r="P842" s="201">
        <v>2.0</v>
      </c>
      <c r="Q842" s="361">
        <v>46266.0</v>
      </c>
      <c r="R842" s="362">
        <v>1.0</v>
      </c>
      <c r="S842" s="362">
        <v>9.0</v>
      </c>
      <c r="T842" s="201">
        <v>2026.0</v>
      </c>
      <c r="U842" s="189" t="s">
        <v>36</v>
      </c>
      <c r="V842" s="201">
        <v>45.95</v>
      </c>
      <c r="W842" s="361">
        <v>46266.0</v>
      </c>
      <c r="X842" s="201">
        <v>1.0</v>
      </c>
      <c r="Y842" s="201">
        <v>9.0</v>
      </c>
      <c r="Z842" s="201">
        <v>2026.0</v>
      </c>
      <c r="AA842" s="189" t="s">
        <v>36</v>
      </c>
    </row>
    <row r="843" ht="15.75" hidden="1" customHeight="1">
      <c r="A843" s="189" t="s">
        <v>2516</v>
      </c>
      <c r="B843" s="201">
        <v>5.61077488E9</v>
      </c>
      <c r="C843" s="361">
        <v>46241.0</v>
      </c>
      <c r="D843" s="201">
        <v>7.0</v>
      </c>
      <c r="E843" s="201">
        <v>8.0</v>
      </c>
      <c r="F843" s="201">
        <v>2026.0</v>
      </c>
      <c r="G843" s="361">
        <v>46242.0</v>
      </c>
      <c r="H843" s="201">
        <v>8.0</v>
      </c>
      <c r="I843" s="201">
        <v>8.0</v>
      </c>
      <c r="J843" s="201">
        <v>2026.0</v>
      </c>
      <c r="K843" s="189" t="s">
        <v>36</v>
      </c>
      <c r="L843" s="189" t="s">
        <v>1177</v>
      </c>
      <c r="M843" s="201">
        <v>1.0</v>
      </c>
      <c r="N843" s="201">
        <v>1.0</v>
      </c>
      <c r="O843" s="201">
        <f t="shared" si="4"/>
        <v>1</v>
      </c>
      <c r="P843" s="201">
        <v>2.0</v>
      </c>
      <c r="Q843" s="361">
        <v>46266.0</v>
      </c>
      <c r="R843" s="362">
        <v>1.0</v>
      </c>
      <c r="S843" s="362">
        <v>9.0</v>
      </c>
      <c r="T843" s="201">
        <v>2026.0</v>
      </c>
      <c r="U843" s="189" t="s">
        <v>36</v>
      </c>
      <c r="V843" s="201">
        <v>45.95</v>
      </c>
      <c r="W843" s="361">
        <v>46266.0</v>
      </c>
      <c r="X843" s="201">
        <v>1.0</v>
      </c>
      <c r="Y843" s="201">
        <v>9.0</v>
      </c>
      <c r="Z843" s="201">
        <v>2026.0</v>
      </c>
      <c r="AA843" s="189" t="s">
        <v>36</v>
      </c>
    </row>
    <row r="844" ht="15.75" hidden="1" customHeight="1">
      <c r="A844" s="189" t="s">
        <v>2517</v>
      </c>
      <c r="B844" s="201">
        <v>6.932806951E9</v>
      </c>
      <c r="C844" s="361">
        <v>46239.0</v>
      </c>
      <c r="D844" s="201">
        <v>5.0</v>
      </c>
      <c r="E844" s="201">
        <v>8.0</v>
      </c>
      <c r="F844" s="201">
        <v>2026.0</v>
      </c>
      <c r="G844" s="361">
        <v>46240.0</v>
      </c>
      <c r="H844" s="201">
        <v>6.0</v>
      </c>
      <c r="I844" s="201">
        <v>8.0</v>
      </c>
      <c r="J844" s="201">
        <v>2026.0</v>
      </c>
      <c r="K844" s="189" t="s">
        <v>36</v>
      </c>
      <c r="L844" s="189" t="s">
        <v>1177</v>
      </c>
      <c r="M844" s="201">
        <v>1.0</v>
      </c>
      <c r="N844" s="201">
        <v>1.0</v>
      </c>
      <c r="O844" s="201">
        <f t="shared" si="4"/>
        <v>1</v>
      </c>
      <c r="P844" s="201">
        <v>2.0</v>
      </c>
      <c r="Q844" s="361">
        <v>46266.0</v>
      </c>
      <c r="R844" s="362">
        <v>1.0</v>
      </c>
      <c r="S844" s="362">
        <v>9.0</v>
      </c>
      <c r="T844" s="201">
        <v>2026.0</v>
      </c>
      <c r="U844" s="189" t="s">
        <v>36</v>
      </c>
      <c r="V844" s="201">
        <v>45.95</v>
      </c>
      <c r="W844" s="361">
        <v>46266.0</v>
      </c>
      <c r="X844" s="201">
        <v>1.0</v>
      </c>
      <c r="Y844" s="201">
        <v>9.0</v>
      </c>
      <c r="Z844" s="201">
        <v>2026.0</v>
      </c>
      <c r="AA844" s="189" t="s">
        <v>36</v>
      </c>
    </row>
    <row r="845" ht="15.75" hidden="1" customHeight="1">
      <c r="A845" s="189" t="s">
        <v>2518</v>
      </c>
      <c r="B845" s="201">
        <v>5.352735986E9</v>
      </c>
      <c r="C845" s="361">
        <v>46238.0</v>
      </c>
      <c r="D845" s="201">
        <v>4.0</v>
      </c>
      <c r="E845" s="201">
        <v>8.0</v>
      </c>
      <c r="F845" s="201">
        <v>2026.0</v>
      </c>
      <c r="G845" s="361">
        <v>46239.0</v>
      </c>
      <c r="H845" s="201">
        <v>5.0</v>
      </c>
      <c r="I845" s="201">
        <v>8.0</v>
      </c>
      <c r="J845" s="201">
        <v>2026.0</v>
      </c>
      <c r="K845" s="189" t="s">
        <v>36</v>
      </c>
      <c r="L845" s="189" t="s">
        <v>1177</v>
      </c>
      <c r="M845" s="201">
        <v>1.0</v>
      </c>
      <c r="N845" s="201">
        <v>1.0</v>
      </c>
      <c r="O845" s="201">
        <f t="shared" si="4"/>
        <v>1</v>
      </c>
      <c r="P845" s="201">
        <v>2.0</v>
      </c>
      <c r="Q845" s="361">
        <v>46266.0</v>
      </c>
      <c r="R845" s="362">
        <v>1.0</v>
      </c>
      <c r="S845" s="362">
        <v>9.0</v>
      </c>
      <c r="T845" s="201">
        <v>2026.0</v>
      </c>
      <c r="U845" s="189" t="s">
        <v>36</v>
      </c>
      <c r="V845" s="201">
        <v>45.95</v>
      </c>
      <c r="W845" s="361">
        <v>46266.0</v>
      </c>
      <c r="X845" s="201">
        <v>1.0</v>
      </c>
      <c r="Y845" s="201">
        <v>9.0</v>
      </c>
      <c r="Z845" s="201">
        <v>2026.0</v>
      </c>
      <c r="AA845" s="189" t="s">
        <v>36</v>
      </c>
    </row>
    <row r="846" ht="15.75" hidden="1" customHeight="1">
      <c r="A846" s="189" t="s">
        <v>2519</v>
      </c>
      <c r="B846" s="201">
        <v>6.145611473E9</v>
      </c>
      <c r="C846" s="361">
        <v>46241.0</v>
      </c>
      <c r="D846" s="201">
        <v>7.0</v>
      </c>
      <c r="E846" s="201">
        <v>8.0</v>
      </c>
      <c r="F846" s="201">
        <v>2026.0</v>
      </c>
      <c r="G846" s="361">
        <v>46243.0</v>
      </c>
      <c r="H846" s="201">
        <v>9.0</v>
      </c>
      <c r="I846" s="201">
        <v>8.0</v>
      </c>
      <c r="J846" s="201">
        <v>2026.0</v>
      </c>
      <c r="K846" s="189" t="s">
        <v>36</v>
      </c>
      <c r="L846" s="189" t="s">
        <v>1177</v>
      </c>
      <c r="M846" s="201">
        <v>1.0</v>
      </c>
      <c r="N846" s="201">
        <v>2.0</v>
      </c>
      <c r="O846" s="201">
        <f t="shared" si="4"/>
        <v>2</v>
      </c>
      <c r="P846" s="201">
        <v>4.0</v>
      </c>
      <c r="Q846" s="361">
        <v>46266.0</v>
      </c>
      <c r="R846" s="362">
        <v>1.0</v>
      </c>
      <c r="S846" s="362">
        <v>9.0</v>
      </c>
      <c r="T846" s="201">
        <v>2026.0</v>
      </c>
      <c r="U846" s="189" t="s">
        <v>36</v>
      </c>
      <c r="V846" s="201">
        <v>91.9</v>
      </c>
      <c r="W846" s="361">
        <v>46266.0</v>
      </c>
      <c r="X846" s="201">
        <v>1.0</v>
      </c>
      <c r="Y846" s="201">
        <v>9.0</v>
      </c>
      <c r="Z846" s="201">
        <v>2026.0</v>
      </c>
      <c r="AA846" s="189" t="s">
        <v>36</v>
      </c>
    </row>
    <row r="847" ht="15.75" hidden="1" customHeight="1">
      <c r="A847" s="189" t="s">
        <v>2520</v>
      </c>
      <c r="B847" s="201">
        <v>5.000484465E9</v>
      </c>
      <c r="C847" s="361">
        <v>46256.0</v>
      </c>
      <c r="D847" s="201">
        <v>22.0</v>
      </c>
      <c r="E847" s="201">
        <v>8.0</v>
      </c>
      <c r="F847" s="201">
        <v>2026.0</v>
      </c>
      <c r="G847" s="361">
        <v>46262.0</v>
      </c>
      <c r="H847" s="201">
        <v>28.0</v>
      </c>
      <c r="I847" s="201">
        <v>8.0</v>
      </c>
      <c r="J847" s="201">
        <v>2026.0</v>
      </c>
      <c r="K847" s="189" t="s">
        <v>36</v>
      </c>
      <c r="L847" s="189" t="s">
        <v>1177</v>
      </c>
      <c r="M847" s="201">
        <v>1.0</v>
      </c>
      <c r="N847" s="201">
        <v>6.0</v>
      </c>
      <c r="O847" s="201">
        <f t="shared" si="4"/>
        <v>6</v>
      </c>
      <c r="P847" s="201">
        <v>12.0</v>
      </c>
      <c r="Q847" s="361">
        <v>46266.0</v>
      </c>
      <c r="R847" s="362">
        <v>1.0</v>
      </c>
      <c r="S847" s="362">
        <v>9.0</v>
      </c>
      <c r="T847" s="201">
        <v>2026.0</v>
      </c>
      <c r="U847" s="189" t="s">
        <v>36</v>
      </c>
      <c r="V847" s="201">
        <v>275.71</v>
      </c>
      <c r="W847" s="361">
        <v>46266.0</v>
      </c>
      <c r="X847" s="201">
        <v>1.0</v>
      </c>
      <c r="Y847" s="201">
        <v>9.0</v>
      </c>
      <c r="Z847" s="201">
        <v>2026.0</v>
      </c>
      <c r="AA847" s="189" t="s">
        <v>36</v>
      </c>
    </row>
    <row r="848" ht="15.75" hidden="1" customHeight="1">
      <c r="A848" s="189" t="s">
        <v>2521</v>
      </c>
      <c r="B848" s="201">
        <v>6.341983822E9</v>
      </c>
      <c r="C848" s="361">
        <v>46251.0</v>
      </c>
      <c r="D848" s="201">
        <v>17.0</v>
      </c>
      <c r="E848" s="201">
        <v>8.0</v>
      </c>
      <c r="F848" s="201">
        <v>2026.0</v>
      </c>
      <c r="G848" s="361">
        <v>46255.0</v>
      </c>
      <c r="H848" s="201">
        <v>21.0</v>
      </c>
      <c r="I848" s="201">
        <v>8.0</v>
      </c>
      <c r="J848" s="201">
        <v>2026.0</v>
      </c>
      <c r="K848" s="189" t="s">
        <v>36</v>
      </c>
      <c r="L848" s="189" t="s">
        <v>1177</v>
      </c>
      <c r="M848" s="201">
        <v>1.0</v>
      </c>
      <c r="N848" s="201">
        <v>4.0</v>
      </c>
      <c r="O848" s="201">
        <f t="shared" si="4"/>
        <v>4</v>
      </c>
      <c r="P848" s="201">
        <v>8.0</v>
      </c>
      <c r="Q848" s="361">
        <v>46266.0</v>
      </c>
      <c r="R848" s="362">
        <v>1.0</v>
      </c>
      <c r="S848" s="362">
        <v>9.0</v>
      </c>
      <c r="T848" s="201">
        <v>2026.0</v>
      </c>
      <c r="U848" s="189" t="s">
        <v>36</v>
      </c>
      <c r="V848" s="201">
        <v>183.81</v>
      </c>
      <c r="W848" s="361">
        <v>46266.0</v>
      </c>
      <c r="X848" s="201">
        <v>1.0</v>
      </c>
      <c r="Y848" s="201">
        <v>9.0</v>
      </c>
      <c r="Z848" s="201">
        <v>2026.0</v>
      </c>
      <c r="AA848" s="189" t="s">
        <v>36</v>
      </c>
    </row>
    <row r="849" ht="15.75" hidden="1" customHeight="1">
      <c r="A849" s="189" t="s">
        <v>2522</v>
      </c>
      <c r="B849" s="201">
        <v>5.64849984E9</v>
      </c>
      <c r="C849" s="361">
        <v>46251.0</v>
      </c>
      <c r="D849" s="201">
        <v>17.0</v>
      </c>
      <c r="E849" s="201">
        <v>8.0</v>
      </c>
      <c r="F849" s="201">
        <v>2026.0</v>
      </c>
      <c r="G849" s="361">
        <v>46255.0</v>
      </c>
      <c r="H849" s="201">
        <v>21.0</v>
      </c>
      <c r="I849" s="201">
        <v>8.0</v>
      </c>
      <c r="J849" s="201">
        <v>2026.0</v>
      </c>
      <c r="K849" s="189" t="s">
        <v>36</v>
      </c>
      <c r="L849" s="189" t="s">
        <v>1177</v>
      </c>
      <c r="M849" s="201">
        <v>1.0</v>
      </c>
      <c r="N849" s="201">
        <v>4.0</v>
      </c>
      <c r="O849" s="201">
        <f t="shared" si="4"/>
        <v>4</v>
      </c>
      <c r="P849" s="201">
        <v>8.0</v>
      </c>
      <c r="Q849" s="361">
        <v>46266.0</v>
      </c>
      <c r="R849" s="362">
        <v>1.0</v>
      </c>
      <c r="S849" s="362">
        <v>9.0</v>
      </c>
      <c r="T849" s="201">
        <v>2026.0</v>
      </c>
      <c r="U849" s="189" t="s">
        <v>36</v>
      </c>
      <c r="V849" s="201">
        <v>183.81</v>
      </c>
      <c r="W849" s="361">
        <v>46266.0</v>
      </c>
      <c r="X849" s="201">
        <v>1.0</v>
      </c>
      <c r="Y849" s="201">
        <v>9.0</v>
      </c>
      <c r="Z849" s="201">
        <v>2026.0</v>
      </c>
      <c r="AA849" s="189" t="s">
        <v>36</v>
      </c>
    </row>
    <row r="850" ht="15.75" hidden="1" customHeight="1">
      <c r="A850" s="189" t="s">
        <v>2523</v>
      </c>
      <c r="B850" s="201">
        <v>5.247989411E9</v>
      </c>
      <c r="C850" s="361">
        <v>46240.0</v>
      </c>
      <c r="D850" s="201">
        <v>6.0</v>
      </c>
      <c r="E850" s="201">
        <v>8.0</v>
      </c>
      <c r="F850" s="201">
        <v>2026.0</v>
      </c>
      <c r="G850" s="361">
        <v>46244.0</v>
      </c>
      <c r="H850" s="201">
        <v>10.0</v>
      </c>
      <c r="I850" s="201">
        <v>8.0</v>
      </c>
      <c r="J850" s="201">
        <v>2026.0</v>
      </c>
      <c r="K850" s="189" t="s">
        <v>36</v>
      </c>
      <c r="L850" s="189" t="s">
        <v>1177</v>
      </c>
      <c r="M850" s="201">
        <v>1.0</v>
      </c>
      <c r="N850" s="201">
        <v>4.0</v>
      </c>
      <c r="O850" s="201">
        <f t="shared" si="4"/>
        <v>4</v>
      </c>
      <c r="P850" s="201">
        <v>8.0</v>
      </c>
      <c r="Q850" s="361">
        <v>46266.0</v>
      </c>
      <c r="R850" s="362">
        <v>1.0</v>
      </c>
      <c r="S850" s="362">
        <v>9.0</v>
      </c>
      <c r="T850" s="201">
        <v>2026.0</v>
      </c>
      <c r="U850" s="189" t="s">
        <v>36</v>
      </c>
      <c r="V850" s="201">
        <v>183.81</v>
      </c>
      <c r="W850" s="361">
        <v>46266.0</v>
      </c>
      <c r="X850" s="201">
        <v>1.0</v>
      </c>
      <c r="Y850" s="201">
        <v>9.0</v>
      </c>
      <c r="Z850" s="201">
        <v>2026.0</v>
      </c>
      <c r="AA850" s="189" t="s">
        <v>36</v>
      </c>
    </row>
    <row r="851" ht="15.75" hidden="1" customHeight="1">
      <c r="A851" s="189" t="s">
        <v>2524</v>
      </c>
      <c r="B851" s="201">
        <v>5.135371602E9</v>
      </c>
      <c r="C851" s="361">
        <v>46261.0</v>
      </c>
      <c r="D851" s="201">
        <v>27.0</v>
      </c>
      <c r="E851" s="201">
        <v>8.0</v>
      </c>
      <c r="F851" s="201">
        <v>2026.0</v>
      </c>
      <c r="G851" s="361">
        <v>46264.0</v>
      </c>
      <c r="H851" s="201">
        <v>30.0</v>
      </c>
      <c r="I851" s="201">
        <v>8.0</v>
      </c>
      <c r="J851" s="201">
        <v>2026.0</v>
      </c>
      <c r="K851" s="189" t="s">
        <v>36</v>
      </c>
      <c r="L851" s="189" t="s">
        <v>1177</v>
      </c>
      <c r="M851" s="201">
        <v>1.0</v>
      </c>
      <c r="N851" s="201">
        <v>3.0</v>
      </c>
      <c r="O851" s="201">
        <f t="shared" si="4"/>
        <v>3</v>
      </c>
      <c r="P851" s="201">
        <v>6.0</v>
      </c>
      <c r="Q851" s="361">
        <v>46266.0</v>
      </c>
      <c r="R851" s="362">
        <v>1.0</v>
      </c>
      <c r="S851" s="362">
        <v>9.0</v>
      </c>
      <c r="T851" s="201">
        <v>2026.0</v>
      </c>
      <c r="U851" s="189" t="s">
        <v>36</v>
      </c>
      <c r="V851" s="201">
        <v>137.86</v>
      </c>
      <c r="W851" s="361">
        <v>46266.0</v>
      </c>
      <c r="X851" s="201">
        <v>1.0</v>
      </c>
      <c r="Y851" s="201">
        <v>9.0</v>
      </c>
      <c r="Z851" s="201">
        <v>2026.0</v>
      </c>
      <c r="AA851" s="189" t="s">
        <v>36</v>
      </c>
    </row>
    <row r="852" ht="15.75" hidden="1" customHeight="1">
      <c r="A852" s="189" t="s">
        <v>2525</v>
      </c>
      <c r="B852" s="201">
        <v>6.620772642E9</v>
      </c>
      <c r="C852" s="361">
        <v>46256.0</v>
      </c>
      <c r="D852" s="201">
        <v>22.0</v>
      </c>
      <c r="E852" s="201">
        <v>8.0</v>
      </c>
      <c r="F852" s="201">
        <v>2026.0</v>
      </c>
      <c r="G852" s="361">
        <v>46259.0</v>
      </c>
      <c r="H852" s="201">
        <v>25.0</v>
      </c>
      <c r="I852" s="201">
        <v>8.0</v>
      </c>
      <c r="J852" s="201">
        <v>2026.0</v>
      </c>
      <c r="K852" s="189" t="s">
        <v>36</v>
      </c>
      <c r="L852" s="189" t="s">
        <v>1177</v>
      </c>
      <c r="M852" s="201">
        <v>1.0</v>
      </c>
      <c r="N852" s="201">
        <v>3.0</v>
      </c>
      <c r="O852" s="201">
        <f t="shared" si="4"/>
        <v>3</v>
      </c>
      <c r="P852" s="201">
        <v>6.0</v>
      </c>
      <c r="Q852" s="361">
        <v>46266.0</v>
      </c>
      <c r="R852" s="362">
        <v>1.0</v>
      </c>
      <c r="S852" s="362">
        <v>9.0</v>
      </c>
      <c r="T852" s="201">
        <v>2026.0</v>
      </c>
      <c r="U852" s="189" t="s">
        <v>36</v>
      </c>
      <c r="V852" s="201">
        <v>137.86</v>
      </c>
      <c r="W852" s="361">
        <v>46266.0</v>
      </c>
      <c r="X852" s="201">
        <v>1.0</v>
      </c>
      <c r="Y852" s="201">
        <v>9.0</v>
      </c>
      <c r="Z852" s="201">
        <v>2026.0</v>
      </c>
      <c r="AA852" s="189" t="s">
        <v>36</v>
      </c>
    </row>
    <row r="853" ht="15.75" hidden="1" customHeight="1">
      <c r="A853" s="189" t="s">
        <v>2526</v>
      </c>
      <c r="B853" s="201">
        <v>6.955008311E9</v>
      </c>
      <c r="C853" s="361">
        <v>46240.0</v>
      </c>
      <c r="D853" s="201">
        <v>6.0</v>
      </c>
      <c r="E853" s="201">
        <v>8.0</v>
      </c>
      <c r="F853" s="201">
        <v>2026.0</v>
      </c>
      <c r="G853" s="361">
        <v>46243.0</v>
      </c>
      <c r="H853" s="201">
        <v>9.0</v>
      </c>
      <c r="I853" s="201">
        <v>8.0</v>
      </c>
      <c r="J853" s="201">
        <v>2026.0</v>
      </c>
      <c r="K853" s="189" t="s">
        <v>36</v>
      </c>
      <c r="L853" s="189" t="s">
        <v>1177</v>
      </c>
      <c r="M853" s="201">
        <v>1.0</v>
      </c>
      <c r="N853" s="201">
        <v>3.0</v>
      </c>
      <c r="O853" s="201">
        <f t="shared" si="4"/>
        <v>3</v>
      </c>
      <c r="P853" s="201">
        <v>6.0</v>
      </c>
      <c r="Q853" s="361">
        <v>46266.0</v>
      </c>
      <c r="R853" s="362">
        <v>1.0</v>
      </c>
      <c r="S853" s="362">
        <v>9.0</v>
      </c>
      <c r="T853" s="201">
        <v>2026.0</v>
      </c>
      <c r="U853" s="189" t="s">
        <v>36</v>
      </c>
      <c r="V853" s="201">
        <v>137.86</v>
      </c>
      <c r="W853" s="361">
        <v>46266.0</v>
      </c>
      <c r="X853" s="201">
        <v>1.0</v>
      </c>
      <c r="Y853" s="201">
        <v>9.0</v>
      </c>
      <c r="Z853" s="201">
        <v>2026.0</v>
      </c>
      <c r="AA853" s="189" t="s">
        <v>36</v>
      </c>
    </row>
    <row r="854" ht="15.75" hidden="1" customHeight="1">
      <c r="A854" s="189" t="s">
        <v>2527</v>
      </c>
      <c r="B854" s="189" t="s">
        <v>2528</v>
      </c>
      <c r="C854" s="361">
        <v>46241.0</v>
      </c>
      <c r="D854" s="201">
        <v>7.0</v>
      </c>
      <c r="E854" s="201">
        <v>8.0</v>
      </c>
      <c r="F854" s="201">
        <v>2026.0</v>
      </c>
      <c r="G854" s="361">
        <v>46242.0</v>
      </c>
      <c r="H854" s="201">
        <v>8.0</v>
      </c>
      <c r="I854" s="201">
        <v>8.0</v>
      </c>
      <c r="J854" s="201">
        <v>2026.0</v>
      </c>
      <c r="K854" s="189" t="s">
        <v>51</v>
      </c>
      <c r="L854" s="189" t="s">
        <v>1177</v>
      </c>
      <c r="M854" s="201">
        <v>1.0</v>
      </c>
      <c r="N854" s="201">
        <v>1.0</v>
      </c>
      <c r="O854" s="201">
        <f t="shared" si="4"/>
        <v>1</v>
      </c>
      <c r="P854" s="201">
        <v>2.0</v>
      </c>
      <c r="Q854" s="361">
        <v>46265.0</v>
      </c>
      <c r="R854" s="362">
        <v>31.0</v>
      </c>
      <c r="S854" s="362">
        <v>8.0</v>
      </c>
      <c r="T854" s="201">
        <v>2026.0</v>
      </c>
      <c r="U854" s="189" t="s">
        <v>2</v>
      </c>
      <c r="V854" s="201">
        <v>46.47</v>
      </c>
      <c r="W854" s="361">
        <v>46265.0</v>
      </c>
      <c r="X854" s="201">
        <v>31.0</v>
      </c>
      <c r="Y854" s="201">
        <v>8.0</v>
      </c>
      <c r="Z854" s="201">
        <v>2026.0</v>
      </c>
      <c r="AA854" s="189" t="s">
        <v>2</v>
      </c>
    </row>
    <row r="855" ht="15.75" hidden="1" customHeight="1">
      <c r="A855" s="189" t="s">
        <v>2529</v>
      </c>
      <c r="B855" s="189" t="s">
        <v>2530</v>
      </c>
      <c r="C855" s="361">
        <v>46241.0</v>
      </c>
      <c r="D855" s="201">
        <v>7.0</v>
      </c>
      <c r="E855" s="201">
        <v>8.0</v>
      </c>
      <c r="F855" s="201">
        <v>2026.0</v>
      </c>
      <c r="G855" s="361">
        <v>46242.0</v>
      </c>
      <c r="H855" s="201">
        <v>8.0</v>
      </c>
      <c r="I855" s="201">
        <v>8.0</v>
      </c>
      <c r="J855" s="201">
        <v>2026.0</v>
      </c>
      <c r="K855" s="189" t="s">
        <v>51</v>
      </c>
      <c r="L855" s="189" t="s">
        <v>1177</v>
      </c>
      <c r="M855" s="201">
        <v>1.0</v>
      </c>
      <c r="N855" s="201">
        <v>1.0</v>
      </c>
      <c r="O855" s="201">
        <f t="shared" si="4"/>
        <v>1</v>
      </c>
      <c r="P855" s="201">
        <v>2.0</v>
      </c>
      <c r="Q855" s="361">
        <v>46265.0</v>
      </c>
      <c r="R855" s="362">
        <v>31.0</v>
      </c>
      <c r="S855" s="362">
        <v>8.0</v>
      </c>
      <c r="T855" s="201">
        <v>2026.0</v>
      </c>
      <c r="U855" s="189" t="s">
        <v>2</v>
      </c>
      <c r="V855" s="201">
        <v>46.47</v>
      </c>
      <c r="W855" s="361">
        <v>46265.0</v>
      </c>
      <c r="X855" s="201">
        <v>31.0</v>
      </c>
      <c r="Y855" s="201">
        <v>8.0</v>
      </c>
      <c r="Z855" s="201">
        <v>2026.0</v>
      </c>
      <c r="AA855" s="189" t="s">
        <v>2</v>
      </c>
    </row>
    <row r="856" ht="15.75" hidden="1" customHeight="1">
      <c r="A856" s="189" t="s">
        <v>2531</v>
      </c>
      <c r="B856" s="189" t="s">
        <v>2532</v>
      </c>
      <c r="C856" s="361">
        <v>46250.0</v>
      </c>
      <c r="D856" s="201">
        <v>16.0</v>
      </c>
      <c r="E856" s="201">
        <v>8.0</v>
      </c>
      <c r="F856" s="201">
        <v>2026.0</v>
      </c>
      <c r="G856" s="361">
        <v>46251.0</v>
      </c>
      <c r="H856" s="201">
        <v>17.0</v>
      </c>
      <c r="I856" s="201">
        <v>8.0</v>
      </c>
      <c r="J856" s="201">
        <v>2026.0</v>
      </c>
      <c r="K856" s="189" t="s">
        <v>51</v>
      </c>
      <c r="L856" s="189" t="s">
        <v>1177</v>
      </c>
      <c r="M856" s="201">
        <v>1.0</v>
      </c>
      <c r="N856" s="201">
        <v>1.0</v>
      </c>
      <c r="O856" s="201">
        <f t="shared" si="4"/>
        <v>1</v>
      </c>
      <c r="P856" s="201">
        <v>2.0</v>
      </c>
      <c r="Q856" s="361">
        <v>46265.0</v>
      </c>
      <c r="R856" s="362">
        <v>31.0</v>
      </c>
      <c r="S856" s="362">
        <v>8.0</v>
      </c>
      <c r="T856" s="201">
        <v>2026.0</v>
      </c>
      <c r="U856" s="189" t="s">
        <v>2</v>
      </c>
      <c r="V856" s="201">
        <v>46.47</v>
      </c>
      <c r="W856" s="361">
        <v>46265.0</v>
      </c>
      <c r="X856" s="201">
        <v>31.0</v>
      </c>
      <c r="Y856" s="201">
        <v>8.0</v>
      </c>
      <c r="Z856" s="201">
        <v>2026.0</v>
      </c>
      <c r="AA856" s="189" t="s">
        <v>2</v>
      </c>
    </row>
    <row r="857" ht="15.75" hidden="1" customHeight="1">
      <c r="A857" s="189" t="s">
        <v>2533</v>
      </c>
      <c r="B857" s="189" t="s">
        <v>2534</v>
      </c>
      <c r="C857" s="361">
        <v>46252.0</v>
      </c>
      <c r="D857" s="201">
        <v>18.0</v>
      </c>
      <c r="E857" s="201">
        <v>8.0</v>
      </c>
      <c r="F857" s="201">
        <v>2026.0</v>
      </c>
      <c r="G857" s="361">
        <v>46253.0</v>
      </c>
      <c r="H857" s="201">
        <v>19.0</v>
      </c>
      <c r="I857" s="201">
        <v>8.0</v>
      </c>
      <c r="J857" s="201">
        <v>2026.0</v>
      </c>
      <c r="K857" s="189" t="s">
        <v>51</v>
      </c>
      <c r="L857" s="189" t="s">
        <v>1177</v>
      </c>
      <c r="M857" s="201">
        <v>1.0</v>
      </c>
      <c r="N857" s="201">
        <v>1.0</v>
      </c>
      <c r="O857" s="201">
        <f t="shared" si="4"/>
        <v>1</v>
      </c>
      <c r="P857" s="201">
        <v>2.0</v>
      </c>
      <c r="Q857" s="361">
        <v>46265.0</v>
      </c>
      <c r="R857" s="362">
        <v>31.0</v>
      </c>
      <c r="S857" s="362">
        <v>8.0</v>
      </c>
      <c r="T857" s="201">
        <v>2026.0</v>
      </c>
      <c r="U857" s="189" t="s">
        <v>2</v>
      </c>
      <c r="V857" s="201">
        <v>46.47</v>
      </c>
      <c r="W857" s="361">
        <v>46265.0</v>
      </c>
      <c r="X857" s="201">
        <v>31.0</v>
      </c>
      <c r="Y857" s="201">
        <v>8.0</v>
      </c>
      <c r="Z857" s="201">
        <v>2026.0</v>
      </c>
      <c r="AA857" s="189" t="s">
        <v>2</v>
      </c>
    </row>
    <row r="858" ht="15.75" hidden="1" customHeight="1">
      <c r="A858" s="189" t="s">
        <v>2535</v>
      </c>
      <c r="B858" s="189" t="s">
        <v>2536</v>
      </c>
      <c r="C858" s="361">
        <v>46258.0</v>
      </c>
      <c r="D858" s="201">
        <v>24.0</v>
      </c>
      <c r="E858" s="201">
        <v>8.0</v>
      </c>
      <c r="F858" s="201">
        <v>2026.0</v>
      </c>
      <c r="G858" s="361">
        <v>46259.0</v>
      </c>
      <c r="H858" s="201">
        <v>25.0</v>
      </c>
      <c r="I858" s="201">
        <v>8.0</v>
      </c>
      <c r="J858" s="201">
        <v>2026.0</v>
      </c>
      <c r="K858" s="189" t="s">
        <v>51</v>
      </c>
      <c r="L858" s="189" t="s">
        <v>1177</v>
      </c>
      <c r="M858" s="201">
        <v>1.0</v>
      </c>
      <c r="N858" s="201">
        <v>1.0</v>
      </c>
      <c r="O858" s="201">
        <f t="shared" si="4"/>
        <v>1</v>
      </c>
      <c r="P858" s="201">
        <v>2.0</v>
      </c>
      <c r="Q858" s="361">
        <v>46265.0</v>
      </c>
      <c r="R858" s="362">
        <v>31.0</v>
      </c>
      <c r="S858" s="362">
        <v>8.0</v>
      </c>
      <c r="T858" s="201">
        <v>2026.0</v>
      </c>
      <c r="U858" s="189" t="s">
        <v>2</v>
      </c>
      <c r="V858" s="201">
        <v>46.47</v>
      </c>
      <c r="W858" s="361">
        <v>46265.0</v>
      </c>
      <c r="X858" s="201">
        <v>31.0</v>
      </c>
      <c r="Y858" s="201">
        <v>8.0</v>
      </c>
      <c r="Z858" s="201">
        <v>2026.0</v>
      </c>
      <c r="AA858" s="189" t="s">
        <v>2</v>
      </c>
    </row>
    <row r="859" ht="15.75" hidden="1" customHeight="1">
      <c r="A859" s="189" t="s">
        <v>2537</v>
      </c>
      <c r="B859" s="189" t="s">
        <v>2538</v>
      </c>
      <c r="C859" s="361">
        <v>46263.0</v>
      </c>
      <c r="D859" s="201">
        <v>29.0</v>
      </c>
      <c r="E859" s="201">
        <v>8.0</v>
      </c>
      <c r="F859" s="201">
        <v>2026.0</v>
      </c>
      <c r="G859" s="361">
        <v>46264.0</v>
      </c>
      <c r="H859" s="201">
        <v>30.0</v>
      </c>
      <c r="I859" s="201">
        <v>8.0</v>
      </c>
      <c r="J859" s="201">
        <v>2026.0</v>
      </c>
      <c r="K859" s="189" t="s">
        <v>51</v>
      </c>
      <c r="L859" s="189" t="s">
        <v>1177</v>
      </c>
      <c r="M859" s="201">
        <v>1.0</v>
      </c>
      <c r="N859" s="201">
        <v>1.0</v>
      </c>
      <c r="O859" s="201">
        <f t="shared" si="4"/>
        <v>1</v>
      </c>
      <c r="P859" s="201">
        <v>2.0</v>
      </c>
      <c r="Q859" s="361">
        <v>46265.0</v>
      </c>
      <c r="R859" s="362">
        <v>31.0</v>
      </c>
      <c r="S859" s="362">
        <v>8.0</v>
      </c>
      <c r="T859" s="201">
        <v>2026.0</v>
      </c>
      <c r="U859" s="189" t="s">
        <v>2</v>
      </c>
      <c r="V859" s="201">
        <v>46.47</v>
      </c>
      <c r="W859" s="361">
        <v>46265.0</v>
      </c>
      <c r="X859" s="201">
        <v>31.0</v>
      </c>
      <c r="Y859" s="201">
        <v>8.0</v>
      </c>
      <c r="Z859" s="201">
        <v>2026.0</v>
      </c>
      <c r="AA859" s="189" t="s">
        <v>2</v>
      </c>
    </row>
    <row r="860" ht="15.75" hidden="1" customHeight="1">
      <c r="A860" s="189" t="s">
        <v>2539</v>
      </c>
      <c r="B860" s="189" t="s">
        <v>2540</v>
      </c>
      <c r="C860" s="361">
        <v>46254.0</v>
      </c>
      <c r="D860" s="201">
        <v>20.0</v>
      </c>
      <c r="E860" s="201">
        <v>8.0</v>
      </c>
      <c r="F860" s="201">
        <v>2026.0</v>
      </c>
      <c r="G860" s="361">
        <v>46255.0</v>
      </c>
      <c r="H860" s="201">
        <v>21.0</v>
      </c>
      <c r="I860" s="201">
        <v>8.0</v>
      </c>
      <c r="J860" s="201">
        <v>2026.0</v>
      </c>
      <c r="K860" s="189" t="s">
        <v>51</v>
      </c>
      <c r="L860" s="189" t="s">
        <v>1177</v>
      </c>
      <c r="M860" s="201">
        <v>1.0</v>
      </c>
      <c r="N860" s="201">
        <v>1.0</v>
      </c>
      <c r="O860" s="201">
        <f t="shared" si="4"/>
        <v>1</v>
      </c>
      <c r="P860" s="201">
        <v>2.0</v>
      </c>
      <c r="Q860" s="361">
        <v>46265.0</v>
      </c>
      <c r="R860" s="362">
        <v>31.0</v>
      </c>
      <c r="S860" s="362">
        <v>8.0</v>
      </c>
      <c r="T860" s="201">
        <v>2026.0</v>
      </c>
      <c r="U860" s="189" t="s">
        <v>2</v>
      </c>
      <c r="V860" s="201">
        <v>46.47</v>
      </c>
      <c r="W860" s="361">
        <v>46265.0</v>
      </c>
      <c r="X860" s="201">
        <v>31.0</v>
      </c>
      <c r="Y860" s="201">
        <v>8.0</v>
      </c>
      <c r="Z860" s="201">
        <v>2026.0</v>
      </c>
      <c r="AA860" s="189" t="s">
        <v>2</v>
      </c>
    </row>
    <row r="861" ht="15.75" hidden="1" customHeight="1">
      <c r="A861" s="189" t="s">
        <v>2541</v>
      </c>
      <c r="B861" s="189" t="s">
        <v>2542</v>
      </c>
      <c r="C861" s="361">
        <v>46255.0</v>
      </c>
      <c r="D861" s="201">
        <v>21.0</v>
      </c>
      <c r="E861" s="201">
        <v>8.0</v>
      </c>
      <c r="F861" s="201">
        <v>2026.0</v>
      </c>
      <c r="G861" s="361">
        <v>46258.0</v>
      </c>
      <c r="H861" s="201">
        <v>24.0</v>
      </c>
      <c r="I861" s="201">
        <v>8.0</v>
      </c>
      <c r="J861" s="201">
        <v>2026.0</v>
      </c>
      <c r="K861" s="189" t="s">
        <v>51</v>
      </c>
      <c r="L861" s="189" t="s">
        <v>1177</v>
      </c>
      <c r="M861" s="201">
        <v>1.0</v>
      </c>
      <c r="N861" s="201">
        <v>3.0</v>
      </c>
      <c r="O861" s="201">
        <f t="shared" si="4"/>
        <v>3</v>
      </c>
      <c r="P861" s="201">
        <v>6.0</v>
      </c>
      <c r="Q861" s="361">
        <v>46265.0</v>
      </c>
      <c r="R861" s="362">
        <v>31.0</v>
      </c>
      <c r="S861" s="362">
        <v>8.0</v>
      </c>
      <c r="T861" s="201">
        <v>2026.0</v>
      </c>
      <c r="U861" s="189" t="s">
        <v>2</v>
      </c>
      <c r="V861" s="201">
        <v>139.42</v>
      </c>
      <c r="W861" s="361">
        <v>46265.0</v>
      </c>
      <c r="X861" s="201">
        <v>31.0</v>
      </c>
      <c r="Y861" s="201">
        <v>8.0</v>
      </c>
      <c r="Z861" s="201">
        <v>2026.0</v>
      </c>
      <c r="AA861" s="189" t="s">
        <v>2</v>
      </c>
    </row>
    <row r="862" ht="15.75" hidden="1" customHeight="1">
      <c r="A862" s="189" t="s">
        <v>2543</v>
      </c>
      <c r="B862" s="189" t="s">
        <v>2544</v>
      </c>
      <c r="C862" s="361">
        <v>46263.0</v>
      </c>
      <c r="D862" s="201">
        <v>29.0</v>
      </c>
      <c r="E862" s="201">
        <v>8.0</v>
      </c>
      <c r="F862" s="201">
        <v>2026.0</v>
      </c>
      <c r="G862" s="361">
        <v>46266.0</v>
      </c>
      <c r="H862" s="201">
        <v>1.0</v>
      </c>
      <c r="I862" s="201">
        <v>9.0</v>
      </c>
      <c r="J862" s="201">
        <v>2026.0</v>
      </c>
      <c r="K862" s="189" t="s">
        <v>51</v>
      </c>
      <c r="L862" s="189" t="s">
        <v>1177</v>
      </c>
      <c r="M862" s="201">
        <v>1.0</v>
      </c>
      <c r="N862" s="201">
        <v>3.0</v>
      </c>
      <c r="O862" s="201">
        <f t="shared" si="4"/>
        <v>3</v>
      </c>
      <c r="P862" s="201">
        <v>6.0</v>
      </c>
      <c r="Q862" s="361">
        <v>46265.0</v>
      </c>
      <c r="R862" s="362">
        <v>31.0</v>
      </c>
      <c r="S862" s="362">
        <v>8.0</v>
      </c>
      <c r="T862" s="201">
        <v>2026.0</v>
      </c>
      <c r="U862" s="189" t="s">
        <v>2</v>
      </c>
      <c r="V862" s="201">
        <v>139.42</v>
      </c>
      <c r="W862" s="361">
        <v>46265.0</v>
      </c>
      <c r="X862" s="201">
        <v>31.0</v>
      </c>
      <c r="Y862" s="201">
        <v>8.0</v>
      </c>
      <c r="Z862" s="201">
        <v>2026.0</v>
      </c>
      <c r="AA862" s="189" t="s">
        <v>2</v>
      </c>
    </row>
    <row r="863" ht="15.75" hidden="1" customHeight="1">
      <c r="A863" s="189" t="s">
        <v>2545</v>
      </c>
      <c r="B863" s="189" t="s">
        <v>2546</v>
      </c>
      <c r="C863" s="361">
        <v>46236.0</v>
      </c>
      <c r="D863" s="201">
        <v>2.0</v>
      </c>
      <c r="E863" s="201">
        <v>8.0</v>
      </c>
      <c r="F863" s="201">
        <v>2026.0</v>
      </c>
      <c r="G863" s="361">
        <v>46239.0</v>
      </c>
      <c r="H863" s="201">
        <v>5.0</v>
      </c>
      <c r="I863" s="201">
        <v>8.0</v>
      </c>
      <c r="J863" s="201">
        <v>2026.0</v>
      </c>
      <c r="K863" s="189" t="s">
        <v>51</v>
      </c>
      <c r="L863" s="189" t="s">
        <v>1177</v>
      </c>
      <c r="M863" s="201">
        <v>1.0</v>
      </c>
      <c r="N863" s="201">
        <v>3.0</v>
      </c>
      <c r="O863" s="201">
        <f t="shared" si="4"/>
        <v>3</v>
      </c>
      <c r="P863" s="201">
        <v>6.0</v>
      </c>
      <c r="Q863" s="361">
        <v>46265.0</v>
      </c>
      <c r="R863" s="362">
        <v>31.0</v>
      </c>
      <c r="S863" s="362">
        <v>8.0</v>
      </c>
      <c r="T863" s="201">
        <v>2026.0</v>
      </c>
      <c r="U863" s="189" t="s">
        <v>2</v>
      </c>
      <c r="V863" s="201">
        <v>139.42</v>
      </c>
      <c r="W863" s="361">
        <v>46265.0</v>
      </c>
      <c r="X863" s="201">
        <v>31.0</v>
      </c>
      <c r="Y863" s="201">
        <v>8.0</v>
      </c>
      <c r="Z863" s="201">
        <v>2026.0</v>
      </c>
      <c r="AA863" s="189" t="s">
        <v>2</v>
      </c>
    </row>
    <row r="864" ht="15.75" hidden="1" customHeight="1">
      <c r="A864" s="189" t="s">
        <v>2547</v>
      </c>
      <c r="B864" s="189" t="s">
        <v>2548</v>
      </c>
      <c r="C864" s="361">
        <v>46240.0</v>
      </c>
      <c r="D864" s="201">
        <v>6.0</v>
      </c>
      <c r="E864" s="201">
        <v>8.0</v>
      </c>
      <c r="F864" s="201">
        <v>2026.0</v>
      </c>
      <c r="G864" s="361">
        <v>46243.0</v>
      </c>
      <c r="H864" s="201">
        <v>9.0</v>
      </c>
      <c r="I864" s="201">
        <v>8.0</v>
      </c>
      <c r="J864" s="201">
        <v>2026.0</v>
      </c>
      <c r="K864" s="189" t="s">
        <v>51</v>
      </c>
      <c r="L864" s="189" t="s">
        <v>1177</v>
      </c>
      <c r="M864" s="201">
        <v>1.0</v>
      </c>
      <c r="N864" s="201">
        <v>3.0</v>
      </c>
      <c r="O864" s="201">
        <f t="shared" si="4"/>
        <v>3</v>
      </c>
      <c r="P864" s="201">
        <v>6.0</v>
      </c>
      <c r="Q864" s="361">
        <v>46265.0</v>
      </c>
      <c r="R864" s="362">
        <v>31.0</v>
      </c>
      <c r="S864" s="362">
        <v>8.0</v>
      </c>
      <c r="T864" s="201">
        <v>2026.0</v>
      </c>
      <c r="U864" s="189" t="s">
        <v>2</v>
      </c>
      <c r="V864" s="201">
        <v>139.42</v>
      </c>
      <c r="W864" s="361">
        <v>46265.0</v>
      </c>
      <c r="X864" s="201">
        <v>31.0</v>
      </c>
      <c r="Y864" s="201">
        <v>8.0</v>
      </c>
      <c r="Z864" s="201">
        <v>2026.0</v>
      </c>
      <c r="AA864" s="189" t="s">
        <v>2</v>
      </c>
    </row>
    <row r="865" ht="15.75" hidden="1" customHeight="1">
      <c r="A865" s="189" t="s">
        <v>2549</v>
      </c>
      <c r="B865" s="189" t="s">
        <v>2550</v>
      </c>
      <c r="C865" s="361">
        <v>46254.0</v>
      </c>
      <c r="D865" s="201">
        <v>20.0</v>
      </c>
      <c r="E865" s="201">
        <v>8.0</v>
      </c>
      <c r="F865" s="201">
        <v>2026.0</v>
      </c>
      <c r="G865" s="361">
        <v>46259.0</v>
      </c>
      <c r="H865" s="201">
        <v>25.0</v>
      </c>
      <c r="I865" s="201">
        <v>8.0</v>
      </c>
      <c r="J865" s="201">
        <v>2026.0</v>
      </c>
      <c r="K865" s="189" t="s">
        <v>51</v>
      </c>
      <c r="L865" s="189" t="s">
        <v>1177</v>
      </c>
      <c r="M865" s="201">
        <v>1.0</v>
      </c>
      <c r="N865" s="201">
        <v>5.0</v>
      </c>
      <c r="O865" s="201">
        <f t="shared" si="4"/>
        <v>5</v>
      </c>
      <c r="P865" s="201">
        <v>10.0</v>
      </c>
      <c r="Q865" s="361">
        <v>46265.0</v>
      </c>
      <c r="R865" s="362">
        <v>31.0</v>
      </c>
      <c r="S865" s="362">
        <v>8.0</v>
      </c>
      <c r="T865" s="201">
        <v>2026.0</v>
      </c>
      <c r="U865" s="189" t="s">
        <v>2</v>
      </c>
      <c r="V865" s="201">
        <v>232.37</v>
      </c>
      <c r="W865" s="361">
        <v>46265.0</v>
      </c>
      <c r="X865" s="201">
        <v>31.0</v>
      </c>
      <c r="Y865" s="201">
        <v>8.0</v>
      </c>
      <c r="Z865" s="201">
        <v>2026.0</v>
      </c>
      <c r="AA865" s="189" t="s">
        <v>2</v>
      </c>
    </row>
    <row r="866" ht="15.75" hidden="1" customHeight="1">
      <c r="A866" s="189" t="s">
        <v>2551</v>
      </c>
      <c r="B866" s="189" t="s">
        <v>2552</v>
      </c>
      <c r="C866" s="361">
        <v>46250.0</v>
      </c>
      <c r="D866" s="201">
        <v>16.0</v>
      </c>
      <c r="E866" s="201">
        <v>8.0</v>
      </c>
      <c r="F866" s="201">
        <v>2026.0</v>
      </c>
      <c r="G866" s="361">
        <v>46252.0</v>
      </c>
      <c r="H866" s="201">
        <v>18.0</v>
      </c>
      <c r="I866" s="201">
        <v>8.0</v>
      </c>
      <c r="J866" s="201">
        <v>2026.0</v>
      </c>
      <c r="K866" s="189" t="s">
        <v>51</v>
      </c>
      <c r="L866" s="189" t="s">
        <v>1177</v>
      </c>
      <c r="M866" s="201">
        <v>2.0</v>
      </c>
      <c r="N866" s="201">
        <v>2.0</v>
      </c>
      <c r="O866" s="201">
        <f t="shared" si="4"/>
        <v>4</v>
      </c>
      <c r="P866" s="201">
        <v>8.0</v>
      </c>
      <c r="Q866" s="361">
        <v>46265.0</v>
      </c>
      <c r="R866" s="362">
        <v>31.0</v>
      </c>
      <c r="S866" s="362">
        <v>8.0</v>
      </c>
      <c r="T866" s="201">
        <v>2026.0</v>
      </c>
      <c r="U866" s="189" t="s">
        <v>2</v>
      </c>
      <c r="V866" s="201">
        <v>185.9</v>
      </c>
      <c r="W866" s="361">
        <v>46265.0</v>
      </c>
      <c r="X866" s="201">
        <v>31.0</v>
      </c>
      <c r="Y866" s="201">
        <v>8.0</v>
      </c>
      <c r="Z866" s="201">
        <v>2026.0</v>
      </c>
      <c r="AA866" s="189" t="s">
        <v>2</v>
      </c>
    </row>
    <row r="867" ht="15.75" hidden="1" customHeight="1">
      <c r="A867" s="189" t="s">
        <v>2553</v>
      </c>
      <c r="B867" s="189" t="s">
        <v>2554</v>
      </c>
      <c r="C867" s="361">
        <v>46236.0</v>
      </c>
      <c r="D867" s="201">
        <v>2.0</v>
      </c>
      <c r="E867" s="201">
        <v>8.0</v>
      </c>
      <c r="F867" s="201">
        <v>2026.0</v>
      </c>
      <c r="G867" s="361">
        <v>46240.0</v>
      </c>
      <c r="H867" s="201">
        <v>6.0</v>
      </c>
      <c r="I867" s="201">
        <v>8.0</v>
      </c>
      <c r="J867" s="201">
        <v>2026.0</v>
      </c>
      <c r="K867" s="189" t="s">
        <v>51</v>
      </c>
      <c r="L867" s="189" t="s">
        <v>1177</v>
      </c>
      <c r="M867" s="201">
        <v>1.0</v>
      </c>
      <c r="N867" s="201">
        <v>4.0</v>
      </c>
      <c r="O867" s="201">
        <f t="shared" si="4"/>
        <v>4</v>
      </c>
      <c r="P867" s="201">
        <v>8.0</v>
      </c>
      <c r="Q867" s="361">
        <v>46265.0</v>
      </c>
      <c r="R867" s="362">
        <v>31.0</v>
      </c>
      <c r="S867" s="362">
        <v>8.0</v>
      </c>
      <c r="T867" s="201">
        <v>2026.0</v>
      </c>
      <c r="U867" s="189" t="s">
        <v>2</v>
      </c>
      <c r="V867" s="201">
        <v>185.9</v>
      </c>
      <c r="W867" s="361">
        <v>46265.0</v>
      </c>
      <c r="X867" s="201">
        <v>31.0</v>
      </c>
      <c r="Y867" s="201">
        <v>8.0</v>
      </c>
      <c r="Z867" s="201">
        <v>2026.0</v>
      </c>
      <c r="AA867" s="189" t="s">
        <v>2</v>
      </c>
    </row>
    <row r="868" ht="15.75" hidden="1" customHeight="1">
      <c r="A868" s="189" t="s">
        <v>2555</v>
      </c>
      <c r="B868" s="189" t="s">
        <v>2556</v>
      </c>
      <c r="C868" s="361">
        <v>46250.0</v>
      </c>
      <c r="D868" s="201">
        <v>16.0</v>
      </c>
      <c r="E868" s="201">
        <v>8.0</v>
      </c>
      <c r="F868" s="201">
        <v>2026.0</v>
      </c>
      <c r="G868" s="361">
        <v>46254.0</v>
      </c>
      <c r="H868" s="201">
        <v>20.0</v>
      </c>
      <c r="I868" s="201">
        <v>8.0</v>
      </c>
      <c r="J868" s="201">
        <v>2026.0</v>
      </c>
      <c r="K868" s="189" t="s">
        <v>51</v>
      </c>
      <c r="L868" s="189" t="s">
        <v>1177</v>
      </c>
      <c r="M868" s="201">
        <v>1.0</v>
      </c>
      <c r="N868" s="201">
        <v>4.0</v>
      </c>
      <c r="O868" s="201">
        <f t="shared" si="4"/>
        <v>4</v>
      </c>
      <c r="P868" s="201">
        <v>8.0</v>
      </c>
      <c r="Q868" s="361">
        <v>46265.0</v>
      </c>
      <c r="R868" s="362">
        <v>31.0</v>
      </c>
      <c r="S868" s="362">
        <v>8.0</v>
      </c>
      <c r="T868" s="201">
        <v>2026.0</v>
      </c>
      <c r="U868" s="189" t="s">
        <v>2</v>
      </c>
      <c r="V868" s="201">
        <v>185.9</v>
      </c>
      <c r="W868" s="361">
        <v>46265.0</v>
      </c>
      <c r="X868" s="201">
        <v>31.0</v>
      </c>
      <c r="Y868" s="201">
        <v>8.0</v>
      </c>
      <c r="Z868" s="201">
        <v>2026.0</v>
      </c>
      <c r="AA868" s="189" t="s">
        <v>2</v>
      </c>
    </row>
    <row r="869" ht="15.75" hidden="1" customHeight="1">
      <c r="A869" s="189" t="s">
        <v>2557</v>
      </c>
      <c r="B869" s="189" t="s">
        <v>2558</v>
      </c>
      <c r="C869" s="361">
        <v>46253.0</v>
      </c>
      <c r="D869" s="201">
        <v>19.0</v>
      </c>
      <c r="E869" s="201">
        <v>8.0</v>
      </c>
      <c r="F869" s="201">
        <v>2026.0</v>
      </c>
      <c r="G869" s="361">
        <v>46255.0</v>
      </c>
      <c r="H869" s="201">
        <v>21.0</v>
      </c>
      <c r="I869" s="201">
        <v>8.0</v>
      </c>
      <c r="J869" s="201">
        <v>2026.0</v>
      </c>
      <c r="K869" s="189" t="s">
        <v>51</v>
      </c>
      <c r="L869" s="189" t="s">
        <v>1177</v>
      </c>
      <c r="M869" s="201">
        <v>3.0</v>
      </c>
      <c r="N869" s="201">
        <v>2.0</v>
      </c>
      <c r="O869" s="201">
        <f t="shared" si="4"/>
        <v>6</v>
      </c>
      <c r="P869" s="201">
        <v>12.0</v>
      </c>
      <c r="Q869" s="361">
        <v>46265.0</v>
      </c>
      <c r="R869" s="362">
        <v>31.0</v>
      </c>
      <c r="S869" s="362">
        <v>8.0</v>
      </c>
      <c r="T869" s="201">
        <v>2026.0</v>
      </c>
      <c r="U869" s="189" t="s">
        <v>2</v>
      </c>
      <c r="V869" s="201">
        <v>278.85</v>
      </c>
      <c r="W869" s="361">
        <v>46265.0</v>
      </c>
      <c r="X869" s="201">
        <v>31.0</v>
      </c>
      <c r="Y869" s="201">
        <v>8.0</v>
      </c>
      <c r="Z869" s="201">
        <v>2026.0</v>
      </c>
      <c r="AA869" s="189" t="s">
        <v>2</v>
      </c>
    </row>
    <row r="870" ht="15.75" hidden="1" customHeight="1">
      <c r="A870" s="189" t="s">
        <v>2559</v>
      </c>
      <c r="B870" s="189" t="s">
        <v>2560</v>
      </c>
      <c r="C870" s="361">
        <v>46263.0</v>
      </c>
      <c r="D870" s="201">
        <v>29.0</v>
      </c>
      <c r="E870" s="201">
        <v>8.0</v>
      </c>
      <c r="F870" s="201">
        <v>2026.0</v>
      </c>
      <c r="G870" s="361">
        <v>46265.0</v>
      </c>
      <c r="H870" s="201">
        <v>31.0</v>
      </c>
      <c r="I870" s="201">
        <v>8.0</v>
      </c>
      <c r="J870" s="201">
        <v>2026.0</v>
      </c>
      <c r="K870" s="189" t="s">
        <v>51</v>
      </c>
      <c r="L870" s="189" t="s">
        <v>1177</v>
      </c>
      <c r="M870" s="201">
        <v>1.0</v>
      </c>
      <c r="N870" s="201">
        <v>2.0</v>
      </c>
      <c r="O870" s="201">
        <f t="shared" si="4"/>
        <v>2</v>
      </c>
      <c r="P870" s="201">
        <v>4.0</v>
      </c>
      <c r="Q870" s="361">
        <v>46265.0</v>
      </c>
      <c r="R870" s="362">
        <v>31.0</v>
      </c>
      <c r="S870" s="362">
        <v>8.0</v>
      </c>
      <c r="T870" s="201">
        <v>2026.0</v>
      </c>
      <c r="U870" s="189" t="s">
        <v>2</v>
      </c>
      <c r="V870" s="201">
        <v>92.95</v>
      </c>
      <c r="W870" s="361">
        <v>46265.0</v>
      </c>
      <c r="X870" s="201">
        <v>31.0</v>
      </c>
      <c r="Y870" s="201">
        <v>8.0</v>
      </c>
      <c r="Z870" s="201">
        <v>2026.0</v>
      </c>
      <c r="AA870" s="189" t="s">
        <v>2</v>
      </c>
    </row>
    <row r="871" ht="15.75" hidden="1" customHeight="1">
      <c r="A871" s="189" t="s">
        <v>2535</v>
      </c>
      <c r="B871" s="189" t="s">
        <v>2561</v>
      </c>
      <c r="C871" s="361">
        <v>46254.0</v>
      </c>
      <c r="D871" s="201">
        <v>20.0</v>
      </c>
      <c r="E871" s="201">
        <v>8.0</v>
      </c>
      <c r="F871" s="201">
        <v>2026.0</v>
      </c>
      <c r="G871" s="361">
        <v>46256.0</v>
      </c>
      <c r="H871" s="201">
        <v>22.0</v>
      </c>
      <c r="I871" s="201">
        <v>8.0</v>
      </c>
      <c r="J871" s="201">
        <v>2026.0</v>
      </c>
      <c r="K871" s="189" t="s">
        <v>51</v>
      </c>
      <c r="L871" s="189" t="s">
        <v>1177</v>
      </c>
      <c r="M871" s="201">
        <v>1.0</v>
      </c>
      <c r="N871" s="201">
        <v>2.0</v>
      </c>
      <c r="O871" s="201">
        <f t="shared" si="4"/>
        <v>2</v>
      </c>
      <c r="P871" s="201">
        <v>4.0</v>
      </c>
      <c r="Q871" s="361">
        <v>46265.0</v>
      </c>
      <c r="R871" s="362">
        <v>31.0</v>
      </c>
      <c r="S871" s="362">
        <v>8.0</v>
      </c>
      <c r="T871" s="201">
        <v>2026.0</v>
      </c>
      <c r="U871" s="189" t="s">
        <v>2</v>
      </c>
      <c r="V871" s="201">
        <v>92.95</v>
      </c>
      <c r="W871" s="361">
        <v>46265.0</v>
      </c>
      <c r="X871" s="201">
        <v>31.0</v>
      </c>
      <c r="Y871" s="201">
        <v>8.0</v>
      </c>
      <c r="Z871" s="201">
        <v>2026.0</v>
      </c>
      <c r="AA871" s="189" t="s">
        <v>2</v>
      </c>
    </row>
    <row r="872" ht="15.75" hidden="1" customHeight="1">
      <c r="A872" s="189" t="s">
        <v>2562</v>
      </c>
      <c r="B872" s="189" t="s">
        <v>2563</v>
      </c>
      <c r="C872" s="361">
        <v>46261.0</v>
      </c>
      <c r="D872" s="201">
        <v>27.0</v>
      </c>
      <c r="E872" s="201">
        <v>8.0</v>
      </c>
      <c r="F872" s="201">
        <v>2026.0</v>
      </c>
      <c r="G872" s="361">
        <v>46263.0</v>
      </c>
      <c r="H872" s="201">
        <v>29.0</v>
      </c>
      <c r="I872" s="201">
        <v>8.0</v>
      </c>
      <c r="J872" s="201">
        <v>2026.0</v>
      </c>
      <c r="K872" s="189" t="s">
        <v>51</v>
      </c>
      <c r="L872" s="189" t="s">
        <v>1177</v>
      </c>
      <c r="M872" s="201">
        <v>1.0</v>
      </c>
      <c r="N872" s="201">
        <v>2.0</v>
      </c>
      <c r="O872" s="201">
        <f t="shared" si="4"/>
        <v>2</v>
      </c>
      <c r="P872" s="201">
        <v>4.0</v>
      </c>
      <c r="Q872" s="361">
        <v>46265.0</v>
      </c>
      <c r="R872" s="362">
        <v>31.0</v>
      </c>
      <c r="S872" s="362">
        <v>8.0</v>
      </c>
      <c r="T872" s="201">
        <v>2026.0</v>
      </c>
      <c r="U872" s="189" t="s">
        <v>2</v>
      </c>
      <c r="V872" s="201">
        <v>92.95</v>
      </c>
      <c r="W872" s="361">
        <v>46265.0</v>
      </c>
      <c r="X872" s="201">
        <v>31.0</v>
      </c>
      <c r="Y872" s="201">
        <v>8.0</v>
      </c>
      <c r="Z872" s="201">
        <v>2026.0</v>
      </c>
      <c r="AA872" s="189" t="s">
        <v>2</v>
      </c>
    </row>
    <row r="873" ht="15.75" hidden="1" customHeight="1">
      <c r="A873" s="189" t="s">
        <v>2531</v>
      </c>
      <c r="B873" s="189" t="s">
        <v>2564</v>
      </c>
      <c r="C873" s="361">
        <v>46251.0</v>
      </c>
      <c r="D873" s="201">
        <v>17.0</v>
      </c>
      <c r="E873" s="201">
        <v>8.0</v>
      </c>
      <c r="F873" s="201">
        <v>2026.0</v>
      </c>
      <c r="G873" s="361">
        <v>46255.0</v>
      </c>
      <c r="H873" s="201">
        <v>21.0</v>
      </c>
      <c r="I873" s="201">
        <v>8.0</v>
      </c>
      <c r="J873" s="201">
        <v>2026.0</v>
      </c>
      <c r="K873" s="189" t="s">
        <v>51</v>
      </c>
      <c r="L873" s="189" t="s">
        <v>1177</v>
      </c>
      <c r="M873" s="201">
        <v>1.0</v>
      </c>
      <c r="N873" s="201">
        <v>4.0</v>
      </c>
      <c r="O873" s="201">
        <f t="shared" si="4"/>
        <v>4</v>
      </c>
      <c r="P873" s="201">
        <v>8.0</v>
      </c>
      <c r="Q873" s="361">
        <v>46265.0</v>
      </c>
      <c r="R873" s="362">
        <v>31.0</v>
      </c>
      <c r="S873" s="362">
        <v>8.0</v>
      </c>
      <c r="T873" s="201">
        <v>2026.0</v>
      </c>
      <c r="U873" s="189" t="s">
        <v>2</v>
      </c>
      <c r="V873" s="201">
        <v>185.91</v>
      </c>
      <c r="W873" s="361">
        <v>46265.0</v>
      </c>
      <c r="X873" s="201">
        <v>31.0</v>
      </c>
      <c r="Y873" s="201">
        <v>8.0</v>
      </c>
      <c r="Z873" s="201">
        <v>2026.0</v>
      </c>
      <c r="AA873" s="189" t="s">
        <v>2</v>
      </c>
    </row>
    <row r="874" ht="15.75" hidden="1" customHeight="1">
      <c r="A874" s="189" t="s">
        <v>2565</v>
      </c>
      <c r="B874" s="189" t="s">
        <v>2566</v>
      </c>
      <c r="C874" s="361">
        <v>46247.0</v>
      </c>
      <c r="D874" s="201">
        <v>13.0</v>
      </c>
      <c r="E874" s="201">
        <v>8.0</v>
      </c>
      <c r="F874" s="201">
        <v>2026.0</v>
      </c>
      <c r="G874" s="361">
        <v>46249.0</v>
      </c>
      <c r="H874" s="201">
        <v>15.0</v>
      </c>
      <c r="I874" s="201">
        <v>8.0</v>
      </c>
      <c r="J874" s="201">
        <v>2026.0</v>
      </c>
      <c r="K874" s="189" t="s">
        <v>51</v>
      </c>
      <c r="L874" s="189" t="s">
        <v>1177</v>
      </c>
      <c r="M874" s="201">
        <v>1.0</v>
      </c>
      <c r="N874" s="201">
        <v>2.0</v>
      </c>
      <c r="O874" s="201">
        <f t="shared" si="4"/>
        <v>2</v>
      </c>
      <c r="P874" s="201">
        <v>4.0</v>
      </c>
      <c r="Q874" s="361">
        <v>46265.0</v>
      </c>
      <c r="R874" s="362">
        <v>31.0</v>
      </c>
      <c r="S874" s="362">
        <v>8.0</v>
      </c>
      <c r="T874" s="201">
        <v>2026.0</v>
      </c>
      <c r="U874" s="189" t="s">
        <v>2</v>
      </c>
      <c r="V874" s="201">
        <v>92.96</v>
      </c>
      <c r="W874" s="361">
        <v>46265.0</v>
      </c>
      <c r="X874" s="201">
        <v>31.0</v>
      </c>
      <c r="Y874" s="201">
        <v>8.0</v>
      </c>
      <c r="Z874" s="201">
        <v>2026.0</v>
      </c>
      <c r="AA874" s="189" t="s">
        <v>2</v>
      </c>
    </row>
    <row r="875" ht="15.75" hidden="1" customHeight="1">
      <c r="A875" s="189" t="s">
        <v>2567</v>
      </c>
      <c r="B875" s="189" t="s">
        <v>2568</v>
      </c>
      <c r="C875" s="361">
        <v>46251.0</v>
      </c>
      <c r="D875" s="201">
        <v>17.0</v>
      </c>
      <c r="E875" s="201">
        <v>8.0</v>
      </c>
      <c r="F875" s="201">
        <v>2026.0</v>
      </c>
      <c r="G875" s="361">
        <v>46257.0</v>
      </c>
      <c r="H875" s="201">
        <v>23.0</v>
      </c>
      <c r="I875" s="201">
        <v>8.0</v>
      </c>
      <c r="J875" s="201">
        <v>2026.0</v>
      </c>
      <c r="K875" s="189" t="s">
        <v>46</v>
      </c>
      <c r="L875" s="189" t="s">
        <v>1177</v>
      </c>
      <c r="M875" s="201">
        <v>1.0</v>
      </c>
      <c r="N875" s="201">
        <v>6.0</v>
      </c>
      <c r="O875" s="201">
        <f t="shared" si="4"/>
        <v>6</v>
      </c>
      <c r="P875" s="201">
        <v>12.0</v>
      </c>
      <c r="Q875" s="361">
        <v>46252.307175925926</v>
      </c>
      <c r="R875" s="362">
        <v>18.0</v>
      </c>
      <c r="S875" s="362">
        <v>8.0</v>
      </c>
      <c r="T875" s="201">
        <v>2026.0</v>
      </c>
      <c r="U875" s="189" t="s">
        <v>12</v>
      </c>
      <c r="V875" s="201">
        <v>263.5</v>
      </c>
      <c r="W875" s="361">
        <v>46252.307175925926</v>
      </c>
      <c r="X875" s="201">
        <v>18.0</v>
      </c>
      <c r="Y875" s="201">
        <v>8.0</v>
      </c>
      <c r="Z875" s="201">
        <v>2026.0</v>
      </c>
      <c r="AA875" s="189" t="s">
        <v>12</v>
      </c>
    </row>
    <row r="876" ht="15.75" hidden="1" customHeight="1">
      <c r="A876" s="189" t="s">
        <v>2569</v>
      </c>
      <c r="B876" s="189" t="s">
        <v>2570</v>
      </c>
      <c r="C876" s="361">
        <v>46236.0</v>
      </c>
      <c r="D876" s="201">
        <v>2.0</v>
      </c>
      <c r="E876" s="201">
        <v>8.0</v>
      </c>
      <c r="F876" s="201">
        <v>2026.0</v>
      </c>
      <c r="G876" s="361">
        <v>46237.0</v>
      </c>
      <c r="H876" s="201">
        <v>3.0</v>
      </c>
      <c r="I876" s="201">
        <v>8.0</v>
      </c>
      <c r="J876" s="201">
        <v>2026.0</v>
      </c>
      <c r="K876" s="189" t="s">
        <v>46</v>
      </c>
      <c r="L876" s="189" t="s">
        <v>1177</v>
      </c>
      <c r="M876" s="201">
        <v>1.0</v>
      </c>
      <c r="N876" s="201">
        <v>1.0</v>
      </c>
      <c r="O876" s="201">
        <f t="shared" si="4"/>
        <v>1</v>
      </c>
      <c r="P876" s="201">
        <v>2.0</v>
      </c>
      <c r="Q876" s="361">
        <v>46236.79832175926</v>
      </c>
      <c r="R876" s="362">
        <v>2.0</v>
      </c>
      <c r="S876" s="362">
        <v>8.0</v>
      </c>
      <c r="T876" s="201">
        <v>2026.0</v>
      </c>
      <c r="U876" s="189" t="s">
        <v>245</v>
      </c>
      <c r="V876" s="201">
        <v>46.75</v>
      </c>
      <c r="W876" s="361">
        <v>46236.79832175926</v>
      </c>
      <c r="X876" s="201">
        <v>2.0</v>
      </c>
      <c r="Y876" s="201">
        <v>8.0</v>
      </c>
      <c r="Z876" s="201">
        <v>2026.0</v>
      </c>
      <c r="AA876" s="189" t="s">
        <v>245</v>
      </c>
    </row>
    <row r="877" ht="15.75" hidden="1" customHeight="1">
      <c r="A877" s="189" t="s">
        <v>2571</v>
      </c>
      <c r="B877" s="189" t="s">
        <v>2572</v>
      </c>
      <c r="C877" s="361">
        <v>46243.0</v>
      </c>
      <c r="D877" s="201">
        <v>9.0</v>
      </c>
      <c r="E877" s="201">
        <v>8.0</v>
      </c>
      <c r="F877" s="201">
        <v>2026.0</v>
      </c>
      <c r="G877" s="361">
        <v>46245.0</v>
      </c>
      <c r="H877" s="201">
        <v>11.0</v>
      </c>
      <c r="I877" s="201">
        <v>8.0</v>
      </c>
      <c r="J877" s="201">
        <v>2026.0</v>
      </c>
      <c r="K877" s="189" t="s">
        <v>46</v>
      </c>
      <c r="L877" s="189" t="s">
        <v>1177</v>
      </c>
      <c r="M877" s="201">
        <v>1.0</v>
      </c>
      <c r="N877" s="201">
        <v>2.0</v>
      </c>
      <c r="O877" s="201">
        <f t="shared" si="4"/>
        <v>2</v>
      </c>
      <c r="P877" s="201">
        <v>4.0</v>
      </c>
      <c r="Q877" s="361">
        <v>46243.83251157407</v>
      </c>
      <c r="R877" s="362">
        <v>9.0</v>
      </c>
      <c r="S877" s="362">
        <v>8.0</v>
      </c>
      <c r="T877" s="201">
        <v>2026.0</v>
      </c>
      <c r="U877" s="189" t="s">
        <v>245</v>
      </c>
      <c r="V877" s="201">
        <v>93.5</v>
      </c>
      <c r="W877" s="361">
        <v>46243.83251157407</v>
      </c>
      <c r="X877" s="201">
        <v>9.0</v>
      </c>
      <c r="Y877" s="201">
        <v>8.0</v>
      </c>
      <c r="Z877" s="201">
        <v>2026.0</v>
      </c>
      <c r="AA877" s="189" t="s">
        <v>245</v>
      </c>
    </row>
    <row r="878" ht="15.75" hidden="1" customHeight="1">
      <c r="A878" s="189" t="s">
        <v>2573</v>
      </c>
      <c r="B878" s="189" t="s">
        <v>2574</v>
      </c>
      <c r="C878" s="361">
        <v>46244.0</v>
      </c>
      <c r="D878" s="201">
        <v>10.0</v>
      </c>
      <c r="E878" s="201">
        <v>8.0</v>
      </c>
      <c r="F878" s="201">
        <v>2026.0</v>
      </c>
      <c r="G878" s="361">
        <v>46245.0</v>
      </c>
      <c r="H878" s="201">
        <v>11.0</v>
      </c>
      <c r="I878" s="201">
        <v>8.0</v>
      </c>
      <c r="J878" s="201">
        <v>2026.0</v>
      </c>
      <c r="K878" s="189" t="s">
        <v>46</v>
      </c>
      <c r="L878" s="189" t="s">
        <v>1177</v>
      </c>
      <c r="M878" s="201">
        <v>1.0</v>
      </c>
      <c r="N878" s="201">
        <v>1.0</v>
      </c>
      <c r="O878" s="201">
        <f t="shared" si="4"/>
        <v>1</v>
      </c>
      <c r="P878" s="201">
        <v>2.0</v>
      </c>
      <c r="Q878" s="361">
        <v>46244.81072916667</v>
      </c>
      <c r="R878" s="362">
        <v>10.0</v>
      </c>
      <c r="S878" s="362">
        <v>8.0</v>
      </c>
      <c r="T878" s="201">
        <v>2026.0</v>
      </c>
      <c r="U878" s="189" t="s">
        <v>245</v>
      </c>
      <c r="V878" s="201">
        <v>46.75</v>
      </c>
      <c r="W878" s="361">
        <v>46244.81072916667</v>
      </c>
      <c r="X878" s="201">
        <v>10.0</v>
      </c>
      <c r="Y878" s="201">
        <v>8.0</v>
      </c>
      <c r="Z878" s="201">
        <v>2026.0</v>
      </c>
      <c r="AA878" s="189" t="s">
        <v>245</v>
      </c>
    </row>
    <row r="879" ht="15.75" hidden="1" customHeight="1">
      <c r="A879" s="189" t="s">
        <v>2575</v>
      </c>
      <c r="B879" s="189" t="s">
        <v>2576</v>
      </c>
      <c r="C879" s="361">
        <v>46244.0</v>
      </c>
      <c r="D879" s="201">
        <v>10.0</v>
      </c>
      <c r="E879" s="201">
        <v>8.0</v>
      </c>
      <c r="F879" s="201">
        <v>2026.0</v>
      </c>
      <c r="G879" s="361">
        <v>46245.0</v>
      </c>
      <c r="H879" s="201">
        <v>11.0</v>
      </c>
      <c r="I879" s="201">
        <v>8.0</v>
      </c>
      <c r="J879" s="201">
        <v>2026.0</v>
      </c>
      <c r="K879" s="189" t="s">
        <v>46</v>
      </c>
      <c r="L879" s="189" t="s">
        <v>1177</v>
      </c>
      <c r="M879" s="201">
        <v>1.0</v>
      </c>
      <c r="N879" s="201">
        <v>1.0</v>
      </c>
      <c r="O879" s="201">
        <f t="shared" si="4"/>
        <v>1</v>
      </c>
      <c r="P879" s="201">
        <v>2.0</v>
      </c>
      <c r="Q879" s="361">
        <v>46244.795590277776</v>
      </c>
      <c r="R879" s="362">
        <v>10.0</v>
      </c>
      <c r="S879" s="362">
        <v>8.0</v>
      </c>
      <c r="T879" s="201">
        <v>2026.0</v>
      </c>
      <c r="U879" s="189" t="s">
        <v>245</v>
      </c>
      <c r="V879" s="201">
        <v>46.75</v>
      </c>
      <c r="W879" s="361">
        <v>46244.795590277776</v>
      </c>
      <c r="X879" s="201">
        <v>10.0</v>
      </c>
      <c r="Y879" s="201">
        <v>8.0</v>
      </c>
      <c r="Z879" s="201">
        <v>2026.0</v>
      </c>
      <c r="AA879" s="189" t="s">
        <v>245</v>
      </c>
    </row>
    <row r="880" ht="15.75" hidden="1" customHeight="1">
      <c r="A880" s="189" t="s">
        <v>2577</v>
      </c>
      <c r="B880" s="189" t="s">
        <v>2578</v>
      </c>
      <c r="C880" s="361">
        <v>46247.0</v>
      </c>
      <c r="D880" s="201">
        <v>13.0</v>
      </c>
      <c r="E880" s="201">
        <v>8.0</v>
      </c>
      <c r="F880" s="201">
        <v>2026.0</v>
      </c>
      <c r="G880" s="361">
        <v>46248.0</v>
      </c>
      <c r="H880" s="201">
        <v>14.0</v>
      </c>
      <c r="I880" s="201">
        <v>8.0</v>
      </c>
      <c r="J880" s="201">
        <v>2026.0</v>
      </c>
      <c r="K880" s="189" t="s">
        <v>46</v>
      </c>
      <c r="L880" s="189" t="s">
        <v>1177</v>
      </c>
      <c r="M880" s="201">
        <v>1.0</v>
      </c>
      <c r="N880" s="201">
        <v>1.0</v>
      </c>
      <c r="O880" s="201">
        <f t="shared" si="4"/>
        <v>1</v>
      </c>
      <c r="P880" s="201">
        <v>2.0</v>
      </c>
      <c r="Q880" s="361">
        <v>46248.417280092595</v>
      </c>
      <c r="R880" s="362">
        <v>14.0</v>
      </c>
      <c r="S880" s="362">
        <v>8.0</v>
      </c>
      <c r="T880" s="201">
        <v>2026.0</v>
      </c>
      <c r="U880" s="189" t="s">
        <v>245</v>
      </c>
      <c r="V880" s="201">
        <v>46.75</v>
      </c>
      <c r="W880" s="361">
        <v>46248.416979166665</v>
      </c>
      <c r="X880" s="201">
        <v>14.0</v>
      </c>
      <c r="Y880" s="201">
        <v>8.0</v>
      </c>
      <c r="Z880" s="201">
        <v>2026.0</v>
      </c>
      <c r="AA880" s="189" t="s">
        <v>245</v>
      </c>
    </row>
    <row r="881" ht="15.75" hidden="1" customHeight="1">
      <c r="A881" s="189" t="s">
        <v>2579</v>
      </c>
      <c r="B881" s="189" t="s">
        <v>2580</v>
      </c>
      <c r="C881" s="361">
        <v>46247.0</v>
      </c>
      <c r="D881" s="201">
        <v>13.0</v>
      </c>
      <c r="E881" s="201">
        <v>8.0</v>
      </c>
      <c r="F881" s="201">
        <v>2026.0</v>
      </c>
      <c r="G881" s="361">
        <v>46250.0</v>
      </c>
      <c r="H881" s="201">
        <v>16.0</v>
      </c>
      <c r="I881" s="201">
        <v>8.0</v>
      </c>
      <c r="J881" s="201">
        <v>2026.0</v>
      </c>
      <c r="K881" s="189" t="s">
        <v>46</v>
      </c>
      <c r="L881" s="189" t="s">
        <v>1177</v>
      </c>
      <c r="M881" s="201">
        <v>1.0</v>
      </c>
      <c r="N881" s="201">
        <v>3.0</v>
      </c>
      <c r="O881" s="201">
        <f t="shared" si="4"/>
        <v>3</v>
      </c>
      <c r="P881" s="201">
        <v>6.0</v>
      </c>
      <c r="Q881" s="361">
        <v>46247.84982638889</v>
      </c>
      <c r="R881" s="362">
        <v>13.0</v>
      </c>
      <c r="S881" s="362">
        <v>8.0</v>
      </c>
      <c r="T881" s="201">
        <v>2026.0</v>
      </c>
      <c r="U881" s="189" t="s">
        <v>12</v>
      </c>
      <c r="V881" s="201">
        <v>140.25</v>
      </c>
      <c r="W881" s="361">
        <v>46247.84943287037</v>
      </c>
      <c r="X881" s="201">
        <v>13.0</v>
      </c>
      <c r="Y881" s="201">
        <v>8.0</v>
      </c>
      <c r="Z881" s="201">
        <v>2026.0</v>
      </c>
      <c r="AA881" s="189" t="s">
        <v>12</v>
      </c>
    </row>
    <row r="882" ht="15.75" hidden="1" customHeight="1">
      <c r="A882" s="189" t="s">
        <v>2581</v>
      </c>
      <c r="B882" s="189" t="s">
        <v>2582</v>
      </c>
      <c r="C882" s="361">
        <v>46248.0</v>
      </c>
      <c r="D882" s="201">
        <v>14.0</v>
      </c>
      <c r="E882" s="201">
        <v>8.0</v>
      </c>
      <c r="F882" s="201">
        <v>2026.0</v>
      </c>
      <c r="G882" s="361">
        <v>46251.0</v>
      </c>
      <c r="H882" s="201">
        <v>17.0</v>
      </c>
      <c r="I882" s="201">
        <v>8.0</v>
      </c>
      <c r="J882" s="201">
        <v>2026.0</v>
      </c>
      <c r="K882" s="189" t="s">
        <v>46</v>
      </c>
      <c r="L882" s="189" t="s">
        <v>1177</v>
      </c>
      <c r="M882" s="201">
        <v>1.0</v>
      </c>
      <c r="N882" s="201">
        <v>3.0</v>
      </c>
      <c r="O882" s="201">
        <f t="shared" si="4"/>
        <v>3</v>
      </c>
      <c r="P882" s="201">
        <v>6.0</v>
      </c>
      <c r="Q882" s="361">
        <v>46249.39487268519</v>
      </c>
      <c r="R882" s="362">
        <v>15.0</v>
      </c>
      <c r="S882" s="362">
        <v>8.0</v>
      </c>
      <c r="T882" s="201">
        <v>2026.0</v>
      </c>
      <c r="U882" s="189" t="s">
        <v>245</v>
      </c>
      <c r="V882" s="201">
        <v>140.25</v>
      </c>
      <c r="W882" s="361">
        <v>46249.3946875</v>
      </c>
      <c r="X882" s="201">
        <v>15.0</v>
      </c>
      <c r="Y882" s="201">
        <v>8.0</v>
      </c>
      <c r="Z882" s="201">
        <v>2026.0</v>
      </c>
      <c r="AA882" s="189" t="s">
        <v>245</v>
      </c>
    </row>
    <row r="883" ht="15.75" hidden="1" customHeight="1">
      <c r="A883" s="189" t="s">
        <v>2583</v>
      </c>
      <c r="B883" s="189" t="s">
        <v>2584</v>
      </c>
      <c r="C883" s="361">
        <v>46249.0</v>
      </c>
      <c r="D883" s="201">
        <v>15.0</v>
      </c>
      <c r="E883" s="201">
        <v>8.0</v>
      </c>
      <c r="F883" s="201">
        <v>2026.0</v>
      </c>
      <c r="G883" s="361">
        <v>46254.0</v>
      </c>
      <c r="H883" s="201">
        <v>20.0</v>
      </c>
      <c r="I883" s="201">
        <v>8.0</v>
      </c>
      <c r="J883" s="201">
        <v>2026.0</v>
      </c>
      <c r="K883" s="189" t="s">
        <v>46</v>
      </c>
      <c r="L883" s="189" t="s">
        <v>1177</v>
      </c>
      <c r="M883" s="201">
        <v>2.0</v>
      </c>
      <c r="N883" s="201">
        <v>5.0</v>
      </c>
      <c r="O883" s="201">
        <f t="shared" si="4"/>
        <v>10</v>
      </c>
      <c r="P883" s="201">
        <v>14.0</v>
      </c>
      <c r="Q883" s="361">
        <v>46249.81350694445</v>
      </c>
      <c r="R883" s="362">
        <v>15.0</v>
      </c>
      <c r="S883" s="362">
        <v>8.0</v>
      </c>
      <c r="T883" s="201">
        <v>2026.0</v>
      </c>
      <c r="U883" s="189" t="s">
        <v>245</v>
      </c>
      <c r="V883" s="201">
        <v>467.5</v>
      </c>
      <c r="W883" s="361">
        <v>46249.813159722224</v>
      </c>
      <c r="X883" s="201">
        <v>15.0</v>
      </c>
      <c r="Y883" s="201">
        <v>8.0</v>
      </c>
      <c r="Z883" s="201">
        <v>2026.0</v>
      </c>
      <c r="AA883" s="189" t="s">
        <v>245</v>
      </c>
    </row>
    <row r="884" ht="15.75" hidden="1" customHeight="1">
      <c r="A884" s="189" t="s">
        <v>2585</v>
      </c>
      <c r="B884" s="189" t="s">
        <v>2586</v>
      </c>
      <c r="C884" s="361">
        <v>46249.0</v>
      </c>
      <c r="D884" s="201">
        <v>15.0</v>
      </c>
      <c r="E884" s="201">
        <v>8.0</v>
      </c>
      <c r="F884" s="201">
        <v>2026.0</v>
      </c>
      <c r="G884" s="361">
        <v>46253.0</v>
      </c>
      <c r="H884" s="201">
        <v>19.0</v>
      </c>
      <c r="I884" s="201">
        <v>8.0</v>
      </c>
      <c r="J884" s="201">
        <v>2026.0</v>
      </c>
      <c r="K884" s="189" t="s">
        <v>46</v>
      </c>
      <c r="L884" s="189" t="s">
        <v>1177</v>
      </c>
      <c r="M884" s="201">
        <v>1.0</v>
      </c>
      <c r="N884" s="201">
        <v>4.0</v>
      </c>
      <c r="O884" s="201">
        <f t="shared" si="4"/>
        <v>4</v>
      </c>
      <c r="P884" s="201">
        <v>8.0</v>
      </c>
      <c r="Q884" s="361">
        <v>46249.817025462966</v>
      </c>
      <c r="R884" s="362">
        <v>15.0</v>
      </c>
      <c r="S884" s="362">
        <v>8.0</v>
      </c>
      <c r="T884" s="201">
        <v>2026.0</v>
      </c>
      <c r="U884" s="189" t="s">
        <v>245</v>
      </c>
      <c r="V884" s="201">
        <v>187.0</v>
      </c>
      <c r="W884" s="361">
        <v>46249.81658564815</v>
      </c>
      <c r="X884" s="201">
        <v>15.0</v>
      </c>
      <c r="Y884" s="201">
        <v>8.0</v>
      </c>
      <c r="Z884" s="201">
        <v>2026.0</v>
      </c>
      <c r="AA884" s="189" t="s">
        <v>245</v>
      </c>
    </row>
    <row r="885" ht="15.75" hidden="1" customHeight="1">
      <c r="A885" s="189" t="s">
        <v>2587</v>
      </c>
      <c r="B885" s="189" t="s">
        <v>2588</v>
      </c>
      <c r="C885" s="361">
        <v>46251.0</v>
      </c>
      <c r="D885" s="201">
        <v>17.0</v>
      </c>
      <c r="E885" s="201">
        <v>8.0</v>
      </c>
      <c r="F885" s="201">
        <v>2026.0</v>
      </c>
      <c r="G885" s="361">
        <v>46253.0</v>
      </c>
      <c r="H885" s="201">
        <v>19.0</v>
      </c>
      <c r="I885" s="201">
        <v>8.0</v>
      </c>
      <c r="J885" s="201">
        <v>2026.0</v>
      </c>
      <c r="K885" s="189" t="s">
        <v>46</v>
      </c>
      <c r="L885" s="189" t="s">
        <v>1177</v>
      </c>
      <c r="M885" s="201">
        <v>1.0</v>
      </c>
      <c r="N885" s="201">
        <v>2.0</v>
      </c>
      <c r="O885" s="201">
        <f t="shared" si="4"/>
        <v>2</v>
      </c>
      <c r="P885" s="201">
        <v>4.0</v>
      </c>
      <c r="Q885" s="361">
        <v>46251.6403125</v>
      </c>
      <c r="R885" s="362">
        <v>17.0</v>
      </c>
      <c r="S885" s="362">
        <v>8.0</v>
      </c>
      <c r="T885" s="201">
        <v>2026.0</v>
      </c>
      <c r="U885" s="189" t="s">
        <v>245</v>
      </c>
      <c r="V885" s="201">
        <v>93.5</v>
      </c>
      <c r="W885" s="361">
        <v>46251.6403125</v>
      </c>
      <c r="X885" s="201">
        <v>17.0</v>
      </c>
      <c r="Y885" s="201">
        <v>8.0</v>
      </c>
      <c r="Z885" s="201">
        <v>2026.0</v>
      </c>
      <c r="AA885" s="189" t="s">
        <v>245</v>
      </c>
    </row>
    <row r="886" ht="15.75" hidden="1" customHeight="1">
      <c r="A886" s="189" t="s">
        <v>2589</v>
      </c>
      <c r="B886" s="189" t="s">
        <v>2590</v>
      </c>
      <c r="C886" s="361">
        <v>46252.0</v>
      </c>
      <c r="D886" s="201">
        <v>18.0</v>
      </c>
      <c r="E886" s="201">
        <v>8.0</v>
      </c>
      <c r="F886" s="201">
        <v>2026.0</v>
      </c>
      <c r="G886" s="361">
        <v>46253.0</v>
      </c>
      <c r="H886" s="201">
        <v>19.0</v>
      </c>
      <c r="I886" s="201">
        <v>8.0</v>
      </c>
      <c r="J886" s="201">
        <v>2026.0</v>
      </c>
      <c r="K886" s="189" t="s">
        <v>46</v>
      </c>
      <c r="L886" s="189" t="s">
        <v>1177</v>
      </c>
      <c r="M886" s="201">
        <v>2.0</v>
      </c>
      <c r="N886" s="201">
        <v>1.0</v>
      </c>
      <c r="O886" s="201">
        <f t="shared" si="4"/>
        <v>2</v>
      </c>
      <c r="P886" s="201">
        <v>4.0</v>
      </c>
      <c r="Q886" s="361">
        <v>46252.88431712963</v>
      </c>
      <c r="R886" s="362">
        <v>18.0</v>
      </c>
      <c r="S886" s="362">
        <v>8.0</v>
      </c>
      <c r="T886" s="201">
        <v>2026.0</v>
      </c>
      <c r="U886" s="189" t="s">
        <v>245</v>
      </c>
      <c r="V886" s="201">
        <v>93.5</v>
      </c>
      <c r="W886" s="361">
        <v>46252.88431712963</v>
      </c>
      <c r="X886" s="201">
        <v>18.0</v>
      </c>
      <c r="Y886" s="201">
        <v>8.0</v>
      </c>
      <c r="Z886" s="201">
        <v>2026.0</v>
      </c>
      <c r="AA886" s="189" t="s">
        <v>245</v>
      </c>
    </row>
    <row r="887" ht="15.75" hidden="1" customHeight="1">
      <c r="A887" s="189" t="s">
        <v>2591</v>
      </c>
      <c r="B887" s="189" t="s">
        <v>2592</v>
      </c>
      <c r="C887" s="361">
        <v>46252.0</v>
      </c>
      <c r="D887" s="201">
        <v>18.0</v>
      </c>
      <c r="E887" s="201">
        <v>8.0</v>
      </c>
      <c r="F887" s="201">
        <v>2026.0</v>
      </c>
      <c r="G887" s="361">
        <v>46259.0</v>
      </c>
      <c r="H887" s="201">
        <v>25.0</v>
      </c>
      <c r="I887" s="201">
        <v>8.0</v>
      </c>
      <c r="J887" s="201">
        <v>2026.0</v>
      </c>
      <c r="K887" s="189" t="s">
        <v>46</v>
      </c>
      <c r="L887" s="189" t="s">
        <v>1177</v>
      </c>
      <c r="M887" s="201">
        <v>1.0</v>
      </c>
      <c r="N887" s="201">
        <v>7.0</v>
      </c>
      <c r="O887" s="201">
        <f t="shared" si="4"/>
        <v>7</v>
      </c>
      <c r="P887" s="201">
        <v>14.0</v>
      </c>
      <c r="Q887" s="361">
        <v>46252.7130787037</v>
      </c>
      <c r="R887" s="362">
        <v>18.0</v>
      </c>
      <c r="S887" s="362">
        <v>8.0</v>
      </c>
      <c r="T887" s="201">
        <v>2026.0</v>
      </c>
      <c r="U887" s="189" t="s">
        <v>245</v>
      </c>
      <c r="V887" s="201">
        <v>327.25</v>
      </c>
      <c r="W887" s="361">
        <v>46252.7130787037</v>
      </c>
      <c r="X887" s="201">
        <v>18.0</v>
      </c>
      <c r="Y887" s="201">
        <v>8.0</v>
      </c>
      <c r="Z887" s="201">
        <v>2026.0</v>
      </c>
      <c r="AA887" s="189" t="s">
        <v>245</v>
      </c>
    </row>
    <row r="888" ht="15.75" hidden="1" customHeight="1">
      <c r="A888" s="189" t="s">
        <v>2593</v>
      </c>
      <c r="B888" s="189" t="s">
        <v>2594</v>
      </c>
      <c r="C888" s="361">
        <v>46255.0</v>
      </c>
      <c r="D888" s="201">
        <v>21.0</v>
      </c>
      <c r="E888" s="201">
        <v>8.0</v>
      </c>
      <c r="F888" s="201">
        <v>2026.0</v>
      </c>
      <c r="G888" s="361">
        <v>46258.0</v>
      </c>
      <c r="H888" s="201">
        <v>24.0</v>
      </c>
      <c r="I888" s="201">
        <v>8.0</v>
      </c>
      <c r="J888" s="201">
        <v>2026.0</v>
      </c>
      <c r="K888" s="189" t="s">
        <v>46</v>
      </c>
      <c r="L888" s="189" t="s">
        <v>1177</v>
      </c>
      <c r="M888" s="201">
        <v>1.0</v>
      </c>
      <c r="N888" s="201">
        <v>3.0</v>
      </c>
      <c r="O888" s="201">
        <f t="shared" si="4"/>
        <v>3</v>
      </c>
      <c r="P888" s="201">
        <v>6.0</v>
      </c>
      <c r="Q888" s="361">
        <v>46256.469375</v>
      </c>
      <c r="R888" s="362">
        <v>22.0</v>
      </c>
      <c r="S888" s="362">
        <v>8.0</v>
      </c>
      <c r="T888" s="201">
        <v>2026.0</v>
      </c>
      <c r="U888" s="189" t="s">
        <v>245</v>
      </c>
      <c r="V888" s="201">
        <v>140.25</v>
      </c>
      <c r="W888" s="361">
        <v>46256.46900462963</v>
      </c>
      <c r="X888" s="201">
        <v>22.0</v>
      </c>
      <c r="Y888" s="201">
        <v>8.0</v>
      </c>
      <c r="Z888" s="201">
        <v>2026.0</v>
      </c>
      <c r="AA888" s="189" t="s">
        <v>245</v>
      </c>
    </row>
    <row r="889" ht="15.75" hidden="1" customHeight="1">
      <c r="A889" s="189" t="s">
        <v>2595</v>
      </c>
      <c r="B889" s="189" t="s">
        <v>2596</v>
      </c>
      <c r="C889" s="361">
        <v>46256.0</v>
      </c>
      <c r="D889" s="201">
        <v>22.0</v>
      </c>
      <c r="E889" s="201">
        <v>8.0</v>
      </c>
      <c r="F889" s="201">
        <v>2026.0</v>
      </c>
      <c r="G889" s="361">
        <v>46258.0</v>
      </c>
      <c r="H889" s="201">
        <v>24.0</v>
      </c>
      <c r="I889" s="201">
        <v>8.0</v>
      </c>
      <c r="J889" s="201">
        <v>2026.0</v>
      </c>
      <c r="K889" s="189" t="s">
        <v>46</v>
      </c>
      <c r="L889" s="189" t="s">
        <v>1177</v>
      </c>
      <c r="M889" s="201">
        <v>1.0</v>
      </c>
      <c r="N889" s="201">
        <v>2.0</v>
      </c>
      <c r="O889" s="201">
        <f t="shared" si="4"/>
        <v>2</v>
      </c>
      <c r="P889" s="201">
        <v>4.0</v>
      </c>
      <c r="Q889" s="361">
        <v>46258.3305787037</v>
      </c>
      <c r="R889" s="362">
        <v>24.0</v>
      </c>
      <c r="S889" s="362">
        <v>8.0</v>
      </c>
      <c r="T889" s="201">
        <v>2026.0</v>
      </c>
      <c r="U889" s="189" t="s">
        <v>245</v>
      </c>
      <c r="V889" s="201">
        <v>93.5</v>
      </c>
      <c r="W889" s="361">
        <v>46258.3305787037</v>
      </c>
      <c r="X889" s="201">
        <v>24.0</v>
      </c>
      <c r="Y889" s="201">
        <v>8.0</v>
      </c>
      <c r="Z889" s="201">
        <v>2026.0</v>
      </c>
      <c r="AA889" s="189" t="s">
        <v>245</v>
      </c>
    </row>
    <row r="890" ht="15.75" hidden="1" customHeight="1">
      <c r="A890" s="189" t="s">
        <v>2597</v>
      </c>
      <c r="B890" s="189" t="s">
        <v>2598</v>
      </c>
      <c r="C890" s="361">
        <v>46257.0</v>
      </c>
      <c r="D890" s="201">
        <v>23.0</v>
      </c>
      <c r="E890" s="201">
        <v>8.0</v>
      </c>
      <c r="F890" s="201">
        <v>2026.0</v>
      </c>
      <c r="G890" s="361">
        <v>46260.0</v>
      </c>
      <c r="H890" s="201">
        <v>26.0</v>
      </c>
      <c r="I890" s="201">
        <v>8.0</v>
      </c>
      <c r="J890" s="201">
        <v>2026.0</v>
      </c>
      <c r="K890" s="189" t="s">
        <v>46</v>
      </c>
      <c r="L890" s="189" t="s">
        <v>1177</v>
      </c>
      <c r="M890" s="201">
        <v>1.0</v>
      </c>
      <c r="N890" s="201">
        <v>3.0</v>
      </c>
      <c r="O890" s="201">
        <f t="shared" si="4"/>
        <v>3</v>
      </c>
      <c r="P890" s="201">
        <v>6.0</v>
      </c>
      <c r="Q890" s="361">
        <v>46257.83099537037</v>
      </c>
      <c r="R890" s="362">
        <v>23.0</v>
      </c>
      <c r="S890" s="362">
        <v>8.0</v>
      </c>
      <c r="T890" s="201">
        <v>2026.0</v>
      </c>
      <c r="U890" s="189" t="s">
        <v>245</v>
      </c>
      <c r="V890" s="201">
        <v>140.25</v>
      </c>
      <c r="W890" s="361">
        <v>46257.83099537037</v>
      </c>
      <c r="X890" s="201">
        <v>23.0</v>
      </c>
      <c r="Y890" s="201">
        <v>8.0</v>
      </c>
      <c r="Z890" s="201">
        <v>2026.0</v>
      </c>
      <c r="AA890" s="189" t="s">
        <v>245</v>
      </c>
    </row>
    <row r="891" ht="15.75" hidden="1" customHeight="1">
      <c r="A891" s="189" t="s">
        <v>2599</v>
      </c>
      <c r="B891" s="189" t="s">
        <v>2600</v>
      </c>
      <c r="C891" s="361">
        <v>46261.0</v>
      </c>
      <c r="D891" s="201">
        <v>27.0</v>
      </c>
      <c r="E891" s="201">
        <v>8.0</v>
      </c>
      <c r="F891" s="201">
        <v>2026.0</v>
      </c>
      <c r="G891" s="361">
        <v>46262.0</v>
      </c>
      <c r="H891" s="201">
        <v>28.0</v>
      </c>
      <c r="I891" s="201">
        <v>8.0</v>
      </c>
      <c r="J891" s="201">
        <v>2026.0</v>
      </c>
      <c r="K891" s="189" t="s">
        <v>46</v>
      </c>
      <c r="L891" s="189" t="s">
        <v>1177</v>
      </c>
      <c r="M891" s="201">
        <v>1.0</v>
      </c>
      <c r="N891" s="201">
        <v>1.0</v>
      </c>
      <c r="O891" s="201">
        <f t="shared" si="4"/>
        <v>1</v>
      </c>
      <c r="P891" s="201">
        <v>2.0</v>
      </c>
      <c r="Q891" s="361">
        <v>46261.858090277776</v>
      </c>
      <c r="R891" s="362">
        <v>27.0</v>
      </c>
      <c r="S891" s="362">
        <v>8.0</v>
      </c>
      <c r="T891" s="201">
        <v>2026.0</v>
      </c>
      <c r="U891" s="189" t="s">
        <v>245</v>
      </c>
      <c r="V891" s="201">
        <v>46.75</v>
      </c>
      <c r="W891" s="361">
        <v>46261.858090277776</v>
      </c>
      <c r="X891" s="201">
        <v>27.0</v>
      </c>
      <c r="Y891" s="201">
        <v>8.0</v>
      </c>
      <c r="Z891" s="201">
        <v>2026.0</v>
      </c>
      <c r="AA891" s="189" t="s">
        <v>245</v>
      </c>
    </row>
    <row r="892" ht="15.75" hidden="1" customHeight="1">
      <c r="A892" s="189" t="s">
        <v>2601</v>
      </c>
      <c r="B892" s="189" t="s">
        <v>2602</v>
      </c>
      <c r="C892" s="361">
        <v>46264.0</v>
      </c>
      <c r="D892" s="201">
        <v>30.0</v>
      </c>
      <c r="E892" s="201">
        <v>8.0</v>
      </c>
      <c r="F892" s="201">
        <v>2026.0</v>
      </c>
      <c r="G892" s="361">
        <v>46265.0</v>
      </c>
      <c r="H892" s="201">
        <v>31.0</v>
      </c>
      <c r="I892" s="201">
        <v>8.0</v>
      </c>
      <c r="J892" s="201">
        <v>2026.0</v>
      </c>
      <c r="K892" s="189" t="s">
        <v>46</v>
      </c>
      <c r="L892" s="189" t="s">
        <v>1177</v>
      </c>
      <c r="M892" s="201">
        <v>1.0</v>
      </c>
      <c r="N892" s="201">
        <v>1.0</v>
      </c>
      <c r="O892" s="201">
        <f t="shared" si="4"/>
        <v>1</v>
      </c>
      <c r="P892" s="201">
        <v>2.0</v>
      </c>
      <c r="Q892" s="361">
        <v>46264.79920138889</v>
      </c>
      <c r="R892" s="362">
        <v>30.0</v>
      </c>
      <c r="S892" s="362">
        <v>8.0</v>
      </c>
      <c r="T892" s="201">
        <v>2026.0</v>
      </c>
      <c r="U892" s="189" t="s">
        <v>245</v>
      </c>
      <c r="V892" s="201">
        <v>46.75</v>
      </c>
      <c r="W892" s="361">
        <v>46264.79920138889</v>
      </c>
      <c r="X892" s="201">
        <v>30.0</v>
      </c>
      <c r="Y892" s="201">
        <v>8.0</v>
      </c>
      <c r="Z892" s="201">
        <v>2026.0</v>
      </c>
      <c r="AA892" s="189" t="s">
        <v>245</v>
      </c>
    </row>
    <row r="893" ht="15.75" hidden="1" customHeight="1">
      <c r="A893" s="189" t="s">
        <v>2603</v>
      </c>
      <c r="B893" s="189" t="s">
        <v>2604</v>
      </c>
      <c r="C893" s="361">
        <v>46240.0</v>
      </c>
      <c r="D893" s="201">
        <v>6.0</v>
      </c>
      <c r="E893" s="201">
        <v>8.0</v>
      </c>
      <c r="F893" s="201">
        <v>2026.0</v>
      </c>
      <c r="G893" s="361">
        <v>46243.0</v>
      </c>
      <c r="H893" s="201">
        <v>9.0</v>
      </c>
      <c r="I893" s="201">
        <v>8.0</v>
      </c>
      <c r="J893" s="201">
        <v>2026.0</v>
      </c>
      <c r="K893" s="189" t="s">
        <v>51</v>
      </c>
      <c r="L893" s="189" t="s">
        <v>1177</v>
      </c>
      <c r="M893" s="201">
        <v>3.0</v>
      </c>
      <c r="N893" s="201">
        <v>3.0</v>
      </c>
      <c r="O893" s="201">
        <f t="shared" si="4"/>
        <v>9</v>
      </c>
      <c r="P893" s="201">
        <v>14.0</v>
      </c>
      <c r="Q893" s="361">
        <v>46265.0</v>
      </c>
      <c r="R893" s="362">
        <v>31.0</v>
      </c>
      <c r="S893" s="362">
        <v>8.0</v>
      </c>
      <c r="T893" s="201">
        <v>2026.0</v>
      </c>
      <c r="U893" s="189" t="s">
        <v>2</v>
      </c>
      <c r="V893" s="201">
        <v>422.29</v>
      </c>
      <c r="W893" s="361">
        <v>46265.0</v>
      </c>
      <c r="X893" s="201">
        <v>31.0</v>
      </c>
      <c r="Y893" s="201">
        <v>8.0</v>
      </c>
      <c r="Z893" s="201">
        <v>2026.0</v>
      </c>
      <c r="AA893" s="189" t="s">
        <v>2</v>
      </c>
    </row>
    <row r="894" ht="15.75" hidden="1" customHeight="1">
      <c r="A894" s="189" t="s">
        <v>2605</v>
      </c>
      <c r="B894" s="201">
        <v>6.410673725E9</v>
      </c>
      <c r="C894" s="361">
        <v>46235.0</v>
      </c>
      <c r="D894" s="201">
        <v>1.0</v>
      </c>
      <c r="E894" s="201">
        <v>8.0</v>
      </c>
      <c r="F894" s="201">
        <v>2026.0</v>
      </c>
      <c r="G894" s="361">
        <v>46245.0</v>
      </c>
      <c r="H894" s="201">
        <v>11.0</v>
      </c>
      <c r="I894" s="201">
        <v>8.0</v>
      </c>
      <c r="J894" s="201">
        <v>2026.0</v>
      </c>
      <c r="K894" s="189" t="s">
        <v>36</v>
      </c>
      <c r="L894" s="189" t="s">
        <v>1177</v>
      </c>
      <c r="M894" s="201">
        <v>1.0</v>
      </c>
      <c r="N894" s="201">
        <v>10.0</v>
      </c>
      <c r="O894" s="201">
        <f t="shared" si="4"/>
        <v>10</v>
      </c>
      <c r="P894" s="201">
        <v>14.0</v>
      </c>
      <c r="Q894" s="361">
        <v>46266.0</v>
      </c>
      <c r="R894" s="362">
        <v>1.0</v>
      </c>
      <c r="S894" s="362">
        <v>9.0</v>
      </c>
      <c r="T894" s="201">
        <v>2026.0</v>
      </c>
      <c r="U894" s="189" t="s">
        <v>36</v>
      </c>
      <c r="V894" s="201">
        <v>476.32</v>
      </c>
      <c r="W894" s="361">
        <v>46266.0</v>
      </c>
      <c r="X894" s="201">
        <v>1.0</v>
      </c>
      <c r="Y894" s="201">
        <v>9.0</v>
      </c>
      <c r="Z894" s="201">
        <v>2026.0</v>
      </c>
      <c r="AA894" s="189" t="s">
        <v>36</v>
      </c>
    </row>
    <row r="895" ht="15.75" hidden="1" customHeight="1">
      <c r="A895" s="189" t="s">
        <v>2606</v>
      </c>
      <c r="B895" s="189" t="s">
        <v>2607</v>
      </c>
      <c r="C895" s="361">
        <v>46265.0</v>
      </c>
      <c r="D895" s="201">
        <v>31.0</v>
      </c>
      <c r="E895" s="201">
        <v>8.0</v>
      </c>
      <c r="F895" s="201">
        <v>2026.0</v>
      </c>
      <c r="G895" s="361">
        <v>46266.0</v>
      </c>
      <c r="H895" s="201">
        <v>1.0</v>
      </c>
      <c r="I895" s="201">
        <v>9.0</v>
      </c>
      <c r="J895" s="201">
        <v>2026.0</v>
      </c>
      <c r="K895" s="189" t="s">
        <v>46</v>
      </c>
      <c r="L895" s="189" t="s">
        <v>1177</v>
      </c>
      <c r="M895" s="201">
        <v>1.0</v>
      </c>
      <c r="N895" s="201">
        <v>1.0</v>
      </c>
      <c r="O895" s="201">
        <f t="shared" si="4"/>
        <v>1</v>
      </c>
      <c r="P895" s="201">
        <v>2.0</v>
      </c>
      <c r="Q895" s="361">
        <v>46265.853634259256</v>
      </c>
      <c r="R895" s="362">
        <v>31.0</v>
      </c>
      <c r="S895" s="362">
        <v>8.0</v>
      </c>
      <c r="T895" s="201">
        <v>2026.0</v>
      </c>
      <c r="U895" s="189" t="s">
        <v>245</v>
      </c>
      <c r="V895" s="201">
        <v>46.75</v>
      </c>
      <c r="W895" s="361">
        <v>46265.853634259256</v>
      </c>
      <c r="X895" s="201">
        <v>31.0</v>
      </c>
      <c r="Y895" s="201">
        <v>8.0</v>
      </c>
      <c r="Z895" s="201">
        <v>2026.0</v>
      </c>
      <c r="AA895" s="189" t="s">
        <v>245</v>
      </c>
    </row>
    <row r="896" ht="15.75" hidden="1" customHeight="1">
      <c r="A896" s="189" t="s">
        <v>2381</v>
      </c>
      <c r="B896" s="201">
        <v>5.701264296E9</v>
      </c>
      <c r="C896" s="361">
        <v>46237.0</v>
      </c>
      <c r="D896" s="201">
        <v>3.0</v>
      </c>
      <c r="E896" s="201">
        <v>8.0</v>
      </c>
      <c r="F896" s="201">
        <v>2026.0</v>
      </c>
      <c r="G896" s="361">
        <v>46239.0</v>
      </c>
      <c r="H896" s="201">
        <v>5.0</v>
      </c>
      <c r="I896" s="201">
        <v>8.0</v>
      </c>
      <c r="J896" s="201">
        <v>2026.0</v>
      </c>
      <c r="K896" s="189" t="s">
        <v>36</v>
      </c>
      <c r="L896" s="189" t="s">
        <v>1177</v>
      </c>
      <c r="M896" s="201">
        <v>1.0</v>
      </c>
      <c r="N896" s="201">
        <v>2.0</v>
      </c>
      <c r="O896" s="201">
        <f t="shared" si="4"/>
        <v>2</v>
      </c>
      <c r="P896" s="201">
        <v>4.0</v>
      </c>
      <c r="Q896" s="361">
        <v>46266.0</v>
      </c>
      <c r="R896" s="362">
        <v>1.0</v>
      </c>
      <c r="S896" s="362">
        <v>9.0</v>
      </c>
      <c r="T896" s="201">
        <v>2026.0</v>
      </c>
      <c r="U896" s="189" t="s">
        <v>36</v>
      </c>
      <c r="V896" s="201">
        <v>100.26</v>
      </c>
      <c r="W896" s="361">
        <v>46266.0</v>
      </c>
      <c r="X896" s="201">
        <v>1.0</v>
      </c>
      <c r="Y896" s="201">
        <v>9.0</v>
      </c>
      <c r="Z896" s="201">
        <v>2026.0</v>
      </c>
      <c r="AA896" s="189" t="s">
        <v>36</v>
      </c>
    </row>
    <row r="897" ht="15.75" hidden="1" customHeight="1">
      <c r="A897" s="189" t="s">
        <v>2608</v>
      </c>
      <c r="B897" s="201">
        <v>6.187572709E9</v>
      </c>
      <c r="C897" s="361">
        <v>46248.0</v>
      </c>
      <c r="D897" s="201">
        <v>14.0</v>
      </c>
      <c r="E897" s="201">
        <v>8.0</v>
      </c>
      <c r="F897" s="201">
        <v>2026.0</v>
      </c>
      <c r="G897" s="361">
        <v>46254.0</v>
      </c>
      <c r="H897" s="201">
        <v>20.0</v>
      </c>
      <c r="I897" s="201">
        <v>8.0</v>
      </c>
      <c r="J897" s="201">
        <v>2026.0</v>
      </c>
      <c r="K897" s="189" t="s">
        <v>36</v>
      </c>
      <c r="L897" s="189" t="s">
        <v>1177</v>
      </c>
      <c r="M897" s="201">
        <v>1.0</v>
      </c>
      <c r="N897" s="201">
        <v>6.0</v>
      </c>
      <c r="O897" s="201">
        <f t="shared" si="4"/>
        <v>6</v>
      </c>
      <c r="P897" s="201">
        <v>12.0</v>
      </c>
      <c r="Q897" s="361">
        <v>46266.0</v>
      </c>
      <c r="R897" s="362">
        <v>1.0</v>
      </c>
      <c r="S897" s="362">
        <v>9.0</v>
      </c>
      <c r="T897" s="201">
        <v>2026.0</v>
      </c>
      <c r="U897" s="189" t="s">
        <v>36</v>
      </c>
      <c r="V897" s="201">
        <v>300.79</v>
      </c>
      <c r="W897" s="361">
        <v>46266.0</v>
      </c>
      <c r="X897" s="201">
        <v>1.0</v>
      </c>
      <c r="Y897" s="201">
        <v>9.0</v>
      </c>
      <c r="Z897" s="201">
        <v>2026.0</v>
      </c>
      <c r="AA897" s="189" t="s">
        <v>36</v>
      </c>
    </row>
    <row r="898" ht="15.75" hidden="1" customHeight="1">
      <c r="A898" s="189" t="s">
        <v>2609</v>
      </c>
      <c r="B898" s="189" t="s">
        <v>2610</v>
      </c>
      <c r="C898" s="361">
        <v>46244.0</v>
      </c>
      <c r="D898" s="201">
        <v>10.0</v>
      </c>
      <c r="E898" s="201">
        <v>8.0</v>
      </c>
      <c r="F898" s="201">
        <v>2026.0</v>
      </c>
      <c r="G898" s="361">
        <v>46246.0</v>
      </c>
      <c r="H898" s="201">
        <v>12.0</v>
      </c>
      <c r="I898" s="201">
        <v>8.0</v>
      </c>
      <c r="J898" s="201">
        <v>2026.0</v>
      </c>
      <c r="K898" s="189" t="s">
        <v>51</v>
      </c>
      <c r="L898" s="189" t="s">
        <v>1177</v>
      </c>
      <c r="M898" s="201">
        <v>1.0</v>
      </c>
      <c r="N898" s="201">
        <v>2.0</v>
      </c>
      <c r="O898" s="201">
        <f t="shared" si="4"/>
        <v>2</v>
      </c>
      <c r="P898" s="201">
        <v>4.0</v>
      </c>
      <c r="Q898" s="361">
        <v>46265.0</v>
      </c>
      <c r="R898" s="362">
        <v>31.0</v>
      </c>
      <c r="S898" s="362">
        <v>8.0</v>
      </c>
      <c r="T898" s="201">
        <v>2026.0</v>
      </c>
      <c r="U898" s="189" t="s">
        <v>2</v>
      </c>
      <c r="V898" s="201">
        <v>101.4</v>
      </c>
      <c r="W898" s="361">
        <v>46265.0</v>
      </c>
      <c r="X898" s="201">
        <v>31.0</v>
      </c>
      <c r="Y898" s="201">
        <v>8.0</v>
      </c>
      <c r="Z898" s="201">
        <v>2026.0</v>
      </c>
      <c r="AA898" s="189" t="s">
        <v>2</v>
      </c>
    </row>
    <row r="899" ht="15.75" hidden="1" customHeight="1">
      <c r="A899" s="189" t="s">
        <v>2611</v>
      </c>
      <c r="B899" s="189" t="s">
        <v>2612</v>
      </c>
      <c r="C899" s="361">
        <v>46247.0</v>
      </c>
      <c r="D899" s="201">
        <v>13.0</v>
      </c>
      <c r="E899" s="201">
        <v>8.0</v>
      </c>
      <c r="F899" s="201">
        <v>2026.0</v>
      </c>
      <c r="G899" s="361">
        <v>46251.0</v>
      </c>
      <c r="H899" s="201">
        <v>17.0</v>
      </c>
      <c r="I899" s="201">
        <v>8.0</v>
      </c>
      <c r="J899" s="201">
        <v>2026.0</v>
      </c>
      <c r="K899" s="189" t="s">
        <v>46</v>
      </c>
      <c r="L899" s="189" t="s">
        <v>1177</v>
      </c>
      <c r="M899" s="201">
        <v>1.0</v>
      </c>
      <c r="N899" s="201">
        <v>4.0</v>
      </c>
      <c r="O899" s="201">
        <f t="shared" si="4"/>
        <v>4</v>
      </c>
      <c r="P899" s="201">
        <v>8.0</v>
      </c>
      <c r="Q899" s="361">
        <v>46248.44216435185</v>
      </c>
      <c r="R899" s="362">
        <v>14.0</v>
      </c>
      <c r="S899" s="362">
        <v>8.0</v>
      </c>
      <c r="T899" s="201">
        <v>2026.0</v>
      </c>
      <c r="U899" s="189" t="s">
        <v>245</v>
      </c>
      <c r="V899" s="201">
        <v>195.5</v>
      </c>
      <c r="W899" s="361">
        <v>46248.418958333335</v>
      </c>
      <c r="X899" s="201">
        <v>14.0</v>
      </c>
      <c r="Y899" s="201">
        <v>8.0</v>
      </c>
      <c r="Z899" s="201">
        <v>2026.0</v>
      </c>
      <c r="AA899" s="189" t="s">
        <v>245</v>
      </c>
    </row>
    <row r="900" ht="15.75" hidden="1" customHeight="1">
      <c r="A900" s="189" t="s">
        <v>2613</v>
      </c>
      <c r="B900" s="189" t="s">
        <v>2614</v>
      </c>
      <c r="C900" s="361">
        <v>46238.0</v>
      </c>
      <c r="D900" s="201">
        <v>4.0</v>
      </c>
      <c r="E900" s="201">
        <v>8.0</v>
      </c>
      <c r="F900" s="201">
        <v>2026.0</v>
      </c>
      <c r="G900" s="361">
        <v>46242.0</v>
      </c>
      <c r="H900" s="201">
        <v>8.0</v>
      </c>
      <c r="I900" s="201">
        <v>8.0</v>
      </c>
      <c r="J900" s="201">
        <v>2026.0</v>
      </c>
      <c r="K900" s="189" t="s">
        <v>46</v>
      </c>
      <c r="L900" s="189" t="s">
        <v>1177</v>
      </c>
      <c r="M900" s="201">
        <v>1.0</v>
      </c>
      <c r="N900" s="201">
        <v>4.0</v>
      </c>
      <c r="O900" s="201">
        <f t="shared" si="4"/>
        <v>4</v>
      </c>
      <c r="P900" s="201">
        <v>8.0</v>
      </c>
      <c r="Q900" s="361">
        <v>46239.13112268518</v>
      </c>
      <c r="R900" s="428">
        <v>4.0</v>
      </c>
      <c r="S900" s="362">
        <v>8.0</v>
      </c>
      <c r="T900" s="201">
        <v>2026.0</v>
      </c>
      <c r="U900" s="189" t="s">
        <v>245</v>
      </c>
      <c r="V900" s="201">
        <v>204.0</v>
      </c>
      <c r="W900" s="361">
        <v>46239.13112268518</v>
      </c>
      <c r="X900" s="204">
        <v>4.0</v>
      </c>
      <c r="Y900" s="201">
        <v>8.0</v>
      </c>
      <c r="Z900" s="201">
        <v>2026.0</v>
      </c>
      <c r="AA900" s="189" t="s">
        <v>245</v>
      </c>
    </row>
    <row r="901" ht="15.75" hidden="1" customHeight="1">
      <c r="A901" s="357" t="s">
        <v>2615</v>
      </c>
      <c r="B901" s="357" t="s">
        <v>2616</v>
      </c>
      <c r="C901" s="358">
        <v>46239.0</v>
      </c>
      <c r="D901" s="359">
        <v>5.0</v>
      </c>
      <c r="E901" s="359">
        <v>8.0</v>
      </c>
      <c r="F901" s="359">
        <v>2026.0</v>
      </c>
      <c r="G901" s="358">
        <v>46243.0</v>
      </c>
      <c r="H901" s="359">
        <v>9.0</v>
      </c>
      <c r="I901" s="359">
        <v>8.0</v>
      </c>
      <c r="J901" s="359">
        <v>2026.0</v>
      </c>
      <c r="K901" s="357" t="s">
        <v>46</v>
      </c>
      <c r="L901" s="357" t="s">
        <v>1177</v>
      </c>
      <c r="M901" s="359">
        <v>2.0</v>
      </c>
      <c r="N901" s="359">
        <v>4.0</v>
      </c>
      <c r="O901" s="201">
        <f t="shared" si="4"/>
        <v>8</v>
      </c>
      <c r="P901" s="359">
        <v>14.0</v>
      </c>
      <c r="Q901" s="358">
        <v>46240.035092592596</v>
      </c>
      <c r="R901" s="360">
        <v>6.0</v>
      </c>
      <c r="S901" s="360">
        <v>8.0</v>
      </c>
      <c r="T901" s="359">
        <v>2026.0</v>
      </c>
      <c r="U901" s="357" t="s">
        <v>262</v>
      </c>
      <c r="V901" s="359">
        <v>408.0</v>
      </c>
      <c r="W901" s="358">
        <v>46240.035092592596</v>
      </c>
      <c r="X901" s="359">
        <v>6.0</v>
      </c>
      <c r="Y901" s="359">
        <v>8.0</v>
      </c>
      <c r="Z901" s="359">
        <v>2026.0</v>
      </c>
      <c r="AA901" s="357" t="s">
        <v>262</v>
      </c>
    </row>
    <row r="902" ht="15.75" hidden="1" customHeight="1">
      <c r="A902" s="189" t="s">
        <v>2617</v>
      </c>
      <c r="B902" s="201">
        <v>6.664801456E9</v>
      </c>
      <c r="C902" s="361">
        <v>46242.0</v>
      </c>
      <c r="D902" s="201">
        <v>8.0</v>
      </c>
      <c r="E902" s="201">
        <v>8.0</v>
      </c>
      <c r="F902" s="201">
        <v>2026.0</v>
      </c>
      <c r="G902" s="361">
        <v>46248.0</v>
      </c>
      <c r="H902" s="201">
        <v>14.0</v>
      </c>
      <c r="I902" s="201">
        <v>8.0</v>
      </c>
      <c r="J902" s="201">
        <v>2026.0</v>
      </c>
      <c r="K902" s="189" t="s">
        <v>36</v>
      </c>
      <c r="L902" s="189" t="s">
        <v>1177</v>
      </c>
      <c r="M902" s="201">
        <v>1.0</v>
      </c>
      <c r="N902" s="201">
        <v>6.0</v>
      </c>
      <c r="O902" s="201">
        <f t="shared" si="4"/>
        <v>6</v>
      </c>
      <c r="P902" s="201">
        <v>12.0</v>
      </c>
      <c r="Q902" s="361">
        <v>46266.0</v>
      </c>
      <c r="R902" s="362">
        <v>1.0</v>
      </c>
      <c r="S902" s="362">
        <v>9.0</v>
      </c>
      <c r="T902" s="201">
        <v>2026.0</v>
      </c>
      <c r="U902" s="189" t="s">
        <v>36</v>
      </c>
      <c r="V902" s="201">
        <v>309.15</v>
      </c>
      <c r="W902" s="361">
        <v>46266.0</v>
      </c>
      <c r="X902" s="201">
        <v>1.0</v>
      </c>
      <c r="Y902" s="201">
        <v>9.0</v>
      </c>
      <c r="Z902" s="201">
        <v>2026.0</v>
      </c>
      <c r="AA902" s="189" t="s">
        <v>36</v>
      </c>
    </row>
    <row r="903" ht="15.75" hidden="1" customHeight="1">
      <c r="A903" s="189" t="s">
        <v>2618</v>
      </c>
      <c r="B903" s="201">
        <v>6.692948125E9</v>
      </c>
      <c r="C903" s="361">
        <v>46237.0</v>
      </c>
      <c r="D903" s="201">
        <v>3.0</v>
      </c>
      <c r="E903" s="201">
        <v>8.0</v>
      </c>
      <c r="F903" s="201">
        <v>2026.0</v>
      </c>
      <c r="G903" s="361">
        <v>46241.0</v>
      </c>
      <c r="H903" s="201">
        <v>7.0</v>
      </c>
      <c r="I903" s="201">
        <v>8.0</v>
      </c>
      <c r="J903" s="201">
        <v>2026.0</v>
      </c>
      <c r="K903" s="189" t="s">
        <v>36</v>
      </c>
      <c r="L903" s="189" t="s">
        <v>1177</v>
      </c>
      <c r="M903" s="201">
        <v>1.0</v>
      </c>
      <c r="N903" s="201">
        <v>4.0</v>
      </c>
      <c r="O903" s="201">
        <f t="shared" si="4"/>
        <v>4</v>
      </c>
      <c r="P903" s="201">
        <v>8.0</v>
      </c>
      <c r="Q903" s="361">
        <v>46266.0</v>
      </c>
      <c r="R903" s="362">
        <v>1.0</v>
      </c>
      <c r="S903" s="362">
        <v>9.0</v>
      </c>
      <c r="T903" s="201">
        <v>2026.0</v>
      </c>
      <c r="U903" s="189" t="s">
        <v>36</v>
      </c>
      <c r="V903" s="201">
        <v>208.89</v>
      </c>
      <c r="W903" s="361">
        <v>46266.0</v>
      </c>
      <c r="X903" s="201">
        <v>1.0</v>
      </c>
      <c r="Y903" s="201">
        <v>9.0</v>
      </c>
      <c r="Z903" s="201">
        <v>2026.0</v>
      </c>
      <c r="AA903" s="189" t="s">
        <v>36</v>
      </c>
    </row>
    <row r="904" ht="15.75" hidden="1" customHeight="1">
      <c r="A904" s="189" t="s">
        <v>2619</v>
      </c>
      <c r="B904" s="201">
        <v>5.648435302E9</v>
      </c>
      <c r="C904" s="361">
        <v>46239.0</v>
      </c>
      <c r="D904" s="201">
        <v>5.0</v>
      </c>
      <c r="E904" s="201">
        <v>8.0</v>
      </c>
      <c r="F904" s="201">
        <v>2026.0</v>
      </c>
      <c r="G904" s="361">
        <v>46240.0</v>
      </c>
      <c r="H904" s="201">
        <v>6.0</v>
      </c>
      <c r="I904" s="201">
        <v>8.0</v>
      </c>
      <c r="J904" s="201">
        <v>2026.0</v>
      </c>
      <c r="K904" s="189" t="s">
        <v>36</v>
      </c>
      <c r="L904" s="189" t="s">
        <v>2358</v>
      </c>
      <c r="M904" s="201">
        <v>1.0</v>
      </c>
      <c r="N904" s="201">
        <v>1.0</v>
      </c>
      <c r="O904" s="201">
        <f t="shared" si="4"/>
        <v>1</v>
      </c>
      <c r="P904" s="201">
        <v>2.0</v>
      </c>
      <c r="Q904" s="361">
        <v>46266.0</v>
      </c>
      <c r="R904" s="362">
        <v>1.0</v>
      </c>
      <c r="S904" s="362">
        <v>9.0</v>
      </c>
      <c r="T904" s="201">
        <v>2026.0</v>
      </c>
      <c r="U904" s="189" t="s">
        <v>36</v>
      </c>
      <c r="V904" s="201">
        <v>52.34</v>
      </c>
      <c r="W904" s="361">
        <v>46266.0</v>
      </c>
      <c r="X904" s="201">
        <v>1.0</v>
      </c>
      <c r="Y904" s="201">
        <v>9.0</v>
      </c>
      <c r="Z904" s="201">
        <v>2026.0</v>
      </c>
      <c r="AA904" s="189" t="s">
        <v>36</v>
      </c>
    </row>
    <row r="905" ht="15.75" hidden="1" customHeight="1">
      <c r="A905" s="189" t="s">
        <v>2620</v>
      </c>
      <c r="B905" s="189" t="s">
        <v>2621</v>
      </c>
      <c r="C905" s="361">
        <v>46254.0</v>
      </c>
      <c r="D905" s="201">
        <v>20.0</v>
      </c>
      <c r="E905" s="201">
        <v>8.0</v>
      </c>
      <c r="F905" s="201">
        <v>2026.0</v>
      </c>
      <c r="G905" s="361">
        <v>46256.0</v>
      </c>
      <c r="H905" s="201">
        <v>22.0</v>
      </c>
      <c r="I905" s="201">
        <v>8.0</v>
      </c>
      <c r="J905" s="201">
        <v>2026.0</v>
      </c>
      <c r="K905" s="189" t="s">
        <v>46</v>
      </c>
      <c r="L905" s="189" t="s">
        <v>1177</v>
      </c>
      <c r="M905" s="201">
        <v>1.0</v>
      </c>
      <c r="N905" s="201">
        <v>2.0</v>
      </c>
      <c r="O905" s="201">
        <f t="shared" si="4"/>
        <v>2</v>
      </c>
      <c r="P905" s="201">
        <v>4.0</v>
      </c>
      <c r="Q905" s="361">
        <v>46255.80909722222</v>
      </c>
      <c r="R905" s="362">
        <v>21.0</v>
      </c>
      <c r="S905" s="362">
        <v>8.0</v>
      </c>
      <c r="T905" s="201">
        <v>2026.0</v>
      </c>
      <c r="U905" s="189" t="s">
        <v>12</v>
      </c>
      <c r="V905" s="201">
        <v>102.0</v>
      </c>
      <c r="W905" s="361">
        <v>46255.808229166665</v>
      </c>
      <c r="X905" s="201">
        <v>21.0</v>
      </c>
      <c r="Y905" s="201">
        <v>8.0</v>
      </c>
      <c r="Z905" s="201">
        <v>2026.0</v>
      </c>
      <c r="AA905" s="189" t="s">
        <v>12</v>
      </c>
    </row>
    <row r="906" ht="15.75" hidden="1" customHeight="1">
      <c r="A906" s="189" t="s">
        <v>2622</v>
      </c>
      <c r="B906" s="201">
        <v>6.868249069E9</v>
      </c>
      <c r="C906" s="361">
        <v>46253.0</v>
      </c>
      <c r="D906" s="201">
        <v>19.0</v>
      </c>
      <c r="E906" s="201">
        <v>8.0</v>
      </c>
      <c r="F906" s="201">
        <v>2026.0</v>
      </c>
      <c r="G906" s="361">
        <v>46254.0</v>
      </c>
      <c r="H906" s="201">
        <v>20.0</v>
      </c>
      <c r="I906" s="201">
        <v>8.0</v>
      </c>
      <c r="J906" s="201">
        <v>2026.0</v>
      </c>
      <c r="K906" s="189" t="s">
        <v>36</v>
      </c>
      <c r="L906" s="189" t="s">
        <v>1177</v>
      </c>
      <c r="M906" s="201">
        <v>1.0</v>
      </c>
      <c r="N906" s="201">
        <v>1.0</v>
      </c>
      <c r="O906" s="201">
        <f t="shared" si="4"/>
        <v>1</v>
      </c>
      <c r="P906" s="201">
        <v>2.0</v>
      </c>
      <c r="Q906" s="361">
        <v>46266.0</v>
      </c>
      <c r="R906" s="362">
        <v>1.0</v>
      </c>
      <c r="S906" s="362">
        <v>9.0</v>
      </c>
      <c r="T906" s="201">
        <v>2026.0</v>
      </c>
      <c r="U906" s="189" t="s">
        <v>36</v>
      </c>
      <c r="V906" s="201">
        <v>54.31</v>
      </c>
      <c r="W906" s="361">
        <v>46266.0</v>
      </c>
      <c r="X906" s="201">
        <v>1.0</v>
      </c>
      <c r="Y906" s="201">
        <v>9.0</v>
      </c>
      <c r="Z906" s="201">
        <v>2026.0</v>
      </c>
      <c r="AA906" s="189" t="s">
        <v>36</v>
      </c>
    </row>
    <row r="907" ht="15.75" hidden="1" customHeight="1">
      <c r="A907" s="189" t="s">
        <v>2623</v>
      </c>
      <c r="B907" s="201">
        <v>6.826023718E9</v>
      </c>
      <c r="C907" s="361">
        <v>46244.0</v>
      </c>
      <c r="D907" s="201">
        <v>10.0</v>
      </c>
      <c r="E907" s="201">
        <v>8.0</v>
      </c>
      <c r="F907" s="201">
        <v>2026.0</v>
      </c>
      <c r="G907" s="361">
        <v>46245.0</v>
      </c>
      <c r="H907" s="201">
        <v>11.0</v>
      </c>
      <c r="I907" s="201">
        <v>8.0</v>
      </c>
      <c r="J907" s="201">
        <v>2026.0</v>
      </c>
      <c r="K907" s="189" t="s">
        <v>36</v>
      </c>
      <c r="L907" s="189" t="s">
        <v>1177</v>
      </c>
      <c r="M907" s="201">
        <v>1.0</v>
      </c>
      <c r="N907" s="201">
        <v>1.0</v>
      </c>
      <c r="O907" s="201">
        <f t="shared" si="4"/>
        <v>1</v>
      </c>
      <c r="P907" s="201">
        <v>2.0</v>
      </c>
      <c r="Q907" s="361">
        <v>46266.0</v>
      </c>
      <c r="R907" s="362">
        <v>1.0</v>
      </c>
      <c r="S907" s="362">
        <v>9.0</v>
      </c>
      <c r="T907" s="201">
        <v>2026.0</v>
      </c>
      <c r="U907" s="189" t="s">
        <v>36</v>
      </c>
      <c r="V907" s="201">
        <v>54.31</v>
      </c>
      <c r="W907" s="361">
        <v>46266.0</v>
      </c>
      <c r="X907" s="201">
        <v>1.0</v>
      </c>
      <c r="Y907" s="201">
        <v>9.0</v>
      </c>
      <c r="Z907" s="201">
        <v>2026.0</v>
      </c>
      <c r="AA907" s="189" t="s">
        <v>36</v>
      </c>
    </row>
    <row r="908" ht="15.75" hidden="1" customHeight="1">
      <c r="A908" s="189" t="s">
        <v>2624</v>
      </c>
      <c r="B908" s="201">
        <v>5.090372896E9</v>
      </c>
      <c r="C908" s="361">
        <v>46240.0</v>
      </c>
      <c r="D908" s="201">
        <v>6.0</v>
      </c>
      <c r="E908" s="201">
        <v>8.0</v>
      </c>
      <c r="F908" s="201">
        <v>2026.0</v>
      </c>
      <c r="G908" s="361">
        <v>46242.0</v>
      </c>
      <c r="H908" s="201">
        <v>8.0</v>
      </c>
      <c r="I908" s="201">
        <v>8.0</v>
      </c>
      <c r="J908" s="201">
        <v>2026.0</v>
      </c>
      <c r="K908" s="189" t="s">
        <v>36</v>
      </c>
      <c r="L908" s="189" t="s">
        <v>1177</v>
      </c>
      <c r="M908" s="201">
        <v>1.0</v>
      </c>
      <c r="N908" s="201">
        <v>2.0</v>
      </c>
      <c r="O908" s="201">
        <f t="shared" si="4"/>
        <v>2</v>
      </c>
      <c r="P908" s="201">
        <v>4.0</v>
      </c>
      <c r="Q908" s="361">
        <v>46266.0</v>
      </c>
      <c r="R908" s="362">
        <v>1.0</v>
      </c>
      <c r="S908" s="362">
        <v>9.0</v>
      </c>
      <c r="T908" s="201">
        <v>2026.0</v>
      </c>
      <c r="U908" s="189" t="s">
        <v>36</v>
      </c>
      <c r="V908" s="201">
        <v>108.62</v>
      </c>
      <c r="W908" s="361">
        <v>46266.0</v>
      </c>
      <c r="X908" s="201">
        <v>1.0</v>
      </c>
      <c r="Y908" s="201">
        <v>9.0</v>
      </c>
      <c r="Z908" s="201">
        <v>2026.0</v>
      </c>
      <c r="AA908" s="189" t="s">
        <v>36</v>
      </c>
    </row>
    <row r="909" ht="15.75" hidden="1" customHeight="1">
      <c r="A909" s="189" t="s">
        <v>2625</v>
      </c>
      <c r="B909" s="189" t="s">
        <v>2626</v>
      </c>
      <c r="C909" s="361">
        <v>46245.0</v>
      </c>
      <c r="D909" s="201">
        <v>11.0</v>
      </c>
      <c r="E909" s="201">
        <v>8.0</v>
      </c>
      <c r="F909" s="201">
        <v>2026.0</v>
      </c>
      <c r="G909" s="361">
        <v>46247.0</v>
      </c>
      <c r="H909" s="201">
        <v>13.0</v>
      </c>
      <c r="I909" s="201">
        <v>8.0</v>
      </c>
      <c r="J909" s="201">
        <v>2026.0</v>
      </c>
      <c r="K909" s="189" t="s">
        <v>51</v>
      </c>
      <c r="L909" s="189" t="s">
        <v>1177</v>
      </c>
      <c r="M909" s="201">
        <v>1.0</v>
      </c>
      <c r="N909" s="201">
        <v>2.0</v>
      </c>
      <c r="O909" s="201">
        <f t="shared" si="4"/>
        <v>2</v>
      </c>
      <c r="P909" s="201">
        <v>4.0</v>
      </c>
      <c r="Q909" s="361">
        <v>46265.0</v>
      </c>
      <c r="R909" s="362">
        <v>31.0</v>
      </c>
      <c r="S909" s="362">
        <v>8.0</v>
      </c>
      <c r="T909" s="201">
        <v>2026.0</v>
      </c>
      <c r="U909" s="189" t="s">
        <v>2</v>
      </c>
      <c r="V909" s="201">
        <v>109.85</v>
      </c>
      <c r="W909" s="361">
        <v>46265.0</v>
      </c>
      <c r="X909" s="201">
        <v>31.0</v>
      </c>
      <c r="Y909" s="201">
        <v>8.0</v>
      </c>
      <c r="Z909" s="201">
        <v>2026.0</v>
      </c>
      <c r="AA909" s="189" t="s">
        <v>2</v>
      </c>
    </row>
    <row r="910" ht="15.75" hidden="1" customHeight="1">
      <c r="A910" s="189" t="s">
        <v>2627</v>
      </c>
      <c r="B910" s="189" t="s">
        <v>2628</v>
      </c>
      <c r="C910" s="361">
        <v>46241.0</v>
      </c>
      <c r="D910" s="201">
        <v>7.0</v>
      </c>
      <c r="E910" s="201">
        <v>8.0</v>
      </c>
      <c r="F910" s="201">
        <v>2026.0</v>
      </c>
      <c r="G910" s="361">
        <v>46249.0</v>
      </c>
      <c r="H910" s="201">
        <v>15.0</v>
      </c>
      <c r="I910" s="201">
        <v>8.0</v>
      </c>
      <c r="J910" s="201">
        <v>2026.0</v>
      </c>
      <c r="K910" s="189" t="s">
        <v>51</v>
      </c>
      <c r="L910" s="189" t="s">
        <v>1177</v>
      </c>
      <c r="M910" s="201">
        <v>1.0</v>
      </c>
      <c r="N910" s="201">
        <v>8.0</v>
      </c>
      <c r="O910" s="201">
        <f t="shared" si="4"/>
        <v>8</v>
      </c>
      <c r="P910" s="201">
        <v>14.0</v>
      </c>
      <c r="Q910" s="361">
        <v>46265.0</v>
      </c>
      <c r="R910" s="362">
        <v>31.0</v>
      </c>
      <c r="S910" s="362">
        <v>8.0</v>
      </c>
      <c r="T910" s="201">
        <v>2026.0</v>
      </c>
      <c r="U910" s="189" t="s">
        <v>2</v>
      </c>
      <c r="V910" s="201">
        <v>439.4</v>
      </c>
      <c r="W910" s="361">
        <v>46265.0</v>
      </c>
      <c r="X910" s="201">
        <v>31.0</v>
      </c>
      <c r="Y910" s="201">
        <v>8.0</v>
      </c>
      <c r="Z910" s="201">
        <v>2026.0</v>
      </c>
      <c r="AA910" s="189" t="s">
        <v>2</v>
      </c>
    </row>
    <row r="911" ht="15.75" hidden="1" customHeight="1">
      <c r="A911" s="189" t="s">
        <v>2629</v>
      </c>
      <c r="B911" s="189" t="s">
        <v>2630</v>
      </c>
      <c r="C911" s="361">
        <v>46239.0</v>
      </c>
      <c r="D911" s="201">
        <v>5.0</v>
      </c>
      <c r="E911" s="201">
        <v>8.0</v>
      </c>
      <c r="F911" s="201">
        <v>2026.0</v>
      </c>
      <c r="G911" s="361">
        <v>46249.0</v>
      </c>
      <c r="H911" s="201">
        <v>15.0</v>
      </c>
      <c r="I911" s="201">
        <v>8.0</v>
      </c>
      <c r="J911" s="201">
        <v>2026.0</v>
      </c>
      <c r="K911" s="189" t="s">
        <v>51</v>
      </c>
      <c r="L911" s="189" t="s">
        <v>1177</v>
      </c>
      <c r="M911" s="201">
        <v>1.0</v>
      </c>
      <c r="N911" s="201">
        <v>10.0</v>
      </c>
      <c r="O911" s="201">
        <f t="shared" si="4"/>
        <v>10</v>
      </c>
      <c r="P911" s="201">
        <v>14.0</v>
      </c>
      <c r="Q911" s="361">
        <v>46265.0</v>
      </c>
      <c r="R911" s="362">
        <v>31.0</v>
      </c>
      <c r="S911" s="362">
        <v>8.0</v>
      </c>
      <c r="T911" s="201">
        <v>2026.0</v>
      </c>
      <c r="U911" s="189" t="s">
        <v>2</v>
      </c>
      <c r="V911" s="201">
        <v>551.75</v>
      </c>
      <c r="W911" s="361">
        <v>46265.0</v>
      </c>
      <c r="X911" s="201">
        <v>31.0</v>
      </c>
      <c r="Y911" s="201">
        <v>8.0</v>
      </c>
      <c r="Z911" s="201">
        <v>2026.0</v>
      </c>
      <c r="AA911" s="189" t="s">
        <v>2</v>
      </c>
    </row>
    <row r="912" ht="15.75" hidden="1" customHeight="1">
      <c r="A912" s="189" t="s">
        <v>2631</v>
      </c>
      <c r="B912" s="189" t="s">
        <v>2632</v>
      </c>
      <c r="C912" s="361">
        <v>46246.0</v>
      </c>
      <c r="D912" s="201">
        <v>12.0</v>
      </c>
      <c r="E912" s="201">
        <v>8.0</v>
      </c>
      <c r="F912" s="201">
        <v>2026.0</v>
      </c>
      <c r="G912" s="361">
        <v>46249.0</v>
      </c>
      <c r="H912" s="201">
        <v>15.0</v>
      </c>
      <c r="I912" s="201">
        <v>8.0</v>
      </c>
      <c r="J912" s="201">
        <v>2026.0</v>
      </c>
      <c r="K912" s="189" t="s">
        <v>46</v>
      </c>
      <c r="L912" s="189" t="s">
        <v>1177</v>
      </c>
      <c r="M912" s="201">
        <v>1.0</v>
      </c>
      <c r="N912" s="201">
        <v>3.0</v>
      </c>
      <c r="O912" s="201">
        <f t="shared" si="4"/>
        <v>3</v>
      </c>
      <c r="P912" s="201">
        <v>6.0</v>
      </c>
      <c r="Q912" s="361">
        <v>46247.80572916667</v>
      </c>
      <c r="R912" s="362">
        <v>13.0</v>
      </c>
      <c r="S912" s="362">
        <v>8.0</v>
      </c>
      <c r="T912" s="201">
        <v>2026.0</v>
      </c>
      <c r="U912" s="189" t="s">
        <v>245</v>
      </c>
      <c r="V912" s="201">
        <v>157.25</v>
      </c>
      <c r="W912" s="361">
        <v>46247.80506944445</v>
      </c>
      <c r="X912" s="201">
        <v>13.0</v>
      </c>
      <c r="Y912" s="201">
        <v>8.0</v>
      </c>
      <c r="Z912" s="201">
        <v>2026.0</v>
      </c>
      <c r="AA912" s="189" t="s">
        <v>245</v>
      </c>
    </row>
    <row r="913" ht="15.75" hidden="1" customHeight="1">
      <c r="A913" s="189" t="s">
        <v>2633</v>
      </c>
      <c r="B913" s="189" t="s">
        <v>2634</v>
      </c>
      <c r="C913" s="361">
        <v>46239.0</v>
      </c>
      <c r="D913" s="201">
        <v>5.0</v>
      </c>
      <c r="E913" s="201">
        <v>8.0</v>
      </c>
      <c r="F913" s="201">
        <v>2026.0</v>
      </c>
      <c r="G913" s="361">
        <v>46241.0</v>
      </c>
      <c r="H913" s="201">
        <v>7.0</v>
      </c>
      <c r="I913" s="201">
        <v>8.0</v>
      </c>
      <c r="J913" s="201">
        <v>2026.0</v>
      </c>
      <c r="K913" s="189" t="s">
        <v>46</v>
      </c>
      <c r="L913" s="189" t="s">
        <v>1177</v>
      </c>
      <c r="M913" s="201">
        <v>1.0</v>
      </c>
      <c r="N913" s="201">
        <v>2.0</v>
      </c>
      <c r="O913" s="201">
        <f t="shared" si="4"/>
        <v>2</v>
      </c>
      <c r="P913" s="201">
        <v>4.0</v>
      </c>
      <c r="Q913" s="361">
        <v>46240.03983796296</v>
      </c>
      <c r="R913" s="362">
        <v>6.0</v>
      </c>
      <c r="S913" s="362">
        <v>8.0</v>
      </c>
      <c r="T913" s="201">
        <v>2026.0</v>
      </c>
      <c r="U913" s="189" t="s">
        <v>12</v>
      </c>
      <c r="V913" s="201">
        <v>110.5</v>
      </c>
      <c r="W913" s="361">
        <v>46240.03983796296</v>
      </c>
      <c r="X913" s="201">
        <v>6.0</v>
      </c>
      <c r="Y913" s="201">
        <v>8.0</v>
      </c>
      <c r="Z913" s="201">
        <v>2026.0</v>
      </c>
      <c r="AA913" s="189" t="s">
        <v>12</v>
      </c>
    </row>
    <row r="914" ht="15.75" hidden="1" customHeight="1">
      <c r="A914" s="189" t="s">
        <v>2635</v>
      </c>
      <c r="B914" s="189" t="s">
        <v>2636</v>
      </c>
      <c r="C914" s="361">
        <v>46239.0</v>
      </c>
      <c r="D914" s="201">
        <v>5.0</v>
      </c>
      <c r="E914" s="201">
        <v>8.0</v>
      </c>
      <c r="F914" s="201">
        <v>2026.0</v>
      </c>
      <c r="G914" s="361">
        <v>46241.0</v>
      </c>
      <c r="H914" s="201">
        <v>7.0</v>
      </c>
      <c r="I914" s="201">
        <v>8.0</v>
      </c>
      <c r="J914" s="201">
        <v>2026.0</v>
      </c>
      <c r="K914" s="189" t="s">
        <v>46</v>
      </c>
      <c r="L914" s="189" t="s">
        <v>1177</v>
      </c>
      <c r="M914" s="201">
        <v>1.0</v>
      </c>
      <c r="N914" s="201">
        <v>2.0</v>
      </c>
      <c r="O914" s="201">
        <f t="shared" si="4"/>
        <v>2</v>
      </c>
      <c r="P914" s="201">
        <v>4.0</v>
      </c>
      <c r="Q914" s="361">
        <v>46240.618310185186</v>
      </c>
      <c r="R914" s="362">
        <v>6.0</v>
      </c>
      <c r="S914" s="362">
        <v>8.0</v>
      </c>
      <c r="T914" s="201">
        <v>2026.0</v>
      </c>
      <c r="U914" s="189" t="s">
        <v>245</v>
      </c>
      <c r="V914" s="201">
        <v>110.5</v>
      </c>
      <c r="W914" s="361">
        <v>46240.61740740741</v>
      </c>
      <c r="X914" s="201">
        <v>6.0</v>
      </c>
      <c r="Y914" s="201">
        <v>8.0</v>
      </c>
      <c r="Z914" s="201">
        <v>2026.0</v>
      </c>
      <c r="AA914" s="189" t="s">
        <v>245</v>
      </c>
    </row>
    <row r="915" ht="15.75" hidden="1" customHeight="1">
      <c r="A915" s="189" t="s">
        <v>2637</v>
      </c>
      <c r="B915" s="189" t="s">
        <v>2638</v>
      </c>
      <c r="C915" s="361">
        <v>46240.0</v>
      </c>
      <c r="D915" s="201">
        <v>6.0</v>
      </c>
      <c r="E915" s="201">
        <v>8.0</v>
      </c>
      <c r="F915" s="201">
        <v>2026.0</v>
      </c>
      <c r="G915" s="361">
        <v>46243.0</v>
      </c>
      <c r="H915" s="201">
        <v>9.0</v>
      </c>
      <c r="I915" s="201">
        <v>8.0</v>
      </c>
      <c r="J915" s="201">
        <v>2026.0</v>
      </c>
      <c r="K915" s="189" t="s">
        <v>51</v>
      </c>
      <c r="L915" s="189" t="s">
        <v>1177</v>
      </c>
      <c r="M915" s="201">
        <v>1.0</v>
      </c>
      <c r="N915" s="201">
        <v>3.0</v>
      </c>
      <c r="O915" s="201">
        <f t="shared" si="4"/>
        <v>3</v>
      </c>
      <c r="P915" s="201">
        <v>6.0</v>
      </c>
      <c r="Q915" s="361">
        <v>46265.0</v>
      </c>
      <c r="R915" s="362">
        <v>31.0</v>
      </c>
      <c r="S915" s="362">
        <v>8.0</v>
      </c>
      <c r="T915" s="201">
        <v>2026.0</v>
      </c>
      <c r="U915" s="189" t="s">
        <v>2</v>
      </c>
      <c r="V915" s="201">
        <v>184.12</v>
      </c>
      <c r="W915" s="361">
        <v>46265.0</v>
      </c>
      <c r="X915" s="201">
        <v>31.0</v>
      </c>
      <c r="Y915" s="201">
        <v>8.0</v>
      </c>
      <c r="Z915" s="201">
        <v>2026.0</v>
      </c>
      <c r="AA915" s="189" t="s">
        <v>2</v>
      </c>
    </row>
    <row r="916" ht="15.75" hidden="1" customHeight="1">
      <c r="A916" s="189" t="s">
        <v>1842</v>
      </c>
      <c r="B916" s="201">
        <v>6.82468511E9</v>
      </c>
      <c r="C916" s="361">
        <v>46244.0</v>
      </c>
      <c r="D916" s="201">
        <v>10.0</v>
      </c>
      <c r="E916" s="201">
        <v>8.0</v>
      </c>
      <c r="F916" s="201">
        <v>2026.0</v>
      </c>
      <c r="G916" s="361">
        <v>46246.0</v>
      </c>
      <c r="H916" s="201">
        <v>12.0</v>
      </c>
      <c r="I916" s="201">
        <v>8.0</v>
      </c>
      <c r="J916" s="201">
        <v>2026.0</v>
      </c>
      <c r="K916" s="189" t="s">
        <v>36</v>
      </c>
      <c r="L916" s="189" t="s">
        <v>1177</v>
      </c>
      <c r="M916" s="201">
        <v>2.0</v>
      </c>
      <c r="N916" s="201">
        <v>2.0</v>
      </c>
      <c r="O916" s="201">
        <f t="shared" si="4"/>
        <v>4</v>
      </c>
      <c r="P916" s="201">
        <v>8.0</v>
      </c>
      <c r="Q916" s="361">
        <v>46266.0</v>
      </c>
      <c r="R916" s="362">
        <v>1.0</v>
      </c>
      <c r="S916" s="362">
        <v>9.0</v>
      </c>
      <c r="T916" s="201">
        <v>2026.0</v>
      </c>
      <c r="U916" s="189" t="s">
        <v>36</v>
      </c>
      <c r="V916" s="201">
        <v>246.28</v>
      </c>
      <c r="W916" s="361">
        <v>46266.0</v>
      </c>
      <c r="X916" s="201">
        <v>1.0</v>
      </c>
      <c r="Y916" s="201">
        <v>9.0</v>
      </c>
      <c r="Z916" s="201">
        <v>2026.0</v>
      </c>
      <c r="AA916" s="189" t="s">
        <v>36</v>
      </c>
    </row>
    <row r="917" ht="15.75" hidden="1" customHeight="1">
      <c r="A917" s="189" t="s">
        <v>2639</v>
      </c>
      <c r="B917" s="201">
        <v>5.955242117E9</v>
      </c>
      <c r="C917" s="361">
        <v>46250.0</v>
      </c>
      <c r="D917" s="201">
        <v>16.0</v>
      </c>
      <c r="E917" s="201">
        <v>8.0</v>
      </c>
      <c r="F917" s="201">
        <v>2026.0</v>
      </c>
      <c r="G917" s="361">
        <v>46251.0</v>
      </c>
      <c r="H917" s="201">
        <v>17.0</v>
      </c>
      <c r="I917" s="201">
        <v>8.0</v>
      </c>
      <c r="J917" s="201">
        <v>2026.0</v>
      </c>
      <c r="K917" s="189" t="s">
        <v>36</v>
      </c>
      <c r="L917" s="189" t="s">
        <v>1177</v>
      </c>
      <c r="M917" s="201">
        <v>1.0</v>
      </c>
      <c r="N917" s="201">
        <v>1.0</v>
      </c>
      <c r="O917" s="201">
        <f t="shared" si="4"/>
        <v>1</v>
      </c>
      <c r="P917" s="201">
        <v>2.0</v>
      </c>
      <c r="Q917" s="361">
        <v>46266.0</v>
      </c>
      <c r="R917" s="362">
        <v>1.0</v>
      </c>
      <c r="S917" s="362">
        <v>9.0</v>
      </c>
      <c r="T917" s="201">
        <v>2026.0</v>
      </c>
      <c r="U917" s="189" t="s">
        <v>36</v>
      </c>
      <c r="V917" s="201">
        <v>62.67</v>
      </c>
      <c r="W917" s="361">
        <v>46266.0</v>
      </c>
      <c r="X917" s="201">
        <v>1.0</v>
      </c>
      <c r="Y917" s="201">
        <v>9.0</v>
      </c>
      <c r="Z917" s="201">
        <v>2026.0</v>
      </c>
      <c r="AA917" s="189" t="s">
        <v>36</v>
      </c>
    </row>
    <row r="918" ht="15.75" hidden="1" customHeight="1">
      <c r="A918" s="189" t="s">
        <v>2640</v>
      </c>
      <c r="B918" s="201">
        <v>5.949623967E9</v>
      </c>
      <c r="C918" s="361">
        <v>46243.0</v>
      </c>
      <c r="D918" s="201">
        <v>9.0</v>
      </c>
      <c r="E918" s="201">
        <v>8.0</v>
      </c>
      <c r="F918" s="201">
        <v>2026.0</v>
      </c>
      <c r="G918" s="361">
        <v>46244.0</v>
      </c>
      <c r="H918" s="201">
        <v>10.0</v>
      </c>
      <c r="I918" s="201">
        <v>8.0</v>
      </c>
      <c r="J918" s="201">
        <v>2026.0</v>
      </c>
      <c r="K918" s="189" t="s">
        <v>36</v>
      </c>
      <c r="L918" s="189" t="s">
        <v>1177</v>
      </c>
      <c r="M918" s="201">
        <v>1.0</v>
      </c>
      <c r="N918" s="201">
        <v>1.0</v>
      </c>
      <c r="O918" s="201">
        <f t="shared" si="4"/>
        <v>1</v>
      </c>
      <c r="P918" s="201">
        <v>2.0</v>
      </c>
      <c r="Q918" s="361">
        <v>46266.0</v>
      </c>
      <c r="R918" s="362">
        <v>1.0</v>
      </c>
      <c r="S918" s="362">
        <v>9.0</v>
      </c>
      <c r="T918" s="201">
        <v>2026.0</v>
      </c>
      <c r="U918" s="189" t="s">
        <v>36</v>
      </c>
      <c r="V918" s="201">
        <v>62.67</v>
      </c>
      <c r="W918" s="361">
        <v>46266.0</v>
      </c>
      <c r="X918" s="201">
        <v>1.0</v>
      </c>
      <c r="Y918" s="201">
        <v>9.0</v>
      </c>
      <c r="Z918" s="201">
        <v>2026.0</v>
      </c>
      <c r="AA918" s="189" t="s">
        <v>36</v>
      </c>
    </row>
    <row r="919" ht="15.75" hidden="1" customHeight="1">
      <c r="A919" s="189" t="s">
        <v>2641</v>
      </c>
      <c r="B919" s="201">
        <v>5.881175048E9</v>
      </c>
      <c r="C919" s="361">
        <v>46239.0</v>
      </c>
      <c r="D919" s="201">
        <v>5.0</v>
      </c>
      <c r="E919" s="201">
        <v>8.0</v>
      </c>
      <c r="F919" s="201">
        <v>2026.0</v>
      </c>
      <c r="G919" s="361">
        <v>46242.0</v>
      </c>
      <c r="H919" s="201">
        <v>8.0</v>
      </c>
      <c r="I919" s="201">
        <v>8.0</v>
      </c>
      <c r="J919" s="201">
        <v>2026.0</v>
      </c>
      <c r="K919" s="189" t="s">
        <v>36</v>
      </c>
      <c r="L919" s="189" t="s">
        <v>1177</v>
      </c>
      <c r="M919" s="201">
        <v>1.0</v>
      </c>
      <c r="N919" s="201">
        <v>3.0</v>
      </c>
      <c r="O919" s="201">
        <f t="shared" si="4"/>
        <v>3</v>
      </c>
      <c r="P919" s="201">
        <v>6.0</v>
      </c>
      <c r="Q919" s="361">
        <v>46266.0</v>
      </c>
      <c r="R919" s="362">
        <v>1.0</v>
      </c>
      <c r="S919" s="362">
        <v>9.0</v>
      </c>
      <c r="T919" s="201">
        <v>2026.0</v>
      </c>
      <c r="U919" s="189" t="s">
        <v>36</v>
      </c>
      <c r="V919" s="201">
        <v>188.02</v>
      </c>
      <c r="W919" s="361">
        <v>46266.0</v>
      </c>
      <c r="X919" s="201">
        <v>1.0</v>
      </c>
      <c r="Y919" s="201">
        <v>9.0</v>
      </c>
      <c r="Z919" s="201">
        <v>2026.0</v>
      </c>
      <c r="AA919" s="189" t="s">
        <v>36</v>
      </c>
    </row>
    <row r="920" ht="15.75" hidden="1" customHeight="1">
      <c r="A920" s="189" t="s">
        <v>2642</v>
      </c>
      <c r="B920" s="201">
        <v>5.347625759E9</v>
      </c>
      <c r="C920" s="361">
        <v>46237.0</v>
      </c>
      <c r="D920" s="201">
        <v>3.0</v>
      </c>
      <c r="E920" s="201">
        <v>8.0</v>
      </c>
      <c r="F920" s="201">
        <v>2026.0</v>
      </c>
      <c r="G920" s="361">
        <v>46240.0</v>
      </c>
      <c r="H920" s="201">
        <v>6.0</v>
      </c>
      <c r="I920" s="201">
        <v>8.0</v>
      </c>
      <c r="J920" s="201">
        <v>2026.0</v>
      </c>
      <c r="K920" s="189" t="s">
        <v>36</v>
      </c>
      <c r="L920" s="189" t="s">
        <v>1177</v>
      </c>
      <c r="M920" s="201">
        <v>2.0</v>
      </c>
      <c r="N920" s="201">
        <v>3.0</v>
      </c>
      <c r="O920" s="201">
        <f t="shared" si="4"/>
        <v>6</v>
      </c>
      <c r="P920" s="201">
        <v>12.0</v>
      </c>
      <c r="Q920" s="361">
        <v>46266.0</v>
      </c>
      <c r="R920" s="362">
        <v>1.0</v>
      </c>
      <c r="S920" s="362">
        <v>9.0</v>
      </c>
      <c r="T920" s="201">
        <v>2026.0</v>
      </c>
      <c r="U920" s="189" t="s">
        <v>36</v>
      </c>
      <c r="V920" s="201">
        <v>376.04</v>
      </c>
      <c r="W920" s="361">
        <v>46266.0</v>
      </c>
      <c r="X920" s="201">
        <v>1.0</v>
      </c>
      <c r="Y920" s="201">
        <v>9.0</v>
      </c>
      <c r="Z920" s="201">
        <v>2026.0</v>
      </c>
      <c r="AA920" s="189" t="s">
        <v>36</v>
      </c>
    </row>
    <row r="921" ht="15.75" hidden="1" customHeight="1">
      <c r="A921" s="189" t="s">
        <v>2643</v>
      </c>
      <c r="B921" s="189" t="s">
        <v>2644</v>
      </c>
      <c r="C921" s="361">
        <v>46241.0</v>
      </c>
      <c r="D921" s="201">
        <v>7.0</v>
      </c>
      <c r="E921" s="201">
        <v>8.0</v>
      </c>
      <c r="F921" s="201">
        <v>2026.0</v>
      </c>
      <c r="G921" s="361">
        <v>46243.0</v>
      </c>
      <c r="H921" s="201">
        <v>9.0</v>
      </c>
      <c r="I921" s="201">
        <v>8.0</v>
      </c>
      <c r="J921" s="201">
        <v>2026.0</v>
      </c>
      <c r="K921" s="189" t="s">
        <v>51</v>
      </c>
      <c r="L921" s="189" t="s">
        <v>1177</v>
      </c>
      <c r="M921" s="201">
        <v>1.0</v>
      </c>
      <c r="N921" s="201">
        <v>2.0</v>
      </c>
      <c r="O921" s="201">
        <f t="shared" si="4"/>
        <v>2</v>
      </c>
      <c r="P921" s="201">
        <v>4.0</v>
      </c>
      <c r="Q921" s="361">
        <v>46265.0</v>
      </c>
      <c r="R921" s="362">
        <v>31.0</v>
      </c>
      <c r="S921" s="362">
        <v>8.0</v>
      </c>
      <c r="T921" s="201">
        <v>2026.0</v>
      </c>
      <c r="U921" s="189" t="s">
        <v>2</v>
      </c>
      <c r="V921" s="201">
        <v>126.74</v>
      </c>
      <c r="W921" s="361">
        <v>46265.0</v>
      </c>
      <c r="X921" s="201">
        <v>31.0</v>
      </c>
      <c r="Y921" s="201">
        <v>8.0</v>
      </c>
      <c r="Z921" s="201">
        <v>2026.0</v>
      </c>
      <c r="AA921" s="189" t="s">
        <v>2</v>
      </c>
    </row>
    <row r="922" ht="15.75" hidden="1" customHeight="1">
      <c r="A922" s="189" t="s">
        <v>2645</v>
      </c>
      <c r="B922" s="189" t="s">
        <v>2646</v>
      </c>
      <c r="C922" s="361">
        <v>46235.0</v>
      </c>
      <c r="D922" s="201">
        <v>1.0</v>
      </c>
      <c r="E922" s="201">
        <v>8.0</v>
      </c>
      <c r="F922" s="201">
        <v>2026.0</v>
      </c>
      <c r="G922" s="361">
        <v>46236.0</v>
      </c>
      <c r="H922" s="201">
        <v>2.0</v>
      </c>
      <c r="I922" s="201">
        <v>8.0</v>
      </c>
      <c r="J922" s="201">
        <v>2026.0</v>
      </c>
      <c r="K922" s="189" t="s">
        <v>51</v>
      </c>
      <c r="L922" s="189" t="s">
        <v>1177</v>
      </c>
      <c r="M922" s="201">
        <v>1.0</v>
      </c>
      <c r="N922" s="201">
        <v>1.0</v>
      </c>
      <c r="O922" s="201">
        <f t="shared" si="4"/>
        <v>1</v>
      </c>
      <c r="P922" s="201">
        <v>2.0</v>
      </c>
      <c r="Q922" s="361">
        <v>46265.0</v>
      </c>
      <c r="R922" s="362">
        <v>31.0</v>
      </c>
      <c r="S922" s="362">
        <v>8.0</v>
      </c>
      <c r="T922" s="201">
        <v>2026.0</v>
      </c>
      <c r="U922" s="189" t="s">
        <v>2</v>
      </c>
      <c r="V922" s="201">
        <v>63.37</v>
      </c>
      <c r="W922" s="361">
        <v>46265.0</v>
      </c>
      <c r="X922" s="201">
        <v>31.0</v>
      </c>
      <c r="Y922" s="201">
        <v>8.0</v>
      </c>
      <c r="Z922" s="201">
        <v>2026.0</v>
      </c>
      <c r="AA922" s="189" t="s">
        <v>2</v>
      </c>
    </row>
    <row r="923" ht="15.75" hidden="1" customHeight="1">
      <c r="A923" s="189" t="s">
        <v>2647</v>
      </c>
      <c r="B923" s="189" t="s">
        <v>2648</v>
      </c>
      <c r="C923" s="361">
        <v>46240.0</v>
      </c>
      <c r="D923" s="201">
        <v>6.0</v>
      </c>
      <c r="E923" s="201">
        <v>8.0</v>
      </c>
      <c r="F923" s="201">
        <v>2026.0</v>
      </c>
      <c r="G923" s="361">
        <v>46241.0</v>
      </c>
      <c r="H923" s="201">
        <v>7.0</v>
      </c>
      <c r="I923" s="201">
        <v>8.0</v>
      </c>
      <c r="J923" s="201">
        <v>2026.0</v>
      </c>
      <c r="K923" s="189" t="s">
        <v>51</v>
      </c>
      <c r="L923" s="189" t="s">
        <v>1177</v>
      </c>
      <c r="M923" s="201">
        <v>1.0</v>
      </c>
      <c r="N923" s="201">
        <v>1.0</v>
      </c>
      <c r="O923" s="201">
        <f t="shared" si="4"/>
        <v>1</v>
      </c>
      <c r="P923" s="201">
        <v>2.0</v>
      </c>
      <c r="Q923" s="361">
        <v>46265.0</v>
      </c>
      <c r="R923" s="362">
        <v>31.0</v>
      </c>
      <c r="S923" s="362">
        <v>8.0</v>
      </c>
      <c r="T923" s="201">
        <v>2026.0</v>
      </c>
      <c r="U923" s="189" t="s">
        <v>2</v>
      </c>
      <c r="V923" s="201">
        <v>63.37</v>
      </c>
      <c r="W923" s="361">
        <v>46265.0</v>
      </c>
      <c r="X923" s="201">
        <v>31.0</v>
      </c>
      <c r="Y923" s="201">
        <v>8.0</v>
      </c>
      <c r="Z923" s="201">
        <v>2026.0</v>
      </c>
      <c r="AA923" s="189" t="s">
        <v>2</v>
      </c>
    </row>
    <row r="924" ht="15.75" hidden="1" customHeight="1">
      <c r="A924" s="189" t="s">
        <v>2649</v>
      </c>
      <c r="B924" s="189" t="s">
        <v>2650</v>
      </c>
      <c r="C924" s="361">
        <v>46239.0</v>
      </c>
      <c r="D924" s="201">
        <v>5.0</v>
      </c>
      <c r="E924" s="201">
        <v>8.0</v>
      </c>
      <c r="F924" s="201">
        <v>2026.0</v>
      </c>
      <c r="G924" s="361">
        <v>46240.0</v>
      </c>
      <c r="H924" s="201">
        <v>6.0</v>
      </c>
      <c r="I924" s="201">
        <v>8.0</v>
      </c>
      <c r="J924" s="201">
        <v>2026.0</v>
      </c>
      <c r="K924" s="189" t="s">
        <v>51</v>
      </c>
      <c r="L924" s="189" t="s">
        <v>1177</v>
      </c>
      <c r="M924" s="201">
        <v>1.0</v>
      </c>
      <c r="N924" s="201">
        <v>1.0</v>
      </c>
      <c r="O924" s="201">
        <f t="shared" si="4"/>
        <v>1</v>
      </c>
      <c r="P924" s="201">
        <v>2.0</v>
      </c>
      <c r="Q924" s="361">
        <v>46265.0</v>
      </c>
      <c r="R924" s="362">
        <v>31.0</v>
      </c>
      <c r="S924" s="362">
        <v>8.0</v>
      </c>
      <c r="T924" s="201">
        <v>2026.0</v>
      </c>
      <c r="U924" s="189" t="s">
        <v>2</v>
      </c>
      <c r="V924" s="201">
        <v>63.37</v>
      </c>
      <c r="W924" s="361">
        <v>46265.0</v>
      </c>
      <c r="X924" s="201">
        <v>31.0</v>
      </c>
      <c r="Y924" s="201">
        <v>8.0</v>
      </c>
      <c r="Z924" s="201">
        <v>2026.0</v>
      </c>
      <c r="AA924" s="189" t="s">
        <v>2</v>
      </c>
    </row>
    <row r="925" ht="15.75" hidden="1" customHeight="1">
      <c r="A925" s="189" t="s">
        <v>2651</v>
      </c>
      <c r="B925" s="189" t="s">
        <v>2652</v>
      </c>
      <c r="C925" s="361">
        <v>46239.0</v>
      </c>
      <c r="D925" s="201">
        <v>5.0</v>
      </c>
      <c r="E925" s="201">
        <v>8.0</v>
      </c>
      <c r="F925" s="201">
        <v>2026.0</v>
      </c>
      <c r="G925" s="361">
        <v>46242.0</v>
      </c>
      <c r="H925" s="201">
        <v>8.0</v>
      </c>
      <c r="I925" s="201">
        <v>8.0</v>
      </c>
      <c r="J925" s="201">
        <v>2026.0</v>
      </c>
      <c r="K925" s="189" t="s">
        <v>46</v>
      </c>
      <c r="L925" s="189" t="s">
        <v>1177</v>
      </c>
      <c r="M925" s="201">
        <v>2.0</v>
      </c>
      <c r="N925" s="201">
        <v>3.0</v>
      </c>
      <c r="O925" s="201">
        <f t="shared" si="4"/>
        <v>6</v>
      </c>
      <c r="P925" s="201">
        <v>12.0</v>
      </c>
      <c r="Q925" s="361">
        <v>46239.75634259259</v>
      </c>
      <c r="R925" s="362">
        <v>5.0</v>
      </c>
      <c r="S925" s="362">
        <v>8.0</v>
      </c>
      <c r="T925" s="201">
        <v>2026.0</v>
      </c>
      <c r="U925" s="357" t="s">
        <v>262</v>
      </c>
      <c r="V925" s="201">
        <v>365.5</v>
      </c>
      <c r="W925" s="361">
        <v>46239.75634259259</v>
      </c>
      <c r="X925" s="201">
        <v>5.0</v>
      </c>
      <c r="Y925" s="201">
        <v>8.0</v>
      </c>
      <c r="Z925" s="201">
        <v>2026.0</v>
      </c>
      <c r="AA925" s="357" t="s">
        <v>262</v>
      </c>
    </row>
    <row r="926" ht="15.75" hidden="1" customHeight="1">
      <c r="A926" s="189" t="s">
        <v>2653</v>
      </c>
      <c r="B926" s="189" t="s">
        <v>2654</v>
      </c>
      <c r="C926" s="361">
        <v>46245.0</v>
      </c>
      <c r="D926" s="201">
        <v>11.0</v>
      </c>
      <c r="E926" s="201">
        <v>8.0</v>
      </c>
      <c r="F926" s="201">
        <v>2026.0</v>
      </c>
      <c r="G926" s="361">
        <v>46247.0</v>
      </c>
      <c r="H926" s="201">
        <v>13.0</v>
      </c>
      <c r="I926" s="201">
        <v>8.0</v>
      </c>
      <c r="J926" s="201">
        <v>2026.0</v>
      </c>
      <c r="K926" s="189" t="s">
        <v>46</v>
      </c>
      <c r="L926" s="189" t="s">
        <v>1177</v>
      </c>
      <c r="M926" s="201">
        <v>1.0</v>
      </c>
      <c r="N926" s="201">
        <v>2.0</v>
      </c>
      <c r="O926" s="201">
        <f t="shared" si="4"/>
        <v>2</v>
      </c>
      <c r="P926" s="201">
        <v>4.0</v>
      </c>
      <c r="Q926" s="361">
        <v>46245.74517361111</v>
      </c>
      <c r="R926" s="362">
        <v>11.0</v>
      </c>
      <c r="S926" s="362">
        <v>8.0</v>
      </c>
      <c r="T926" s="201">
        <v>2026.0</v>
      </c>
      <c r="U926" s="189" t="s">
        <v>245</v>
      </c>
      <c r="V926" s="201">
        <v>127.5</v>
      </c>
      <c r="W926" s="361">
        <v>46245.74517361111</v>
      </c>
      <c r="X926" s="201">
        <v>11.0</v>
      </c>
      <c r="Y926" s="201">
        <v>8.0</v>
      </c>
      <c r="Z926" s="201">
        <v>2026.0</v>
      </c>
      <c r="AA926" s="189" t="s">
        <v>245</v>
      </c>
    </row>
    <row r="927" ht="15.75" hidden="1" customHeight="1">
      <c r="A927" s="189" t="s">
        <v>2655</v>
      </c>
      <c r="B927" s="201">
        <v>6.000013372E9</v>
      </c>
      <c r="C927" s="361">
        <v>46246.0</v>
      </c>
      <c r="D927" s="201">
        <v>12.0</v>
      </c>
      <c r="E927" s="201">
        <v>8.0</v>
      </c>
      <c r="F927" s="201">
        <v>2026.0</v>
      </c>
      <c r="G927" s="361">
        <v>46247.0</v>
      </c>
      <c r="H927" s="201">
        <v>13.0</v>
      </c>
      <c r="I927" s="201">
        <v>8.0</v>
      </c>
      <c r="J927" s="201">
        <v>2026.0</v>
      </c>
      <c r="K927" s="189" t="s">
        <v>36</v>
      </c>
      <c r="L927" s="189" t="s">
        <v>1177</v>
      </c>
      <c r="M927" s="201">
        <v>1.0</v>
      </c>
      <c r="N927" s="201">
        <v>1.0</v>
      </c>
      <c r="O927" s="201">
        <f t="shared" si="4"/>
        <v>1</v>
      </c>
      <c r="P927" s="201">
        <v>2.0</v>
      </c>
      <c r="Q927" s="361">
        <v>46266.0</v>
      </c>
      <c r="R927" s="362">
        <v>1.0</v>
      </c>
      <c r="S927" s="362">
        <v>9.0</v>
      </c>
      <c r="T927" s="201">
        <v>2026.0</v>
      </c>
      <c r="U927" s="189" t="s">
        <v>36</v>
      </c>
      <c r="V927" s="201">
        <v>125.14</v>
      </c>
      <c r="W927" s="361">
        <v>46266.0</v>
      </c>
      <c r="X927" s="201">
        <v>1.0</v>
      </c>
      <c r="Y927" s="201">
        <v>9.0</v>
      </c>
      <c r="Z927" s="201">
        <v>2026.0</v>
      </c>
      <c r="AA927" s="189" t="s">
        <v>36</v>
      </c>
    </row>
    <row r="928" ht="15.75" hidden="1" customHeight="1">
      <c r="A928" s="189" t="s">
        <v>1798</v>
      </c>
      <c r="B928" s="201">
        <v>5.351243123E9</v>
      </c>
      <c r="C928" s="361">
        <v>46233.0</v>
      </c>
      <c r="D928" s="201">
        <v>30.0</v>
      </c>
      <c r="E928" s="201">
        <v>7.0</v>
      </c>
      <c r="F928" s="201">
        <v>2026.0</v>
      </c>
      <c r="G928" s="361">
        <v>46235.0</v>
      </c>
      <c r="H928" s="201">
        <v>1.0</v>
      </c>
      <c r="I928" s="201">
        <v>8.0</v>
      </c>
      <c r="J928" s="201">
        <v>2026.0</v>
      </c>
      <c r="K928" s="189" t="s">
        <v>36</v>
      </c>
      <c r="L928" s="189" t="s">
        <v>1177</v>
      </c>
      <c r="M928" s="201">
        <v>1.0</v>
      </c>
      <c r="N928" s="201">
        <v>2.0</v>
      </c>
      <c r="O928" s="201">
        <f t="shared" si="4"/>
        <v>2</v>
      </c>
      <c r="P928" s="201">
        <v>4.0</v>
      </c>
      <c r="Q928" s="361">
        <v>46266.0</v>
      </c>
      <c r="R928" s="362">
        <v>1.0</v>
      </c>
      <c r="S928" s="362">
        <v>9.0</v>
      </c>
      <c r="T928" s="201">
        <v>2026.0</v>
      </c>
      <c r="U928" s="189" t="s">
        <v>36</v>
      </c>
      <c r="V928" s="201">
        <v>82.71</v>
      </c>
      <c r="W928" s="361">
        <v>46266.0</v>
      </c>
      <c r="X928" s="201">
        <v>1.0</v>
      </c>
      <c r="Y928" s="201">
        <v>9.0</v>
      </c>
      <c r="Z928" s="201">
        <v>2026.0</v>
      </c>
      <c r="AA928" s="189" t="s">
        <v>36</v>
      </c>
    </row>
    <row r="929" ht="15.75" hidden="1" customHeight="1">
      <c r="A929" s="189" t="s">
        <v>2656</v>
      </c>
      <c r="B929" s="201">
        <v>6.131673873E9</v>
      </c>
      <c r="C929" s="361">
        <v>46234.0</v>
      </c>
      <c r="D929" s="201">
        <v>31.0</v>
      </c>
      <c r="E929" s="201">
        <v>7.0</v>
      </c>
      <c r="F929" s="201">
        <v>2026.0</v>
      </c>
      <c r="G929" s="361">
        <v>46236.0</v>
      </c>
      <c r="H929" s="201">
        <v>2.0</v>
      </c>
      <c r="I929" s="201">
        <v>8.0</v>
      </c>
      <c r="J929" s="201">
        <v>2026.0</v>
      </c>
      <c r="K929" s="189" t="s">
        <v>36</v>
      </c>
      <c r="L929" s="189" t="s">
        <v>1177</v>
      </c>
      <c r="M929" s="201">
        <v>1.0</v>
      </c>
      <c r="N929" s="201">
        <v>2.0</v>
      </c>
      <c r="O929" s="201">
        <f t="shared" si="4"/>
        <v>2</v>
      </c>
      <c r="P929" s="201">
        <v>4.0</v>
      </c>
      <c r="Q929" s="361">
        <v>46266.0</v>
      </c>
      <c r="R929" s="362">
        <v>1.0</v>
      </c>
      <c r="S929" s="362">
        <v>9.0</v>
      </c>
      <c r="T929" s="201">
        <v>2026.0</v>
      </c>
      <c r="U929" s="189" t="s">
        <v>36</v>
      </c>
      <c r="V929" s="201">
        <v>75.18</v>
      </c>
      <c r="W929" s="361">
        <v>46266.0</v>
      </c>
      <c r="X929" s="201">
        <v>1.0</v>
      </c>
      <c r="Y929" s="201">
        <v>9.0</v>
      </c>
      <c r="Z929" s="201">
        <v>2026.0</v>
      </c>
      <c r="AA929" s="189" t="s">
        <v>36</v>
      </c>
    </row>
    <row r="930" ht="15.75" hidden="1" customHeight="1">
      <c r="A930" s="189" t="s">
        <v>2657</v>
      </c>
      <c r="B930" s="201">
        <v>5.841794075E9</v>
      </c>
      <c r="C930" s="361">
        <v>46234.0</v>
      </c>
      <c r="D930" s="201">
        <v>31.0</v>
      </c>
      <c r="E930" s="201">
        <v>7.0</v>
      </c>
      <c r="F930" s="201">
        <v>2026.0</v>
      </c>
      <c r="G930" s="361">
        <v>46235.0</v>
      </c>
      <c r="H930" s="201">
        <v>1.0</v>
      </c>
      <c r="I930" s="201">
        <v>8.0</v>
      </c>
      <c r="J930" s="201">
        <v>2026.0</v>
      </c>
      <c r="K930" s="189" t="s">
        <v>36</v>
      </c>
      <c r="L930" s="189" t="s">
        <v>1177</v>
      </c>
      <c r="M930" s="201">
        <v>1.0</v>
      </c>
      <c r="N930" s="201">
        <v>1.0</v>
      </c>
      <c r="O930" s="201">
        <f t="shared" si="4"/>
        <v>1</v>
      </c>
      <c r="P930" s="201">
        <v>2.0</v>
      </c>
      <c r="Q930" s="361">
        <v>46266.0</v>
      </c>
      <c r="R930" s="362">
        <v>1.0</v>
      </c>
      <c r="S930" s="362">
        <v>9.0</v>
      </c>
      <c r="T930" s="201">
        <v>2026.0</v>
      </c>
      <c r="U930" s="189" t="s">
        <v>36</v>
      </c>
      <c r="V930" s="201">
        <v>29.23</v>
      </c>
      <c r="W930" s="361">
        <v>46266.0</v>
      </c>
      <c r="X930" s="201">
        <v>1.0</v>
      </c>
      <c r="Y930" s="201">
        <v>9.0</v>
      </c>
      <c r="Z930" s="201">
        <v>2026.0</v>
      </c>
      <c r="AA930" s="189" t="s">
        <v>36</v>
      </c>
    </row>
    <row r="931" ht="15.75" hidden="1" customHeight="1">
      <c r="A931" s="189" t="s">
        <v>2658</v>
      </c>
      <c r="B931" s="201">
        <v>6.828743781E9</v>
      </c>
      <c r="C931" s="361">
        <v>46231.0</v>
      </c>
      <c r="D931" s="201">
        <v>28.0</v>
      </c>
      <c r="E931" s="201">
        <v>7.0</v>
      </c>
      <c r="F931" s="201">
        <v>2026.0</v>
      </c>
      <c r="G931" s="361">
        <v>46239.0</v>
      </c>
      <c r="H931" s="201">
        <v>5.0</v>
      </c>
      <c r="I931" s="201">
        <v>8.0</v>
      </c>
      <c r="J931" s="201">
        <v>2026.0</v>
      </c>
      <c r="K931" s="189" t="s">
        <v>36</v>
      </c>
      <c r="L931" s="189" t="s">
        <v>1177</v>
      </c>
      <c r="M931" s="201">
        <v>1.0</v>
      </c>
      <c r="N931" s="201">
        <v>8.0</v>
      </c>
      <c r="O931" s="201">
        <f t="shared" si="4"/>
        <v>8</v>
      </c>
      <c r="P931" s="201">
        <v>14.0</v>
      </c>
      <c r="Q931" s="361">
        <v>46266.0</v>
      </c>
      <c r="R931" s="362">
        <v>1.0</v>
      </c>
      <c r="S931" s="362">
        <v>9.0</v>
      </c>
      <c r="T931" s="201">
        <v>2026.0</v>
      </c>
      <c r="U931" s="189" t="s">
        <v>36</v>
      </c>
      <c r="V931" s="201">
        <v>275.68</v>
      </c>
      <c r="W931" s="361">
        <v>46266.0</v>
      </c>
      <c r="X931" s="201">
        <v>1.0</v>
      </c>
      <c r="Y931" s="201">
        <v>9.0</v>
      </c>
      <c r="Z931" s="201">
        <v>2026.0</v>
      </c>
      <c r="AA931" s="189" t="s">
        <v>36</v>
      </c>
    </row>
    <row r="932" ht="15.75" hidden="1" customHeight="1">
      <c r="A932" s="189" t="s">
        <v>2659</v>
      </c>
      <c r="B932" s="201">
        <v>6.06040084E9</v>
      </c>
      <c r="C932" s="361">
        <v>46233.0</v>
      </c>
      <c r="D932" s="201">
        <v>30.0</v>
      </c>
      <c r="E932" s="201">
        <v>7.0</v>
      </c>
      <c r="F932" s="201">
        <v>2026.0</v>
      </c>
      <c r="G932" s="361">
        <v>46239.0</v>
      </c>
      <c r="H932" s="201">
        <v>5.0</v>
      </c>
      <c r="I932" s="201">
        <v>8.0</v>
      </c>
      <c r="J932" s="201">
        <v>2026.0</v>
      </c>
      <c r="K932" s="189" t="s">
        <v>36</v>
      </c>
      <c r="L932" s="189" t="s">
        <v>1177</v>
      </c>
      <c r="M932" s="201">
        <v>1.0</v>
      </c>
      <c r="N932" s="201">
        <v>6.0</v>
      </c>
      <c r="O932" s="201">
        <f t="shared" si="4"/>
        <v>6</v>
      </c>
      <c r="P932" s="201">
        <v>12.0</v>
      </c>
      <c r="Q932" s="361">
        <v>46266.0</v>
      </c>
      <c r="R932" s="362">
        <v>1.0</v>
      </c>
      <c r="S932" s="362">
        <v>9.0</v>
      </c>
      <c r="T932" s="201">
        <v>2026.0</v>
      </c>
      <c r="U932" s="189" t="s">
        <v>36</v>
      </c>
      <c r="V932" s="201">
        <v>217.19</v>
      </c>
      <c r="W932" s="361">
        <v>46266.0</v>
      </c>
      <c r="X932" s="201">
        <v>1.0</v>
      </c>
      <c r="Y932" s="201">
        <v>9.0</v>
      </c>
      <c r="Z932" s="201">
        <v>2026.0</v>
      </c>
      <c r="AA932" s="189" t="s">
        <v>36</v>
      </c>
    </row>
    <row r="933" ht="15.75" hidden="1" customHeight="1">
      <c r="A933" s="189" t="s">
        <v>2660</v>
      </c>
      <c r="B933" s="201">
        <v>5.111734597E9</v>
      </c>
      <c r="C933" s="361">
        <v>46233.0</v>
      </c>
      <c r="D933" s="201">
        <v>30.0</v>
      </c>
      <c r="E933" s="201">
        <v>7.0</v>
      </c>
      <c r="F933" s="201">
        <v>2026.0</v>
      </c>
      <c r="G933" s="361">
        <v>46237.0</v>
      </c>
      <c r="H933" s="201">
        <v>3.0</v>
      </c>
      <c r="I933" s="201">
        <v>8.0</v>
      </c>
      <c r="J933" s="201">
        <v>2026.0</v>
      </c>
      <c r="K933" s="189" t="s">
        <v>36</v>
      </c>
      <c r="L933" s="189" t="s">
        <v>1177</v>
      </c>
      <c r="M933" s="201">
        <v>1.0</v>
      </c>
      <c r="N933" s="201">
        <v>4.0</v>
      </c>
      <c r="O933" s="201">
        <f t="shared" si="4"/>
        <v>4</v>
      </c>
      <c r="P933" s="201">
        <v>8.0</v>
      </c>
      <c r="Q933" s="361">
        <v>46266.0</v>
      </c>
      <c r="R933" s="362">
        <v>1.0</v>
      </c>
      <c r="S933" s="362">
        <v>9.0</v>
      </c>
      <c r="T933" s="201">
        <v>2026.0</v>
      </c>
      <c r="U933" s="189" t="s">
        <v>36</v>
      </c>
      <c r="V933" s="201">
        <v>147.86</v>
      </c>
      <c r="W933" s="361">
        <v>46266.0</v>
      </c>
      <c r="X933" s="201">
        <v>1.0</v>
      </c>
      <c r="Y933" s="201">
        <v>9.0</v>
      </c>
      <c r="Z933" s="201">
        <v>2026.0</v>
      </c>
      <c r="AA933" s="189" t="s">
        <v>36</v>
      </c>
    </row>
    <row r="934" ht="15.75" hidden="1" customHeight="1">
      <c r="A934" s="189" t="s">
        <v>2661</v>
      </c>
      <c r="B934" s="201">
        <v>6.987437593E9</v>
      </c>
      <c r="C934" s="361">
        <v>46233.0</v>
      </c>
      <c r="D934" s="201">
        <v>30.0</v>
      </c>
      <c r="E934" s="201">
        <v>7.0</v>
      </c>
      <c r="F934" s="201">
        <v>2026.0</v>
      </c>
      <c r="G934" s="361">
        <v>46236.0</v>
      </c>
      <c r="H934" s="201">
        <v>2.0</v>
      </c>
      <c r="I934" s="201">
        <v>8.0</v>
      </c>
      <c r="J934" s="201">
        <v>2026.0</v>
      </c>
      <c r="K934" s="189" t="s">
        <v>36</v>
      </c>
      <c r="L934" s="189" t="s">
        <v>1177</v>
      </c>
      <c r="M934" s="201">
        <v>1.0</v>
      </c>
      <c r="N934" s="201">
        <v>3.0</v>
      </c>
      <c r="O934" s="201">
        <f t="shared" si="4"/>
        <v>3</v>
      </c>
      <c r="P934" s="201">
        <v>6.0</v>
      </c>
      <c r="Q934" s="361">
        <v>46266.0</v>
      </c>
      <c r="R934" s="362">
        <v>1.0</v>
      </c>
      <c r="S934" s="362">
        <v>9.0</v>
      </c>
      <c r="T934" s="201">
        <v>2026.0</v>
      </c>
      <c r="U934" s="189" t="s">
        <v>36</v>
      </c>
      <c r="V934" s="201">
        <v>121.14</v>
      </c>
      <c r="W934" s="361">
        <v>46266.0</v>
      </c>
      <c r="X934" s="201">
        <v>1.0</v>
      </c>
      <c r="Y934" s="201">
        <v>9.0</v>
      </c>
      <c r="Z934" s="201">
        <v>2026.0</v>
      </c>
      <c r="AA934" s="189" t="s">
        <v>36</v>
      </c>
    </row>
    <row r="935" ht="15.75" hidden="1" customHeight="1">
      <c r="A935" s="189" t="s">
        <v>2662</v>
      </c>
      <c r="B935" s="201">
        <v>6.422585247E9</v>
      </c>
      <c r="C935" s="361">
        <v>46233.0</v>
      </c>
      <c r="D935" s="201">
        <v>30.0</v>
      </c>
      <c r="E935" s="201">
        <v>7.0</v>
      </c>
      <c r="F935" s="201">
        <v>2026.0</v>
      </c>
      <c r="G935" s="361">
        <v>46236.0</v>
      </c>
      <c r="H935" s="201">
        <v>2.0</v>
      </c>
      <c r="I935" s="201">
        <v>8.0</v>
      </c>
      <c r="J935" s="201">
        <v>2026.0</v>
      </c>
      <c r="K935" s="189" t="s">
        <v>36</v>
      </c>
      <c r="L935" s="189" t="s">
        <v>1177</v>
      </c>
      <c r="M935" s="201">
        <v>1.0</v>
      </c>
      <c r="N935" s="201">
        <v>3.0</v>
      </c>
      <c r="O935" s="201">
        <f t="shared" si="4"/>
        <v>3</v>
      </c>
      <c r="P935" s="201">
        <v>6.0</v>
      </c>
      <c r="Q935" s="361">
        <v>46266.0</v>
      </c>
      <c r="R935" s="362">
        <v>1.0</v>
      </c>
      <c r="S935" s="362">
        <v>9.0</v>
      </c>
      <c r="T935" s="201">
        <v>2026.0</v>
      </c>
      <c r="U935" s="189" t="s">
        <v>36</v>
      </c>
      <c r="V935" s="201">
        <v>96.06</v>
      </c>
      <c r="W935" s="361">
        <v>46266.0</v>
      </c>
      <c r="X935" s="201">
        <v>1.0</v>
      </c>
      <c r="Y935" s="201">
        <v>9.0</v>
      </c>
      <c r="Z935" s="201">
        <v>2026.0</v>
      </c>
      <c r="AA935" s="189" t="s">
        <v>36</v>
      </c>
    </row>
    <row r="936" ht="15.75" hidden="1" customHeight="1">
      <c r="A936" s="189" t="s">
        <v>2663</v>
      </c>
      <c r="B936" s="189" t="s">
        <v>2664</v>
      </c>
      <c r="C936" s="361">
        <v>46245.0</v>
      </c>
      <c r="D936" s="201">
        <v>11.0</v>
      </c>
      <c r="E936" s="201">
        <v>8.0</v>
      </c>
      <c r="F936" s="201">
        <v>2026.0</v>
      </c>
      <c r="G936" s="361">
        <v>46246.0</v>
      </c>
      <c r="H936" s="201">
        <v>12.0</v>
      </c>
      <c r="I936" s="201">
        <v>8.0</v>
      </c>
      <c r="J936" s="201">
        <v>2026.0</v>
      </c>
      <c r="K936" s="189" t="s">
        <v>51</v>
      </c>
      <c r="L936" s="189" t="s">
        <v>2358</v>
      </c>
      <c r="M936" s="201">
        <v>0.0</v>
      </c>
      <c r="N936" s="201">
        <v>0.0</v>
      </c>
      <c r="O936" s="201">
        <f t="shared" si="4"/>
        <v>0</v>
      </c>
      <c r="P936" s="201">
        <v>0.0</v>
      </c>
      <c r="Q936" s="361">
        <v>46265.0</v>
      </c>
      <c r="R936" s="362">
        <v>31.0</v>
      </c>
      <c r="S936" s="362">
        <v>8.0</v>
      </c>
      <c r="T936" s="201">
        <v>2026.0</v>
      </c>
      <c r="U936" s="189" t="s">
        <v>2</v>
      </c>
      <c r="V936" s="201">
        <v>0.0</v>
      </c>
      <c r="W936" s="361">
        <v>46265.0</v>
      </c>
      <c r="X936" s="201">
        <v>31.0</v>
      </c>
      <c r="Y936" s="201">
        <v>8.0</v>
      </c>
      <c r="Z936" s="201">
        <v>2026.0</v>
      </c>
      <c r="AA936" s="189" t="s">
        <v>2</v>
      </c>
    </row>
    <row r="937" ht="15.75" hidden="1" customHeight="1">
      <c r="A937" s="189" t="s">
        <v>2665</v>
      </c>
      <c r="B937" s="189" t="s">
        <v>2666</v>
      </c>
      <c r="C937" s="361">
        <v>46263.0</v>
      </c>
      <c r="D937" s="201">
        <v>29.0</v>
      </c>
      <c r="E937" s="201">
        <v>8.0</v>
      </c>
      <c r="F937" s="201">
        <v>2026.0</v>
      </c>
      <c r="G937" s="361">
        <v>46265.0</v>
      </c>
      <c r="H937" s="201">
        <v>31.0</v>
      </c>
      <c r="I937" s="201">
        <v>8.0</v>
      </c>
      <c r="J937" s="201">
        <v>2026.0</v>
      </c>
      <c r="K937" s="189" t="s">
        <v>46</v>
      </c>
      <c r="L937" s="189" t="s">
        <v>1177</v>
      </c>
      <c r="M937" s="201">
        <v>1.0</v>
      </c>
      <c r="N937" s="201">
        <v>2.0</v>
      </c>
      <c r="O937" s="201">
        <f t="shared" si="4"/>
        <v>2</v>
      </c>
      <c r="P937" s="201">
        <v>4.0</v>
      </c>
      <c r="Q937" s="361">
        <v>46263.87070601852</v>
      </c>
      <c r="R937" s="362">
        <v>29.0</v>
      </c>
      <c r="S937" s="362">
        <v>8.0</v>
      </c>
      <c r="T937" s="201">
        <v>2026.0</v>
      </c>
      <c r="U937" s="189" t="s">
        <v>245</v>
      </c>
      <c r="V937" s="201">
        <v>127.5</v>
      </c>
      <c r="W937" s="361">
        <v>46263.87070601852</v>
      </c>
      <c r="X937" s="201">
        <v>29.0</v>
      </c>
      <c r="Y937" s="201">
        <v>8.0</v>
      </c>
      <c r="Z937" s="201">
        <v>2026.0</v>
      </c>
      <c r="AA937" s="189" t="s">
        <v>245</v>
      </c>
    </row>
    <row r="938" ht="15.75" hidden="1" customHeight="1">
      <c r="A938" s="209" t="s">
        <v>2667</v>
      </c>
      <c r="B938" s="208">
        <v>6.520156734E9</v>
      </c>
      <c r="C938" s="429">
        <v>46277.0</v>
      </c>
      <c r="D938" s="208">
        <v>12.0</v>
      </c>
      <c r="E938" s="208">
        <v>9.0</v>
      </c>
      <c r="F938" s="208">
        <v>2026.0</v>
      </c>
      <c r="G938" s="429">
        <v>46278.0</v>
      </c>
      <c r="H938" s="208">
        <v>13.0</v>
      </c>
      <c r="I938" s="208">
        <v>9.0</v>
      </c>
      <c r="J938" s="208">
        <v>2026.0</v>
      </c>
      <c r="K938" s="209" t="s">
        <v>36</v>
      </c>
      <c r="L938" s="209" t="s">
        <v>1177</v>
      </c>
      <c r="M938" s="208">
        <v>1.0</v>
      </c>
      <c r="N938" s="208">
        <v>1.0</v>
      </c>
      <c r="O938" s="201">
        <f t="shared" si="4"/>
        <v>1</v>
      </c>
      <c r="P938" s="208">
        <v>0.0</v>
      </c>
      <c r="Q938" s="429">
        <v>46296.0</v>
      </c>
      <c r="R938" s="430">
        <v>1.0</v>
      </c>
      <c r="S938" s="430">
        <v>10.0</v>
      </c>
      <c r="T938" s="208">
        <v>2026.0</v>
      </c>
      <c r="U938" s="209" t="s">
        <v>36</v>
      </c>
      <c r="V938" s="209">
        <v>31.23</v>
      </c>
      <c r="W938" s="429">
        <v>46296.0</v>
      </c>
      <c r="X938" s="208">
        <v>1.0</v>
      </c>
      <c r="Y938" s="208">
        <v>10.0</v>
      </c>
      <c r="Z938" s="208">
        <v>2026.0</v>
      </c>
      <c r="AA938" s="209" t="s">
        <v>36</v>
      </c>
    </row>
    <row r="939" ht="15.75" hidden="1" customHeight="1">
      <c r="A939" s="209" t="s">
        <v>2668</v>
      </c>
      <c r="B939" s="209" t="s">
        <v>2669</v>
      </c>
      <c r="C939" s="429">
        <v>46273.0</v>
      </c>
      <c r="D939" s="208">
        <v>8.0</v>
      </c>
      <c r="E939" s="208">
        <v>9.0</v>
      </c>
      <c r="F939" s="208">
        <v>2026.0</v>
      </c>
      <c r="G939" s="429">
        <v>46274.0</v>
      </c>
      <c r="H939" s="208">
        <v>9.0</v>
      </c>
      <c r="I939" s="208">
        <v>9.0</v>
      </c>
      <c r="J939" s="208">
        <v>2026.0</v>
      </c>
      <c r="K939" s="209" t="s">
        <v>46</v>
      </c>
      <c r="L939" s="209" t="s">
        <v>1439</v>
      </c>
      <c r="M939" s="208">
        <v>1.0</v>
      </c>
      <c r="N939" s="208">
        <v>1.0</v>
      </c>
      <c r="O939" s="201">
        <f t="shared" si="4"/>
        <v>1</v>
      </c>
      <c r="P939" s="208">
        <v>0.0</v>
      </c>
      <c r="Q939" s="431"/>
      <c r="R939" s="432"/>
      <c r="S939" s="432"/>
      <c r="T939" s="431"/>
      <c r="U939" s="209">
        <v>0.0</v>
      </c>
      <c r="V939" s="208">
        <v>0.0</v>
      </c>
      <c r="W939" s="431"/>
      <c r="X939" s="431"/>
      <c r="Y939" s="431"/>
      <c r="Z939" s="431"/>
      <c r="AA939" s="209">
        <v>0.0</v>
      </c>
    </row>
    <row r="940" ht="15.75" hidden="1" customHeight="1">
      <c r="A940" s="209" t="s">
        <v>2670</v>
      </c>
      <c r="B940" s="208">
        <v>6.425155485E9</v>
      </c>
      <c r="C940" s="429">
        <v>46289.0</v>
      </c>
      <c r="D940" s="208">
        <v>24.0</v>
      </c>
      <c r="E940" s="208">
        <v>9.0</v>
      </c>
      <c r="F940" s="208">
        <v>2026.0</v>
      </c>
      <c r="G940" s="429">
        <v>46292.0</v>
      </c>
      <c r="H940" s="208">
        <v>27.0</v>
      </c>
      <c r="I940" s="208">
        <v>9.0</v>
      </c>
      <c r="J940" s="208">
        <v>2026.0</v>
      </c>
      <c r="K940" s="209" t="s">
        <v>36</v>
      </c>
      <c r="L940" s="209" t="s">
        <v>1177</v>
      </c>
      <c r="M940" s="208">
        <v>1.0</v>
      </c>
      <c r="N940" s="208">
        <v>3.0</v>
      </c>
      <c r="O940" s="201">
        <f t="shared" si="4"/>
        <v>3</v>
      </c>
      <c r="P940" s="208">
        <v>0.0</v>
      </c>
      <c r="Q940" s="429">
        <v>46296.0</v>
      </c>
      <c r="R940" s="430">
        <v>1.0</v>
      </c>
      <c r="S940" s="430">
        <v>10.0</v>
      </c>
      <c r="T940" s="208">
        <v>2026.0</v>
      </c>
      <c r="U940" s="209" t="s">
        <v>36</v>
      </c>
      <c r="V940" s="209">
        <v>93.7</v>
      </c>
      <c r="W940" s="429">
        <v>46296.0</v>
      </c>
      <c r="X940" s="208">
        <v>1.0</v>
      </c>
      <c r="Y940" s="208">
        <v>10.0</v>
      </c>
      <c r="Z940" s="208">
        <v>2026.0</v>
      </c>
      <c r="AA940" s="209" t="s">
        <v>36</v>
      </c>
    </row>
    <row r="941" ht="15.75" hidden="1" customHeight="1">
      <c r="A941" s="209" t="s">
        <v>2671</v>
      </c>
      <c r="B941" s="208">
        <v>6.890697803E9</v>
      </c>
      <c r="C941" s="429">
        <v>46281.0</v>
      </c>
      <c r="D941" s="208">
        <v>16.0</v>
      </c>
      <c r="E941" s="208">
        <v>9.0</v>
      </c>
      <c r="F941" s="208">
        <v>2026.0</v>
      </c>
      <c r="G941" s="429">
        <v>46283.0</v>
      </c>
      <c r="H941" s="208">
        <v>18.0</v>
      </c>
      <c r="I941" s="208">
        <v>9.0</v>
      </c>
      <c r="J941" s="208">
        <v>2026.0</v>
      </c>
      <c r="K941" s="209" t="s">
        <v>36</v>
      </c>
      <c r="L941" s="209" t="s">
        <v>1177</v>
      </c>
      <c r="M941" s="208">
        <v>1.0</v>
      </c>
      <c r="N941" s="208">
        <v>2.0</v>
      </c>
      <c r="O941" s="201">
        <f t="shared" si="4"/>
        <v>2</v>
      </c>
      <c r="P941" s="208">
        <v>0.0</v>
      </c>
      <c r="Q941" s="429">
        <v>46296.0</v>
      </c>
      <c r="R941" s="430">
        <v>1.0</v>
      </c>
      <c r="S941" s="430">
        <v>10.0</v>
      </c>
      <c r="T941" s="208">
        <v>2026.0</v>
      </c>
      <c r="U941" s="209" t="s">
        <v>36</v>
      </c>
      <c r="V941" s="209">
        <v>62.46</v>
      </c>
      <c r="W941" s="429">
        <v>46296.0</v>
      </c>
      <c r="X941" s="208">
        <v>1.0</v>
      </c>
      <c r="Y941" s="208">
        <v>10.0</v>
      </c>
      <c r="Z941" s="208">
        <v>2026.0</v>
      </c>
      <c r="AA941" s="209" t="s">
        <v>36</v>
      </c>
    </row>
    <row r="942" ht="15.75" hidden="1" customHeight="1">
      <c r="A942" s="209" t="s">
        <v>2672</v>
      </c>
      <c r="B942" s="209" t="s">
        <v>2673</v>
      </c>
      <c r="C942" s="429">
        <v>46267.0</v>
      </c>
      <c r="D942" s="208">
        <v>2.0</v>
      </c>
      <c r="E942" s="208">
        <v>9.0</v>
      </c>
      <c r="F942" s="208">
        <v>2026.0</v>
      </c>
      <c r="G942" s="429">
        <v>46268.0</v>
      </c>
      <c r="H942" s="208">
        <v>3.0</v>
      </c>
      <c r="I942" s="208">
        <v>9.0</v>
      </c>
      <c r="J942" s="208">
        <v>2026.0</v>
      </c>
      <c r="K942" s="209" t="s">
        <v>46</v>
      </c>
      <c r="L942" s="209" t="s">
        <v>1439</v>
      </c>
      <c r="M942" s="208">
        <v>1.0</v>
      </c>
      <c r="N942" s="208">
        <v>1.0</v>
      </c>
      <c r="O942" s="201">
        <f t="shared" si="4"/>
        <v>1</v>
      </c>
      <c r="P942" s="208">
        <v>0.0</v>
      </c>
      <c r="Q942" s="431"/>
      <c r="R942" s="432"/>
      <c r="S942" s="432"/>
      <c r="T942" s="431"/>
      <c r="U942" s="209">
        <v>0.0</v>
      </c>
      <c r="V942" s="208">
        <v>0.0</v>
      </c>
      <c r="W942" s="431"/>
      <c r="X942" s="431"/>
      <c r="Y942" s="431"/>
      <c r="Z942" s="431"/>
      <c r="AA942" s="209">
        <v>0.0</v>
      </c>
    </row>
    <row r="943" ht="15.75" hidden="1" customHeight="1">
      <c r="A943" s="209" t="s">
        <v>2497</v>
      </c>
      <c r="B943" s="208">
        <v>5.880932841E9</v>
      </c>
      <c r="C943" s="429">
        <v>46265.0</v>
      </c>
      <c r="D943" s="208">
        <v>31.0</v>
      </c>
      <c r="E943" s="208">
        <v>8.0</v>
      </c>
      <c r="F943" s="208">
        <v>2026.0</v>
      </c>
      <c r="G943" s="429">
        <v>46267.0</v>
      </c>
      <c r="H943" s="208">
        <v>2.0</v>
      </c>
      <c r="I943" s="208">
        <v>9.0</v>
      </c>
      <c r="J943" s="208">
        <v>2026.0</v>
      </c>
      <c r="K943" s="209" t="s">
        <v>36</v>
      </c>
      <c r="L943" s="209" t="s">
        <v>1273</v>
      </c>
      <c r="M943" s="208">
        <v>1.0</v>
      </c>
      <c r="N943" s="208">
        <v>2.0</v>
      </c>
      <c r="O943" s="201">
        <f t="shared" si="4"/>
        <v>2</v>
      </c>
      <c r="P943" s="208">
        <v>0.0</v>
      </c>
      <c r="Q943" s="429">
        <v>46296.0</v>
      </c>
      <c r="R943" s="430">
        <v>1.0</v>
      </c>
      <c r="S943" s="430">
        <v>10.0</v>
      </c>
      <c r="T943" s="208">
        <v>2026.0</v>
      </c>
      <c r="U943" s="209" t="s">
        <v>36</v>
      </c>
      <c r="V943" s="209">
        <v>51.31</v>
      </c>
      <c r="W943" s="429">
        <v>46296.0</v>
      </c>
      <c r="X943" s="208">
        <v>1.0</v>
      </c>
      <c r="Y943" s="208">
        <v>10.0</v>
      </c>
      <c r="Z943" s="208">
        <v>2026.0</v>
      </c>
      <c r="AA943" s="209" t="s">
        <v>36</v>
      </c>
    </row>
    <row r="944" ht="15.75" hidden="1" customHeight="1">
      <c r="A944" s="209" t="s">
        <v>2674</v>
      </c>
      <c r="B944" s="208">
        <v>5.770819247E9</v>
      </c>
      <c r="C944" s="429">
        <v>46284.0</v>
      </c>
      <c r="D944" s="208">
        <v>19.0</v>
      </c>
      <c r="E944" s="208">
        <v>9.0</v>
      </c>
      <c r="F944" s="208">
        <v>2026.0</v>
      </c>
      <c r="G944" s="429">
        <v>46285.0</v>
      </c>
      <c r="H944" s="208">
        <v>20.0</v>
      </c>
      <c r="I944" s="208">
        <v>9.0</v>
      </c>
      <c r="J944" s="208">
        <v>2026.0</v>
      </c>
      <c r="K944" s="209" t="s">
        <v>36</v>
      </c>
      <c r="L944" s="209" t="s">
        <v>1177</v>
      </c>
      <c r="M944" s="208">
        <v>1.0</v>
      </c>
      <c r="N944" s="208">
        <v>1.0</v>
      </c>
      <c r="O944" s="201">
        <f t="shared" si="4"/>
        <v>1</v>
      </c>
      <c r="P944" s="208">
        <v>2.0</v>
      </c>
      <c r="Q944" s="429">
        <v>46296.0</v>
      </c>
      <c r="R944" s="430">
        <v>1.0</v>
      </c>
      <c r="S944" s="430">
        <v>10.0</v>
      </c>
      <c r="T944" s="208">
        <v>2026.0</v>
      </c>
      <c r="U944" s="209" t="s">
        <v>36</v>
      </c>
      <c r="V944" s="209">
        <v>29.23</v>
      </c>
      <c r="W944" s="429">
        <v>46296.0</v>
      </c>
      <c r="X944" s="208">
        <v>1.0</v>
      </c>
      <c r="Y944" s="208">
        <v>10.0</v>
      </c>
      <c r="Z944" s="208">
        <v>2026.0</v>
      </c>
      <c r="AA944" s="209" t="s">
        <v>36</v>
      </c>
    </row>
    <row r="945" ht="15.75" hidden="1" customHeight="1">
      <c r="A945" s="209" t="s">
        <v>2675</v>
      </c>
      <c r="B945" s="208">
        <v>6.518537282E9</v>
      </c>
      <c r="C945" s="429">
        <v>46269.0</v>
      </c>
      <c r="D945" s="208">
        <v>4.0</v>
      </c>
      <c r="E945" s="208">
        <v>9.0</v>
      </c>
      <c r="F945" s="208">
        <v>2026.0</v>
      </c>
      <c r="G945" s="429">
        <v>46270.0</v>
      </c>
      <c r="H945" s="208">
        <v>5.0</v>
      </c>
      <c r="I945" s="208">
        <v>9.0</v>
      </c>
      <c r="J945" s="208">
        <v>2026.0</v>
      </c>
      <c r="K945" s="209" t="s">
        <v>36</v>
      </c>
      <c r="L945" s="209" t="s">
        <v>1177</v>
      </c>
      <c r="M945" s="208">
        <v>1.0</v>
      </c>
      <c r="N945" s="208">
        <v>1.0</v>
      </c>
      <c r="O945" s="201">
        <f t="shared" si="4"/>
        <v>1</v>
      </c>
      <c r="P945" s="208">
        <v>2.0</v>
      </c>
      <c r="Q945" s="429">
        <v>46296.0</v>
      </c>
      <c r="R945" s="430">
        <v>1.0</v>
      </c>
      <c r="S945" s="430">
        <v>10.0</v>
      </c>
      <c r="T945" s="208">
        <v>2026.0</v>
      </c>
      <c r="U945" s="209" t="s">
        <v>36</v>
      </c>
      <c r="V945" s="209">
        <v>29.23</v>
      </c>
      <c r="W945" s="429">
        <v>46296.0</v>
      </c>
      <c r="X945" s="208">
        <v>1.0</v>
      </c>
      <c r="Y945" s="208">
        <v>10.0</v>
      </c>
      <c r="Z945" s="208">
        <v>2026.0</v>
      </c>
      <c r="AA945" s="209" t="s">
        <v>36</v>
      </c>
    </row>
    <row r="946" ht="15.75" hidden="1" customHeight="1">
      <c r="A946" s="209" t="s">
        <v>2676</v>
      </c>
      <c r="B946" s="208">
        <v>6.957578998E9</v>
      </c>
      <c r="C946" s="429">
        <v>46291.0</v>
      </c>
      <c r="D946" s="208">
        <v>26.0</v>
      </c>
      <c r="E946" s="208">
        <v>9.0</v>
      </c>
      <c r="F946" s="208">
        <v>2026.0</v>
      </c>
      <c r="G946" s="429">
        <v>46292.0</v>
      </c>
      <c r="H946" s="208">
        <v>27.0</v>
      </c>
      <c r="I946" s="208">
        <v>9.0</v>
      </c>
      <c r="J946" s="208">
        <v>2026.0</v>
      </c>
      <c r="K946" s="209" t="s">
        <v>36</v>
      </c>
      <c r="L946" s="209" t="s">
        <v>1177</v>
      </c>
      <c r="M946" s="208">
        <v>1.0</v>
      </c>
      <c r="N946" s="208">
        <v>1.0</v>
      </c>
      <c r="O946" s="201">
        <f t="shared" si="4"/>
        <v>1</v>
      </c>
      <c r="P946" s="208">
        <v>2.0</v>
      </c>
      <c r="Q946" s="429">
        <v>46296.0</v>
      </c>
      <c r="R946" s="430">
        <v>1.0</v>
      </c>
      <c r="S946" s="430">
        <v>10.0</v>
      </c>
      <c r="T946" s="208">
        <v>2026.0</v>
      </c>
      <c r="U946" s="209" t="s">
        <v>36</v>
      </c>
      <c r="V946" s="209">
        <v>29.23</v>
      </c>
      <c r="W946" s="429">
        <v>46296.0</v>
      </c>
      <c r="X946" s="208">
        <v>1.0</v>
      </c>
      <c r="Y946" s="208">
        <v>10.0</v>
      </c>
      <c r="Z946" s="208">
        <v>2026.0</v>
      </c>
      <c r="AA946" s="209" t="s">
        <v>36</v>
      </c>
    </row>
    <row r="947" ht="15.75" hidden="1" customHeight="1">
      <c r="A947" s="209" t="s">
        <v>2677</v>
      </c>
      <c r="B947" s="208">
        <v>5.790330241E9</v>
      </c>
      <c r="C947" s="429">
        <v>46283.0</v>
      </c>
      <c r="D947" s="208">
        <v>18.0</v>
      </c>
      <c r="E947" s="208">
        <v>9.0</v>
      </c>
      <c r="F947" s="208">
        <v>2026.0</v>
      </c>
      <c r="G947" s="429">
        <v>46284.0</v>
      </c>
      <c r="H947" s="208">
        <v>19.0</v>
      </c>
      <c r="I947" s="208">
        <v>9.0</v>
      </c>
      <c r="J947" s="208">
        <v>2026.0</v>
      </c>
      <c r="K947" s="209" t="s">
        <v>36</v>
      </c>
      <c r="L947" s="209" t="s">
        <v>1177</v>
      </c>
      <c r="M947" s="208">
        <v>1.0</v>
      </c>
      <c r="N947" s="208">
        <v>1.0</v>
      </c>
      <c r="O947" s="201">
        <f t="shared" si="4"/>
        <v>1</v>
      </c>
      <c r="P947" s="208">
        <v>2.0</v>
      </c>
      <c r="Q947" s="429">
        <v>46296.0</v>
      </c>
      <c r="R947" s="430">
        <v>1.0</v>
      </c>
      <c r="S947" s="430">
        <v>10.0</v>
      </c>
      <c r="T947" s="208">
        <v>2026.0</v>
      </c>
      <c r="U947" s="209" t="s">
        <v>36</v>
      </c>
      <c r="V947" s="209">
        <v>29.23</v>
      </c>
      <c r="W947" s="429">
        <v>46296.0</v>
      </c>
      <c r="X947" s="208">
        <v>1.0</v>
      </c>
      <c r="Y947" s="208">
        <v>10.0</v>
      </c>
      <c r="Z947" s="208">
        <v>2026.0</v>
      </c>
      <c r="AA947" s="209" t="s">
        <v>36</v>
      </c>
    </row>
    <row r="948" ht="15.75" hidden="1" customHeight="1">
      <c r="A948" s="209" t="s">
        <v>2678</v>
      </c>
      <c r="B948" s="209" t="s">
        <v>2679</v>
      </c>
      <c r="C948" s="429">
        <v>46289.0</v>
      </c>
      <c r="D948" s="208">
        <v>24.0</v>
      </c>
      <c r="E948" s="208">
        <v>9.0</v>
      </c>
      <c r="F948" s="208">
        <v>2026.0</v>
      </c>
      <c r="G948" s="429">
        <v>46292.0</v>
      </c>
      <c r="H948" s="208">
        <v>27.0</v>
      </c>
      <c r="I948" s="208">
        <v>9.0</v>
      </c>
      <c r="J948" s="208">
        <v>2026.0</v>
      </c>
      <c r="K948" s="209" t="s">
        <v>46</v>
      </c>
      <c r="L948" s="209" t="s">
        <v>1177</v>
      </c>
      <c r="M948" s="208">
        <v>3.0</v>
      </c>
      <c r="N948" s="208">
        <v>3.0</v>
      </c>
      <c r="O948" s="201">
        <f t="shared" si="4"/>
        <v>9</v>
      </c>
      <c r="P948" s="208">
        <v>18.0</v>
      </c>
      <c r="Q948" s="429">
        <v>46290.280636574076</v>
      </c>
      <c r="R948" s="208">
        <v>25.0</v>
      </c>
      <c r="S948" s="208">
        <v>9.0</v>
      </c>
      <c r="T948" s="208">
        <v>2026.0</v>
      </c>
      <c r="U948" s="209" t="s">
        <v>245</v>
      </c>
      <c r="V948" s="209">
        <v>290.7</v>
      </c>
      <c r="W948" s="429">
        <v>46290.280636574076</v>
      </c>
      <c r="X948" s="208">
        <v>25.0</v>
      </c>
      <c r="Y948" s="208">
        <v>9.0</v>
      </c>
      <c r="Z948" s="208">
        <v>2026.0</v>
      </c>
      <c r="AA948" s="209" t="s">
        <v>245</v>
      </c>
    </row>
    <row r="949" ht="15.75" hidden="1" customHeight="1">
      <c r="A949" s="209" t="s">
        <v>2680</v>
      </c>
      <c r="B949" s="209" t="s">
        <v>2681</v>
      </c>
      <c r="C949" s="429">
        <v>46275.0</v>
      </c>
      <c r="D949" s="208">
        <v>10.0</v>
      </c>
      <c r="E949" s="208">
        <v>9.0</v>
      </c>
      <c r="F949" s="208">
        <v>2026.0</v>
      </c>
      <c r="G949" s="429">
        <v>46280.0</v>
      </c>
      <c r="H949" s="208">
        <v>15.0</v>
      </c>
      <c r="I949" s="208">
        <v>9.0</v>
      </c>
      <c r="J949" s="208">
        <v>2026.0</v>
      </c>
      <c r="K949" s="209" t="s">
        <v>46</v>
      </c>
      <c r="L949" s="209" t="s">
        <v>1177</v>
      </c>
      <c r="M949" s="208">
        <v>2.0</v>
      </c>
      <c r="N949" s="208">
        <v>5.0</v>
      </c>
      <c r="O949" s="201">
        <f t="shared" si="4"/>
        <v>10</v>
      </c>
      <c r="P949" s="208">
        <v>20.0</v>
      </c>
      <c r="Q949" s="429">
        <v>46275.93078703704</v>
      </c>
      <c r="R949" s="208">
        <v>10.0</v>
      </c>
      <c r="S949" s="208">
        <v>9.0</v>
      </c>
      <c r="T949" s="208">
        <v>2026.0</v>
      </c>
      <c r="U949" s="209" t="s">
        <v>245</v>
      </c>
      <c r="V949" s="209">
        <v>416.5</v>
      </c>
      <c r="W949" s="429">
        <v>46275.93078703704</v>
      </c>
      <c r="X949" s="208">
        <v>10.0</v>
      </c>
      <c r="Y949" s="208">
        <v>9.0</v>
      </c>
      <c r="Z949" s="208">
        <v>2026.0</v>
      </c>
      <c r="AA949" s="209" t="s">
        <v>245</v>
      </c>
    </row>
    <row r="950" ht="15.75" hidden="1" customHeight="1">
      <c r="A950" s="209" t="s">
        <v>2682</v>
      </c>
      <c r="B950" s="209" t="s">
        <v>2683</v>
      </c>
      <c r="C950" s="429">
        <v>46271.0</v>
      </c>
      <c r="D950" s="208">
        <v>6.0</v>
      </c>
      <c r="E950" s="208">
        <v>9.0</v>
      </c>
      <c r="F950" s="208">
        <v>2026.0</v>
      </c>
      <c r="G950" s="429">
        <v>46272.0</v>
      </c>
      <c r="H950" s="208">
        <v>7.0</v>
      </c>
      <c r="I950" s="208">
        <v>9.0</v>
      </c>
      <c r="J950" s="208">
        <v>2026.0</v>
      </c>
      <c r="K950" s="209" t="s">
        <v>51</v>
      </c>
      <c r="L950" s="209" t="s">
        <v>1177</v>
      </c>
      <c r="M950" s="208">
        <v>1.0</v>
      </c>
      <c r="N950" s="208">
        <v>1.0</v>
      </c>
      <c r="O950" s="201">
        <f t="shared" si="4"/>
        <v>1</v>
      </c>
      <c r="P950" s="208">
        <v>2.0</v>
      </c>
      <c r="Q950" s="429">
        <v>46295.0</v>
      </c>
      <c r="R950" s="430">
        <v>30.0</v>
      </c>
      <c r="S950" s="430">
        <v>9.0</v>
      </c>
      <c r="T950" s="208">
        <v>2026.0</v>
      </c>
      <c r="U950" s="209" t="s">
        <v>2</v>
      </c>
      <c r="V950" s="209">
        <v>38.02</v>
      </c>
      <c r="W950" s="429">
        <v>46295.0</v>
      </c>
      <c r="X950" s="208">
        <v>30.0</v>
      </c>
      <c r="Y950" s="208">
        <v>9.0</v>
      </c>
      <c r="Z950" s="208">
        <v>2026.0</v>
      </c>
      <c r="AA950" s="209" t="s">
        <v>2</v>
      </c>
    </row>
    <row r="951" ht="15.75" hidden="1" customHeight="1">
      <c r="A951" s="209" t="s">
        <v>2684</v>
      </c>
      <c r="B951" s="209" t="s">
        <v>2685</v>
      </c>
      <c r="C951" s="429">
        <v>46264.0</v>
      </c>
      <c r="D951" s="208">
        <v>30.0</v>
      </c>
      <c r="E951" s="208">
        <v>8.0</v>
      </c>
      <c r="F951" s="208">
        <v>2026.0</v>
      </c>
      <c r="G951" s="429">
        <v>46265.0</v>
      </c>
      <c r="H951" s="208">
        <v>31.0</v>
      </c>
      <c r="I951" s="208">
        <v>8.0</v>
      </c>
      <c r="J951" s="208">
        <v>2026.0</v>
      </c>
      <c r="K951" s="209" t="s">
        <v>51</v>
      </c>
      <c r="L951" s="209" t="s">
        <v>1177</v>
      </c>
      <c r="M951" s="208">
        <v>1.0</v>
      </c>
      <c r="N951" s="208">
        <v>1.0</v>
      </c>
      <c r="O951" s="201">
        <f t="shared" si="4"/>
        <v>1</v>
      </c>
      <c r="P951" s="208">
        <v>2.0</v>
      </c>
      <c r="Q951" s="429">
        <v>46295.0</v>
      </c>
      <c r="R951" s="430">
        <v>30.0</v>
      </c>
      <c r="S951" s="430">
        <v>9.0</v>
      </c>
      <c r="T951" s="208">
        <v>2026.0</v>
      </c>
      <c r="U951" s="209" t="s">
        <v>2</v>
      </c>
      <c r="V951" s="209">
        <v>46.47</v>
      </c>
      <c r="W951" s="429">
        <v>46295.0</v>
      </c>
      <c r="X951" s="208">
        <v>30.0</v>
      </c>
      <c r="Y951" s="208">
        <v>9.0</v>
      </c>
      <c r="Z951" s="208">
        <v>2026.0</v>
      </c>
      <c r="AA951" s="209" t="s">
        <v>2</v>
      </c>
    </row>
    <row r="952" ht="15.75" hidden="1" customHeight="1">
      <c r="A952" s="209" t="s">
        <v>2686</v>
      </c>
      <c r="B952" s="209" t="s">
        <v>2687</v>
      </c>
      <c r="C952" s="429">
        <v>46292.0</v>
      </c>
      <c r="D952" s="208">
        <v>27.0</v>
      </c>
      <c r="E952" s="208">
        <v>9.0</v>
      </c>
      <c r="F952" s="208">
        <v>2026.0</v>
      </c>
      <c r="G952" s="429">
        <v>46293.0</v>
      </c>
      <c r="H952" s="208">
        <v>28.0</v>
      </c>
      <c r="I952" s="208">
        <v>9.0</v>
      </c>
      <c r="J952" s="208">
        <v>2026.0</v>
      </c>
      <c r="K952" s="209" t="s">
        <v>51</v>
      </c>
      <c r="L952" s="209" t="s">
        <v>1177</v>
      </c>
      <c r="M952" s="208">
        <v>1.0</v>
      </c>
      <c r="N952" s="208">
        <v>1.0</v>
      </c>
      <c r="O952" s="201">
        <f t="shared" si="4"/>
        <v>1</v>
      </c>
      <c r="P952" s="208">
        <v>2.0</v>
      </c>
      <c r="Q952" s="429">
        <v>46295.0</v>
      </c>
      <c r="R952" s="430">
        <v>30.0</v>
      </c>
      <c r="S952" s="430">
        <v>9.0</v>
      </c>
      <c r="T952" s="208">
        <v>2026.0</v>
      </c>
      <c r="U952" s="209" t="s">
        <v>2</v>
      </c>
      <c r="V952" s="209">
        <v>29.57</v>
      </c>
      <c r="W952" s="429">
        <v>46295.0</v>
      </c>
      <c r="X952" s="208">
        <v>30.0</v>
      </c>
      <c r="Y952" s="208">
        <v>9.0</v>
      </c>
      <c r="Z952" s="208">
        <v>2026.0</v>
      </c>
      <c r="AA952" s="209" t="s">
        <v>2</v>
      </c>
    </row>
    <row r="953" ht="15.75" hidden="1" customHeight="1">
      <c r="A953" s="209" t="s">
        <v>2688</v>
      </c>
      <c r="B953" s="208">
        <v>6.650014599E9</v>
      </c>
      <c r="C953" s="429">
        <v>46287.0</v>
      </c>
      <c r="D953" s="208">
        <v>22.0</v>
      </c>
      <c r="E953" s="208">
        <v>9.0</v>
      </c>
      <c r="F953" s="208">
        <v>2026.0</v>
      </c>
      <c r="G953" s="429">
        <v>46288.0</v>
      </c>
      <c r="H953" s="208">
        <v>23.0</v>
      </c>
      <c r="I953" s="208">
        <v>9.0</v>
      </c>
      <c r="J953" s="208">
        <v>2026.0</v>
      </c>
      <c r="K953" s="209" t="s">
        <v>36</v>
      </c>
      <c r="L953" s="209" t="s">
        <v>1177</v>
      </c>
      <c r="M953" s="208">
        <v>1.0</v>
      </c>
      <c r="N953" s="208">
        <v>1.0</v>
      </c>
      <c r="O953" s="201">
        <f t="shared" si="4"/>
        <v>1</v>
      </c>
      <c r="P953" s="208">
        <v>2.0</v>
      </c>
      <c r="Q953" s="429">
        <v>46296.0</v>
      </c>
      <c r="R953" s="430">
        <v>1.0</v>
      </c>
      <c r="S953" s="430">
        <v>10.0</v>
      </c>
      <c r="T953" s="208">
        <v>2026.0</v>
      </c>
      <c r="U953" s="209" t="s">
        <v>36</v>
      </c>
      <c r="V953" s="209">
        <v>25.05</v>
      </c>
      <c r="W953" s="429">
        <v>46296.0</v>
      </c>
      <c r="X953" s="208">
        <v>1.0</v>
      </c>
      <c r="Y953" s="208">
        <v>10.0</v>
      </c>
      <c r="Z953" s="208">
        <v>2026.0</v>
      </c>
      <c r="AA953" s="209" t="s">
        <v>36</v>
      </c>
    </row>
    <row r="954" ht="15.75" hidden="1" customHeight="1">
      <c r="A954" s="209" t="s">
        <v>2689</v>
      </c>
      <c r="B954" s="208">
        <v>6.482285858E9</v>
      </c>
      <c r="C954" s="429">
        <v>46271.0</v>
      </c>
      <c r="D954" s="208">
        <v>6.0</v>
      </c>
      <c r="E954" s="208">
        <v>9.0</v>
      </c>
      <c r="F954" s="208">
        <v>2026.0</v>
      </c>
      <c r="G954" s="429">
        <v>46272.0</v>
      </c>
      <c r="H954" s="208">
        <v>7.0</v>
      </c>
      <c r="I954" s="208">
        <v>9.0</v>
      </c>
      <c r="J954" s="208">
        <v>2026.0</v>
      </c>
      <c r="K954" s="209" t="s">
        <v>36</v>
      </c>
      <c r="L954" s="209" t="s">
        <v>1177</v>
      </c>
      <c r="M954" s="208">
        <v>1.0</v>
      </c>
      <c r="N954" s="208">
        <v>1.0</v>
      </c>
      <c r="O954" s="201">
        <f t="shared" si="4"/>
        <v>1</v>
      </c>
      <c r="P954" s="208">
        <v>2.0</v>
      </c>
      <c r="Q954" s="429">
        <v>46296.0</v>
      </c>
      <c r="R954" s="430">
        <v>1.0</v>
      </c>
      <c r="S954" s="430">
        <v>10.0</v>
      </c>
      <c r="T954" s="208">
        <v>2026.0</v>
      </c>
      <c r="U954" s="209" t="s">
        <v>36</v>
      </c>
      <c r="V954" s="209">
        <v>29.23</v>
      </c>
      <c r="W954" s="429">
        <v>46296.0</v>
      </c>
      <c r="X954" s="208">
        <v>1.0</v>
      </c>
      <c r="Y954" s="208">
        <v>10.0</v>
      </c>
      <c r="Z954" s="208">
        <v>2026.0</v>
      </c>
      <c r="AA954" s="209" t="s">
        <v>36</v>
      </c>
    </row>
    <row r="955" ht="15.75" hidden="1" customHeight="1">
      <c r="A955" s="209" t="s">
        <v>2690</v>
      </c>
      <c r="B955" s="208">
        <v>6.980966369E9</v>
      </c>
      <c r="C955" s="429">
        <v>46277.0</v>
      </c>
      <c r="D955" s="208">
        <v>12.0</v>
      </c>
      <c r="E955" s="208">
        <v>9.0</v>
      </c>
      <c r="F955" s="208">
        <v>2026.0</v>
      </c>
      <c r="G955" s="429">
        <v>46278.0</v>
      </c>
      <c r="H955" s="208">
        <v>13.0</v>
      </c>
      <c r="I955" s="208">
        <v>9.0</v>
      </c>
      <c r="J955" s="208">
        <v>2026.0</v>
      </c>
      <c r="K955" s="209" t="s">
        <v>36</v>
      </c>
      <c r="L955" s="209" t="s">
        <v>1177</v>
      </c>
      <c r="M955" s="208">
        <v>1.0</v>
      </c>
      <c r="N955" s="208">
        <v>1.0</v>
      </c>
      <c r="O955" s="201">
        <f t="shared" si="4"/>
        <v>1</v>
      </c>
      <c r="P955" s="208">
        <v>2.0</v>
      </c>
      <c r="Q955" s="429">
        <v>46296.0</v>
      </c>
      <c r="R955" s="430">
        <v>1.0</v>
      </c>
      <c r="S955" s="430">
        <v>10.0</v>
      </c>
      <c r="T955" s="208">
        <v>2026.0</v>
      </c>
      <c r="U955" s="209" t="s">
        <v>36</v>
      </c>
      <c r="V955" s="209">
        <v>45.95</v>
      </c>
      <c r="W955" s="429">
        <v>46296.0</v>
      </c>
      <c r="X955" s="208">
        <v>1.0</v>
      </c>
      <c r="Y955" s="208">
        <v>10.0</v>
      </c>
      <c r="Z955" s="208">
        <v>2026.0</v>
      </c>
      <c r="AA955" s="209" t="s">
        <v>36</v>
      </c>
    </row>
    <row r="956" ht="15.75" hidden="1" customHeight="1">
      <c r="A956" s="209" t="s">
        <v>2691</v>
      </c>
      <c r="B956" s="208">
        <v>6.700704429E9</v>
      </c>
      <c r="C956" s="429">
        <v>46287.0</v>
      </c>
      <c r="D956" s="208">
        <v>22.0</v>
      </c>
      <c r="E956" s="208">
        <v>9.0</v>
      </c>
      <c r="F956" s="208">
        <v>2026.0</v>
      </c>
      <c r="G956" s="429">
        <v>46288.0</v>
      </c>
      <c r="H956" s="208">
        <v>23.0</v>
      </c>
      <c r="I956" s="208">
        <v>9.0</v>
      </c>
      <c r="J956" s="208">
        <v>2026.0</v>
      </c>
      <c r="K956" s="209" t="s">
        <v>36</v>
      </c>
      <c r="L956" s="209" t="s">
        <v>1177</v>
      </c>
      <c r="M956" s="208">
        <v>1.0</v>
      </c>
      <c r="N956" s="208">
        <v>1.0</v>
      </c>
      <c r="O956" s="201">
        <f t="shared" si="4"/>
        <v>1</v>
      </c>
      <c r="P956" s="208">
        <v>2.0</v>
      </c>
      <c r="Q956" s="429">
        <v>46296.0</v>
      </c>
      <c r="R956" s="430">
        <v>1.0</v>
      </c>
      <c r="S956" s="430">
        <v>10.0</v>
      </c>
      <c r="T956" s="208">
        <v>2026.0</v>
      </c>
      <c r="U956" s="209" t="s">
        <v>36</v>
      </c>
      <c r="V956" s="209">
        <v>25.05</v>
      </c>
      <c r="W956" s="429">
        <v>46296.0</v>
      </c>
      <c r="X956" s="208">
        <v>1.0</v>
      </c>
      <c r="Y956" s="208">
        <v>10.0</v>
      </c>
      <c r="Z956" s="208">
        <v>2026.0</v>
      </c>
      <c r="AA956" s="209" t="s">
        <v>36</v>
      </c>
    </row>
    <row r="957" ht="15.75" hidden="1" customHeight="1">
      <c r="A957" s="209" t="s">
        <v>2692</v>
      </c>
      <c r="B957" s="209" t="s">
        <v>2693</v>
      </c>
      <c r="C957" s="429">
        <v>46269.0</v>
      </c>
      <c r="D957" s="208">
        <v>4.0</v>
      </c>
      <c r="E957" s="208">
        <v>9.0</v>
      </c>
      <c r="F957" s="208">
        <v>2026.0</v>
      </c>
      <c r="G957" s="429">
        <v>46271.0</v>
      </c>
      <c r="H957" s="208">
        <v>6.0</v>
      </c>
      <c r="I957" s="208">
        <v>9.0</v>
      </c>
      <c r="J957" s="208">
        <v>2026.0</v>
      </c>
      <c r="K957" s="209" t="s">
        <v>46</v>
      </c>
      <c r="L957" s="209" t="s">
        <v>1177</v>
      </c>
      <c r="M957" s="208">
        <v>1.0</v>
      </c>
      <c r="N957" s="208">
        <v>2.0</v>
      </c>
      <c r="O957" s="201">
        <f t="shared" si="4"/>
        <v>2</v>
      </c>
      <c r="P957" s="208">
        <v>4.0</v>
      </c>
      <c r="Q957" s="429">
        <v>46269.64892361111</v>
      </c>
      <c r="R957" s="430">
        <v>4.0</v>
      </c>
      <c r="S957" s="430">
        <v>9.0</v>
      </c>
      <c r="T957" s="208">
        <v>2026.0</v>
      </c>
      <c r="U957" s="209" t="s">
        <v>262</v>
      </c>
      <c r="V957" s="209">
        <v>85.0</v>
      </c>
      <c r="W957" s="429">
        <v>46269.64892361111</v>
      </c>
      <c r="X957" s="208">
        <v>4.0</v>
      </c>
      <c r="Y957" s="208">
        <v>9.0</v>
      </c>
      <c r="Z957" s="208">
        <v>2026.0</v>
      </c>
      <c r="AA957" s="209" t="s">
        <v>262</v>
      </c>
    </row>
    <row r="958" ht="15.75" hidden="1" customHeight="1">
      <c r="A958" s="209" t="s">
        <v>2694</v>
      </c>
      <c r="B958" s="209" t="s">
        <v>2695</v>
      </c>
      <c r="C958" s="429">
        <v>46268.0</v>
      </c>
      <c r="D958" s="208">
        <v>3.0</v>
      </c>
      <c r="E958" s="208">
        <v>9.0</v>
      </c>
      <c r="F958" s="208">
        <v>2026.0</v>
      </c>
      <c r="G958" s="429">
        <v>46269.0</v>
      </c>
      <c r="H958" s="208">
        <v>4.0</v>
      </c>
      <c r="I958" s="208">
        <v>9.0</v>
      </c>
      <c r="J958" s="208">
        <v>2026.0</v>
      </c>
      <c r="K958" s="209" t="s">
        <v>51</v>
      </c>
      <c r="L958" s="209" t="s">
        <v>1177</v>
      </c>
      <c r="M958" s="208">
        <v>1.0</v>
      </c>
      <c r="N958" s="208">
        <v>1.0</v>
      </c>
      <c r="O958" s="201">
        <f t="shared" si="4"/>
        <v>1</v>
      </c>
      <c r="P958" s="208">
        <v>2.0</v>
      </c>
      <c r="Q958" s="429">
        <v>46295.0</v>
      </c>
      <c r="R958" s="430">
        <v>30.0</v>
      </c>
      <c r="S958" s="430">
        <v>9.0</v>
      </c>
      <c r="T958" s="208">
        <v>2026.0</v>
      </c>
      <c r="U958" s="209" t="s">
        <v>2</v>
      </c>
      <c r="V958" s="209">
        <v>29.57</v>
      </c>
      <c r="W958" s="429">
        <v>46295.0</v>
      </c>
      <c r="X958" s="208">
        <v>30.0</v>
      </c>
      <c r="Y958" s="208">
        <v>9.0</v>
      </c>
      <c r="Z958" s="208">
        <v>2026.0</v>
      </c>
      <c r="AA958" s="209" t="s">
        <v>2</v>
      </c>
    </row>
    <row r="959" ht="15.75" hidden="1" customHeight="1">
      <c r="A959" s="209" t="s">
        <v>2696</v>
      </c>
      <c r="B959" s="208">
        <v>6.518595638E9</v>
      </c>
      <c r="C959" s="429">
        <v>46267.0</v>
      </c>
      <c r="D959" s="208">
        <v>2.0</v>
      </c>
      <c r="E959" s="208">
        <v>9.0</v>
      </c>
      <c r="F959" s="208">
        <v>2026.0</v>
      </c>
      <c r="G959" s="429">
        <v>46268.0</v>
      </c>
      <c r="H959" s="208">
        <v>3.0</v>
      </c>
      <c r="I959" s="208">
        <v>9.0</v>
      </c>
      <c r="J959" s="208">
        <v>2026.0</v>
      </c>
      <c r="K959" s="209" t="s">
        <v>36</v>
      </c>
      <c r="L959" s="209" t="s">
        <v>1177</v>
      </c>
      <c r="M959" s="208">
        <v>1.0</v>
      </c>
      <c r="N959" s="208">
        <v>1.0</v>
      </c>
      <c r="O959" s="201">
        <f t="shared" si="4"/>
        <v>1</v>
      </c>
      <c r="P959" s="208">
        <v>2.0</v>
      </c>
      <c r="Q959" s="429">
        <v>46296.0</v>
      </c>
      <c r="R959" s="430">
        <v>1.0</v>
      </c>
      <c r="S959" s="430">
        <v>10.0</v>
      </c>
      <c r="T959" s="208">
        <v>2026.0</v>
      </c>
      <c r="U959" s="209" t="s">
        <v>36</v>
      </c>
      <c r="V959" s="209">
        <v>37.59</v>
      </c>
      <c r="W959" s="429">
        <v>46296.0</v>
      </c>
      <c r="X959" s="208">
        <v>1.0</v>
      </c>
      <c r="Y959" s="208">
        <v>10.0</v>
      </c>
      <c r="Z959" s="208">
        <v>2026.0</v>
      </c>
      <c r="AA959" s="209" t="s">
        <v>36</v>
      </c>
    </row>
    <row r="960" ht="15.75" hidden="1" customHeight="1">
      <c r="A960" s="209" t="s">
        <v>2697</v>
      </c>
      <c r="B960" s="208">
        <v>5.250725901E9</v>
      </c>
      <c r="C960" s="429">
        <v>46276.0</v>
      </c>
      <c r="D960" s="208">
        <v>11.0</v>
      </c>
      <c r="E960" s="208">
        <v>9.0</v>
      </c>
      <c r="F960" s="208">
        <v>2026.0</v>
      </c>
      <c r="G960" s="429">
        <v>46277.0</v>
      </c>
      <c r="H960" s="208">
        <v>12.0</v>
      </c>
      <c r="I960" s="208">
        <v>9.0</v>
      </c>
      <c r="J960" s="208">
        <v>2026.0</v>
      </c>
      <c r="K960" s="209" t="s">
        <v>36</v>
      </c>
      <c r="L960" s="209" t="s">
        <v>1177</v>
      </c>
      <c r="M960" s="208">
        <v>1.0</v>
      </c>
      <c r="N960" s="208">
        <v>1.0</v>
      </c>
      <c r="O960" s="201">
        <f t="shared" si="4"/>
        <v>1</v>
      </c>
      <c r="P960" s="208">
        <v>2.0</v>
      </c>
      <c r="Q960" s="429">
        <v>46296.0</v>
      </c>
      <c r="R960" s="430">
        <v>1.0</v>
      </c>
      <c r="S960" s="430">
        <v>10.0</v>
      </c>
      <c r="T960" s="208">
        <v>2026.0</v>
      </c>
      <c r="U960" s="209" t="s">
        <v>36</v>
      </c>
      <c r="V960" s="209">
        <v>45.95</v>
      </c>
      <c r="W960" s="429">
        <v>46296.0</v>
      </c>
      <c r="X960" s="208">
        <v>1.0</v>
      </c>
      <c r="Y960" s="208">
        <v>10.0</v>
      </c>
      <c r="Z960" s="208">
        <v>2026.0</v>
      </c>
      <c r="AA960" s="209" t="s">
        <v>36</v>
      </c>
    </row>
    <row r="961" ht="15.75" hidden="1" customHeight="1">
      <c r="A961" s="209"/>
      <c r="B961" s="431"/>
      <c r="C961" s="429"/>
      <c r="D961" s="208"/>
      <c r="E961" s="208"/>
      <c r="F961" s="208"/>
      <c r="G961" s="429"/>
      <c r="H961" s="208"/>
      <c r="I961" s="208"/>
      <c r="J961" s="208"/>
      <c r="K961" s="209"/>
      <c r="L961" s="209"/>
      <c r="M961" s="208"/>
      <c r="N961" s="208"/>
      <c r="O961" s="201"/>
      <c r="P961" s="208"/>
      <c r="Q961" s="429"/>
      <c r="R961" s="430"/>
      <c r="S961" s="430"/>
      <c r="T961" s="208"/>
      <c r="U961" s="209"/>
      <c r="V961" s="208"/>
      <c r="W961" s="429"/>
      <c r="X961" s="208"/>
      <c r="Y961" s="208"/>
      <c r="Z961" s="208"/>
      <c r="AA961" s="209"/>
    </row>
    <row r="962" ht="15.75" hidden="1" customHeight="1">
      <c r="A962" s="209" t="s">
        <v>2698</v>
      </c>
      <c r="B962" s="209" t="s">
        <v>2699</v>
      </c>
      <c r="C962" s="429">
        <v>46284.0</v>
      </c>
      <c r="D962" s="208">
        <v>19.0</v>
      </c>
      <c r="E962" s="208">
        <v>9.0</v>
      </c>
      <c r="F962" s="208">
        <v>2026.0</v>
      </c>
      <c r="G962" s="429">
        <v>46287.0</v>
      </c>
      <c r="H962" s="208">
        <v>22.0</v>
      </c>
      <c r="I962" s="208">
        <v>9.0</v>
      </c>
      <c r="J962" s="208">
        <v>2026.0</v>
      </c>
      <c r="K962" s="209" t="s">
        <v>46</v>
      </c>
      <c r="L962" s="209" t="s">
        <v>1177</v>
      </c>
      <c r="M962" s="208">
        <v>1.0</v>
      </c>
      <c r="N962" s="208">
        <v>3.0</v>
      </c>
      <c r="O962" s="201">
        <f t="shared" ref="O962:O1140" si="5">N962*M962</f>
        <v>3</v>
      </c>
      <c r="P962" s="208">
        <v>6.0</v>
      </c>
      <c r="Q962" s="429">
        <v>46284.77815972222</v>
      </c>
      <c r="R962" s="208">
        <v>19.0</v>
      </c>
      <c r="S962" s="208">
        <v>9.0</v>
      </c>
      <c r="T962" s="208">
        <v>2026.0</v>
      </c>
      <c r="U962" s="209" t="s">
        <v>245</v>
      </c>
      <c r="V962" s="209">
        <v>106.25</v>
      </c>
      <c r="W962" s="429">
        <v>46284.77815972222</v>
      </c>
      <c r="X962" s="208">
        <v>19.0</v>
      </c>
      <c r="Y962" s="208">
        <v>9.0</v>
      </c>
      <c r="Z962" s="208">
        <v>2026.0</v>
      </c>
      <c r="AA962" s="209" t="s">
        <v>245</v>
      </c>
    </row>
    <row r="963" ht="15.75" hidden="1" customHeight="1">
      <c r="A963" s="209" t="s">
        <v>2700</v>
      </c>
      <c r="B963" s="208">
        <v>5.015076384E9</v>
      </c>
      <c r="C963" s="429">
        <v>46268.0</v>
      </c>
      <c r="D963" s="208">
        <v>3.0</v>
      </c>
      <c r="E963" s="208">
        <v>9.0</v>
      </c>
      <c r="F963" s="208">
        <v>2026.0</v>
      </c>
      <c r="G963" s="429">
        <v>46269.0</v>
      </c>
      <c r="H963" s="208">
        <v>4.0</v>
      </c>
      <c r="I963" s="208">
        <v>9.0</v>
      </c>
      <c r="J963" s="208">
        <v>2026.0</v>
      </c>
      <c r="K963" s="209" t="s">
        <v>36</v>
      </c>
      <c r="L963" s="209" t="s">
        <v>1177</v>
      </c>
      <c r="M963" s="208">
        <v>1.0</v>
      </c>
      <c r="N963" s="208">
        <v>1.0</v>
      </c>
      <c r="O963" s="201">
        <f t="shared" si="5"/>
        <v>1</v>
      </c>
      <c r="P963" s="208">
        <v>2.0</v>
      </c>
      <c r="Q963" s="429">
        <v>46296.0</v>
      </c>
      <c r="R963" s="430">
        <v>1.0</v>
      </c>
      <c r="S963" s="430">
        <v>10.0</v>
      </c>
      <c r="T963" s="208">
        <v>2026.0</v>
      </c>
      <c r="U963" s="209" t="s">
        <v>36</v>
      </c>
      <c r="V963" s="209">
        <v>29.23</v>
      </c>
      <c r="W963" s="429">
        <v>46296.0</v>
      </c>
      <c r="X963" s="208">
        <v>1.0</v>
      </c>
      <c r="Y963" s="208">
        <v>10.0</v>
      </c>
      <c r="Z963" s="208">
        <v>2026.0</v>
      </c>
      <c r="AA963" s="209" t="s">
        <v>36</v>
      </c>
    </row>
    <row r="964" ht="15.75" hidden="1" customHeight="1">
      <c r="A964" s="209" t="s">
        <v>2701</v>
      </c>
      <c r="B964" s="209" t="s">
        <v>2702</v>
      </c>
      <c r="C964" s="429">
        <v>46282.0</v>
      </c>
      <c r="D964" s="208">
        <v>17.0</v>
      </c>
      <c r="E964" s="208">
        <v>9.0</v>
      </c>
      <c r="F964" s="208">
        <v>2026.0</v>
      </c>
      <c r="G964" s="429">
        <v>46283.0</v>
      </c>
      <c r="H964" s="208">
        <v>18.0</v>
      </c>
      <c r="I964" s="208">
        <v>9.0</v>
      </c>
      <c r="J964" s="208">
        <v>2026.0</v>
      </c>
      <c r="K964" s="209" t="s">
        <v>46</v>
      </c>
      <c r="L964" s="209" t="s">
        <v>1177</v>
      </c>
      <c r="M964" s="208">
        <v>1.0</v>
      </c>
      <c r="N964" s="208">
        <v>1.0</v>
      </c>
      <c r="O964" s="201">
        <f t="shared" si="5"/>
        <v>1</v>
      </c>
      <c r="P964" s="208">
        <v>2.0</v>
      </c>
      <c r="Q964" s="429">
        <v>46282.96021990741</v>
      </c>
      <c r="R964" s="430">
        <v>17.0</v>
      </c>
      <c r="S964" s="430">
        <v>9.0</v>
      </c>
      <c r="T964" s="208">
        <v>2026.0</v>
      </c>
      <c r="U964" s="209" t="s">
        <v>245</v>
      </c>
      <c r="V964" s="209">
        <v>29.75</v>
      </c>
      <c r="W964" s="429">
        <v>46282.96021990741</v>
      </c>
      <c r="X964" s="208">
        <v>17.0</v>
      </c>
      <c r="Y964" s="208">
        <v>9.0</v>
      </c>
      <c r="Z964" s="208">
        <v>2026.0</v>
      </c>
      <c r="AA964" s="209" t="s">
        <v>245</v>
      </c>
    </row>
    <row r="965" ht="15.75" hidden="1" customHeight="1">
      <c r="A965" s="209" t="s">
        <v>2703</v>
      </c>
      <c r="B965" s="209" t="s">
        <v>2704</v>
      </c>
      <c r="C965" s="429">
        <v>46284.0</v>
      </c>
      <c r="D965" s="208">
        <v>19.0</v>
      </c>
      <c r="E965" s="208">
        <v>9.0</v>
      </c>
      <c r="F965" s="208">
        <v>2026.0</v>
      </c>
      <c r="G965" s="429">
        <v>46285.0</v>
      </c>
      <c r="H965" s="208">
        <v>20.0</v>
      </c>
      <c r="I965" s="208">
        <v>9.0</v>
      </c>
      <c r="J965" s="208">
        <v>2026.0</v>
      </c>
      <c r="K965" s="209" t="s">
        <v>46</v>
      </c>
      <c r="L965" s="209" t="s">
        <v>1177</v>
      </c>
      <c r="M965" s="208">
        <v>1.0</v>
      </c>
      <c r="N965" s="208">
        <v>1.0</v>
      </c>
      <c r="O965" s="201">
        <f t="shared" si="5"/>
        <v>1</v>
      </c>
      <c r="P965" s="208">
        <v>2.0</v>
      </c>
      <c r="Q965" s="429">
        <v>46285.019479166665</v>
      </c>
      <c r="R965" s="430">
        <v>20.0</v>
      </c>
      <c r="S965" s="430">
        <v>9.0</v>
      </c>
      <c r="T965" s="208">
        <v>2026.0</v>
      </c>
      <c r="U965" s="209" t="s">
        <v>245</v>
      </c>
      <c r="V965" s="209">
        <v>29.75</v>
      </c>
      <c r="W965" s="429">
        <v>46285.019479166665</v>
      </c>
      <c r="X965" s="208">
        <v>20.0</v>
      </c>
      <c r="Y965" s="208">
        <v>9.0</v>
      </c>
      <c r="Z965" s="208">
        <v>2026.0</v>
      </c>
      <c r="AA965" s="209" t="s">
        <v>245</v>
      </c>
    </row>
    <row r="966" ht="15.75" hidden="1" customHeight="1">
      <c r="A966" s="209" t="s">
        <v>2705</v>
      </c>
      <c r="B966" s="209" t="s">
        <v>2706</v>
      </c>
      <c r="C966" s="429">
        <v>46286.0</v>
      </c>
      <c r="D966" s="208">
        <v>21.0</v>
      </c>
      <c r="E966" s="208">
        <v>9.0</v>
      </c>
      <c r="F966" s="208">
        <v>2026.0</v>
      </c>
      <c r="G966" s="429">
        <v>46287.0</v>
      </c>
      <c r="H966" s="208">
        <v>22.0</v>
      </c>
      <c r="I966" s="208">
        <v>9.0</v>
      </c>
      <c r="J966" s="208">
        <v>2026.0</v>
      </c>
      <c r="K966" s="209" t="s">
        <v>51</v>
      </c>
      <c r="L966" s="209" t="s">
        <v>1177</v>
      </c>
      <c r="M966" s="208">
        <v>1.0</v>
      </c>
      <c r="N966" s="208">
        <v>1.0</v>
      </c>
      <c r="O966" s="201">
        <f t="shared" si="5"/>
        <v>1</v>
      </c>
      <c r="P966" s="208">
        <v>2.0</v>
      </c>
      <c r="Q966" s="429">
        <v>46295.0</v>
      </c>
      <c r="R966" s="430">
        <v>30.0</v>
      </c>
      <c r="S966" s="430">
        <v>9.0</v>
      </c>
      <c r="T966" s="208">
        <v>2026.0</v>
      </c>
      <c r="U966" s="209" t="s">
        <v>2</v>
      </c>
      <c r="V966" s="209">
        <v>38.02</v>
      </c>
      <c r="W966" s="429">
        <v>46295.0</v>
      </c>
      <c r="X966" s="208">
        <v>30.0</v>
      </c>
      <c r="Y966" s="208">
        <v>9.0</v>
      </c>
      <c r="Z966" s="208">
        <v>2026.0</v>
      </c>
      <c r="AA966" s="209" t="s">
        <v>2</v>
      </c>
    </row>
    <row r="967" ht="15.75" hidden="1" customHeight="1">
      <c r="A967" s="209" t="s">
        <v>2707</v>
      </c>
      <c r="B967" s="208">
        <v>6.507746772E9</v>
      </c>
      <c r="C967" s="429">
        <v>46287.0</v>
      </c>
      <c r="D967" s="208">
        <v>22.0</v>
      </c>
      <c r="E967" s="208">
        <v>9.0</v>
      </c>
      <c r="F967" s="208">
        <v>2026.0</v>
      </c>
      <c r="G967" s="429">
        <v>46288.0</v>
      </c>
      <c r="H967" s="208">
        <v>23.0</v>
      </c>
      <c r="I967" s="208">
        <v>9.0</v>
      </c>
      <c r="J967" s="208">
        <v>2026.0</v>
      </c>
      <c r="K967" s="209" t="s">
        <v>36</v>
      </c>
      <c r="L967" s="209" t="s">
        <v>1177</v>
      </c>
      <c r="M967" s="208">
        <v>1.0</v>
      </c>
      <c r="N967" s="208">
        <v>1.0</v>
      </c>
      <c r="O967" s="201">
        <f t="shared" si="5"/>
        <v>1</v>
      </c>
      <c r="P967" s="208">
        <v>2.0</v>
      </c>
      <c r="Q967" s="429">
        <v>46296.0</v>
      </c>
      <c r="R967" s="430">
        <v>1.0</v>
      </c>
      <c r="S967" s="430">
        <v>10.0</v>
      </c>
      <c r="T967" s="208">
        <v>2026.0</v>
      </c>
      <c r="U967" s="209" t="s">
        <v>36</v>
      </c>
      <c r="V967" s="209">
        <v>25.05</v>
      </c>
      <c r="W967" s="429">
        <v>46296.0</v>
      </c>
      <c r="X967" s="208">
        <v>1.0</v>
      </c>
      <c r="Y967" s="208">
        <v>10.0</v>
      </c>
      <c r="Z967" s="208">
        <v>2026.0</v>
      </c>
      <c r="AA967" s="209" t="s">
        <v>36</v>
      </c>
    </row>
    <row r="968" ht="15.75" hidden="1" customHeight="1">
      <c r="A968" s="209" t="s">
        <v>2708</v>
      </c>
      <c r="B968" s="209" t="s">
        <v>2709</v>
      </c>
      <c r="C968" s="429">
        <v>46279.0</v>
      </c>
      <c r="D968" s="208">
        <v>14.0</v>
      </c>
      <c r="E968" s="208">
        <v>9.0</v>
      </c>
      <c r="F968" s="208">
        <v>2026.0</v>
      </c>
      <c r="G968" s="429">
        <v>46281.0</v>
      </c>
      <c r="H968" s="208">
        <v>16.0</v>
      </c>
      <c r="I968" s="208">
        <v>9.0</v>
      </c>
      <c r="J968" s="208">
        <v>2026.0</v>
      </c>
      <c r="K968" s="209" t="s">
        <v>46</v>
      </c>
      <c r="L968" s="209" t="s">
        <v>1177</v>
      </c>
      <c r="M968" s="208">
        <v>2.0</v>
      </c>
      <c r="N968" s="208">
        <v>2.0</v>
      </c>
      <c r="O968" s="201">
        <f t="shared" si="5"/>
        <v>4</v>
      </c>
      <c r="P968" s="208">
        <v>8.0</v>
      </c>
      <c r="Q968" s="429">
        <v>46279.717569444445</v>
      </c>
      <c r="R968" s="208">
        <v>14.0</v>
      </c>
      <c r="S968" s="208">
        <v>9.0</v>
      </c>
      <c r="T968" s="208">
        <v>2026.0</v>
      </c>
      <c r="U968" s="209" t="s">
        <v>245</v>
      </c>
      <c r="V968" s="209">
        <v>119.0</v>
      </c>
      <c r="W968" s="429">
        <v>46279.717569444445</v>
      </c>
      <c r="X968" s="208">
        <v>14.0</v>
      </c>
      <c r="Y968" s="208">
        <v>9.0</v>
      </c>
      <c r="Z968" s="208">
        <v>2026.0</v>
      </c>
      <c r="AA968" s="209" t="s">
        <v>245</v>
      </c>
    </row>
    <row r="969" ht="15.75" hidden="1" customHeight="1">
      <c r="A969" s="209" t="s">
        <v>2710</v>
      </c>
      <c r="B969" s="208">
        <v>5.013659431E9</v>
      </c>
      <c r="C969" s="429">
        <v>46280.0</v>
      </c>
      <c r="D969" s="208">
        <v>15.0</v>
      </c>
      <c r="E969" s="208">
        <v>9.0</v>
      </c>
      <c r="F969" s="208">
        <v>2026.0</v>
      </c>
      <c r="G969" s="429">
        <v>46281.0</v>
      </c>
      <c r="H969" s="208">
        <v>16.0</v>
      </c>
      <c r="I969" s="208">
        <v>9.0</v>
      </c>
      <c r="J969" s="208">
        <v>2026.0</v>
      </c>
      <c r="K969" s="209" t="s">
        <v>36</v>
      </c>
      <c r="L969" s="209" t="s">
        <v>1177</v>
      </c>
      <c r="M969" s="208">
        <v>1.0</v>
      </c>
      <c r="N969" s="208">
        <v>1.0</v>
      </c>
      <c r="O969" s="201">
        <f t="shared" si="5"/>
        <v>1</v>
      </c>
      <c r="P969" s="208">
        <v>2.0</v>
      </c>
      <c r="Q969" s="429">
        <v>46296.0</v>
      </c>
      <c r="R969" s="430">
        <v>1.0</v>
      </c>
      <c r="S969" s="430">
        <v>10.0</v>
      </c>
      <c r="T969" s="208">
        <v>2026.0</v>
      </c>
      <c r="U969" s="209" t="s">
        <v>36</v>
      </c>
      <c r="V969" s="209">
        <v>29.23</v>
      </c>
      <c r="W969" s="429">
        <v>46296.0</v>
      </c>
      <c r="X969" s="208">
        <v>1.0</v>
      </c>
      <c r="Y969" s="208">
        <v>10.0</v>
      </c>
      <c r="Z969" s="208">
        <v>2026.0</v>
      </c>
      <c r="AA969" s="209" t="s">
        <v>36</v>
      </c>
    </row>
    <row r="970" ht="15.75" hidden="1" customHeight="1">
      <c r="A970" s="209" t="s">
        <v>2711</v>
      </c>
      <c r="B970" s="208">
        <v>5.23567407E9</v>
      </c>
      <c r="C970" s="429">
        <v>46267.0</v>
      </c>
      <c r="D970" s="208">
        <v>2.0</v>
      </c>
      <c r="E970" s="208">
        <v>9.0</v>
      </c>
      <c r="F970" s="208">
        <v>2026.0</v>
      </c>
      <c r="G970" s="429">
        <v>46268.0</v>
      </c>
      <c r="H970" s="208">
        <v>3.0</v>
      </c>
      <c r="I970" s="208">
        <v>9.0</v>
      </c>
      <c r="J970" s="208">
        <v>2026.0</v>
      </c>
      <c r="K970" s="209" t="s">
        <v>36</v>
      </c>
      <c r="L970" s="209" t="s">
        <v>1177</v>
      </c>
      <c r="M970" s="208">
        <v>1.0</v>
      </c>
      <c r="N970" s="208">
        <v>1.0</v>
      </c>
      <c r="O970" s="201">
        <f t="shared" si="5"/>
        <v>1</v>
      </c>
      <c r="P970" s="208">
        <v>2.0</v>
      </c>
      <c r="Q970" s="429">
        <v>46296.0</v>
      </c>
      <c r="R970" s="430">
        <v>1.0</v>
      </c>
      <c r="S970" s="430">
        <v>10.0</v>
      </c>
      <c r="T970" s="208">
        <v>2026.0</v>
      </c>
      <c r="U970" s="209" t="s">
        <v>36</v>
      </c>
      <c r="V970" s="209">
        <v>29.23</v>
      </c>
      <c r="W970" s="429">
        <v>46296.0</v>
      </c>
      <c r="X970" s="208">
        <v>1.0</v>
      </c>
      <c r="Y970" s="208">
        <v>10.0</v>
      </c>
      <c r="Z970" s="208">
        <v>2026.0</v>
      </c>
      <c r="AA970" s="209" t="s">
        <v>36</v>
      </c>
    </row>
    <row r="971" ht="15.75" hidden="1" customHeight="1">
      <c r="A971" s="209" t="s">
        <v>2712</v>
      </c>
      <c r="B971" s="208">
        <v>6.509046096E9</v>
      </c>
      <c r="C971" s="429">
        <v>46266.0</v>
      </c>
      <c r="D971" s="208">
        <v>1.0</v>
      </c>
      <c r="E971" s="208">
        <v>9.0</v>
      </c>
      <c r="F971" s="208">
        <v>2026.0</v>
      </c>
      <c r="G971" s="429">
        <v>46267.0</v>
      </c>
      <c r="H971" s="208">
        <v>2.0</v>
      </c>
      <c r="I971" s="208">
        <v>9.0</v>
      </c>
      <c r="J971" s="208">
        <v>2026.0</v>
      </c>
      <c r="K971" s="209" t="s">
        <v>36</v>
      </c>
      <c r="L971" s="209" t="s">
        <v>1177</v>
      </c>
      <c r="M971" s="208">
        <v>1.0</v>
      </c>
      <c r="N971" s="208">
        <v>1.0</v>
      </c>
      <c r="O971" s="201">
        <f t="shared" si="5"/>
        <v>1</v>
      </c>
      <c r="P971" s="208">
        <v>2.0</v>
      </c>
      <c r="Q971" s="429">
        <v>46296.0</v>
      </c>
      <c r="R971" s="430">
        <v>1.0</v>
      </c>
      <c r="S971" s="430">
        <v>10.0</v>
      </c>
      <c r="T971" s="208">
        <v>2026.0</v>
      </c>
      <c r="U971" s="209" t="s">
        <v>36</v>
      </c>
      <c r="V971" s="209">
        <v>37.59</v>
      </c>
      <c r="W971" s="429">
        <v>46296.0</v>
      </c>
      <c r="X971" s="208">
        <v>1.0</v>
      </c>
      <c r="Y971" s="208">
        <v>10.0</v>
      </c>
      <c r="Z971" s="208">
        <v>2026.0</v>
      </c>
      <c r="AA971" s="209" t="s">
        <v>36</v>
      </c>
    </row>
    <row r="972" ht="15.75" hidden="1" customHeight="1">
      <c r="A972" s="209" t="s">
        <v>2713</v>
      </c>
      <c r="B972" s="209" t="s">
        <v>2714</v>
      </c>
      <c r="C972" s="429">
        <v>46284.0</v>
      </c>
      <c r="D972" s="208">
        <v>19.0</v>
      </c>
      <c r="E972" s="208">
        <v>9.0</v>
      </c>
      <c r="F972" s="208">
        <v>2026.0</v>
      </c>
      <c r="G972" s="429">
        <v>46287.0</v>
      </c>
      <c r="H972" s="208">
        <v>22.0</v>
      </c>
      <c r="I972" s="208">
        <v>9.0</v>
      </c>
      <c r="J972" s="208">
        <v>2026.0</v>
      </c>
      <c r="K972" s="209" t="s">
        <v>46</v>
      </c>
      <c r="L972" s="209" t="s">
        <v>1177</v>
      </c>
      <c r="M972" s="208">
        <v>1.0</v>
      </c>
      <c r="N972" s="208">
        <v>3.0</v>
      </c>
      <c r="O972" s="201">
        <f t="shared" si="5"/>
        <v>3</v>
      </c>
      <c r="P972" s="208">
        <v>6.0</v>
      </c>
      <c r="Q972" s="429">
        <v>46285.020520833335</v>
      </c>
      <c r="R972" s="208">
        <v>20.0</v>
      </c>
      <c r="S972" s="208">
        <v>9.0</v>
      </c>
      <c r="T972" s="208">
        <v>2026.0</v>
      </c>
      <c r="U972" s="209" t="s">
        <v>245</v>
      </c>
      <c r="V972" s="209">
        <v>106.25</v>
      </c>
      <c r="W972" s="429">
        <v>46285.020520833335</v>
      </c>
      <c r="X972" s="208">
        <v>20.0</v>
      </c>
      <c r="Y972" s="208">
        <v>9.0</v>
      </c>
      <c r="Z972" s="208">
        <v>2026.0</v>
      </c>
      <c r="AA972" s="209" t="s">
        <v>245</v>
      </c>
    </row>
    <row r="973" ht="15.75" hidden="1" customHeight="1">
      <c r="A973" s="209" t="s">
        <v>2715</v>
      </c>
      <c r="B973" s="208">
        <v>6.524369297E9</v>
      </c>
      <c r="C973" s="429">
        <v>46281.0</v>
      </c>
      <c r="D973" s="208">
        <v>16.0</v>
      </c>
      <c r="E973" s="208">
        <v>9.0</v>
      </c>
      <c r="F973" s="208">
        <v>2026.0</v>
      </c>
      <c r="G973" s="429">
        <v>46282.0</v>
      </c>
      <c r="H973" s="208">
        <v>17.0</v>
      </c>
      <c r="I973" s="208">
        <v>9.0</v>
      </c>
      <c r="J973" s="208">
        <v>2026.0</v>
      </c>
      <c r="K973" s="209" t="s">
        <v>36</v>
      </c>
      <c r="L973" s="209" t="s">
        <v>1177</v>
      </c>
      <c r="M973" s="208">
        <v>1.0</v>
      </c>
      <c r="N973" s="208">
        <v>1.0</v>
      </c>
      <c r="O973" s="201">
        <f t="shared" si="5"/>
        <v>1</v>
      </c>
      <c r="P973" s="208">
        <v>2.0</v>
      </c>
      <c r="Q973" s="429">
        <v>46296.0</v>
      </c>
      <c r="R973" s="430">
        <v>1.0</v>
      </c>
      <c r="S973" s="430">
        <v>10.0</v>
      </c>
      <c r="T973" s="208">
        <v>2026.0</v>
      </c>
      <c r="U973" s="209" t="s">
        <v>36</v>
      </c>
      <c r="V973" s="209">
        <v>29.23</v>
      </c>
      <c r="W973" s="429">
        <v>46296.0</v>
      </c>
      <c r="X973" s="208">
        <v>1.0</v>
      </c>
      <c r="Y973" s="208">
        <v>10.0</v>
      </c>
      <c r="Z973" s="208">
        <v>2026.0</v>
      </c>
      <c r="AA973" s="209" t="s">
        <v>36</v>
      </c>
    </row>
    <row r="974" ht="15.75" hidden="1" customHeight="1">
      <c r="A974" s="209" t="s">
        <v>2716</v>
      </c>
      <c r="B974" s="208">
        <v>6.004745448E9</v>
      </c>
      <c r="C974" s="429">
        <v>46281.0</v>
      </c>
      <c r="D974" s="208">
        <v>16.0</v>
      </c>
      <c r="E974" s="208">
        <v>9.0</v>
      </c>
      <c r="F974" s="208">
        <v>2026.0</v>
      </c>
      <c r="G974" s="429">
        <v>46282.0</v>
      </c>
      <c r="H974" s="208">
        <v>17.0</v>
      </c>
      <c r="I974" s="208">
        <v>9.0</v>
      </c>
      <c r="J974" s="208">
        <v>2026.0</v>
      </c>
      <c r="K974" s="209" t="s">
        <v>36</v>
      </c>
      <c r="L974" s="209" t="s">
        <v>2358</v>
      </c>
      <c r="M974" s="208">
        <v>1.0</v>
      </c>
      <c r="N974" s="208">
        <v>1.0</v>
      </c>
      <c r="O974" s="201">
        <f t="shared" si="5"/>
        <v>1</v>
      </c>
      <c r="P974" s="208">
        <v>2.0</v>
      </c>
      <c r="Q974" s="429">
        <v>46296.0</v>
      </c>
      <c r="R974" s="430">
        <v>1.0</v>
      </c>
      <c r="S974" s="430">
        <v>10.0</v>
      </c>
      <c r="T974" s="208">
        <v>2026.0</v>
      </c>
      <c r="U974" s="209" t="s">
        <v>36</v>
      </c>
      <c r="V974" s="209">
        <v>34.78</v>
      </c>
      <c r="W974" s="429">
        <v>46296.0</v>
      </c>
      <c r="X974" s="208">
        <v>1.0</v>
      </c>
      <c r="Y974" s="208">
        <v>10.0</v>
      </c>
      <c r="Z974" s="208">
        <v>2026.0</v>
      </c>
      <c r="AA974" s="209" t="s">
        <v>36</v>
      </c>
    </row>
    <row r="975" ht="15.75" hidden="1" customHeight="1">
      <c r="A975" s="209" t="s">
        <v>2716</v>
      </c>
      <c r="B975" s="208">
        <v>5.770927619E9</v>
      </c>
      <c r="C975" s="429">
        <v>46280.0</v>
      </c>
      <c r="D975" s="208">
        <v>15.0</v>
      </c>
      <c r="E975" s="208">
        <v>9.0</v>
      </c>
      <c r="F975" s="208">
        <v>2026.0</v>
      </c>
      <c r="G975" s="429">
        <v>46281.0</v>
      </c>
      <c r="H975" s="208">
        <v>16.0</v>
      </c>
      <c r="I975" s="208">
        <v>9.0</v>
      </c>
      <c r="J975" s="208">
        <v>2026.0</v>
      </c>
      <c r="K975" s="209" t="s">
        <v>36</v>
      </c>
      <c r="L975" s="209" t="s">
        <v>2358</v>
      </c>
      <c r="M975" s="208">
        <v>1.0</v>
      </c>
      <c r="N975" s="208">
        <v>1.0</v>
      </c>
      <c r="O975" s="201">
        <f t="shared" si="5"/>
        <v>1</v>
      </c>
      <c r="P975" s="208">
        <v>2.0</v>
      </c>
      <c r="Q975" s="429">
        <v>46296.0</v>
      </c>
      <c r="R975" s="430">
        <v>1.0</v>
      </c>
      <c r="S975" s="430">
        <v>10.0</v>
      </c>
      <c r="T975" s="208">
        <v>2026.0</v>
      </c>
      <c r="U975" s="209" t="s">
        <v>36</v>
      </c>
      <c r="V975" s="209">
        <v>34.78</v>
      </c>
      <c r="W975" s="429">
        <v>46296.0</v>
      </c>
      <c r="X975" s="208">
        <v>1.0</v>
      </c>
      <c r="Y975" s="208">
        <v>10.0</v>
      </c>
      <c r="Z975" s="208">
        <v>2026.0</v>
      </c>
      <c r="AA975" s="209" t="s">
        <v>36</v>
      </c>
    </row>
    <row r="976" ht="15.75" hidden="1" customHeight="1">
      <c r="A976" s="209" t="s">
        <v>2717</v>
      </c>
      <c r="B976" s="209" t="s">
        <v>2718</v>
      </c>
      <c r="C976" s="429">
        <v>46277.0</v>
      </c>
      <c r="D976" s="208">
        <v>12.0</v>
      </c>
      <c r="E976" s="208">
        <v>9.0</v>
      </c>
      <c r="F976" s="208">
        <v>2026.0</v>
      </c>
      <c r="G976" s="429">
        <v>46278.0</v>
      </c>
      <c r="H976" s="208">
        <v>13.0</v>
      </c>
      <c r="I976" s="208">
        <v>9.0</v>
      </c>
      <c r="J976" s="208">
        <v>2026.0</v>
      </c>
      <c r="K976" s="209" t="s">
        <v>51</v>
      </c>
      <c r="L976" s="209" t="s">
        <v>1177</v>
      </c>
      <c r="M976" s="208">
        <v>1.0</v>
      </c>
      <c r="N976" s="208">
        <v>1.0</v>
      </c>
      <c r="O976" s="201">
        <f t="shared" si="5"/>
        <v>1</v>
      </c>
      <c r="P976" s="208">
        <v>2.0</v>
      </c>
      <c r="Q976" s="429">
        <v>46295.0</v>
      </c>
      <c r="R976" s="430">
        <v>30.0</v>
      </c>
      <c r="S976" s="430">
        <v>9.0</v>
      </c>
      <c r="T976" s="208">
        <v>2026.0</v>
      </c>
      <c r="U976" s="209" t="s">
        <v>2</v>
      </c>
      <c r="V976" s="209">
        <v>46.47</v>
      </c>
      <c r="W976" s="429">
        <v>46295.0</v>
      </c>
      <c r="X976" s="208">
        <v>30.0</v>
      </c>
      <c r="Y976" s="208">
        <v>9.0</v>
      </c>
      <c r="Z976" s="208">
        <v>2026.0</v>
      </c>
      <c r="AA976" s="209" t="s">
        <v>2</v>
      </c>
    </row>
    <row r="977" ht="15.75" hidden="1" customHeight="1">
      <c r="A977" s="209" t="s">
        <v>2719</v>
      </c>
      <c r="B977" s="208">
        <v>6.318616365E9</v>
      </c>
      <c r="C977" s="429">
        <v>46274.0</v>
      </c>
      <c r="D977" s="208">
        <v>9.0</v>
      </c>
      <c r="E977" s="208">
        <v>9.0</v>
      </c>
      <c r="F977" s="208">
        <v>2026.0</v>
      </c>
      <c r="G977" s="429">
        <v>46275.0</v>
      </c>
      <c r="H977" s="208">
        <v>10.0</v>
      </c>
      <c r="I977" s="208">
        <v>9.0</v>
      </c>
      <c r="J977" s="208">
        <v>2026.0</v>
      </c>
      <c r="K977" s="209" t="s">
        <v>36</v>
      </c>
      <c r="L977" s="209" t="s">
        <v>1177</v>
      </c>
      <c r="M977" s="208">
        <v>1.0</v>
      </c>
      <c r="N977" s="208">
        <v>1.0</v>
      </c>
      <c r="O977" s="201">
        <f t="shared" si="5"/>
        <v>1</v>
      </c>
      <c r="P977" s="208">
        <v>2.0</v>
      </c>
      <c r="Q977" s="429">
        <v>46296.0</v>
      </c>
      <c r="R977" s="430">
        <v>1.0</v>
      </c>
      <c r="S977" s="430">
        <v>10.0</v>
      </c>
      <c r="T977" s="208">
        <v>2026.0</v>
      </c>
      <c r="U977" s="209" t="s">
        <v>36</v>
      </c>
      <c r="V977" s="209">
        <v>29.23</v>
      </c>
      <c r="W977" s="429">
        <v>46296.0</v>
      </c>
      <c r="X977" s="208">
        <v>1.0</v>
      </c>
      <c r="Y977" s="208">
        <v>10.0</v>
      </c>
      <c r="Z977" s="208">
        <v>2026.0</v>
      </c>
      <c r="AA977" s="209" t="s">
        <v>36</v>
      </c>
    </row>
    <row r="978" ht="15.75" hidden="1" customHeight="1">
      <c r="A978" s="209" t="s">
        <v>2720</v>
      </c>
      <c r="B978" s="208">
        <v>6.102215202E9</v>
      </c>
      <c r="C978" s="429">
        <v>46290.0</v>
      </c>
      <c r="D978" s="208">
        <v>25.0</v>
      </c>
      <c r="E978" s="208">
        <v>9.0</v>
      </c>
      <c r="F978" s="208">
        <v>2026.0</v>
      </c>
      <c r="G978" s="429">
        <v>46291.0</v>
      </c>
      <c r="H978" s="208">
        <v>26.0</v>
      </c>
      <c r="I978" s="208">
        <v>9.0</v>
      </c>
      <c r="J978" s="208">
        <v>2026.0</v>
      </c>
      <c r="K978" s="209" t="s">
        <v>36</v>
      </c>
      <c r="L978" s="209" t="s">
        <v>1177</v>
      </c>
      <c r="M978" s="208">
        <v>1.0</v>
      </c>
      <c r="N978" s="208">
        <v>1.0</v>
      </c>
      <c r="O978" s="201">
        <f t="shared" si="5"/>
        <v>1</v>
      </c>
      <c r="P978" s="208">
        <v>2.0</v>
      </c>
      <c r="Q978" s="429">
        <v>46296.0</v>
      </c>
      <c r="R978" s="430">
        <v>1.0</v>
      </c>
      <c r="S978" s="430">
        <v>10.0</v>
      </c>
      <c r="T978" s="208">
        <v>2026.0</v>
      </c>
      <c r="U978" s="209" t="s">
        <v>36</v>
      </c>
      <c r="V978" s="209">
        <v>45.95</v>
      </c>
      <c r="W978" s="429">
        <v>46296.0</v>
      </c>
      <c r="X978" s="208">
        <v>1.0</v>
      </c>
      <c r="Y978" s="208">
        <v>10.0</v>
      </c>
      <c r="Z978" s="208">
        <v>2026.0</v>
      </c>
      <c r="AA978" s="209" t="s">
        <v>36</v>
      </c>
    </row>
    <row r="979" ht="15.75" hidden="1" customHeight="1">
      <c r="A979" s="209" t="s">
        <v>2721</v>
      </c>
      <c r="B979" s="209" t="s">
        <v>2722</v>
      </c>
      <c r="C979" s="429">
        <v>46279.0</v>
      </c>
      <c r="D979" s="208">
        <v>14.0</v>
      </c>
      <c r="E979" s="208">
        <v>9.0</v>
      </c>
      <c r="F979" s="208">
        <v>2026.0</v>
      </c>
      <c r="G979" s="429">
        <v>46281.0</v>
      </c>
      <c r="H979" s="208">
        <v>16.0</v>
      </c>
      <c r="I979" s="208">
        <v>9.0</v>
      </c>
      <c r="J979" s="208">
        <v>2026.0</v>
      </c>
      <c r="K979" s="209" t="s">
        <v>46</v>
      </c>
      <c r="L979" s="209" t="s">
        <v>1177</v>
      </c>
      <c r="M979" s="208">
        <v>1.0</v>
      </c>
      <c r="N979" s="208">
        <v>2.0</v>
      </c>
      <c r="O979" s="201">
        <f t="shared" si="5"/>
        <v>2</v>
      </c>
      <c r="P979" s="208">
        <v>4.0</v>
      </c>
      <c r="Q979" s="429">
        <v>46280.92269675926</v>
      </c>
      <c r="R979" s="430">
        <v>15.0</v>
      </c>
      <c r="S979" s="430">
        <v>9.0</v>
      </c>
      <c r="T979" s="208">
        <v>2026.0</v>
      </c>
      <c r="U979" s="209" t="s">
        <v>245</v>
      </c>
      <c r="V979" s="209">
        <v>68.0</v>
      </c>
      <c r="W979" s="429">
        <v>46280.92269675926</v>
      </c>
      <c r="X979" s="208">
        <v>15.0</v>
      </c>
      <c r="Y979" s="208">
        <v>9.0</v>
      </c>
      <c r="Z979" s="208">
        <v>2026.0</v>
      </c>
      <c r="AA979" s="209" t="s">
        <v>245</v>
      </c>
    </row>
    <row r="980" ht="15.75" hidden="1" customHeight="1">
      <c r="A980" s="209" t="s">
        <v>2723</v>
      </c>
      <c r="B980" s="209" t="s">
        <v>2724</v>
      </c>
      <c r="C980" s="429">
        <v>46295.0</v>
      </c>
      <c r="D980" s="208">
        <v>30.0</v>
      </c>
      <c r="E980" s="208">
        <v>9.0</v>
      </c>
      <c r="F980" s="208">
        <v>2026.0</v>
      </c>
      <c r="G980" s="429">
        <v>46299.0</v>
      </c>
      <c r="H980" s="208">
        <v>4.0</v>
      </c>
      <c r="I980" s="208">
        <v>10.0</v>
      </c>
      <c r="J980" s="208">
        <v>2026.0</v>
      </c>
      <c r="K980" s="209" t="s">
        <v>46</v>
      </c>
      <c r="L980" s="209" t="s">
        <v>1177</v>
      </c>
      <c r="M980" s="208">
        <v>1.0</v>
      </c>
      <c r="N980" s="208">
        <v>4.0</v>
      </c>
      <c r="O980" s="201">
        <f t="shared" si="5"/>
        <v>4</v>
      </c>
      <c r="P980" s="208">
        <v>8.0</v>
      </c>
      <c r="Q980" s="429">
        <v>46295.98060185185</v>
      </c>
      <c r="R980" s="208">
        <v>30.0</v>
      </c>
      <c r="S980" s="208">
        <v>9.0</v>
      </c>
      <c r="T980" s="208">
        <v>2026.0</v>
      </c>
      <c r="U980" s="209" t="s">
        <v>245</v>
      </c>
      <c r="V980" s="209">
        <v>96.9</v>
      </c>
      <c r="W980" s="429">
        <v>46295.98060185185</v>
      </c>
      <c r="X980" s="208">
        <v>30.0</v>
      </c>
      <c r="Y980" s="208">
        <v>9.0</v>
      </c>
      <c r="Z980" s="208">
        <v>2026.0</v>
      </c>
      <c r="AA980" s="209" t="s">
        <v>245</v>
      </c>
    </row>
    <row r="981" ht="15.75" hidden="1" customHeight="1">
      <c r="A981" s="209" t="s">
        <v>2725</v>
      </c>
      <c r="B981" s="209" t="s">
        <v>2726</v>
      </c>
      <c r="C981" s="429">
        <v>46287.0</v>
      </c>
      <c r="D981" s="208">
        <v>22.0</v>
      </c>
      <c r="E981" s="208">
        <v>9.0</v>
      </c>
      <c r="F981" s="208">
        <v>2026.0</v>
      </c>
      <c r="G981" s="429">
        <v>46288.0</v>
      </c>
      <c r="H981" s="208">
        <v>23.0</v>
      </c>
      <c r="I981" s="208">
        <v>9.0</v>
      </c>
      <c r="J981" s="208">
        <v>2026.0</v>
      </c>
      <c r="K981" s="209" t="s">
        <v>46</v>
      </c>
      <c r="L981" s="209" t="s">
        <v>1177</v>
      </c>
      <c r="M981" s="208">
        <v>1.0</v>
      </c>
      <c r="N981" s="208">
        <v>1.0</v>
      </c>
      <c r="O981" s="201">
        <f t="shared" si="5"/>
        <v>1</v>
      </c>
      <c r="P981" s="208">
        <v>2.0</v>
      </c>
      <c r="Q981" s="429">
        <v>46289.428506944445</v>
      </c>
      <c r="R981" s="430">
        <v>24.0</v>
      </c>
      <c r="S981" s="430">
        <v>9.0</v>
      </c>
      <c r="T981" s="208">
        <v>2026.0</v>
      </c>
      <c r="U981" s="209" t="s">
        <v>245</v>
      </c>
      <c r="V981" s="209">
        <v>25.5</v>
      </c>
      <c r="W981" s="429">
        <v>46289.428506944445</v>
      </c>
      <c r="X981" s="208">
        <v>24.0</v>
      </c>
      <c r="Y981" s="208">
        <v>9.0</v>
      </c>
      <c r="Z981" s="208">
        <v>2026.0</v>
      </c>
      <c r="AA981" s="209" t="s">
        <v>245</v>
      </c>
    </row>
    <row r="982" ht="15.75" hidden="1" customHeight="1">
      <c r="A982" s="209" t="s">
        <v>2727</v>
      </c>
      <c r="B982" s="208">
        <v>6.636501291E9</v>
      </c>
      <c r="C982" s="429">
        <v>46266.0</v>
      </c>
      <c r="D982" s="208">
        <v>1.0</v>
      </c>
      <c r="E982" s="208">
        <v>9.0</v>
      </c>
      <c r="F982" s="208">
        <v>2026.0</v>
      </c>
      <c r="G982" s="429">
        <v>46267.0</v>
      </c>
      <c r="H982" s="208">
        <v>2.0</v>
      </c>
      <c r="I982" s="208">
        <v>9.0</v>
      </c>
      <c r="J982" s="208">
        <v>2026.0</v>
      </c>
      <c r="K982" s="209" t="s">
        <v>36</v>
      </c>
      <c r="L982" s="209" t="s">
        <v>1177</v>
      </c>
      <c r="M982" s="208">
        <v>1.0</v>
      </c>
      <c r="N982" s="208">
        <v>1.0</v>
      </c>
      <c r="O982" s="201">
        <f t="shared" si="5"/>
        <v>1</v>
      </c>
      <c r="P982" s="208">
        <v>2.0</v>
      </c>
      <c r="Q982" s="429">
        <v>46296.0</v>
      </c>
      <c r="R982" s="430">
        <v>1.0</v>
      </c>
      <c r="S982" s="430">
        <v>10.0</v>
      </c>
      <c r="T982" s="208">
        <v>2026.0</v>
      </c>
      <c r="U982" s="209" t="s">
        <v>36</v>
      </c>
      <c r="V982" s="209">
        <v>26.72</v>
      </c>
      <c r="W982" s="429">
        <v>46296.0</v>
      </c>
      <c r="X982" s="208">
        <v>1.0</v>
      </c>
      <c r="Y982" s="208">
        <v>10.0</v>
      </c>
      <c r="Z982" s="208">
        <v>2026.0</v>
      </c>
      <c r="AA982" s="209" t="s">
        <v>36</v>
      </c>
    </row>
    <row r="983" ht="15.75" hidden="1" customHeight="1">
      <c r="A983" s="209" t="s">
        <v>2728</v>
      </c>
      <c r="B983" s="209" t="s">
        <v>2729</v>
      </c>
      <c r="C983" s="429">
        <v>46268.0</v>
      </c>
      <c r="D983" s="208">
        <v>3.0</v>
      </c>
      <c r="E983" s="208">
        <v>9.0</v>
      </c>
      <c r="F983" s="208">
        <v>2026.0</v>
      </c>
      <c r="G983" s="429">
        <v>46270.0</v>
      </c>
      <c r="H983" s="208">
        <v>5.0</v>
      </c>
      <c r="I983" s="208">
        <v>9.0</v>
      </c>
      <c r="J983" s="208">
        <v>2026.0</v>
      </c>
      <c r="K983" s="209" t="s">
        <v>46</v>
      </c>
      <c r="L983" s="209" t="s">
        <v>1177</v>
      </c>
      <c r="M983" s="208">
        <v>1.0</v>
      </c>
      <c r="N983" s="208">
        <v>2.0</v>
      </c>
      <c r="O983" s="201">
        <f t="shared" si="5"/>
        <v>2</v>
      </c>
      <c r="P983" s="208">
        <v>4.0</v>
      </c>
      <c r="Q983" s="429">
        <v>46269.62153935185</v>
      </c>
      <c r="R983" s="430">
        <v>4.0</v>
      </c>
      <c r="S983" s="430">
        <v>9.0</v>
      </c>
      <c r="T983" s="208">
        <v>2026.0</v>
      </c>
      <c r="U983" s="209" t="s">
        <v>245</v>
      </c>
      <c r="V983" s="209">
        <v>76.5</v>
      </c>
      <c r="W983" s="429">
        <v>46269.62153935185</v>
      </c>
      <c r="X983" s="208">
        <v>4.0</v>
      </c>
      <c r="Y983" s="208">
        <v>9.0</v>
      </c>
      <c r="Z983" s="208">
        <v>2026.0</v>
      </c>
      <c r="AA983" s="209" t="s">
        <v>245</v>
      </c>
    </row>
    <row r="984" ht="15.75" hidden="1" customHeight="1">
      <c r="A984" s="209" t="s">
        <v>2730</v>
      </c>
      <c r="B984" s="209" t="s">
        <v>2731</v>
      </c>
      <c r="C984" s="429">
        <v>46283.0</v>
      </c>
      <c r="D984" s="208">
        <v>18.0</v>
      </c>
      <c r="E984" s="208">
        <v>9.0</v>
      </c>
      <c r="F984" s="208">
        <v>2026.0</v>
      </c>
      <c r="G984" s="429">
        <v>46286.0</v>
      </c>
      <c r="H984" s="208">
        <v>21.0</v>
      </c>
      <c r="I984" s="208">
        <v>9.0</v>
      </c>
      <c r="J984" s="208">
        <v>2026.0</v>
      </c>
      <c r="K984" s="209" t="s">
        <v>46</v>
      </c>
      <c r="L984" s="209" t="s">
        <v>1177</v>
      </c>
      <c r="M984" s="208">
        <v>1.0</v>
      </c>
      <c r="N984" s="208">
        <v>3.0</v>
      </c>
      <c r="O984" s="201">
        <f t="shared" si="5"/>
        <v>3</v>
      </c>
      <c r="P984" s="208">
        <v>6.0</v>
      </c>
      <c r="Q984" s="429">
        <v>46285.024976851855</v>
      </c>
      <c r="R984" s="208">
        <v>20.0</v>
      </c>
      <c r="S984" s="208">
        <v>9.0</v>
      </c>
      <c r="T984" s="208">
        <v>2026.0</v>
      </c>
      <c r="U984" s="209" t="s">
        <v>245</v>
      </c>
      <c r="V984" s="209">
        <v>96.9</v>
      </c>
      <c r="W984" s="429">
        <v>46285.024976851855</v>
      </c>
      <c r="X984" s="208">
        <v>20.0</v>
      </c>
      <c r="Y984" s="208">
        <v>9.0</v>
      </c>
      <c r="Z984" s="208">
        <v>2026.0</v>
      </c>
      <c r="AA984" s="209" t="s">
        <v>245</v>
      </c>
    </row>
    <row r="985" ht="15.75" hidden="1" customHeight="1">
      <c r="A985" s="209" t="s">
        <v>2732</v>
      </c>
      <c r="B985" s="208">
        <v>6.153657489E9</v>
      </c>
      <c r="C985" s="429">
        <v>46267.0</v>
      </c>
      <c r="D985" s="208">
        <v>2.0</v>
      </c>
      <c r="E985" s="208">
        <v>9.0</v>
      </c>
      <c r="F985" s="208">
        <v>2026.0</v>
      </c>
      <c r="G985" s="429">
        <v>46268.0</v>
      </c>
      <c r="H985" s="208">
        <v>3.0</v>
      </c>
      <c r="I985" s="208">
        <v>9.0</v>
      </c>
      <c r="J985" s="208">
        <v>2026.0</v>
      </c>
      <c r="K985" s="209" t="s">
        <v>36</v>
      </c>
      <c r="L985" s="209" t="s">
        <v>1177</v>
      </c>
      <c r="M985" s="208">
        <v>1.0</v>
      </c>
      <c r="N985" s="208">
        <v>1.0</v>
      </c>
      <c r="O985" s="201">
        <f t="shared" si="5"/>
        <v>1</v>
      </c>
      <c r="P985" s="208">
        <v>2.0</v>
      </c>
      <c r="Q985" s="429">
        <v>46296.0</v>
      </c>
      <c r="R985" s="430">
        <v>1.0</v>
      </c>
      <c r="S985" s="430">
        <v>10.0</v>
      </c>
      <c r="T985" s="208">
        <v>2026.0</v>
      </c>
      <c r="U985" s="209" t="s">
        <v>36</v>
      </c>
      <c r="V985" s="209">
        <v>37.59</v>
      </c>
      <c r="W985" s="429">
        <v>46296.0</v>
      </c>
      <c r="X985" s="208">
        <v>1.0</v>
      </c>
      <c r="Y985" s="208">
        <v>10.0</v>
      </c>
      <c r="Z985" s="208">
        <v>2026.0</v>
      </c>
      <c r="AA985" s="209" t="s">
        <v>36</v>
      </c>
    </row>
    <row r="986" ht="15.75" hidden="1" customHeight="1">
      <c r="A986" s="209" t="s">
        <v>2733</v>
      </c>
      <c r="B986" s="209" t="s">
        <v>2734</v>
      </c>
      <c r="C986" s="429">
        <v>46278.0</v>
      </c>
      <c r="D986" s="208">
        <v>13.0</v>
      </c>
      <c r="E986" s="208">
        <v>9.0</v>
      </c>
      <c r="F986" s="208">
        <v>2026.0</v>
      </c>
      <c r="G986" s="429">
        <v>46280.0</v>
      </c>
      <c r="H986" s="208">
        <v>15.0</v>
      </c>
      <c r="I986" s="208">
        <v>9.0</v>
      </c>
      <c r="J986" s="208">
        <v>2026.0</v>
      </c>
      <c r="K986" s="209" t="s">
        <v>46</v>
      </c>
      <c r="L986" s="209" t="s">
        <v>1177</v>
      </c>
      <c r="M986" s="208">
        <v>2.0</v>
      </c>
      <c r="N986" s="208">
        <v>2.0</v>
      </c>
      <c r="O986" s="201">
        <f t="shared" si="5"/>
        <v>4</v>
      </c>
      <c r="P986" s="208">
        <v>8.0</v>
      </c>
      <c r="Q986" s="429">
        <v>46280.44789351852</v>
      </c>
      <c r="R986" s="208">
        <v>15.0</v>
      </c>
      <c r="S986" s="208">
        <v>9.0</v>
      </c>
      <c r="T986" s="208">
        <v>2026.0</v>
      </c>
      <c r="U986" s="209" t="s">
        <v>262</v>
      </c>
      <c r="V986" s="209">
        <v>119.0</v>
      </c>
      <c r="W986" s="429">
        <v>46280.44789351852</v>
      </c>
      <c r="X986" s="208">
        <v>15.0</v>
      </c>
      <c r="Y986" s="208">
        <v>9.0</v>
      </c>
      <c r="Z986" s="208">
        <v>2026.0</v>
      </c>
      <c r="AA986" s="209" t="s">
        <v>262</v>
      </c>
    </row>
    <row r="987" ht="15.75" hidden="1" customHeight="1">
      <c r="A987" s="209" t="s">
        <v>2735</v>
      </c>
      <c r="B987" s="208">
        <v>6.884209941E9</v>
      </c>
      <c r="C987" s="429">
        <v>46279.0</v>
      </c>
      <c r="D987" s="208">
        <v>14.0</v>
      </c>
      <c r="E987" s="208">
        <v>9.0</v>
      </c>
      <c r="F987" s="208">
        <v>2026.0</v>
      </c>
      <c r="G987" s="429">
        <v>46280.0</v>
      </c>
      <c r="H987" s="208">
        <v>15.0</v>
      </c>
      <c r="I987" s="208">
        <v>9.0</v>
      </c>
      <c r="J987" s="208">
        <v>2026.0</v>
      </c>
      <c r="K987" s="209" t="s">
        <v>36</v>
      </c>
      <c r="L987" s="209" t="s">
        <v>1177</v>
      </c>
      <c r="M987" s="208">
        <v>1.0</v>
      </c>
      <c r="N987" s="208">
        <v>1.0</v>
      </c>
      <c r="O987" s="201">
        <f t="shared" si="5"/>
        <v>1</v>
      </c>
      <c r="P987" s="208">
        <v>2.0</v>
      </c>
      <c r="Q987" s="429">
        <v>46296.0</v>
      </c>
      <c r="R987" s="430">
        <v>1.0</v>
      </c>
      <c r="S987" s="430">
        <v>10.0</v>
      </c>
      <c r="T987" s="208">
        <v>2026.0</v>
      </c>
      <c r="U987" s="209" t="s">
        <v>36</v>
      </c>
      <c r="V987" s="209">
        <v>45.95</v>
      </c>
      <c r="W987" s="429">
        <v>46296.0</v>
      </c>
      <c r="X987" s="208">
        <v>1.0</v>
      </c>
      <c r="Y987" s="208">
        <v>10.0</v>
      </c>
      <c r="Z987" s="208">
        <v>2026.0</v>
      </c>
      <c r="AA987" s="209" t="s">
        <v>36</v>
      </c>
    </row>
    <row r="988" ht="15.75" hidden="1" customHeight="1">
      <c r="A988" s="209" t="s">
        <v>2736</v>
      </c>
      <c r="B988" s="208">
        <v>5.974468789E9</v>
      </c>
      <c r="C988" s="429">
        <v>46277.0</v>
      </c>
      <c r="D988" s="208">
        <v>12.0</v>
      </c>
      <c r="E988" s="208">
        <v>9.0</v>
      </c>
      <c r="F988" s="208">
        <v>2026.0</v>
      </c>
      <c r="G988" s="429">
        <v>46278.0</v>
      </c>
      <c r="H988" s="208">
        <v>13.0</v>
      </c>
      <c r="I988" s="208">
        <v>9.0</v>
      </c>
      <c r="J988" s="208">
        <v>2026.0</v>
      </c>
      <c r="K988" s="209" t="s">
        <v>36</v>
      </c>
      <c r="L988" s="209" t="s">
        <v>1177</v>
      </c>
      <c r="M988" s="208">
        <v>1.0</v>
      </c>
      <c r="N988" s="208">
        <v>1.0</v>
      </c>
      <c r="O988" s="201">
        <f t="shared" si="5"/>
        <v>1</v>
      </c>
      <c r="P988" s="208">
        <v>2.0</v>
      </c>
      <c r="Q988" s="429">
        <v>46296.0</v>
      </c>
      <c r="R988" s="430">
        <v>1.0</v>
      </c>
      <c r="S988" s="430">
        <v>10.0</v>
      </c>
      <c r="T988" s="208">
        <v>2026.0</v>
      </c>
      <c r="U988" s="209" t="s">
        <v>36</v>
      </c>
      <c r="V988" s="209">
        <v>45.95</v>
      </c>
      <c r="W988" s="429">
        <v>46296.0</v>
      </c>
      <c r="X988" s="208">
        <v>1.0</v>
      </c>
      <c r="Y988" s="208">
        <v>10.0</v>
      </c>
      <c r="Z988" s="208">
        <v>2026.0</v>
      </c>
      <c r="AA988" s="209" t="s">
        <v>36</v>
      </c>
    </row>
    <row r="989" ht="15.75" hidden="1" customHeight="1">
      <c r="A989" s="209" t="s">
        <v>2737</v>
      </c>
      <c r="B989" s="209" t="s">
        <v>2738</v>
      </c>
      <c r="C989" s="429">
        <v>46270.0</v>
      </c>
      <c r="D989" s="208">
        <v>5.0</v>
      </c>
      <c r="E989" s="208">
        <v>9.0</v>
      </c>
      <c r="F989" s="208">
        <v>2026.0</v>
      </c>
      <c r="G989" s="429">
        <v>46273.0</v>
      </c>
      <c r="H989" s="208">
        <v>8.0</v>
      </c>
      <c r="I989" s="208">
        <v>9.0</v>
      </c>
      <c r="J989" s="208">
        <v>2026.0</v>
      </c>
      <c r="K989" s="209" t="s">
        <v>46</v>
      </c>
      <c r="L989" s="209" t="s">
        <v>1177</v>
      </c>
      <c r="M989" s="208">
        <v>1.0</v>
      </c>
      <c r="N989" s="208">
        <v>3.0</v>
      </c>
      <c r="O989" s="201">
        <f t="shared" si="5"/>
        <v>3</v>
      </c>
      <c r="P989" s="208">
        <v>6.0</v>
      </c>
      <c r="Q989" s="429">
        <v>46270.730578703704</v>
      </c>
      <c r="R989" s="208">
        <v>5.0</v>
      </c>
      <c r="S989" s="208">
        <v>9.0</v>
      </c>
      <c r="T989" s="208">
        <v>2026.0</v>
      </c>
      <c r="U989" s="209" t="s">
        <v>12</v>
      </c>
      <c r="V989" s="209">
        <v>114.75</v>
      </c>
      <c r="W989" s="429">
        <v>46270.730578703704</v>
      </c>
      <c r="X989" s="208">
        <v>5.0</v>
      </c>
      <c r="Y989" s="208">
        <v>9.0</v>
      </c>
      <c r="Z989" s="208">
        <v>2026.0</v>
      </c>
      <c r="AA989" s="209" t="s">
        <v>12</v>
      </c>
    </row>
    <row r="990" ht="15.75" hidden="1" customHeight="1">
      <c r="A990" s="209" t="s">
        <v>2739</v>
      </c>
      <c r="B990" s="209" t="s">
        <v>2740</v>
      </c>
      <c r="C990" s="429">
        <v>46270.0</v>
      </c>
      <c r="D990" s="208">
        <v>5.0</v>
      </c>
      <c r="E990" s="208">
        <v>9.0</v>
      </c>
      <c r="F990" s="208">
        <v>2026.0</v>
      </c>
      <c r="G990" s="429">
        <v>46271.0</v>
      </c>
      <c r="H990" s="208">
        <v>6.0</v>
      </c>
      <c r="I990" s="208">
        <v>9.0</v>
      </c>
      <c r="J990" s="208">
        <v>2026.0</v>
      </c>
      <c r="K990" s="209" t="s">
        <v>46</v>
      </c>
      <c r="L990" s="209" t="s">
        <v>1177</v>
      </c>
      <c r="M990" s="208">
        <v>1.0</v>
      </c>
      <c r="N990" s="208">
        <v>1.0</v>
      </c>
      <c r="O990" s="201">
        <f t="shared" si="5"/>
        <v>1</v>
      </c>
      <c r="P990" s="208">
        <v>2.0</v>
      </c>
      <c r="Q990" s="429">
        <v>46271.28449074074</v>
      </c>
      <c r="R990" s="430">
        <v>6.0</v>
      </c>
      <c r="S990" s="430">
        <v>9.0</v>
      </c>
      <c r="T990" s="208">
        <v>2026.0</v>
      </c>
      <c r="U990" s="209" t="s">
        <v>245</v>
      </c>
      <c r="V990" s="209">
        <v>29.75</v>
      </c>
      <c r="W990" s="429">
        <v>46271.28449074074</v>
      </c>
      <c r="X990" s="208">
        <v>6.0</v>
      </c>
      <c r="Y990" s="208">
        <v>9.0</v>
      </c>
      <c r="Z990" s="208">
        <v>2026.0</v>
      </c>
      <c r="AA990" s="209" t="s">
        <v>245</v>
      </c>
    </row>
    <row r="991" ht="15.75" hidden="1" customHeight="1">
      <c r="A991" s="209" t="s">
        <v>2741</v>
      </c>
      <c r="B991" s="209" t="s">
        <v>2742</v>
      </c>
      <c r="C991" s="429">
        <v>46282.0</v>
      </c>
      <c r="D991" s="208">
        <v>17.0</v>
      </c>
      <c r="E991" s="208">
        <v>9.0</v>
      </c>
      <c r="F991" s="208">
        <v>2026.0</v>
      </c>
      <c r="G991" s="429">
        <v>46285.0</v>
      </c>
      <c r="H991" s="208">
        <v>20.0</v>
      </c>
      <c r="I991" s="208">
        <v>9.0</v>
      </c>
      <c r="J991" s="208">
        <v>2026.0</v>
      </c>
      <c r="K991" s="209" t="s">
        <v>46</v>
      </c>
      <c r="L991" s="209" t="s">
        <v>1177</v>
      </c>
      <c r="M991" s="208">
        <v>1.0</v>
      </c>
      <c r="N991" s="208">
        <v>3.0</v>
      </c>
      <c r="O991" s="201">
        <f t="shared" si="5"/>
        <v>3</v>
      </c>
      <c r="P991" s="208">
        <v>6.0</v>
      </c>
      <c r="Q991" s="429">
        <v>46284.31159722222</v>
      </c>
      <c r="R991" s="208">
        <v>19.0</v>
      </c>
      <c r="S991" s="208">
        <v>9.0</v>
      </c>
      <c r="T991" s="208">
        <v>2026.0</v>
      </c>
      <c r="U991" s="209" t="s">
        <v>245</v>
      </c>
      <c r="V991" s="209">
        <v>89.25</v>
      </c>
      <c r="W991" s="429">
        <v>46284.31159722222</v>
      </c>
      <c r="X991" s="208">
        <v>19.0</v>
      </c>
      <c r="Y991" s="208">
        <v>9.0</v>
      </c>
      <c r="Z991" s="208">
        <v>2026.0</v>
      </c>
      <c r="AA991" s="209" t="s">
        <v>245</v>
      </c>
    </row>
    <row r="992" ht="15.75" hidden="1" customHeight="1">
      <c r="A992" s="209" t="s">
        <v>2743</v>
      </c>
      <c r="B992" s="209" t="s">
        <v>2744</v>
      </c>
      <c r="C992" s="429">
        <v>46270.0</v>
      </c>
      <c r="D992" s="208">
        <v>5.0</v>
      </c>
      <c r="E992" s="208">
        <v>9.0</v>
      </c>
      <c r="F992" s="208">
        <v>2026.0</v>
      </c>
      <c r="G992" s="429">
        <v>46271.0</v>
      </c>
      <c r="H992" s="208">
        <v>6.0</v>
      </c>
      <c r="I992" s="208">
        <v>9.0</v>
      </c>
      <c r="J992" s="208">
        <v>2026.0</v>
      </c>
      <c r="K992" s="209" t="s">
        <v>51</v>
      </c>
      <c r="L992" s="209" t="s">
        <v>1177</v>
      </c>
      <c r="M992" s="208">
        <v>1.0</v>
      </c>
      <c r="N992" s="208">
        <v>1.0</v>
      </c>
      <c r="O992" s="201">
        <f t="shared" si="5"/>
        <v>1</v>
      </c>
      <c r="P992" s="208">
        <v>2.0</v>
      </c>
      <c r="Q992" s="429">
        <v>46295.0</v>
      </c>
      <c r="R992" s="430">
        <v>30.0</v>
      </c>
      <c r="S992" s="430">
        <v>9.0</v>
      </c>
      <c r="T992" s="208">
        <v>2026.0</v>
      </c>
      <c r="U992" s="209" t="s">
        <v>2</v>
      </c>
      <c r="V992" s="209">
        <v>29.57</v>
      </c>
      <c r="W992" s="429">
        <v>46295.0</v>
      </c>
      <c r="X992" s="208">
        <v>30.0</v>
      </c>
      <c r="Y992" s="208">
        <v>9.0</v>
      </c>
      <c r="Z992" s="208">
        <v>2026.0</v>
      </c>
      <c r="AA992" s="209" t="s">
        <v>2</v>
      </c>
    </row>
    <row r="993" ht="15.75" hidden="1" customHeight="1">
      <c r="A993" s="209" t="s">
        <v>2745</v>
      </c>
      <c r="B993" s="208">
        <v>5.712024706E9</v>
      </c>
      <c r="C993" s="429">
        <v>46291.0</v>
      </c>
      <c r="D993" s="208">
        <v>26.0</v>
      </c>
      <c r="E993" s="208">
        <v>9.0</v>
      </c>
      <c r="F993" s="208">
        <v>2026.0</v>
      </c>
      <c r="G993" s="429">
        <v>46292.0</v>
      </c>
      <c r="H993" s="208">
        <v>27.0</v>
      </c>
      <c r="I993" s="208">
        <v>9.0</v>
      </c>
      <c r="J993" s="208">
        <v>2026.0</v>
      </c>
      <c r="K993" s="209" t="s">
        <v>36</v>
      </c>
      <c r="L993" s="209" t="s">
        <v>1177</v>
      </c>
      <c r="M993" s="208">
        <v>1.0</v>
      </c>
      <c r="N993" s="208">
        <v>1.0</v>
      </c>
      <c r="O993" s="201">
        <f t="shared" si="5"/>
        <v>1</v>
      </c>
      <c r="P993" s="208">
        <v>2.0</v>
      </c>
      <c r="Q993" s="429">
        <v>46296.0</v>
      </c>
      <c r="R993" s="430">
        <v>1.0</v>
      </c>
      <c r="S993" s="430">
        <v>10.0</v>
      </c>
      <c r="T993" s="208">
        <v>2026.0</v>
      </c>
      <c r="U993" s="209" t="s">
        <v>36</v>
      </c>
      <c r="V993" s="209">
        <v>29.23</v>
      </c>
      <c r="W993" s="429">
        <v>46296.0</v>
      </c>
      <c r="X993" s="208">
        <v>1.0</v>
      </c>
      <c r="Y993" s="208">
        <v>10.0</v>
      </c>
      <c r="Z993" s="208">
        <v>2026.0</v>
      </c>
      <c r="AA993" s="209" t="s">
        <v>36</v>
      </c>
    </row>
    <row r="994" ht="15.75" hidden="1" customHeight="1">
      <c r="A994" s="209" t="s">
        <v>2746</v>
      </c>
      <c r="B994" s="208">
        <v>5.903420923E9</v>
      </c>
      <c r="C994" s="429">
        <v>46294.0</v>
      </c>
      <c r="D994" s="208">
        <v>29.0</v>
      </c>
      <c r="E994" s="208">
        <v>9.0</v>
      </c>
      <c r="F994" s="208">
        <v>2026.0</v>
      </c>
      <c r="G994" s="429">
        <v>46295.0</v>
      </c>
      <c r="H994" s="208">
        <v>30.0</v>
      </c>
      <c r="I994" s="208">
        <v>9.0</v>
      </c>
      <c r="J994" s="208">
        <v>2026.0</v>
      </c>
      <c r="K994" s="209" t="s">
        <v>36</v>
      </c>
      <c r="L994" s="209" t="s">
        <v>1177</v>
      </c>
      <c r="M994" s="208">
        <v>1.0</v>
      </c>
      <c r="N994" s="208">
        <v>1.0</v>
      </c>
      <c r="O994" s="201">
        <f t="shared" si="5"/>
        <v>1</v>
      </c>
      <c r="P994" s="208">
        <v>2.0</v>
      </c>
      <c r="Q994" s="429">
        <v>46296.0</v>
      </c>
      <c r="R994" s="430">
        <v>1.0</v>
      </c>
      <c r="S994" s="430">
        <v>10.0</v>
      </c>
      <c r="T994" s="208">
        <v>2026.0</v>
      </c>
      <c r="U994" s="209" t="s">
        <v>36</v>
      </c>
      <c r="V994" s="209">
        <v>37.59</v>
      </c>
      <c r="W994" s="429">
        <v>46296.0</v>
      </c>
      <c r="X994" s="208">
        <v>1.0</v>
      </c>
      <c r="Y994" s="208">
        <v>10.0</v>
      </c>
      <c r="Z994" s="208">
        <v>2026.0</v>
      </c>
      <c r="AA994" s="209" t="s">
        <v>36</v>
      </c>
    </row>
    <row r="995" ht="15.75" hidden="1" customHeight="1">
      <c r="A995" s="209" t="s">
        <v>2747</v>
      </c>
      <c r="B995" s="208">
        <v>5.302563904E9</v>
      </c>
      <c r="C995" s="429">
        <v>46273.0</v>
      </c>
      <c r="D995" s="208">
        <v>8.0</v>
      </c>
      <c r="E995" s="208">
        <v>9.0</v>
      </c>
      <c r="F995" s="208">
        <v>2026.0</v>
      </c>
      <c r="G995" s="429">
        <v>46274.0</v>
      </c>
      <c r="H995" s="208">
        <v>9.0</v>
      </c>
      <c r="I995" s="208">
        <v>9.0</v>
      </c>
      <c r="J995" s="208">
        <v>2026.0</v>
      </c>
      <c r="K995" s="209" t="s">
        <v>36</v>
      </c>
      <c r="L995" s="209" t="s">
        <v>2358</v>
      </c>
      <c r="M995" s="208">
        <v>1.0</v>
      </c>
      <c r="N995" s="208">
        <v>1.0</v>
      </c>
      <c r="O995" s="201">
        <f t="shared" si="5"/>
        <v>1</v>
      </c>
      <c r="P995" s="208">
        <v>2.0</v>
      </c>
      <c r="Q995" s="429">
        <v>46296.0</v>
      </c>
      <c r="R995" s="430">
        <v>1.0</v>
      </c>
      <c r="S995" s="430">
        <v>10.0</v>
      </c>
      <c r="T995" s="208">
        <v>2026.0</v>
      </c>
      <c r="U995" s="209" t="s">
        <v>36</v>
      </c>
      <c r="V995" s="209">
        <v>27.26</v>
      </c>
      <c r="W995" s="429">
        <v>46296.0</v>
      </c>
      <c r="X995" s="208">
        <v>1.0</v>
      </c>
      <c r="Y995" s="208">
        <v>10.0</v>
      </c>
      <c r="Z995" s="208">
        <v>2026.0</v>
      </c>
      <c r="AA995" s="209" t="s">
        <v>36</v>
      </c>
    </row>
    <row r="996" ht="15.75" hidden="1" customHeight="1">
      <c r="A996" s="209" t="s">
        <v>2748</v>
      </c>
      <c r="B996" s="208">
        <v>5.341905105E9</v>
      </c>
      <c r="C996" s="429">
        <v>46284.0</v>
      </c>
      <c r="D996" s="208">
        <v>19.0</v>
      </c>
      <c r="E996" s="208">
        <v>9.0</v>
      </c>
      <c r="F996" s="208">
        <v>2026.0</v>
      </c>
      <c r="G996" s="429">
        <v>46285.0</v>
      </c>
      <c r="H996" s="208">
        <v>20.0</v>
      </c>
      <c r="I996" s="208">
        <v>9.0</v>
      </c>
      <c r="J996" s="208">
        <v>2026.0</v>
      </c>
      <c r="K996" s="209" t="s">
        <v>36</v>
      </c>
      <c r="L996" s="209" t="s">
        <v>1177</v>
      </c>
      <c r="M996" s="208">
        <v>1.0</v>
      </c>
      <c r="N996" s="208">
        <v>1.0</v>
      </c>
      <c r="O996" s="201">
        <f t="shared" si="5"/>
        <v>1</v>
      </c>
      <c r="P996" s="208">
        <v>2.0</v>
      </c>
      <c r="Q996" s="429">
        <v>46296.0</v>
      </c>
      <c r="R996" s="430">
        <v>1.0</v>
      </c>
      <c r="S996" s="430">
        <v>10.0</v>
      </c>
      <c r="T996" s="208">
        <v>2026.0</v>
      </c>
      <c r="U996" s="209" t="s">
        <v>36</v>
      </c>
      <c r="V996" s="209">
        <v>29.23</v>
      </c>
      <c r="W996" s="429">
        <v>46296.0</v>
      </c>
      <c r="X996" s="208">
        <v>1.0</v>
      </c>
      <c r="Y996" s="208">
        <v>10.0</v>
      </c>
      <c r="Z996" s="208">
        <v>2026.0</v>
      </c>
      <c r="AA996" s="209" t="s">
        <v>36</v>
      </c>
    </row>
    <row r="997" ht="15.75" hidden="1" customHeight="1">
      <c r="A997" s="209" t="s">
        <v>2749</v>
      </c>
      <c r="B997" s="208">
        <v>6.042703449E9</v>
      </c>
      <c r="C997" s="429">
        <v>46273.0</v>
      </c>
      <c r="D997" s="208">
        <v>8.0</v>
      </c>
      <c r="E997" s="208">
        <v>9.0</v>
      </c>
      <c r="F997" s="208">
        <v>2026.0</v>
      </c>
      <c r="G997" s="429">
        <v>46274.0</v>
      </c>
      <c r="H997" s="208">
        <v>9.0</v>
      </c>
      <c r="I997" s="208">
        <v>9.0</v>
      </c>
      <c r="J997" s="208">
        <v>2026.0</v>
      </c>
      <c r="K997" s="209" t="s">
        <v>36</v>
      </c>
      <c r="L997" s="209" t="s">
        <v>1177</v>
      </c>
      <c r="M997" s="208">
        <v>1.0</v>
      </c>
      <c r="N997" s="208">
        <v>1.0</v>
      </c>
      <c r="O997" s="201">
        <f t="shared" si="5"/>
        <v>1</v>
      </c>
      <c r="P997" s="208">
        <v>2.0</v>
      </c>
      <c r="Q997" s="429">
        <v>46296.0</v>
      </c>
      <c r="R997" s="430">
        <v>1.0</v>
      </c>
      <c r="S997" s="430">
        <v>10.0</v>
      </c>
      <c r="T997" s="208">
        <v>2026.0</v>
      </c>
      <c r="U997" s="209" t="s">
        <v>36</v>
      </c>
      <c r="V997" s="209">
        <v>29.23</v>
      </c>
      <c r="W997" s="429">
        <v>46296.0</v>
      </c>
      <c r="X997" s="208">
        <v>1.0</v>
      </c>
      <c r="Y997" s="208">
        <v>10.0</v>
      </c>
      <c r="Z997" s="208">
        <v>2026.0</v>
      </c>
      <c r="AA997" s="209" t="s">
        <v>36</v>
      </c>
    </row>
    <row r="998" ht="15.75" hidden="1" customHeight="1">
      <c r="A998" s="209" t="s">
        <v>2750</v>
      </c>
      <c r="B998" s="208">
        <v>6.455441189E9</v>
      </c>
      <c r="C998" s="429">
        <v>46266.0</v>
      </c>
      <c r="D998" s="208">
        <v>1.0</v>
      </c>
      <c r="E998" s="208">
        <v>9.0</v>
      </c>
      <c r="F998" s="208">
        <v>2026.0</v>
      </c>
      <c r="G998" s="429">
        <v>46267.0</v>
      </c>
      <c r="H998" s="208">
        <v>2.0</v>
      </c>
      <c r="I998" s="208">
        <v>9.0</v>
      </c>
      <c r="J998" s="208">
        <v>2026.0</v>
      </c>
      <c r="K998" s="209" t="s">
        <v>36</v>
      </c>
      <c r="L998" s="209" t="s">
        <v>1177</v>
      </c>
      <c r="M998" s="208">
        <v>1.0</v>
      </c>
      <c r="N998" s="208">
        <v>1.0</v>
      </c>
      <c r="O998" s="201">
        <f t="shared" si="5"/>
        <v>1</v>
      </c>
      <c r="P998" s="208">
        <v>2.0</v>
      </c>
      <c r="Q998" s="429">
        <v>46296.0</v>
      </c>
      <c r="R998" s="430">
        <v>1.0</v>
      </c>
      <c r="S998" s="430">
        <v>10.0</v>
      </c>
      <c r="T998" s="208">
        <v>2026.0</v>
      </c>
      <c r="U998" s="209" t="s">
        <v>36</v>
      </c>
      <c r="V998" s="209">
        <v>29.23</v>
      </c>
      <c r="W998" s="429">
        <v>46296.0</v>
      </c>
      <c r="X998" s="208">
        <v>1.0</v>
      </c>
      <c r="Y998" s="208">
        <v>10.0</v>
      </c>
      <c r="Z998" s="208">
        <v>2026.0</v>
      </c>
      <c r="AA998" s="209" t="s">
        <v>36</v>
      </c>
    </row>
    <row r="999" ht="15.75" hidden="1" customHeight="1">
      <c r="A999" s="209" t="s">
        <v>2751</v>
      </c>
      <c r="B999" s="208">
        <v>6.947554467E9</v>
      </c>
      <c r="C999" s="429">
        <v>46283.0</v>
      </c>
      <c r="D999" s="208">
        <v>18.0</v>
      </c>
      <c r="E999" s="208">
        <v>9.0</v>
      </c>
      <c r="F999" s="208">
        <v>2026.0</v>
      </c>
      <c r="G999" s="429">
        <v>46284.0</v>
      </c>
      <c r="H999" s="208">
        <v>19.0</v>
      </c>
      <c r="I999" s="208">
        <v>9.0</v>
      </c>
      <c r="J999" s="208">
        <v>2026.0</v>
      </c>
      <c r="K999" s="209" t="s">
        <v>36</v>
      </c>
      <c r="L999" s="209" t="s">
        <v>1177</v>
      </c>
      <c r="M999" s="208">
        <v>1.0</v>
      </c>
      <c r="N999" s="208">
        <v>1.0</v>
      </c>
      <c r="O999" s="201">
        <f t="shared" si="5"/>
        <v>1</v>
      </c>
      <c r="P999" s="208">
        <v>2.0</v>
      </c>
      <c r="Q999" s="429">
        <v>46296.0</v>
      </c>
      <c r="R999" s="430">
        <v>1.0</v>
      </c>
      <c r="S999" s="430">
        <v>10.0</v>
      </c>
      <c r="T999" s="208">
        <v>2026.0</v>
      </c>
      <c r="U999" s="209" t="s">
        <v>36</v>
      </c>
      <c r="V999" s="209">
        <v>29.23</v>
      </c>
      <c r="W999" s="429">
        <v>46296.0</v>
      </c>
      <c r="X999" s="208">
        <v>1.0</v>
      </c>
      <c r="Y999" s="208">
        <v>10.0</v>
      </c>
      <c r="Z999" s="208">
        <v>2026.0</v>
      </c>
      <c r="AA999" s="209" t="s">
        <v>36</v>
      </c>
    </row>
    <row r="1000" ht="15.75" hidden="1" customHeight="1">
      <c r="A1000" s="209" t="s">
        <v>2752</v>
      </c>
      <c r="B1000" s="208">
        <v>6.267122167E9</v>
      </c>
      <c r="C1000" s="429">
        <v>46269.0</v>
      </c>
      <c r="D1000" s="208">
        <v>4.0</v>
      </c>
      <c r="E1000" s="208">
        <v>9.0</v>
      </c>
      <c r="F1000" s="208">
        <v>2026.0</v>
      </c>
      <c r="G1000" s="429">
        <v>46270.0</v>
      </c>
      <c r="H1000" s="208">
        <v>5.0</v>
      </c>
      <c r="I1000" s="208">
        <v>9.0</v>
      </c>
      <c r="J1000" s="208">
        <v>2026.0</v>
      </c>
      <c r="K1000" s="209" t="s">
        <v>36</v>
      </c>
      <c r="L1000" s="209" t="s">
        <v>1177</v>
      </c>
      <c r="M1000" s="208">
        <v>1.0</v>
      </c>
      <c r="N1000" s="208">
        <v>1.0</v>
      </c>
      <c r="O1000" s="201">
        <f t="shared" si="5"/>
        <v>1</v>
      </c>
      <c r="P1000" s="208">
        <v>2.0</v>
      </c>
      <c r="Q1000" s="429">
        <v>46296.0</v>
      </c>
      <c r="R1000" s="430">
        <v>1.0</v>
      </c>
      <c r="S1000" s="430">
        <v>10.0</v>
      </c>
      <c r="T1000" s="208">
        <v>2026.0</v>
      </c>
      <c r="U1000" s="209" t="s">
        <v>36</v>
      </c>
      <c r="V1000" s="209">
        <v>37.59</v>
      </c>
      <c r="W1000" s="429">
        <v>46296.0</v>
      </c>
      <c r="X1000" s="208">
        <v>1.0</v>
      </c>
      <c r="Y1000" s="208">
        <v>10.0</v>
      </c>
      <c r="Z1000" s="208">
        <v>2026.0</v>
      </c>
      <c r="AA1000" s="209" t="s">
        <v>36</v>
      </c>
    </row>
    <row r="1001" ht="15.75" hidden="1" customHeight="1">
      <c r="A1001" s="209" t="s">
        <v>2753</v>
      </c>
      <c r="B1001" s="209" t="s">
        <v>2754</v>
      </c>
      <c r="C1001" s="429">
        <v>46291.0</v>
      </c>
      <c r="D1001" s="208">
        <v>26.0</v>
      </c>
      <c r="E1001" s="208">
        <v>9.0</v>
      </c>
      <c r="F1001" s="208">
        <v>2026.0</v>
      </c>
      <c r="G1001" s="429">
        <v>46292.0</v>
      </c>
      <c r="H1001" s="208">
        <v>27.0</v>
      </c>
      <c r="I1001" s="208">
        <v>9.0</v>
      </c>
      <c r="J1001" s="208">
        <v>2026.0</v>
      </c>
      <c r="K1001" s="209" t="s">
        <v>51</v>
      </c>
      <c r="L1001" s="209" t="s">
        <v>1177</v>
      </c>
      <c r="M1001" s="208">
        <v>1.0</v>
      </c>
      <c r="N1001" s="208">
        <v>1.0</v>
      </c>
      <c r="O1001" s="201">
        <f t="shared" si="5"/>
        <v>1</v>
      </c>
      <c r="P1001" s="208">
        <v>2.0</v>
      </c>
      <c r="Q1001" s="429">
        <v>46295.0</v>
      </c>
      <c r="R1001" s="430">
        <v>30.0</v>
      </c>
      <c r="S1001" s="430">
        <v>9.0</v>
      </c>
      <c r="T1001" s="208">
        <v>2026.0</v>
      </c>
      <c r="U1001" s="209" t="s">
        <v>2</v>
      </c>
      <c r="V1001" s="209">
        <v>29.57</v>
      </c>
      <c r="W1001" s="429">
        <v>46295.0</v>
      </c>
      <c r="X1001" s="208">
        <v>30.0</v>
      </c>
      <c r="Y1001" s="208">
        <v>9.0</v>
      </c>
      <c r="Z1001" s="208">
        <v>2026.0</v>
      </c>
      <c r="AA1001" s="209" t="s">
        <v>2</v>
      </c>
    </row>
    <row r="1002" ht="15.75" hidden="1" customHeight="1">
      <c r="A1002" s="209" t="s">
        <v>2755</v>
      </c>
      <c r="B1002" s="208">
        <v>6.385304976E9</v>
      </c>
      <c r="C1002" s="429">
        <v>46287.0</v>
      </c>
      <c r="D1002" s="208">
        <v>22.0</v>
      </c>
      <c r="E1002" s="208">
        <v>9.0</v>
      </c>
      <c r="F1002" s="208">
        <v>2026.0</v>
      </c>
      <c r="G1002" s="429">
        <v>46288.0</v>
      </c>
      <c r="H1002" s="208">
        <v>23.0</v>
      </c>
      <c r="I1002" s="208">
        <v>9.0</v>
      </c>
      <c r="J1002" s="208">
        <v>2026.0</v>
      </c>
      <c r="K1002" s="209" t="s">
        <v>36</v>
      </c>
      <c r="L1002" s="209" t="s">
        <v>1177</v>
      </c>
      <c r="M1002" s="208">
        <v>1.0</v>
      </c>
      <c r="N1002" s="208">
        <v>1.0</v>
      </c>
      <c r="O1002" s="201">
        <f t="shared" si="5"/>
        <v>1</v>
      </c>
      <c r="P1002" s="208">
        <v>2.0</v>
      </c>
      <c r="Q1002" s="429">
        <v>46296.0</v>
      </c>
      <c r="R1002" s="430">
        <v>1.0</v>
      </c>
      <c r="S1002" s="430">
        <v>10.0</v>
      </c>
      <c r="T1002" s="208">
        <v>2026.0</v>
      </c>
      <c r="U1002" s="209" t="s">
        <v>36</v>
      </c>
      <c r="V1002" s="209">
        <v>29.23</v>
      </c>
      <c r="W1002" s="429">
        <v>46296.0</v>
      </c>
      <c r="X1002" s="208">
        <v>1.0</v>
      </c>
      <c r="Y1002" s="208">
        <v>10.0</v>
      </c>
      <c r="Z1002" s="208">
        <v>2026.0</v>
      </c>
      <c r="AA1002" s="209" t="s">
        <v>36</v>
      </c>
    </row>
    <row r="1003" ht="15.75" hidden="1" customHeight="1">
      <c r="A1003" s="209" t="s">
        <v>2756</v>
      </c>
      <c r="B1003" s="208">
        <v>6.302333303E9</v>
      </c>
      <c r="C1003" s="429">
        <v>46282.0</v>
      </c>
      <c r="D1003" s="208">
        <v>17.0</v>
      </c>
      <c r="E1003" s="208">
        <v>9.0</v>
      </c>
      <c r="F1003" s="208">
        <v>2026.0</v>
      </c>
      <c r="G1003" s="429">
        <v>46283.0</v>
      </c>
      <c r="H1003" s="208">
        <v>18.0</v>
      </c>
      <c r="I1003" s="208">
        <v>9.0</v>
      </c>
      <c r="J1003" s="208">
        <v>2026.0</v>
      </c>
      <c r="K1003" s="209" t="s">
        <v>36</v>
      </c>
      <c r="L1003" s="209" t="s">
        <v>1177</v>
      </c>
      <c r="M1003" s="208">
        <v>1.0</v>
      </c>
      <c r="N1003" s="208">
        <v>1.0</v>
      </c>
      <c r="O1003" s="201">
        <f t="shared" si="5"/>
        <v>1</v>
      </c>
      <c r="P1003" s="208">
        <v>2.0</v>
      </c>
      <c r="Q1003" s="429">
        <v>46296.0</v>
      </c>
      <c r="R1003" s="430">
        <v>1.0</v>
      </c>
      <c r="S1003" s="430">
        <v>10.0</v>
      </c>
      <c r="T1003" s="208">
        <v>2026.0</v>
      </c>
      <c r="U1003" s="209" t="s">
        <v>36</v>
      </c>
      <c r="V1003" s="209">
        <v>29.23</v>
      </c>
      <c r="W1003" s="429">
        <v>46296.0</v>
      </c>
      <c r="X1003" s="208">
        <v>1.0</v>
      </c>
      <c r="Y1003" s="208">
        <v>10.0</v>
      </c>
      <c r="Z1003" s="208">
        <v>2026.0</v>
      </c>
      <c r="AA1003" s="209" t="s">
        <v>36</v>
      </c>
    </row>
    <row r="1004" ht="15.75" hidden="1" customHeight="1">
      <c r="A1004" s="209" t="s">
        <v>2757</v>
      </c>
      <c r="B1004" s="208">
        <v>6.034979107E9</v>
      </c>
      <c r="C1004" s="429">
        <v>46288.0</v>
      </c>
      <c r="D1004" s="208">
        <v>23.0</v>
      </c>
      <c r="E1004" s="208">
        <v>9.0</v>
      </c>
      <c r="F1004" s="208">
        <v>2026.0</v>
      </c>
      <c r="G1004" s="429">
        <v>46289.0</v>
      </c>
      <c r="H1004" s="208">
        <v>24.0</v>
      </c>
      <c r="I1004" s="208">
        <v>9.0</v>
      </c>
      <c r="J1004" s="208">
        <v>2026.0</v>
      </c>
      <c r="K1004" s="209" t="s">
        <v>36</v>
      </c>
      <c r="L1004" s="209" t="s">
        <v>1177</v>
      </c>
      <c r="M1004" s="208">
        <v>1.0</v>
      </c>
      <c r="N1004" s="208">
        <v>1.0</v>
      </c>
      <c r="O1004" s="201">
        <f t="shared" si="5"/>
        <v>1</v>
      </c>
      <c r="P1004" s="208">
        <v>2.0</v>
      </c>
      <c r="Q1004" s="429">
        <v>46296.0</v>
      </c>
      <c r="R1004" s="430">
        <v>1.0</v>
      </c>
      <c r="S1004" s="430">
        <v>10.0</v>
      </c>
      <c r="T1004" s="208">
        <v>2026.0</v>
      </c>
      <c r="U1004" s="209" t="s">
        <v>36</v>
      </c>
      <c r="V1004" s="209">
        <v>29.23</v>
      </c>
      <c r="W1004" s="429">
        <v>46296.0</v>
      </c>
      <c r="X1004" s="208">
        <v>1.0</v>
      </c>
      <c r="Y1004" s="208">
        <v>10.0</v>
      </c>
      <c r="Z1004" s="208">
        <v>2026.0</v>
      </c>
      <c r="AA1004" s="209" t="s">
        <v>36</v>
      </c>
    </row>
    <row r="1005" ht="15.75" hidden="1" customHeight="1">
      <c r="A1005" s="209" t="s">
        <v>2758</v>
      </c>
      <c r="B1005" s="208">
        <v>5.367090228E9</v>
      </c>
      <c r="C1005" s="429">
        <v>46273.0</v>
      </c>
      <c r="D1005" s="208">
        <v>8.0</v>
      </c>
      <c r="E1005" s="208">
        <v>9.0</v>
      </c>
      <c r="F1005" s="208">
        <v>2026.0</v>
      </c>
      <c r="G1005" s="429">
        <v>46274.0</v>
      </c>
      <c r="H1005" s="208">
        <v>9.0</v>
      </c>
      <c r="I1005" s="208">
        <v>9.0</v>
      </c>
      <c r="J1005" s="208">
        <v>2026.0</v>
      </c>
      <c r="K1005" s="209" t="s">
        <v>36</v>
      </c>
      <c r="L1005" s="209" t="s">
        <v>1177</v>
      </c>
      <c r="M1005" s="208">
        <v>1.0</v>
      </c>
      <c r="N1005" s="208">
        <v>1.0</v>
      </c>
      <c r="O1005" s="201">
        <f t="shared" si="5"/>
        <v>1</v>
      </c>
      <c r="P1005" s="208">
        <v>2.0</v>
      </c>
      <c r="Q1005" s="429">
        <v>46296.0</v>
      </c>
      <c r="R1005" s="430">
        <v>1.0</v>
      </c>
      <c r="S1005" s="430">
        <v>10.0</v>
      </c>
      <c r="T1005" s="208">
        <v>2026.0</v>
      </c>
      <c r="U1005" s="209" t="s">
        <v>36</v>
      </c>
      <c r="V1005" s="209">
        <v>29.23</v>
      </c>
      <c r="W1005" s="429">
        <v>46296.0</v>
      </c>
      <c r="X1005" s="208">
        <v>1.0</v>
      </c>
      <c r="Y1005" s="208">
        <v>10.0</v>
      </c>
      <c r="Z1005" s="208">
        <v>2026.0</v>
      </c>
      <c r="AA1005" s="209" t="s">
        <v>36</v>
      </c>
    </row>
    <row r="1006" ht="15.75" hidden="1" customHeight="1">
      <c r="A1006" s="209" t="s">
        <v>2759</v>
      </c>
      <c r="B1006" s="209" t="s">
        <v>2760</v>
      </c>
      <c r="C1006" s="429">
        <v>46291.0</v>
      </c>
      <c r="D1006" s="208">
        <v>26.0</v>
      </c>
      <c r="E1006" s="208">
        <v>9.0</v>
      </c>
      <c r="F1006" s="208">
        <v>2026.0</v>
      </c>
      <c r="G1006" s="429">
        <v>46293.0</v>
      </c>
      <c r="H1006" s="208">
        <v>28.0</v>
      </c>
      <c r="I1006" s="208">
        <v>9.0</v>
      </c>
      <c r="J1006" s="208">
        <v>2026.0</v>
      </c>
      <c r="K1006" s="209" t="s">
        <v>46</v>
      </c>
      <c r="L1006" s="209" t="s">
        <v>1177</v>
      </c>
      <c r="M1006" s="208">
        <v>1.0</v>
      </c>
      <c r="N1006" s="208">
        <v>2.0</v>
      </c>
      <c r="O1006" s="201">
        <f t="shared" si="5"/>
        <v>2</v>
      </c>
      <c r="P1006" s="208">
        <v>4.0</v>
      </c>
      <c r="Q1006" s="429">
        <v>46291.89287037037</v>
      </c>
      <c r="R1006" s="430">
        <v>26.0</v>
      </c>
      <c r="S1006" s="430">
        <v>9.0</v>
      </c>
      <c r="T1006" s="208">
        <v>2026.0</v>
      </c>
      <c r="U1006" s="209" t="s">
        <v>245</v>
      </c>
      <c r="V1006" s="209">
        <v>74.8</v>
      </c>
      <c r="W1006" s="429">
        <v>46291.89287037037</v>
      </c>
      <c r="X1006" s="208">
        <v>26.0</v>
      </c>
      <c r="Y1006" s="208">
        <v>9.0</v>
      </c>
      <c r="Z1006" s="208">
        <v>2026.0</v>
      </c>
      <c r="AA1006" s="209" t="s">
        <v>245</v>
      </c>
    </row>
    <row r="1007" ht="15.75" customHeight="1">
      <c r="A1007" s="209" t="s">
        <v>2761</v>
      </c>
      <c r="B1007" s="210"/>
      <c r="C1007" s="429">
        <v>46277.0</v>
      </c>
      <c r="D1007" s="208">
        <v>12.0</v>
      </c>
      <c r="E1007" s="208">
        <v>9.0</v>
      </c>
      <c r="F1007" s="208">
        <v>2026.0</v>
      </c>
      <c r="G1007" s="429">
        <v>46278.0</v>
      </c>
      <c r="H1007" s="208">
        <v>13.0</v>
      </c>
      <c r="I1007" s="208">
        <v>9.0</v>
      </c>
      <c r="J1007" s="208">
        <v>2026.0</v>
      </c>
      <c r="K1007" s="209" t="s">
        <v>2315</v>
      </c>
      <c r="L1007" s="209" t="s">
        <v>1177</v>
      </c>
      <c r="M1007" s="208">
        <v>1.0</v>
      </c>
      <c r="N1007" s="208">
        <v>1.0</v>
      </c>
      <c r="O1007" s="201">
        <f t="shared" si="5"/>
        <v>1</v>
      </c>
      <c r="P1007" s="208">
        <v>2.0</v>
      </c>
      <c r="Q1007" s="429">
        <v>46277.0</v>
      </c>
      <c r="R1007" s="430">
        <v>12.0</v>
      </c>
      <c r="S1007" s="430">
        <v>9.0</v>
      </c>
      <c r="T1007" s="208">
        <v>2026.0</v>
      </c>
      <c r="U1007" s="209" t="s">
        <v>245</v>
      </c>
      <c r="V1007" s="209">
        <v>57.94</v>
      </c>
      <c r="W1007" s="429">
        <v>46277.0</v>
      </c>
      <c r="X1007" s="208">
        <v>12.0</v>
      </c>
      <c r="Y1007" s="208">
        <v>9.0</v>
      </c>
      <c r="Z1007" s="208">
        <v>2026.0</v>
      </c>
      <c r="AA1007" s="209" t="s">
        <v>245</v>
      </c>
    </row>
    <row r="1008" ht="15.75" hidden="1" customHeight="1">
      <c r="A1008" s="209" t="s">
        <v>2762</v>
      </c>
      <c r="B1008" s="208">
        <v>5.622979044E9</v>
      </c>
      <c r="C1008" s="429">
        <v>46271.0</v>
      </c>
      <c r="D1008" s="208">
        <v>6.0</v>
      </c>
      <c r="E1008" s="208">
        <v>9.0</v>
      </c>
      <c r="F1008" s="208">
        <v>2026.0</v>
      </c>
      <c r="G1008" s="429">
        <v>46272.0</v>
      </c>
      <c r="H1008" s="208">
        <v>7.0</v>
      </c>
      <c r="I1008" s="208">
        <v>9.0</v>
      </c>
      <c r="J1008" s="208">
        <v>2026.0</v>
      </c>
      <c r="K1008" s="209" t="s">
        <v>36</v>
      </c>
      <c r="L1008" s="209" t="s">
        <v>1177</v>
      </c>
      <c r="M1008" s="208">
        <v>1.0</v>
      </c>
      <c r="N1008" s="208">
        <v>1.0</v>
      </c>
      <c r="O1008" s="201">
        <f t="shared" si="5"/>
        <v>1</v>
      </c>
      <c r="P1008" s="208">
        <v>2.0</v>
      </c>
      <c r="Q1008" s="429">
        <v>46296.0</v>
      </c>
      <c r="R1008" s="430">
        <v>1.0</v>
      </c>
      <c r="S1008" s="430">
        <v>10.0</v>
      </c>
      <c r="T1008" s="208">
        <v>2026.0</v>
      </c>
      <c r="U1008" s="209" t="s">
        <v>36</v>
      </c>
      <c r="V1008" s="209">
        <v>29.23</v>
      </c>
      <c r="W1008" s="429">
        <v>46296.0</v>
      </c>
      <c r="X1008" s="208">
        <v>1.0</v>
      </c>
      <c r="Y1008" s="208">
        <v>10.0</v>
      </c>
      <c r="Z1008" s="208">
        <v>2026.0</v>
      </c>
      <c r="AA1008" s="209" t="s">
        <v>36</v>
      </c>
    </row>
    <row r="1009" ht="15.75" hidden="1" customHeight="1">
      <c r="A1009" s="209" t="s">
        <v>2763</v>
      </c>
      <c r="B1009" s="208">
        <v>6.515422207E9</v>
      </c>
      <c r="C1009" s="429">
        <v>46268.0</v>
      </c>
      <c r="D1009" s="208">
        <v>3.0</v>
      </c>
      <c r="E1009" s="208">
        <v>9.0</v>
      </c>
      <c r="F1009" s="208">
        <v>2026.0</v>
      </c>
      <c r="G1009" s="429">
        <v>46269.0</v>
      </c>
      <c r="H1009" s="208">
        <v>4.0</v>
      </c>
      <c r="I1009" s="208">
        <v>9.0</v>
      </c>
      <c r="J1009" s="208">
        <v>2026.0</v>
      </c>
      <c r="K1009" s="209" t="s">
        <v>36</v>
      </c>
      <c r="L1009" s="209" t="s">
        <v>1177</v>
      </c>
      <c r="M1009" s="208">
        <v>1.0</v>
      </c>
      <c r="N1009" s="208">
        <v>1.0</v>
      </c>
      <c r="O1009" s="201">
        <f t="shared" si="5"/>
        <v>1</v>
      </c>
      <c r="P1009" s="208">
        <v>2.0</v>
      </c>
      <c r="Q1009" s="429">
        <v>46296.0</v>
      </c>
      <c r="R1009" s="430">
        <v>1.0</v>
      </c>
      <c r="S1009" s="430">
        <v>10.0</v>
      </c>
      <c r="T1009" s="208">
        <v>2026.0</v>
      </c>
      <c r="U1009" s="209" t="s">
        <v>36</v>
      </c>
      <c r="V1009" s="209">
        <v>29.23</v>
      </c>
      <c r="W1009" s="429">
        <v>46296.0</v>
      </c>
      <c r="X1009" s="208">
        <v>1.0</v>
      </c>
      <c r="Y1009" s="208">
        <v>10.0</v>
      </c>
      <c r="Z1009" s="208">
        <v>2026.0</v>
      </c>
      <c r="AA1009" s="209" t="s">
        <v>36</v>
      </c>
    </row>
    <row r="1010" ht="15.75" hidden="1" customHeight="1">
      <c r="A1010" s="209" t="s">
        <v>2764</v>
      </c>
      <c r="B1010" s="208">
        <v>6.626577077E9</v>
      </c>
      <c r="C1010" s="429">
        <v>46275.0</v>
      </c>
      <c r="D1010" s="208">
        <v>10.0</v>
      </c>
      <c r="E1010" s="208">
        <v>9.0</v>
      </c>
      <c r="F1010" s="208">
        <v>2026.0</v>
      </c>
      <c r="G1010" s="429">
        <v>46276.0</v>
      </c>
      <c r="H1010" s="208">
        <v>11.0</v>
      </c>
      <c r="I1010" s="208">
        <v>9.0</v>
      </c>
      <c r="J1010" s="208">
        <v>2026.0</v>
      </c>
      <c r="K1010" s="209" t="s">
        <v>36</v>
      </c>
      <c r="L1010" s="209" t="s">
        <v>1177</v>
      </c>
      <c r="M1010" s="208">
        <v>1.0</v>
      </c>
      <c r="N1010" s="208">
        <v>1.0</v>
      </c>
      <c r="O1010" s="201">
        <f t="shared" si="5"/>
        <v>1</v>
      </c>
      <c r="P1010" s="208">
        <v>2.0</v>
      </c>
      <c r="Q1010" s="429">
        <v>46296.0</v>
      </c>
      <c r="R1010" s="430">
        <v>1.0</v>
      </c>
      <c r="S1010" s="430">
        <v>10.0</v>
      </c>
      <c r="T1010" s="208">
        <v>2026.0</v>
      </c>
      <c r="U1010" s="209" t="s">
        <v>36</v>
      </c>
      <c r="V1010" s="209">
        <v>45.95</v>
      </c>
      <c r="W1010" s="429">
        <v>46296.0</v>
      </c>
      <c r="X1010" s="208">
        <v>1.0</v>
      </c>
      <c r="Y1010" s="208">
        <v>10.0</v>
      </c>
      <c r="Z1010" s="208">
        <v>2026.0</v>
      </c>
      <c r="AA1010" s="209" t="s">
        <v>36</v>
      </c>
    </row>
    <row r="1011" ht="15.75" hidden="1" customHeight="1">
      <c r="A1011" s="209" t="s">
        <v>2765</v>
      </c>
      <c r="B1011" s="209" t="s">
        <v>2766</v>
      </c>
      <c r="C1011" s="429">
        <v>46287.0</v>
      </c>
      <c r="D1011" s="208">
        <v>22.0</v>
      </c>
      <c r="E1011" s="208">
        <v>9.0</v>
      </c>
      <c r="F1011" s="208">
        <v>2026.0</v>
      </c>
      <c r="G1011" s="429">
        <v>46291.0</v>
      </c>
      <c r="H1011" s="208">
        <v>26.0</v>
      </c>
      <c r="I1011" s="208">
        <v>9.0</v>
      </c>
      <c r="J1011" s="208">
        <v>2026.0</v>
      </c>
      <c r="K1011" s="209" t="s">
        <v>46</v>
      </c>
      <c r="L1011" s="209" t="s">
        <v>1177</v>
      </c>
      <c r="M1011" s="208">
        <v>1.0</v>
      </c>
      <c r="N1011" s="208">
        <v>4.0</v>
      </c>
      <c r="O1011" s="201">
        <f t="shared" si="5"/>
        <v>4</v>
      </c>
      <c r="P1011" s="208">
        <v>8.0</v>
      </c>
      <c r="Q1011" s="429">
        <v>46287.61424768518</v>
      </c>
      <c r="R1011" s="208">
        <v>22.0</v>
      </c>
      <c r="S1011" s="208">
        <v>9.0</v>
      </c>
      <c r="T1011" s="208">
        <v>2026.0</v>
      </c>
      <c r="U1011" s="209" t="s">
        <v>245</v>
      </c>
      <c r="V1011" s="209">
        <v>119.0</v>
      </c>
      <c r="W1011" s="429">
        <v>46287.61424768518</v>
      </c>
      <c r="X1011" s="208">
        <v>22.0</v>
      </c>
      <c r="Y1011" s="208">
        <v>9.0</v>
      </c>
      <c r="Z1011" s="208">
        <v>2026.0</v>
      </c>
      <c r="AA1011" s="209" t="s">
        <v>245</v>
      </c>
    </row>
    <row r="1012" ht="15.75" hidden="1" customHeight="1">
      <c r="A1012" s="209" t="s">
        <v>2767</v>
      </c>
      <c r="B1012" s="209" t="s">
        <v>2768</v>
      </c>
      <c r="C1012" s="429">
        <v>46281.0</v>
      </c>
      <c r="D1012" s="208">
        <v>16.0</v>
      </c>
      <c r="E1012" s="208">
        <v>9.0</v>
      </c>
      <c r="F1012" s="208">
        <v>2026.0</v>
      </c>
      <c r="G1012" s="429">
        <v>46282.0</v>
      </c>
      <c r="H1012" s="208">
        <v>17.0</v>
      </c>
      <c r="I1012" s="208">
        <v>9.0</v>
      </c>
      <c r="J1012" s="208">
        <v>2026.0</v>
      </c>
      <c r="K1012" s="209" t="s">
        <v>46</v>
      </c>
      <c r="L1012" s="209" t="s">
        <v>1177</v>
      </c>
      <c r="M1012" s="208">
        <v>2.0</v>
      </c>
      <c r="N1012" s="208">
        <v>1.0</v>
      </c>
      <c r="O1012" s="201">
        <f t="shared" si="5"/>
        <v>2</v>
      </c>
      <c r="P1012" s="208">
        <v>4.0</v>
      </c>
      <c r="Q1012" s="429">
        <v>46281.94059027778</v>
      </c>
      <c r="R1012" s="430">
        <v>16.0</v>
      </c>
      <c r="S1012" s="430">
        <v>9.0</v>
      </c>
      <c r="T1012" s="208">
        <v>2026.0</v>
      </c>
      <c r="U1012" s="209" t="s">
        <v>245</v>
      </c>
      <c r="V1012" s="209">
        <v>59.5</v>
      </c>
      <c r="W1012" s="429">
        <v>46281.94059027778</v>
      </c>
      <c r="X1012" s="208">
        <v>16.0</v>
      </c>
      <c r="Y1012" s="208">
        <v>9.0</v>
      </c>
      <c r="Z1012" s="208">
        <v>2026.0</v>
      </c>
      <c r="AA1012" s="209" t="s">
        <v>245</v>
      </c>
    </row>
    <row r="1013" ht="15.75" hidden="1" customHeight="1">
      <c r="A1013" s="209" t="s">
        <v>2769</v>
      </c>
      <c r="B1013" s="208">
        <v>5.888979689E9</v>
      </c>
      <c r="C1013" s="429">
        <v>46272.0</v>
      </c>
      <c r="D1013" s="208">
        <v>7.0</v>
      </c>
      <c r="E1013" s="208">
        <v>9.0</v>
      </c>
      <c r="F1013" s="208">
        <v>2026.0</v>
      </c>
      <c r="G1013" s="429">
        <v>46273.0</v>
      </c>
      <c r="H1013" s="208">
        <v>8.0</v>
      </c>
      <c r="I1013" s="208">
        <v>9.0</v>
      </c>
      <c r="J1013" s="208">
        <v>2026.0</v>
      </c>
      <c r="K1013" s="209" t="s">
        <v>36</v>
      </c>
      <c r="L1013" s="209" t="s">
        <v>1177</v>
      </c>
      <c r="M1013" s="208">
        <v>1.0</v>
      </c>
      <c r="N1013" s="208">
        <v>1.0</v>
      </c>
      <c r="O1013" s="201">
        <f t="shared" si="5"/>
        <v>1</v>
      </c>
      <c r="P1013" s="208">
        <v>2.0</v>
      </c>
      <c r="Q1013" s="429">
        <v>46296.0</v>
      </c>
      <c r="R1013" s="430">
        <v>1.0</v>
      </c>
      <c r="S1013" s="430">
        <v>10.0</v>
      </c>
      <c r="T1013" s="208">
        <v>2026.0</v>
      </c>
      <c r="U1013" s="209" t="s">
        <v>36</v>
      </c>
      <c r="V1013" s="209">
        <v>29.23</v>
      </c>
      <c r="W1013" s="429">
        <v>46296.0</v>
      </c>
      <c r="X1013" s="208">
        <v>1.0</v>
      </c>
      <c r="Y1013" s="208">
        <v>10.0</v>
      </c>
      <c r="Z1013" s="208">
        <v>2026.0</v>
      </c>
      <c r="AA1013" s="209" t="s">
        <v>36</v>
      </c>
    </row>
    <row r="1014" ht="15.75" hidden="1" customHeight="1">
      <c r="A1014" s="209" t="s">
        <v>2770</v>
      </c>
      <c r="B1014" s="208">
        <v>5.411110235E9</v>
      </c>
      <c r="C1014" s="429">
        <v>46267.0</v>
      </c>
      <c r="D1014" s="208">
        <v>2.0</v>
      </c>
      <c r="E1014" s="208">
        <v>9.0</v>
      </c>
      <c r="F1014" s="208">
        <v>2026.0</v>
      </c>
      <c r="G1014" s="429">
        <v>46268.0</v>
      </c>
      <c r="H1014" s="208">
        <v>3.0</v>
      </c>
      <c r="I1014" s="208">
        <v>9.0</v>
      </c>
      <c r="J1014" s="208">
        <v>2026.0</v>
      </c>
      <c r="K1014" s="209" t="s">
        <v>36</v>
      </c>
      <c r="L1014" s="209" t="s">
        <v>1177</v>
      </c>
      <c r="M1014" s="208">
        <v>1.0</v>
      </c>
      <c r="N1014" s="208">
        <v>1.0</v>
      </c>
      <c r="O1014" s="201">
        <f t="shared" si="5"/>
        <v>1</v>
      </c>
      <c r="P1014" s="208">
        <v>2.0</v>
      </c>
      <c r="Q1014" s="429">
        <v>46296.0</v>
      </c>
      <c r="R1014" s="430">
        <v>1.0</v>
      </c>
      <c r="S1014" s="430">
        <v>10.0</v>
      </c>
      <c r="T1014" s="208">
        <v>2026.0</v>
      </c>
      <c r="U1014" s="209" t="s">
        <v>36</v>
      </c>
      <c r="V1014" s="209">
        <v>37.59</v>
      </c>
      <c r="W1014" s="429">
        <v>46296.0</v>
      </c>
      <c r="X1014" s="208">
        <v>1.0</v>
      </c>
      <c r="Y1014" s="208">
        <v>10.0</v>
      </c>
      <c r="Z1014" s="208">
        <v>2026.0</v>
      </c>
      <c r="AA1014" s="209" t="s">
        <v>36</v>
      </c>
    </row>
    <row r="1015" ht="15.75" hidden="1" customHeight="1">
      <c r="A1015" s="209" t="s">
        <v>2771</v>
      </c>
      <c r="B1015" s="208">
        <v>6.074029988E9</v>
      </c>
      <c r="C1015" s="429">
        <v>46270.0</v>
      </c>
      <c r="D1015" s="208">
        <v>5.0</v>
      </c>
      <c r="E1015" s="208">
        <v>9.0</v>
      </c>
      <c r="F1015" s="208">
        <v>2026.0</v>
      </c>
      <c r="G1015" s="429">
        <v>46271.0</v>
      </c>
      <c r="H1015" s="208">
        <v>6.0</v>
      </c>
      <c r="I1015" s="208">
        <v>9.0</v>
      </c>
      <c r="J1015" s="208">
        <v>2026.0</v>
      </c>
      <c r="K1015" s="209" t="s">
        <v>36</v>
      </c>
      <c r="L1015" s="209" t="s">
        <v>1177</v>
      </c>
      <c r="M1015" s="208">
        <v>1.0</v>
      </c>
      <c r="N1015" s="208">
        <v>1.0</v>
      </c>
      <c r="O1015" s="201">
        <f t="shared" si="5"/>
        <v>1</v>
      </c>
      <c r="P1015" s="208">
        <v>2.0</v>
      </c>
      <c r="Q1015" s="429">
        <v>46296.0</v>
      </c>
      <c r="R1015" s="430">
        <v>1.0</v>
      </c>
      <c r="S1015" s="430">
        <v>10.0</v>
      </c>
      <c r="T1015" s="208">
        <v>2026.0</v>
      </c>
      <c r="U1015" s="209" t="s">
        <v>36</v>
      </c>
      <c r="V1015" s="209">
        <v>37.59</v>
      </c>
      <c r="W1015" s="429">
        <v>46296.0</v>
      </c>
      <c r="X1015" s="208">
        <v>1.0</v>
      </c>
      <c r="Y1015" s="208">
        <v>10.0</v>
      </c>
      <c r="Z1015" s="208">
        <v>2026.0</v>
      </c>
      <c r="AA1015" s="209" t="s">
        <v>36</v>
      </c>
    </row>
    <row r="1016" ht="15.75" hidden="1" customHeight="1">
      <c r="A1016" s="209" t="s">
        <v>2772</v>
      </c>
      <c r="B1016" s="209" t="s">
        <v>2773</v>
      </c>
      <c r="C1016" s="429">
        <v>46286.0</v>
      </c>
      <c r="D1016" s="208">
        <v>21.0</v>
      </c>
      <c r="E1016" s="208">
        <v>9.0</v>
      </c>
      <c r="F1016" s="208">
        <v>2026.0</v>
      </c>
      <c r="G1016" s="429">
        <v>46287.0</v>
      </c>
      <c r="H1016" s="208">
        <v>22.0</v>
      </c>
      <c r="I1016" s="208">
        <v>9.0</v>
      </c>
      <c r="J1016" s="208">
        <v>2026.0</v>
      </c>
      <c r="K1016" s="209" t="s">
        <v>46</v>
      </c>
      <c r="L1016" s="209" t="s">
        <v>1177</v>
      </c>
      <c r="M1016" s="208">
        <v>1.0</v>
      </c>
      <c r="N1016" s="208">
        <v>1.0</v>
      </c>
      <c r="O1016" s="201">
        <f t="shared" si="5"/>
        <v>1</v>
      </c>
      <c r="P1016" s="208">
        <v>2.0</v>
      </c>
      <c r="Q1016" s="429">
        <v>46287.60449074074</v>
      </c>
      <c r="R1016" s="430">
        <v>22.0</v>
      </c>
      <c r="S1016" s="430">
        <v>9.0</v>
      </c>
      <c r="T1016" s="208">
        <v>2026.0</v>
      </c>
      <c r="U1016" s="209" t="s">
        <v>245</v>
      </c>
      <c r="V1016" s="209">
        <v>27.2</v>
      </c>
      <c r="W1016" s="429">
        <v>46287.60449074074</v>
      </c>
      <c r="X1016" s="208">
        <v>22.0</v>
      </c>
      <c r="Y1016" s="208">
        <v>9.0</v>
      </c>
      <c r="Z1016" s="208">
        <v>2026.0</v>
      </c>
      <c r="AA1016" s="209" t="s">
        <v>245</v>
      </c>
    </row>
    <row r="1017" ht="15.75" hidden="1" customHeight="1">
      <c r="A1017" s="209" t="s">
        <v>2774</v>
      </c>
      <c r="B1017" s="208">
        <v>6.957586159E9</v>
      </c>
      <c r="C1017" s="429">
        <v>46290.0</v>
      </c>
      <c r="D1017" s="208">
        <v>25.0</v>
      </c>
      <c r="E1017" s="208">
        <v>9.0</v>
      </c>
      <c r="F1017" s="208">
        <v>2026.0</v>
      </c>
      <c r="G1017" s="429">
        <v>46291.0</v>
      </c>
      <c r="H1017" s="208">
        <v>26.0</v>
      </c>
      <c r="I1017" s="208">
        <v>9.0</v>
      </c>
      <c r="J1017" s="208">
        <v>2026.0</v>
      </c>
      <c r="K1017" s="209" t="s">
        <v>36</v>
      </c>
      <c r="L1017" s="209" t="s">
        <v>1177</v>
      </c>
      <c r="M1017" s="208">
        <v>1.0</v>
      </c>
      <c r="N1017" s="208">
        <v>1.0</v>
      </c>
      <c r="O1017" s="201">
        <f t="shared" si="5"/>
        <v>1</v>
      </c>
      <c r="P1017" s="208">
        <v>2.0</v>
      </c>
      <c r="Q1017" s="429">
        <v>46296.0</v>
      </c>
      <c r="R1017" s="430">
        <v>1.0</v>
      </c>
      <c r="S1017" s="430">
        <v>10.0</v>
      </c>
      <c r="T1017" s="208">
        <v>2026.0</v>
      </c>
      <c r="U1017" s="209" t="s">
        <v>36</v>
      </c>
      <c r="V1017" s="209">
        <v>37.59</v>
      </c>
      <c r="W1017" s="429">
        <v>46296.0</v>
      </c>
      <c r="X1017" s="208">
        <v>1.0</v>
      </c>
      <c r="Y1017" s="208">
        <v>10.0</v>
      </c>
      <c r="Z1017" s="208">
        <v>2026.0</v>
      </c>
      <c r="AA1017" s="209" t="s">
        <v>36</v>
      </c>
    </row>
    <row r="1018" ht="15.75" hidden="1" customHeight="1">
      <c r="A1018" s="209" t="s">
        <v>2775</v>
      </c>
      <c r="B1018" s="208">
        <v>6.789326228E9</v>
      </c>
      <c r="C1018" s="429">
        <v>46268.0</v>
      </c>
      <c r="D1018" s="208">
        <v>3.0</v>
      </c>
      <c r="E1018" s="208">
        <v>9.0</v>
      </c>
      <c r="F1018" s="208">
        <v>2026.0</v>
      </c>
      <c r="G1018" s="429">
        <v>46269.0</v>
      </c>
      <c r="H1018" s="208">
        <v>4.0</v>
      </c>
      <c r="I1018" s="208">
        <v>9.0</v>
      </c>
      <c r="J1018" s="208">
        <v>2026.0</v>
      </c>
      <c r="K1018" s="209" t="s">
        <v>36</v>
      </c>
      <c r="L1018" s="209" t="s">
        <v>1177</v>
      </c>
      <c r="M1018" s="208">
        <v>1.0</v>
      </c>
      <c r="N1018" s="208">
        <v>1.0</v>
      </c>
      <c r="O1018" s="201">
        <f t="shared" si="5"/>
        <v>1</v>
      </c>
      <c r="P1018" s="208">
        <v>2.0</v>
      </c>
      <c r="Q1018" s="429">
        <v>46296.0</v>
      </c>
      <c r="R1018" s="430">
        <v>1.0</v>
      </c>
      <c r="S1018" s="430">
        <v>10.0</v>
      </c>
      <c r="T1018" s="208">
        <v>2026.0</v>
      </c>
      <c r="U1018" s="209" t="s">
        <v>36</v>
      </c>
      <c r="V1018" s="209">
        <v>37.59</v>
      </c>
      <c r="W1018" s="429">
        <v>46296.0</v>
      </c>
      <c r="X1018" s="208">
        <v>1.0</v>
      </c>
      <c r="Y1018" s="208">
        <v>10.0</v>
      </c>
      <c r="Z1018" s="208">
        <v>2026.0</v>
      </c>
      <c r="AA1018" s="209" t="s">
        <v>36</v>
      </c>
    </row>
    <row r="1019" ht="15.75" hidden="1" customHeight="1">
      <c r="A1019" s="209" t="s">
        <v>2772</v>
      </c>
      <c r="B1019" s="209" t="s">
        <v>2776</v>
      </c>
      <c r="C1019" s="429">
        <v>46284.0</v>
      </c>
      <c r="D1019" s="208">
        <v>19.0</v>
      </c>
      <c r="E1019" s="208">
        <v>9.0</v>
      </c>
      <c r="F1019" s="208">
        <v>2026.0</v>
      </c>
      <c r="G1019" s="429">
        <v>46286.0</v>
      </c>
      <c r="H1019" s="208">
        <v>21.0</v>
      </c>
      <c r="I1019" s="208">
        <v>9.0</v>
      </c>
      <c r="J1019" s="208">
        <v>2026.0</v>
      </c>
      <c r="K1019" s="209" t="s">
        <v>46</v>
      </c>
      <c r="L1019" s="209" t="s">
        <v>1177</v>
      </c>
      <c r="M1019" s="208">
        <v>1.0</v>
      </c>
      <c r="N1019" s="208">
        <v>2.0</v>
      </c>
      <c r="O1019" s="201">
        <f t="shared" si="5"/>
        <v>2</v>
      </c>
      <c r="P1019" s="208">
        <v>4.0</v>
      </c>
      <c r="Q1019" s="429">
        <v>46284.71056712963</v>
      </c>
      <c r="R1019" s="430">
        <v>19.0</v>
      </c>
      <c r="S1019" s="430">
        <v>9.0</v>
      </c>
      <c r="T1019" s="208">
        <v>2026.0</v>
      </c>
      <c r="U1019" s="209" t="s">
        <v>245</v>
      </c>
      <c r="V1019" s="209">
        <v>59.5</v>
      </c>
      <c r="W1019" s="429">
        <v>46284.71056712963</v>
      </c>
      <c r="X1019" s="208">
        <v>19.0</v>
      </c>
      <c r="Y1019" s="208">
        <v>9.0</v>
      </c>
      <c r="Z1019" s="208">
        <v>2026.0</v>
      </c>
      <c r="AA1019" s="209" t="s">
        <v>245</v>
      </c>
    </row>
    <row r="1020" ht="15.75" hidden="1" customHeight="1">
      <c r="A1020" s="209" t="s">
        <v>2777</v>
      </c>
      <c r="B1020" s="208">
        <v>6.482277972E9</v>
      </c>
      <c r="C1020" s="429">
        <v>46279.0</v>
      </c>
      <c r="D1020" s="208">
        <v>14.0</v>
      </c>
      <c r="E1020" s="208">
        <v>9.0</v>
      </c>
      <c r="F1020" s="208">
        <v>2026.0</v>
      </c>
      <c r="G1020" s="429">
        <v>46280.0</v>
      </c>
      <c r="H1020" s="208">
        <v>15.0</v>
      </c>
      <c r="I1020" s="208">
        <v>9.0</v>
      </c>
      <c r="J1020" s="208">
        <v>2026.0</v>
      </c>
      <c r="K1020" s="209" t="s">
        <v>36</v>
      </c>
      <c r="L1020" s="209" t="s">
        <v>1177</v>
      </c>
      <c r="M1020" s="208">
        <v>1.0</v>
      </c>
      <c r="N1020" s="208">
        <v>1.0</v>
      </c>
      <c r="O1020" s="201">
        <f t="shared" si="5"/>
        <v>1</v>
      </c>
      <c r="P1020" s="208">
        <v>2.0</v>
      </c>
      <c r="Q1020" s="429">
        <v>46296.0</v>
      </c>
      <c r="R1020" s="430">
        <v>1.0</v>
      </c>
      <c r="S1020" s="430">
        <v>10.0</v>
      </c>
      <c r="T1020" s="208">
        <v>2026.0</v>
      </c>
      <c r="U1020" s="209" t="s">
        <v>36</v>
      </c>
      <c r="V1020" s="209">
        <v>29.23</v>
      </c>
      <c r="W1020" s="429">
        <v>46296.0</v>
      </c>
      <c r="X1020" s="208">
        <v>1.0</v>
      </c>
      <c r="Y1020" s="208">
        <v>10.0</v>
      </c>
      <c r="Z1020" s="208">
        <v>2026.0</v>
      </c>
      <c r="AA1020" s="209" t="s">
        <v>36</v>
      </c>
    </row>
    <row r="1021" ht="15.75" hidden="1" customHeight="1">
      <c r="A1021" s="209" t="s">
        <v>2778</v>
      </c>
      <c r="B1021" s="208">
        <v>5.031220259E9</v>
      </c>
      <c r="C1021" s="429">
        <v>46270.0</v>
      </c>
      <c r="D1021" s="208">
        <v>5.0</v>
      </c>
      <c r="E1021" s="208">
        <v>9.0</v>
      </c>
      <c r="F1021" s="208">
        <v>2026.0</v>
      </c>
      <c r="G1021" s="429">
        <v>46271.0</v>
      </c>
      <c r="H1021" s="208">
        <v>6.0</v>
      </c>
      <c r="I1021" s="208">
        <v>9.0</v>
      </c>
      <c r="J1021" s="208">
        <v>2026.0</v>
      </c>
      <c r="K1021" s="209" t="s">
        <v>36</v>
      </c>
      <c r="L1021" s="209" t="s">
        <v>1177</v>
      </c>
      <c r="M1021" s="208">
        <v>1.0</v>
      </c>
      <c r="N1021" s="208">
        <v>1.0</v>
      </c>
      <c r="O1021" s="201">
        <f t="shared" si="5"/>
        <v>1</v>
      </c>
      <c r="P1021" s="208">
        <v>2.0</v>
      </c>
      <c r="Q1021" s="429">
        <v>46296.0</v>
      </c>
      <c r="R1021" s="430">
        <v>1.0</v>
      </c>
      <c r="S1021" s="430">
        <v>10.0</v>
      </c>
      <c r="T1021" s="208">
        <v>2026.0</v>
      </c>
      <c r="U1021" s="209" t="s">
        <v>36</v>
      </c>
      <c r="V1021" s="209">
        <v>37.59</v>
      </c>
      <c r="W1021" s="429">
        <v>46296.0</v>
      </c>
      <c r="X1021" s="208">
        <v>1.0</v>
      </c>
      <c r="Y1021" s="208">
        <v>10.0</v>
      </c>
      <c r="Z1021" s="208">
        <v>2026.0</v>
      </c>
      <c r="AA1021" s="209" t="s">
        <v>36</v>
      </c>
    </row>
    <row r="1022" ht="15.75" hidden="1" customHeight="1">
      <c r="A1022" s="209" t="s">
        <v>2779</v>
      </c>
      <c r="B1022" s="208">
        <v>5.791442278E9</v>
      </c>
      <c r="C1022" s="429">
        <v>46272.0</v>
      </c>
      <c r="D1022" s="208">
        <v>7.0</v>
      </c>
      <c r="E1022" s="208">
        <v>9.0</v>
      </c>
      <c r="F1022" s="208">
        <v>2026.0</v>
      </c>
      <c r="G1022" s="429">
        <v>46273.0</v>
      </c>
      <c r="H1022" s="208">
        <v>8.0</v>
      </c>
      <c r="I1022" s="208">
        <v>9.0</v>
      </c>
      <c r="J1022" s="208">
        <v>2026.0</v>
      </c>
      <c r="K1022" s="209" t="s">
        <v>36</v>
      </c>
      <c r="L1022" s="209" t="s">
        <v>1177</v>
      </c>
      <c r="M1022" s="208">
        <v>1.0</v>
      </c>
      <c r="N1022" s="208">
        <v>1.0</v>
      </c>
      <c r="O1022" s="201">
        <f t="shared" si="5"/>
        <v>1</v>
      </c>
      <c r="P1022" s="208">
        <v>2.0</v>
      </c>
      <c r="Q1022" s="429">
        <v>46296.0</v>
      </c>
      <c r="R1022" s="430">
        <v>1.0</v>
      </c>
      <c r="S1022" s="430">
        <v>10.0</v>
      </c>
      <c r="T1022" s="208">
        <v>2026.0</v>
      </c>
      <c r="U1022" s="209" t="s">
        <v>36</v>
      </c>
      <c r="V1022" s="209">
        <v>37.59</v>
      </c>
      <c r="W1022" s="429">
        <v>46296.0</v>
      </c>
      <c r="X1022" s="208">
        <v>1.0</v>
      </c>
      <c r="Y1022" s="208">
        <v>10.0</v>
      </c>
      <c r="Z1022" s="208">
        <v>2026.0</v>
      </c>
      <c r="AA1022" s="209" t="s">
        <v>36</v>
      </c>
    </row>
    <row r="1023" ht="15.75" hidden="1" customHeight="1">
      <c r="A1023" s="209" t="s">
        <v>2780</v>
      </c>
      <c r="B1023" s="208">
        <v>6.744947384E9</v>
      </c>
      <c r="C1023" s="429">
        <v>46280.0</v>
      </c>
      <c r="D1023" s="208">
        <v>15.0</v>
      </c>
      <c r="E1023" s="208">
        <v>9.0</v>
      </c>
      <c r="F1023" s="208">
        <v>2026.0</v>
      </c>
      <c r="G1023" s="429">
        <v>46281.0</v>
      </c>
      <c r="H1023" s="208">
        <v>16.0</v>
      </c>
      <c r="I1023" s="208">
        <v>9.0</v>
      </c>
      <c r="J1023" s="208">
        <v>2026.0</v>
      </c>
      <c r="K1023" s="209" t="s">
        <v>36</v>
      </c>
      <c r="L1023" s="209" t="s">
        <v>2358</v>
      </c>
      <c r="M1023" s="208">
        <v>1.0</v>
      </c>
      <c r="N1023" s="208">
        <v>1.0</v>
      </c>
      <c r="O1023" s="201">
        <f t="shared" si="5"/>
        <v>1</v>
      </c>
      <c r="P1023" s="208">
        <v>2.0</v>
      </c>
      <c r="Q1023" s="429">
        <v>46296.0</v>
      </c>
      <c r="R1023" s="430">
        <v>1.0</v>
      </c>
      <c r="S1023" s="430">
        <v>10.0</v>
      </c>
      <c r="T1023" s="208">
        <v>2026.0</v>
      </c>
      <c r="U1023" s="209" t="s">
        <v>36</v>
      </c>
      <c r="V1023" s="209">
        <v>27.26</v>
      </c>
      <c r="W1023" s="429">
        <v>46296.0</v>
      </c>
      <c r="X1023" s="208">
        <v>1.0</v>
      </c>
      <c r="Y1023" s="208">
        <v>10.0</v>
      </c>
      <c r="Z1023" s="208">
        <v>2026.0</v>
      </c>
      <c r="AA1023" s="209" t="s">
        <v>36</v>
      </c>
    </row>
    <row r="1024" ht="15.75" hidden="1" customHeight="1">
      <c r="A1024" s="209" t="s">
        <v>2781</v>
      </c>
      <c r="B1024" s="208">
        <v>6.529945787E9</v>
      </c>
      <c r="C1024" s="429">
        <v>46280.0</v>
      </c>
      <c r="D1024" s="208">
        <v>15.0</v>
      </c>
      <c r="E1024" s="208">
        <v>9.0</v>
      </c>
      <c r="F1024" s="208">
        <v>2026.0</v>
      </c>
      <c r="G1024" s="429">
        <v>46281.0</v>
      </c>
      <c r="H1024" s="208">
        <v>16.0</v>
      </c>
      <c r="I1024" s="208">
        <v>9.0</v>
      </c>
      <c r="J1024" s="208">
        <v>2026.0</v>
      </c>
      <c r="K1024" s="209" t="s">
        <v>36</v>
      </c>
      <c r="L1024" s="209" t="s">
        <v>1177</v>
      </c>
      <c r="M1024" s="208">
        <v>1.0</v>
      </c>
      <c r="N1024" s="208">
        <v>1.0</v>
      </c>
      <c r="O1024" s="201">
        <f t="shared" si="5"/>
        <v>1</v>
      </c>
      <c r="P1024" s="208">
        <v>2.0</v>
      </c>
      <c r="Q1024" s="429">
        <v>46296.0</v>
      </c>
      <c r="R1024" s="430">
        <v>1.0</v>
      </c>
      <c r="S1024" s="430">
        <v>10.0</v>
      </c>
      <c r="T1024" s="208">
        <v>2026.0</v>
      </c>
      <c r="U1024" s="209" t="s">
        <v>36</v>
      </c>
      <c r="V1024" s="209">
        <v>29.23</v>
      </c>
      <c r="W1024" s="429">
        <v>46296.0</v>
      </c>
      <c r="X1024" s="208">
        <v>1.0</v>
      </c>
      <c r="Y1024" s="208">
        <v>10.0</v>
      </c>
      <c r="Z1024" s="208">
        <v>2026.0</v>
      </c>
      <c r="AA1024" s="209" t="s">
        <v>36</v>
      </c>
    </row>
    <row r="1025" ht="15.75" hidden="1" customHeight="1">
      <c r="A1025" s="209" t="s">
        <v>2782</v>
      </c>
      <c r="B1025" s="208">
        <v>6.320073643E9</v>
      </c>
      <c r="C1025" s="429">
        <v>46280.0</v>
      </c>
      <c r="D1025" s="208">
        <v>15.0</v>
      </c>
      <c r="E1025" s="208">
        <v>9.0</v>
      </c>
      <c r="F1025" s="208">
        <v>2026.0</v>
      </c>
      <c r="G1025" s="429">
        <v>46281.0</v>
      </c>
      <c r="H1025" s="208">
        <v>16.0</v>
      </c>
      <c r="I1025" s="208">
        <v>9.0</v>
      </c>
      <c r="J1025" s="208">
        <v>2026.0</v>
      </c>
      <c r="K1025" s="209" t="s">
        <v>36</v>
      </c>
      <c r="L1025" s="209" t="s">
        <v>1177</v>
      </c>
      <c r="M1025" s="208">
        <v>1.0</v>
      </c>
      <c r="N1025" s="208">
        <v>1.0</v>
      </c>
      <c r="O1025" s="201">
        <f t="shared" si="5"/>
        <v>1</v>
      </c>
      <c r="P1025" s="208">
        <v>2.0</v>
      </c>
      <c r="Q1025" s="429">
        <v>46296.0</v>
      </c>
      <c r="R1025" s="430">
        <v>1.0</v>
      </c>
      <c r="S1025" s="430">
        <v>10.0</v>
      </c>
      <c r="T1025" s="208">
        <v>2026.0</v>
      </c>
      <c r="U1025" s="209" t="s">
        <v>36</v>
      </c>
      <c r="V1025" s="209">
        <v>29.23</v>
      </c>
      <c r="W1025" s="429">
        <v>46296.0</v>
      </c>
      <c r="X1025" s="208">
        <v>1.0</v>
      </c>
      <c r="Y1025" s="208">
        <v>10.0</v>
      </c>
      <c r="Z1025" s="208">
        <v>2026.0</v>
      </c>
      <c r="AA1025" s="209" t="s">
        <v>36</v>
      </c>
    </row>
    <row r="1026" ht="15.75" hidden="1" customHeight="1">
      <c r="A1026" s="209" t="s">
        <v>2783</v>
      </c>
      <c r="B1026" s="208">
        <v>5.5572084E9</v>
      </c>
      <c r="C1026" s="429">
        <v>46286.0</v>
      </c>
      <c r="D1026" s="208">
        <v>21.0</v>
      </c>
      <c r="E1026" s="208">
        <v>9.0</v>
      </c>
      <c r="F1026" s="208">
        <v>2026.0</v>
      </c>
      <c r="G1026" s="429">
        <v>46287.0</v>
      </c>
      <c r="H1026" s="208">
        <v>22.0</v>
      </c>
      <c r="I1026" s="208">
        <v>9.0</v>
      </c>
      <c r="J1026" s="208">
        <v>2026.0</v>
      </c>
      <c r="K1026" s="209" t="s">
        <v>36</v>
      </c>
      <c r="L1026" s="209" t="s">
        <v>1177</v>
      </c>
      <c r="M1026" s="208">
        <v>1.0</v>
      </c>
      <c r="N1026" s="208">
        <v>1.0</v>
      </c>
      <c r="O1026" s="201">
        <f t="shared" si="5"/>
        <v>1</v>
      </c>
      <c r="P1026" s="208">
        <v>2.0</v>
      </c>
      <c r="Q1026" s="429">
        <v>46296.0</v>
      </c>
      <c r="R1026" s="430">
        <v>1.0</v>
      </c>
      <c r="S1026" s="430">
        <v>10.0</v>
      </c>
      <c r="T1026" s="208">
        <v>2026.0</v>
      </c>
      <c r="U1026" s="209" t="s">
        <v>36</v>
      </c>
      <c r="V1026" s="209">
        <v>26.72</v>
      </c>
      <c r="W1026" s="429">
        <v>46296.0</v>
      </c>
      <c r="X1026" s="208">
        <v>1.0</v>
      </c>
      <c r="Y1026" s="208">
        <v>10.0</v>
      </c>
      <c r="Z1026" s="208">
        <v>2026.0</v>
      </c>
      <c r="AA1026" s="209" t="s">
        <v>36</v>
      </c>
    </row>
    <row r="1027" ht="15.75" hidden="1" customHeight="1">
      <c r="A1027" s="209" t="s">
        <v>2784</v>
      </c>
      <c r="B1027" s="208">
        <v>6.608299397E9</v>
      </c>
      <c r="C1027" s="429">
        <v>46285.0</v>
      </c>
      <c r="D1027" s="208">
        <v>20.0</v>
      </c>
      <c r="E1027" s="208">
        <v>9.0</v>
      </c>
      <c r="F1027" s="208">
        <v>2026.0</v>
      </c>
      <c r="G1027" s="429">
        <v>46286.0</v>
      </c>
      <c r="H1027" s="208">
        <v>21.0</v>
      </c>
      <c r="I1027" s="208">
        <v>9.0</v>
      </c>
      <c r="J1027" s="208">
        <v>2026.0</v>
      </c>
      <c r="K1027" s="209" t="s">
        <v>36</v>
      </c>
      <c r="L1027" s="209" t="s">
        <v>1177</v>
      </c>
      <c r="M1027" s="208">
        <v>1.0</v>
      </c>
      <c r="N1027" s="208">
        <v>1.0</v>
      </c>
      <c r="O1027" s="201">
        <f t="shared" si="5"/>
        <v>1</v>
      </c>
      <c r="P1027" s="208">
        <v>2.0</v>
      </c>
      <c r="Q1027" s="429">
        <v>46296.0</v>
      </c>
      <c r="R1027" s="430">
        <v>1.0</v>
      </c>
      <c r="S1027" s="430">
        <v>10.0</v>
      </c>
      <c r="T1027" s="208">
        <v>2026.0</v>
      </c>
      <c r="U1027" s="209" t="s">
        <v>36</v>
      </c>
      <c r="V1027" s="209">
        <v>26.72</v>
      </c>
      <c r="W1027" s="429">
        <v>46296.0</v>
      </c>
      <c r="X1027" s="208">
        <v>1.0</v>
      </c>
      <c r="Y1027" s="208">
        <v>10.0</v>
      </c>
      <c r="Z1027" s="208">
        <v>2026.0</v>
      </c>
      <c r="AA1027" s="209" t="s">
        <v>36</v>
      </c>
    </row>
    <row r="1028" ht="15.75" hidden="1" customHeight="1">
      <c r="A1028" s="209" t="s">
        <v>2785</v>
      </c>
      <c r="B1028" s="208">
        <v>5.741202195E9</v>
      </c>
      <c r="C1028" s="429">
        <v>46293.0</v>
      </c>
      <c r="D1028" s="208">
        <v>28.0</v>
      </c>
      <c r="E1028" s="208">
        <v>9.0</v>
      </c>
      <c r="F1028" s="208">
        <v>2026.0</v>
      </c>
      <c r="G1028" s="429">
        <v>46294.0</v>
      </c>
      <c r="H1028" s="208">
        <v>29.0</v>
      </c>
      <c r="I1028" s="208">
        <v>9.0</v>
      </c>
      <c r="J1028" s="208">
        <v>2026.0</v>
      </c>
      <c r="K1028" s="209" t="s">
        <v>36</v>
      </c>
      <c r="L1028" s="209" t="s">
        <v>1177</v>
      </c>
      <c r="M1028" s="208">
        <v>1.0</v>
      </c>
      <c r="N1028" s="208">
        <v>1.0</v>
      </c>
      <c r="O1028" s="201">
        <f t="shared" si="5"/>
        <v>1</v>
      </c>
      <c r="P1028" s="208">
        <v>2.0</v>
      </c>
      <c r="Q1028" s="429">
        <v>46296.0</v>
      </c>
      <c r="R1028" s="430">
        <v>1.0</v>
      </c>
      <c r="S1028" s="430">
        <v>10.0</v>
      </c>
      <c r="T1028" s="208">
        <v>2026.0</v>
      </c>
      <c r="U1028" s="209" t="s">
        <v>36</v>
      </c>
      <c r="V1028" s="209">
        <v>29.23</v>
      </c>
      <c r="W1028" s="429">
        <v>46296.0</v>
      </c>
      <c r="X1028" s="208">
        <v>1.0</v>
      </c>
      <c r="Y1028" s="208">
        <v>10.0</v>
      </c>
      <c r="Z1028" s="208">
        <v>2026.0</v>
      </c>
      <c r="AA1028" s="209" t="s">
        <v>36</v>
      </c>
    </row>
    <row r="1029" ht="15.75" hidden="1" customHeight="1">
      <c r="A1029" s="209" t="s">
        <v>2786</v>
      </c>
      <c r="B1029" s="209" t="s">
        <v>2787</v>
      </c>
      <c r="C1029" s="429">
        <v>46274.0</v>
      </c>
      <c r="D1029" s="208">
        <v>9.0</v>
      </c>
      <c r="E1029" s="208">
        <v>9.0</v>
      </c>
      <c r="F1029" s="208">
        <v>2026.0</v>
      </c>
      <c r="G1029" s="429">
        <v>46275.0</v>
      </c>
      <c r="H1029" s="208">
        <v>10.0</v>
      </c>
      <c r="I1029" s="208">
        <v>9.0</v>
      </c>
      <c r="J1029" s="208">
        <v>2026.0</v>
      </c>
      <c r="K1029" s="209" t="s">
        <v>46</v>
      </c>
      <c r="L1029" s="209" t="s">
        <v>1177</v>
      </c>
      <c r="M1029" s="208">
        <v>1.0</v>
      </c>
      <c r="N1029" s="208">
        <v>1.0</v>
      </c>
      <c r="O1029" s="201">
        <f t="shared" si="5"/>
        <v>1</v>
      </c>
      <c r="P1029" s="208">
        <v>2.0</v>
      </c>
      <c r="Q1029" s="429">
        <v>46274.89053240741</v>
      </c>
      <c r="R1029" s="430">
        <v>9.0</v>
      </c>
      <c r="S1029" s="430">
        <v>9.0</v>
      </c>
      <c r="T1029" s="208">
        <v>2026.0</v>
      </c>
      <c r="U1029" s="209" t="s">
        <v>245</v>
      </c>
      <c r="V1029" s="209">
        <v>38.25</v>
      </c>
      <c r="W1029" s="429">
        <v>46274.89053240741</v>
      </c>
      <c r="X1029" s="208">
        <v>9.0</v>
      </c>
      <c r="Y1029" s="208">
        <v>9.0</v>
      </c>
      <c r="Z1029" s="208">
        <v>2026.0</v>
      </c>
      <c r="AA1029" s="209" t="s">
        <v>245</v>
      </c>
    </row>
    <row r="1030" ht="15.75" hidden="1" customHeight="1">
      <c r="A1030" s="209" t="s">
        <v>2788</v>
      </c>
      <c r="B1030" s="208">
        <v>5.886584331E9</v>
      </c>
      <c r="C1030" s="429">
        <v>46271.0</v>
      </c>
      <c r="D1030" s="208">
        <v>6.0</v>
      </c>
      <c r="E1030" s="208">
        <v>9.0</v>
      </c>
      <c r="F1030" s="208">
        <v>2026.0</v>
      </c>
      <c r="G1030" s="429">
        <v>46272.0</v>
      </c>
      <c r="H1030" s="208">
        <v>7.0</v>
      </c>
      <c r="I1030" s="208">
        <v>9.0</v>
      </c>
      <c r="J1030" s="208">
        <v>2026.0</v>
      </c>
      <c r="K1030" s="209" t="s">
        <v>36</v>
      </c>
      <c r="L1030" s="209" t="s">
        <v>1177</v>
      </c>
      <c r="M1030" s="208">
        <v>1.0</v>
      </c>
      <c r="N1030" s="208">
        <v>1.0</v>
      </c>
      <c r="O1030" s="201">
        <f t="shared" si="5"/>
        <v>1</v>
      </c>
      <c r="P1030" s="208">
        <v>2.0</v>
      </c>
      <c r="Q1030" s="429">
        <v>46296.0</v>
      </c>
      <c r="R1030" s="430">
        <v>1.0</v>
      </c>
      <c r="S1030" s="430">
        <v>10.0</v>
      </c>
      <c r="T1030" s="208">
        <v>2026.0</v>
      </c>
      <c r="U1030" s="209" t="s">
        <v>36</v>
      </c>
      <c r="V1030" s="209">
        <v>45.95</v>
      </c>
      <c r="W1030" s="429">
        <v>46296.0</v>
      </c>
      <c r="X1030" s="208">
        <v>1.0</v>
      </c>
      <c r="Y1030" s="208">
        <v>10.0</v>
      </c>
      <c r="Z1030" s="208">
        <v>2026.0</v>
      </c>
      <c r="AA1030" s="209" t="s">
        <v>36</v>
      </c>
    </row>
    <row r="1031" ht="15.75" hidden="1" customHeight="1">
      <c r="A1031" s="209" t="s">
        <v>2789</v>
      </c>
      <c r="B1031" s="208">
        <v>5.173736428E9</v>
      </c>
      <c r="C1031" s="429">
        <v>46268.0</v>
      </c>
      <c r="D1031" s="208">
        <v>3.0</v>
      </c>
      <c r="E1031" s="208">
        <v>9.0</v>
      </c>
      <c r="F1031" s="208">
        <v>2026.0</v>
      </c>
      <c r="G1031" s="429">
        <v>46269.0</v>
      </c>
      <c r="H1031" s="208">
        <v>4.0</v>
      </c>
      <c r="I1031" s="208">
        <v>9.0</v>
      </c>
      <c r="J1031" s="208">
        <v>2026.0</v>
      </c>
      <c r="K1031" s="209" t="s">
        <v>36</v>
      </c>
      <c r="L1031" s="209" t="s">
        <v>1177</v>
      </c>
      <c r="M1031" s="208">
        <v>1.0</v>
      </c>
      <c r="N1031" s="208">
        <v>1.0</v>
      </c>
      <c r="O1031" s="201">
        <f t="shared" si="5"/>
        <v>1</v>
      </c>
      <c r="P1031" s="208">
        <v>2.0</v>
      </c>
      <c r="Q1031" s="429">
        <v>46296.0</v>
      </c>
      <c r="R1031" s="430">
        <v>1.0</v>
      </c>
      <c r="S1031" s="430">
        <v>10.0</v>
      </c>
      <c r="T1031" s="208">
        <v>2026.0</v>
      </c>
      <c r="U1031" s="209" t="s">
        <v>36</v>
      </c>
      <c r="V1031" s="209">
        <v>37.59</v>
      </c>
      <c r="W1031" s="429">
        <v>46296.0</v>
      </c>
      <c r="X1031" s="208">
        <v>1.0</v>
      </c>
      <c r="Y1031" s="208">
        <v>10.0</v>
      </c>
      <c r="Z1031" s="208">
        <v>2026.0</v>
      </c>
      <c r="AA1031" s="209" t="s">
        <v>36</v>
      </c>
    </row>
    <row r="1032" ht="15.75" hidden="1" customHeight="1">
      <c r="A1032" s="209" t="s">
        <v>2790</v>
      </c>
      <c r="B1032" s="209" t="s">
        <v>2791</v>
      </c>
      <c r="C1032" s="429">
        <v>46274.0</v>
      </c>
      <c r="D1032" s="208">
        <v>9.0</v>
      </c>
      <c r="E1032" s="208">
        <v>9.0</v>
      </c>
      <c r="F1032" s="208">
        <v>2026.0</v>
      </c>
      <c r="G1032" s="429">
        <v>46275.0</v>
      </c>
      <c r="H1032" s="208">
        <v>10.0</v>
      </c>
      <c r="I1032" s="208">
        <v>9.0</v>
      </c>
      <c r="J1032" s="208">
        <v>2026.0</v>
      </c>
      <c r="K1032" s="209" t="s">
        <v>46</v>
      </c>
      <c r="L1032" s="209" t="s">
        <v>1177</v>
      </c>
      <c r="M1032" s="208">
        <v>1.0</v>
      </c>
      <c r="N1032" s="208">
        <v>1.0</v>
      </c>
      <c r="O1032" s="201">
        <f t="shared" si="5"/>
        <v>1</v>
      </c>
      <c r="P1032" s="208">
        <v>2.0</v>
      </c>
      <c r="Q1032" s="429">
        <v>46275.31092592593</v>
      </c>
      <c r="R1032" s="430">
        <v>10.0</v>
      </c>
      <c r="S1032" s="430">
        <v>9.0</v>
      </c>
      <c r="T1032" s="208">
        <v>2026.0</v>
      </c>
      <c r="U1032" s="209" t="s">
        <v>245</v>
      </c>
      <c r="V1032" s="209">
        <v>29.75</v>
      </c>
      <c r="W1032" s="429">
        <v>46275.31092592593</v>
      </c>
      <c r="X1032" s="208">
        <v>10.0</v>
      </c>
      <c r="Y1032" s="208">
        <v>9.0</v>
      </c>
      <c r="Z1032" s="208">
        <v>2026.0</v>
      </c>
      <c r="AA1032" s="209" t="s">
        <v>245</v>
      </c>
    </row>
    <row r="1033" ht="15.75" hidden="1" customHeight="1">
      <c r="A1033" s="209" t="s">
        <v>2792</v>
      </c>
      <c r="B1033" s="209" t="s">
        <v>2793</v>
      </c>
      <c r="C1033" s="429">
        <v>46266.0</v>
      </c>
      <c r="D1033" s="208">
        <v>1.0</v>
      </c>
      <c r="E1033" s="208">
        <v>9.0</v>
      </c>
      <c r="F1033" s="208">
        <v>2026.0</v>
      </c>
      <c r="G1033" s="429">
        <v>46270.0</v>
      </c>
      <c r="H1033" s="208">
        <v>5.0</v>
      </c>
      <c r="I1033" s="208">
        <v>9.0</v>
      </c>
      <c r="J1033" s="208">
        <v>2026.0</v>
      </c>
      <c r="K1033" s="209" t="s">
        <v>46</v>
      </c>
      <c r="L1033" s="209" t="s">
        <v>1177</v>
      </c>
      <c r="M1033" s="208">
        <v>1.0</v>
      </c>
      <c r="N1033" s="208">
        <v>4.0</v>
      </c>
      <c r="O1033" s="201">
        <f t="shared" si="5"/>
        <v>4</v>
      </c>
      <c r="P1033" s="208">
        <v>6.0</v>
      </c>
      <c r="Q1033" s="429">
        <v>46270.509247685186</v>
      </c>
      <c r="R1033" s="208">
        <v>5.0</v>
      </c>
      <c r="S1033" s="208">
        <v>9.0</v>
      </c>
      <c r="T1033" s="208">
        <v>2026.0</v>
      </c>
      <c r="U1033" s="209" t="s">
        <v>245</v>
      </c>
      <c r="V1033" s="209">
        <v>89.25</v>
      </c>
      <c r="W1033" s="429">
        <v>46270.509247685186</v>
      </c>
      <c r="X1033" s="208">
        <v>5.0</v>
      </c>
      <c r="Y1033" s="208">
        <v>9.0</v>
      </c>
      <c r="Z1033" s="208">
        <v>2026.0</v>
      </c>
      <c r="AA1033" s="209" t="s">
        <v>245</v>
      </c>
    </row>
    <row r="1034" ht="15.75" hidden="1" customHeight="1">
      <c r="A1034" s="209" t="s">
        <v>2794</v>
      </c>
      <c r="B1034" s="209" t="s">
        <v>2795</v>
      </c>
      <c r="C1034" s="429">
        <v>46274.0</v>
      </c>
      <c r="D1034" s="208">
        <v>9.0</v>
      </c>
      <c r="E1034" s="208">
        <v>9.0</v>
      </c>
      <c r="F1034" s="208">
        <v>2026.0</v>
      </c>
      <c r="G1034" s="429">
        <v>46275.0</v>
      </c>
      <c r="H1034" s="208">
        <v>10.0</v>
      </c>
      <c r="I1034" s="208">
        <v>9.0</v>
      </c>
      <c r="J1034" s="208">
        <v>2026.0</v>
      </c>
      <c r="K1034" s="209" t="s">
        <v>51</v>
      </c>
      <c r="L1034" s="209" t="s">
        <v>1177</v>
      </c>
      <c r="M1034" s="208">
        <v>1.0</v>
      </c>
      <c r="N1034" s="208">
        <v>1.0</v>
      </c>
      <c r="O1034" s="201">
        <f t="shared" si="5"/>
        <v>1</v>
      </c>
      <c r="P1034" s="208">
        <v>2.0</v>
      </c>
      <c r="Q1034" s="429">
        <v>46295.0</v>
      </c>
      <c r="R1034" s="430">
        <v>30.0</v>
      </c>
      <c r="S1034" s="430">
        <v>9.0</v>
      </c>
      <c r="T1034" s="208">
        <v>2026.0</v>
      </c>
      <c r="U1034" s="209" t="s">
        <v>2</v>
      </c>
      <c r="V1034" s="209">
        <v>38.02</v>
      </c>
      <c r="W1034" s="429">
        <v>46295.0</v>
      </c>
      <c r="X1034" s="208">
        <v>30.0</v>
      </c>
      <c r="Y1034" s="208">
        <v>9.0</v>
      </c>
      <c r="Z1034" s="208">
        <v>2026.0</v>
      </c>
      <c r="AA1034" s="209" t="s">
        <v>2</v>
      </c>
    </row>
    <row r="1035" ht="15.75" hidden="1" customHeight="1">
      <c r="A1035" s="209" t="s">
        <v>2796</v>
      </c>
      <c r="B1035" s="209" t="s">
        <v>2797</v>
      </c>
      <c r="C1035" s="429">
        <v>46267.0</v>
      </c>
      <c r="D1035" s="208">
        <v>2.0</v>
      </c>
      <c r="E1035" s="208">
        <v>9.0</v>
      </c>
      <c r="F1035" s="208">
        <v>2026.0</v>
      </c>
      <c r="G1035" s="429">
        <v>46268.0</v>
      </c>
      <c r="H1035" s="208">
        <v>3.0</v>
      </c>
      <c r="I1035" s="208">
        <v>9.0</v>
      </c>
      <c r="J1035" s="208">
        <v>2026.0</v>
      </c>
      <c r="K1035" s="209" t="s">
        <v>46</v>
      </c>
      <c r="L1035" s="209" t="s">
        <v>1177</v>
      </c>
      <c r="M1035" s="208">
        <v>1.0</v>
      </c>
      <c r="N1035" s="208">
        <v>1.0</v>
      </c>
      <c r="O1035" s="201">
        <f t="shared" si="5"/>
        <v>1</v>
      </c>
      <c r="P1035" s="208">
        <v>2.0</v>
      </c>
      <c r="Q1035" s="429">
        <v>46268.48563657407</v>
      </c>
      <c r="R1035" s="430">
        <v>3.0</v>
      </c>
      <c r="S1035" s="430">
        <v>9.0</v>
      </c>
      <c r="T1035" s="208">
        <v>2026.0</v>
      </c>
      <c r="U1035" s="209" t="s">
        <v>245</v>
      </c>
      <c r="V1035" s="209">
        <v>29.75</v>
      </c>
      <c r="W1035" s="429">
        <v>46268.48563657407</v>
      </c>
      <c r="X1035" s="208">
        <v>3.0</v>
      </c>
      <c r="Y1035" s="208">
        <v>9.0</v>
      </c>
      <c r="Z1035" s="208">
        <v>2026.0</v>
      </c>
      <c r="AA1035" s="209" t="s">
        <v>245</v>
      </c>
    </row>
    <row r="1036" ht="15.75" hidden="1" customHeight="1">
      <c r="A1036" s="209" t="s">
        <v>2798</v>
      </c>
      <c r="B1036" s="208">
        <v>6.10223286E9</v>
      </c>
      <c r="C1036" s="429">
        <v>46294.0</v>
      </c>
      <c r="D1036" s="208">
        <v>29.0</v>
      </c>
      <c r="E1036" s="208">
        <v>9.0</v>
      </c>
      <c r="F1036" s="208">
        <v>2026.0</v>
      </c>
      <c r="G1036" s="429">
        <v>46295.0</v>
      </c>
      <c r="H1036" s="208">
        <v>30.0</v>
      </c>
      <c r="I1036" s="208">
        <v>9.0</v>
      </c>
      <c r="J1036" s="208">
        <v>2026.0</v>
      </c>
      <c r="K1036" s="209" t="s">
        <v>36</v>
      </c>
      <c r="L1036" s="209" t="s">
        <v>1177</v>
      </c>
      <c r="M1036" s="208">
        <v>1.0</v>
      </c>
      <c r="N1036" s="208">
        <v>1.0</v>
      </c>
      <c r="O1036" s="201">
        <f t="shared" si="5"/>
        <v>1</v>
      </c>
      <c r="P1036" s="208">
        <v>2.0</v>
      </c>
      <c r="Q1036" s="429">
        <v>46296.0</v>
      </c>
      <c r="R1036" s="430">
        <v>1.0</v>
      </c>
      <c r="S1036" s="430">
        <v>10.0</v>
      </c>
      <c r="T1036" s="208">
        <v>2026.0</v>
      </c>
      <c r="U1036" s="209" t="s">
        <v>36</v>
      </c>
      <c r="V1036" s="209">
        <v>29.23</v>
      </c>
      <c r="W1036" s="429">
        <v>46296.0</v>
      </c>
      <c r="X1036" s="208">
        <v>1.0</v>
      </c>
      <c r="Y1036" s="208">
        <v>10.0</v>
      </c>
      <c r="Z1036" s="208">
        <v>2026.0</v>
      </c>
      <c r="AA1036" s="209" t="s">
        <v>36</v>
      </c>
    </row>
    <row r="1037" ht="15.75" hidden="1" customHeight="1">
      <c r="A1037" s="209" t="s">
        <v>2799</v>
      </c>
      <c r="B1037" s="209" t="s">
        <v>2800</v>
      </c>
      <c r="C1037" s="429">
        <v>46288.0</v>
      </c>
      <c r="D1037" s="208">
        <v>23.0</v>
      </c>
      <c r="E1037" s="208">
        <v>9.0</v>
      </c>
      <c r="F1037" s="208">
        <v>2026.0</v>
      </c>
      <c r="G1037" s="429">
        <v>46290.0</v>
      </c>
      <c r="H1037" s="208">
        <v>25.0</v>
      </c>
      <c r="I1037" s="208">
        <v>9.0</v>
      </c>
      <c r="J1037" s="208">
        <v>2026.0</v>
      </c>
      <c r="K1037" s="209" t="s">
        <v>46</v>
      </c>
      <c r="L1037" s="209" t="s">
        <v>1177</v>
      </c>
      <c r="M1037" s="208">
        <v>1.0</v>
      </c>
      <c r="N1037" s="208">
        <v>2.0</v>
      </c>
      <c r="O1037" s="201">
        <f t="shared" si="5"/>
        <v>2</v>
      </c>
      <c r="P1037" s="208">
        <v>4.0</v>
      </c>
      <c r="Q1037" s="429">
        <v>46291.41622685185</v>
      </c>
      <c r="R1037" s="430">
        <v>26.0</v>
      </c>
      <c r="S1037" s="430">
        <v>9.0</v>
      </c>
      <c r="T1037" s="208">
        <v>2026.0</v>
      </c>
      <c r="U1037" s="209" t="s">
        <v>245</v>
      </c>
      <c r="V1037" s="209">
        <v>68.0</v>
      </c>
      <c r="W1037" s="429">
        <v>46291.41622685185</v>
      </c>
      <c r="X1037" s="208">
        <v>26.0</v>
      </c>
      <c r="Y1037" s="208">
        <v>9.0</v>
      </c>
      <c r="Z1037" s="208">
        <v>2026.0</v>
      </c>
      <c r="AA1037" s="209" t="s">
        <v>245</v>
      </c>
    </row>
    <row r="1038" ht="15.75" hidden="1" customHeight="1">
      <c r="A1038" s="209" t="s">
        <v>2801</v>
      </c>
      <c r="B1038" s="208">
        <v>5.833362861E9</v>
      </c>
      <c r="C1038" s="429">
        <v>46278.0</v>
      </c>
      <c r="D1038" s="208">
        <v>13.0</v>
      </c>
      <c r="E1038" s="208">
        <v>9.0</v>
      </c>
      <c r="F1038" s="208">
        <v>2026.0</v>
      </c>
      <c r="G1038" s="429">
        <v>46279.0</v>
      </c>
      <c r="H1038" s="208">
        <v>14.0</v>
      </c>
      <c r="I1038" s="208">
        <v>9.0</v>
      </c>
      <c r="J1038" s="208">
        <v>2026.0</v>
      </c>
      <c r="K1038" s="209" t="s">
        <v>36</v>
      </c>
      <c r="L1038" s="209" t="s">
        <v>1177</v>
      </c>
      <c r="M1038" s="208">
        <v>1.0</v>
      </c>
      <c r="N1038" s="208">
        <v>1.0</v>
      </c>
      <c r="O1038" s="201">
        <f t="shared" si="5"/>
        <v>1</v>
      </c>
      <c r="P1038" s="208">
        <v>2.0</v>
      </c>
      <c r="Q1038" s="429">
        <v>46296.0</v>
      </c>
      <c r="R1038" s="430">
        <v>1.0</v>
      </c>
      <c r="S1038" s="430">
        <v>10.0</v>
      </c>
      <c r="T1038" s="208">
        <v>2026.0</v>
      </c>
      <c r="U1038" s="209" t="s">
        <v>36</v>
      </c>
      <c r="V1038" s="209">
        <v>37.59</v>
      </c>
      <c r="W1038" s="429">
        <v>46296.0</v>
      </c>
      <c r="X1038" s="208">
        <v>1.0</v>
      </c>
      <c r="Y1038" s="208">
        <v>10.0</v>
      </c>
      <c r="Z1038" s="208">
        <v>2026.0</v>
      </c>
      <c r="AA1038" s="209" t="s">
        <v>36</v>
      </c>
    </row>
    <row r="1039" ht="15.75" hidden="1" customHeight="1">
      <c r="A1039" s="209" t="s">
        <v>2802</v>
      </c>
      <c r="B1039" s="209" t="s">
        <v>2803</v>
      </c>
      <c r="C1039" s="429">
        <v>46289.0</v>
      </c>
      <c r="D1039" s="208">
        <v>24.0</v>
      </c>
      <c r="E1039" s="208">
        <v>9.0</v>
      </c>
      <c r="F1039" s="208">
        <v>2026.0</v>
      </c>
      <c r="G1039" s="429">
        <v>46290.0</v>
      </c>
      <c r="H1039" s="208">
        <v>25.0</v>
      </c>
      <c r="I1039" s="208">
        <v>9.0</v>
      </c>
      <c r="J1039" s="208">
        <v>2026.0</v>
      </c>
      <c r="K1039" s="209" t="s">
        <v>51</v>
      </c>
      <c r="L1039" s="209" t="s">
        <v>1177</v>
      </c>
      <c r="M1039" s="208">
        <v>1.0</v>
      </c>
      <c r="N1039" s="208">
        <v>1.0</v>
      </c>
      <c r="O1039" s="201">
        <f t="shared" si="5"/>
        <v>1</v>
      </c>
      <c r="P1039" s="208">
        <v>2.0</v>
      </c>
      <c r="Q1039" s="429">
        <v>46295.0</v>
      </c>
      <c r="R1039" s="430">
        <v>30.0</v>
      </c>
      <c r="S1039" s="430">
        <v>9.0</v>
      </c>
      <c r="T1039" s="208">
        <v>2026.0</v>
      </c>
      <c r="U1039" s="209" t="s">
        <v>2</v>
      </c>
      <c r="V1039" s="209">
        <v>29.57</v>
      </c>
      <c r="W1039" s="429">
        <v>46295.0</v>
      </c>
      <c r="X1039" s="208">
        <v>30.0</v>
      </c>
      <c r="Y1039" s="208">
        <v>9.0</v>
      </c>
      <c r="Z1039" s="208">
        <v>2026.0</v>
      </c>
      <c r="AA1039" s="209" t="s">
        <v>2</v>
      </c>
    </row>
    <row r="1040" ht="15.75" hidden="1" customHeight="1">
      <c r="A1040" s="209" t="s">
        <v>2804</v>
      </c>
      <c r="B1040" s="208">
        <v>6.650099292E9</v>
      </c>
      <c r="C1040" s="429">
        <v>46287.0</v>
      </c>
      <c r="D1040" s="208">
        <v>22.0</v>
      </c>
      <c r="E1040" s="208">
        <v>9.0</v>
      </c>
      <c r="F1040" s="208">
        <v>2026.0</v>
      </c>
      <c r="G1040" s="429">
        <v>46288.0</v>
      </c>
      <c r="H1040" s="208">
        <v>23.0</v>
      </c>
      <c r="I1040" s="208">
        <v>9.0</v>
      </c>
      <c r="J1040" s="208">
        <v>2026.0</v>
      </c>
      <c r="K1040" s="209" t="s">
        <v>36</v>
      </c>
      <c r="L1040" s="209" t="s">
        <v>1177</v>
      </c>
      <c r="M1040" s="208">
        <v>1.0</v>
      </c>
      <c r="N1040" s="208">
        <v>1.0</v>
      </c>
      <c r="O1040" s="201">
        <f t="shared" si="5"/>
        <v>1</v>
      </c>
      <c r="P1040" s="208">
        <v>2.0</v>
      </c>
      <c r="Q1040" s="429">
        <v>46296.0</v>
      </c>
      <c r="R1040" s="430">
        <v>1.0</v>
      </c>
      <c r="S1040" s="430">
        <v>10.0</v>
      </c>
      <c r="T1040" s="208">
        <v>2026.0</v>
      </c>
      <c r="U1040" s="209" t="s">
        <v>36</v>
      </c>
      <c r="V1040" s="209">
        <v>25.05</v>
      </c>
      <c r="W1040" s="429">
        <v>46296.0</v>
      </c>
      <c r="X1040" s="208">
        <v>1.0</v>
      </c>
      <c r="Y1040" s="208">
        <v>10.0</v>
      </c>
      <c r="Z1040" s="208">
        <v>2026.0</v>
      </c>
      <c r="AA1040" s="209" t="s">
        <v>36</v>
      </c>
    </row>
    <row r="1041" ht="15.75" hidden="1" customHeight="1">
      <c r="A1041" s="209" t="s">
        <v>2805</v>
      </c>
      <c r="B1041" s="208">
        <v>6.640731089E9</v>
      </c>
      <c r="C1041" s="429">
        <v>46294.0</v>
      </c>
      <c r="D1041" s="208">
        <v>29.0</v>
      </c>
      <c r="E1041" s="208">
        <v>9.0</v>
      </c>
      <c r="F1041" s="208">
        <v>2026.0</v>
      </c>
      <c r="G1041" s="429">
        <v>46295.0</v>
      </c>
      <c r="H1041" s="208">
        <v>30.0</v>
      </c>
      <c r="I1041" s="208">
        <v>9.0</v>
      </c>
      <c r="J1041" s="208">
        <v>2026.0</v>
      </c>
      <c r="K1041" s="209" t="s">
        <v>36</v>
      </c>
      <c r="L1041" s="209" t="s">
        <v>1177</v>
      </c>
      <c r="M1041" s="208">
        <v>1.0</v>
      </c>
      <c r="N1041" s="208">
        <v>1.0</v>
      </c>
      <c r="O1041" s="201">
        <f t="shared" si="5"/>
        <v>1</v>
      </c>
      <c r="P1041" s="208">
        <v>2.0</v>
      </c>
      <c r="Q1041" s="429">
        <v>46296.0</v>
      </c>
      <c r="R1041" s="430">
        <v>1.0</v>
      </c>
      <c r="S1041" s="430">
        <v>10.0</v>
      </c>
      <c r="T1041" s="208">
        <v>2026.0</v>
      </c>
      <c r="U1041" s="209" t="s">
        <v>36</v>
      </c>
      <c r="V1041" s="209">
        <v>29.23</v>
      </c>
      <c r="W1041" s="429">
        <v>46296.0</v>
      </c>
      <c r="X1041" s="208">
        <v>1.0</v>
      </c>
      <c r="Y1041" s="208">
        <v>10.0</v>
      </c>
      <c r="Z1041" s="208">
        <v>2026.0</v>
      </c>
      <c r="AA1041" s="209" t="s">
        <v>36</v>
      </c>
    </row>
    <row r="1042" ht="15.75" hidden="1" customHeight="1">
      <c r="A1042" s="209" t="s">
        <v>2806</v>
      </c>
      <c r="B1042" s="208">
        <v>5.983188857E9</v>
      </c>
      <c r="C1042" s="429">
        <v>46283.0</v>
      </c>
      <c r="D1042" s="208">
        <v>18.0</v>
      </c>
      <c r="E1042" s="208">
        <v>9.0</v>
      </c>
      <c r="F1042" s="208">
        <v>2026.0</v>
      </c>
      <c r="G1042" s="429">
        <v>46284.0</v>
      </c>
      <c r="H1042" s="208">
        <v>19.0</v>
      </c>
      <c r="I1042" s="208">
        <v>9.0</v>
      </c>
      <c r="J1042" s="208">
        <v>2026.0</v>
      </c>
      <c r="K1042" s="209" t="s">
        <v>36</v>
      </c>
      <c r="L1042" s="209" t="s">
        <v>1177</v>
      </c>
      <c r="M1042" s="208">
        <v>1.0</v>
      </c>
      <c r="N1042" s="208">
        <v>1.0</v>
      </c>
      <c r="O1042" s="201">
        <f t="shared" si="5"/>
        <v>1</v>
      </c>
      <c r="P1042" s="208">
        <v>2.0</v>
      </c>
      <c r="Q1042" s="429">
        <v>46296.0</v>
      </c>
      <c r="R1042" s="430">
        <v>1.0</v>
      </c>
      <c r="S1042" s="430">
        <v>10.0</v>
      </c>
      <c r="T1042" s="208">
        <v>2026.0</v>
      </c>
      <c r="U1042" s="209" t="s">
        <v>36</v>
      </c>
      <c r="V1042" s="209">
        <v>36.76</v>
      </c>
      <c r="W1042" s="429">
        <v>46296.0</v>
      </c>
      <c r="X1042" s="208">
        <v>1.0</v>
      </c>
      <c r="Y1042" s="208">
        <v>10.0</v>
      </c>
      <c r="Z1042" s="208">
        <v>2026.0</v>
      </c>
      <c r="AA1042" s="209" t="s">
        <v>36</v>
      </c>
    </row>
    <row r="1043" ht="15.75" hidden="1" customHeight="1">
      <c r="A1043" s="209" t="s">
        <v>2807</v>
      </c>
      <c r="B1043" s="208">
        <v>5.376221549E9</v>
      </c>
      <c r="C1043" s="429">
        <v>46266.0</v>
      </c>
      <c r="D1043" s="208">
        <v>1.0</v>
      </c>
      <c r="E1043" s="208">
        <v>9.0</v>
      </c>
      <c r="F1043" s="208">
        <v>2026.0</v>
      </c>
      <c r="G1043" s="429">
        <v>46267.0</v>
      </c>
      <c r="H1043" s="208">
        <v>2.0</v>
      </c>
      <c r="I1043" s="208">
        <v>9.0</v>
      </c>
      <c r="J1043" s="208">
        <v>2026.0</v>
      </c>
      <c r="K1043" s="209" t="s">
        <v>36</v>
      </c>
      <c r="L1043" s="209" t="s">
        <v>1177</v>
      </c>
      <c r="M1043" s="208">
        <v>1.0</v>
      </c>
      <c r="N1043" s="208">
        <v>1.0</v>
      </c>
      <c r="O1043" s="201">
        <f t="shared" si="5"/>
        <v>1</v>
      </c>
      <c r="P1043" s="208">
        <v>2.0</v>
      </c>
      <c r="Q1043" s="429">
        <v>46296.0</v>
      </c>
      <c r="R1043" s="430">
        <v>1.0</v>
      </c>
      <c r="S1043" s="430">
        <v>10.0</v>
      </c>
      <c r="T1043" s="208">
        <v>2026.0</v>
      </c>
      <c r="U1043" s="209" t="s">
        <v>36</v>
      </c>
      <c r="V1043" s="209">
        <v>29.23</v>
      </c>
      <c r="W1043" s="429">
        <v>46296.0</v>
      </c>
      <c r="X1043" s="208">
        <v>1.0</v>
      </c>
      <c r="Y1043" s="208">
        <v>10.0</v>
      </c>
      <c r="Z1043" s="208">
        <v>2026.0</v>
      </c>
      <c r="AA1043" s="209" t="s">
        <v>36</v>
      </c>
    </row>
    <row r="1044" ht="15.75" hidden="1" customHeight="1">
      <c r="A1044" s="209" t="s">
        <v>2808</v>
      </c>
      <c r="B1044" s="208">
        <v>6.261308667E9</v>
      </c>
      <c r="C1044" s="429">
        <v>46272.0</v>
      </c>
      <c r="D1044" s="208">
        <v>7.0</v>
      </c>
      <c r="E1044" s="208">
        <v>9.0</v>
      </c>
      <c r="F1044" s="208">
        <v>2026.0</v>
      </c>
      <c r="G1044" s="429">
        <v>46273.0</v>
      </c>
      <c r="H1044" s="208">
        <v>8.0</v>
      </c>
      <c r="I1044" s="208">
        <v>9.0</v>
      </c>
      <c r="J1044" s="208">
        <v>2026.0</v>
      </c>
      <c r="K1044" s="209" t="s">
        <v>36</v>
      </c>
      <c r="L1044" s="209" t="s">
        <v>1177</v>
      </c>
      <c r="M1044" s="208">
        <v>1.0</v>
      </c>
      <c r="N1044" s="208">
        <v>1.0</v>
      </c>
      <c r="O1044" s="201">
        <f t="shared" si="5"/>
        <v>1</v>
      </c>
      <c r="P1044" s="208">
        <v>2.0</v>
      </c>
      <c r="Q1044" s="429">
        <v>46296.0</v>
      </c>
      <c r="R1044" s="430">
        <v>1.0</v>
      </c>
      <c r="S1044" s="430">
        <v>10.0</v>
      </c>
      <c r="T1044" s="208">
        <v>2026.0</v>
      </c>
      <c r="U1044" s="209" t="s">
        <v>36</v>
      </c>
      <c r="V1044" s="209">
        <v>45.95</v>
      </c>
      <c r="W1044" s="429">
        <v>46296.0</v>
      </c>
      <c r="X1044" s="208">
        <v>1.0</v>
      </c>
      <c r="Y1044" s="208">
        <v>10.0</v>
      </c>
      <c r="Z1044" s="208">
        <v>2026.0</v>
      </c>
      <c r="AA1044" s="209" t="s">
        <v>36</v>
      </c>
    </row>
    <row r="1045" ht="15.75" hidden="1" customHeight="1">
      <c r="A1045" s="209" t="s">
        <v>2809</v>
      </c>
      <c r="B1045" s="208">
        <v>6.43356148E9</v>
      </c>
      <c r="C1045" s="429">
        <v>46266.0</v>
      </c>
      <c r="D1045" s="208">
        <v>1.0</v>
      </c>
      <c r="E1045" s="208">
        <v>9.0</v>
      </c>
      <c r="F1045" s="208">
        <v>2026.0</v>
      </c>
      <c r="G1045" s="429">
        <v>46267.0</v>
      </c>
      <c r="H1045" s="208">
        <v>2.0</v>
      </c>
      <c r="I1045" s="208">
        <v>9.0</v>
      </c>
      <c r="J1045" s="208">
        <v>2026.0</v>
      </c>
      <c r="K1045" s="209" t="s">
        <v>36</v>
      </c>
      <c r="L1045" s="209" t="s">
        <v>1177</v>
      </c>
      <c r="M1045" s="208">
        <v>1.0</v>
      </c>
      <c r="N1045" s="208">
        <v>1.0</v>
      </c>
      <c r="O1045" s="201">
        <f t="shared" si="5"/>
        <v>1</v>
      </c>
      <c r="P1045" s="208">
        <v>2.0</v>
      </c>
      <c r="Q1045" s="429">
        <v>46296.0</v>
      </c>
      <c r="R1045" s="430">
        <v>1.0</v>
      </c>
      <c r="S1045" s="430">
        <v>10.0</v>
      </c>
      <c r="T1045" s="208">
        <v>2026.0</v>
      </c>
      <c r="U1045" s="209" t="s">
        <v>36</v>
      </c>
      <c r="V1045" s="209">
        <v>37.59</v>
      </c>
      <c r="W1045" s="429">
        <v>46296.0</v>
      </c>
      <c r="X1045" s="208">
        <v>1.0</v>
      </c>
      <c r="Y1045" s="208">
        <v>10.0</v>
      </c>
      <c r="Z1045" s="208">
        <v>2026.0</v>
      </c>
      <c r="AA1045" s="209" t="s">
        <v>36</v>
      </c>
    </row>
    <row r="1046" ht="15.75" hidden="1" customHeight="1">
      <c r="A1046" s="209" t="s">
        <v>2810</v>
      </c>
      <c r="B1046" s="208">
        <v>5.179538712E9</v>
      </c>
      <c r="C1046" s="429">
        <v>46279.0</v>
      </c>
      <c r="D1046" s="208">
        <v>14.0</v>
      </c>
      <c r="E1046" s="208">
        <v>9.0</v>
      </c>
      <c r="F1046" s="208">
        <v>2026.0</v>
      </c>
      <c r="G1046" s="429">
        <v>46280.0</v>
      </c>
      <c r="H1046" s="208">
        <v>15.0</v>
      </c>
      <c r="I1046" s="208">
        <v>9.0</v>
      </c>
      <c r="J1046" s="208">
        <v>2026.0</v>
      </c>
      <c r="K1046" s="209" t="s">
        <v>36</v>
      </c>
      <c r="L1046" s="209" t="s">
        <v>1177</v>
      </c>
      <c r="M1046" s="208">
        <v>1.0</v>
      </c>
      <c r="N1046" s="208">
        <v>1.0</v>
      </c>
      <c r="O1046" s="201">
        <f t="shared" si="5"/>
        <v>1</v>
      </c>
      <c r="P1046" s="208">
        <v>2.0</v>
      </c>
      <c r="Q1046" s="429">
        <v>46296.0</v>
      </c>
      <c r="R1046" s="430">
        <v>1.0</v>
      </c>
      <c r="S1046" s="430">
        <v>10.0</v>
      </c>
      <c r="T1046" s="208">
        <v>2026.0</v>
      </c>
      <c r="U1046" s="209" t="s">
        <v>36</v>
      </c>
      <c r="V1046" s="209">
        <v>29.23</v>
      </c>
      <c r="W1046" s="429">
        <v>46296.0</v>
      </c>
      <c r="X1046" s="208">
        <v>1.0</v>
      </c>
      <c r="Y1046" s="208">
        <v>10.0</v>
      </c>
      <c r="Z1046" s="208">
        <v>2026.0</v>
      </c>
      <c r="AA1046" s="209" t="s">
        <v>36</v>
      </c>
    </row>
    <row r="1047" ht="15.75" hidden="1" customHeight="1">
      <c r="A1047" s="209" t="s">
        <v>2811</v>
      </c>
      <c r="B1047" s="208">
        <v>6.608217457E9</v>
      </c>
      <c r="C1047" s="429">
        <v>46294.0</v>
      </c>
      <c r="D1047" s="208">
        <v>29.0</v>
      </c>
      <c r="E1047" s="208">
        <v>9.0</v>
      </c>
      <c r="F1047" s="208">
        <v>2026.0</v>
      </c>
      <c r="G1047" s="429">
        <v>46295.0</v>
      </c>
      <c r="H1047" s="208">
        <v>30.0</v>
      </c>
      <c r="I1047" s="208">
        <v>9.0</v>
      </c>
      <c r="J1047" s="208">
        <v>2026.0</v>
      </c>
      <c r="K1047" s="209" t="s">
        <v>36</v>
      </c>
      <c r="L1047" s="209" t="s">
        <v>1177</v>
      </c>
      <c r="M1047" s="208">
        <v>1.0</v>
      </c>
      <c r="N1047" s="208">
        <v>1.0</v>
      </c>
      <c r="O1047" s="201">
        <f t="shared" si="5"/>
        <v>1</v>
      </c>
      <c r="P1047" s="208">
        <v>2.0</v>
      </c>
      <c r="Q1047" s="429">
        <v>46296.0</v>
      </c>
      <c r="R1047" s="430">
        <v>1.0</v>
      </c>
      <c r="S1047" s="430">
        <v>10.0</v>
      </c>
      <c r="T1047" s="208">
        <v>2026.0</v>
      </c>
      <c r="U1047" s="209" t="s">
        <v>36</v>
      </c>
      <c r="V1047" s="209">
        <v>25.05</v>
      </c>
      <c r="W1047" s="429">
        <v>46296.0</v>
      </c>
      <c r="X1047" s="208">
        <v>1.0</v>
      </c>
      <c r="Y1047" s="208">
        <v>10.0</v>
      </c>
      <c r="Z1047" s="208">
        <v>2026.0</v>
      </c>
      <c r="AA1047" s="209" t="s">
        <v>36</v>
      </c>
    </row>
    <row r="1048" ht="15.75" hidden="1" customHeight="1">
      <c r="A1048" s="209" t="s">
        <v>2812</v>
      </c>
      <c r="B1048" s="208">
        <v>5.62357463E9</v>
      </c>
      <c r="C1048" s="429">
        <v>46292.0</v>
      </c>
      <c r="D1048" s="208">
        <v>27.0</v>
      </c>
      <c r="E1048" s="208">
        <v>9.0</v>
      </c>
      <c r="F1048" s="208">
        <v>2026.0</v>
      </c>
      <c r="G1048" s="429">
        <v>46293.0</v>
      </c>
      <c r="H1048" s="208">
        <v>28.0</v>
      </c>
      <c r="I1048" s="208">
        <v>9.0</v>
      </c>
      <c r="J1048" s="208">
        <v>2026.0</v>
      </c>
      <c r="K1048" s="209" t="s">
        <v>36</v>
      </c>
      <c r="L1048" s="209" t="s">
        <v>1177</v>
      </c>
      <c r="M1048" s="208">
        <v>1.0</v>
      </c>
      <c r="N1048" s="208">
        <v>1.0</v>
      </c>
      <c r="O1048" s="201">
        <f t="shared" si="5"/>
        <v>1</v>
      </c>
      <c r="P1048" s="208">
        <v>2.0</v>
      </c>
      <c r="Q1048" s="429">
        <v>46296.0</v>
      </c>
      <c r="R1048" s="430">
        <v>1.0</v>
      </c>
      <c r="S1048" s="430">
        <v>10.0</v>
      </c>
      <c r="T1048" s="208">
        <v>2026.0</v>
      </c>
      <c r="U1048" s="209" t="s">
        <v>36</v>
      </c>
      <c r="V1048" s="209">
        <v>29.23</v>
      </c>
      <c r="W1048" s="429">
        <v>46296.0</v>
      </c>
      <c r="X1048" s="208">
        <v>1.0</v>
      </c>
      <c r="Y1048" s="208">
        <v>10.0</v>
      </c>
      <c r="Z1048" s="208">
        <v>2026.0</v>
      </c>
      <c r="AA1048" s="209" t="s">
        <v>36</v>
      </c>
    </row>
    <row r="1049" ht="15.75" hidden="1" customHeight="1">
      <c r="A1049" s="209" t="s">
        <v>2813</v>
      </c>
      <c r="B1049" s="209" t="s">
        <v>2814</v>
      </c>
      <c r="C1049" s="429">
        <v>46274.0</v>
      </c>
      <c r="D1049" s="208">
        <v>9.0</v>
      </c>
      <c r="E1049" s="208">
        <v>9.0</v>
      </c>
      <c r="F1049" s="208">
        <v>2026.0</v>
      </c>
      <c r="G1049" s="429">
        <v>46276.0</v>
      </c>
      <c r="H1049" s="208">
        <v>11.0</v>
      </c>
      <c r="I1049" s="208">
        <v>9.0</v>
      </c>
      <c r="J1049" s="208">
        <v>2026.0</v>
      </c>
      <c r="K1049" s="209" t="s">
        <v>46</v>
      </c>
      <c r="L1049" s="209" t="s">
        <v>1177</v>
      </c>
      <c r="M1049" s="208">
        <v>1.0</v>
      </c>
      <c r="N1049" s="208">
        <v>2.0</v>
      </c>
      <c r="O1049" s="201">
        <f t="shared" si="5"/>
        <v>2</v>
      </c>
      <c r="P1049" s="208">
        <v>4.0</v>
      </c>
      <c r="Q1049" s="429">
        <v>46274.786215277774</v>
      </c>
      <c r="R1049" s="430">
        <v>9.0</v>
      </c>
      <c r="S1049" s="430">
        <v>9.0</v>
      </c>
      <c r="T1049" s="208">
        <v>2026.0</v>
      </c>
      <c r="U1049" s="209" t="s">
        <v>245</v>
      </c>
      <c r="V1049" s="209">
        <v>76.5</v>
      </c>
      <c r="W1049" s="429">
        <v>46274.786215277774</v>
      </c>
      <c r="X1049" s="208">
        <v>9.0</v>
      </c>
      <c r="Y1049" s="208">
        <v>9.0</v>
      </c>
      <c r="Z1049" s="208">
        <v>2026.0</v>
      </c>
      <c r="AA1049" s="209" t="s">
        <v>245</v>
      </c>
    </row>
    <row r="1050" ht="15.75" hidden="1" customHeight="1">
      <c r="A1050" s="209" t="s">
        <v>2815</v>
      </c>
      <c r="B1050" s="209" t="s">
        <v>2816</v>
      </c>
      <c r="C1050" s="429">
        <v>46275.0</v>
      </c>
      <c r="D1050" s="208">
        <v>10.0</v>
      </c>
      <c r="E1050" s="208">
        <v>9.0</v>
      </c>
      <c r="F1050" s="208">
        <v>2026.0</v>
      </c>
      <c r="G1050" s="429">
        <v>46276.0</v>
      </c>
      <c r="H1050" s="208">
        <v>11.0</v>
      </c>
      <c r="I1050" s="208">
        <v>9.0</v>
      </c>
      <c r="J1050" s="208">
        <v>2026.0</v>
      </c>
      <c r="K1050" s="209" t="s">
        <v>51</v>
      </c>
      <c r="L1050" s="209" t="s">
        <v>1177</v>
      </c>
      <c r="M1050" s="208">
        <v>1.0</v>
      </c>
      <c r="N1050" s="208">
        <v>1.0</v>
      </c>
      <c r="O1050" s="201">
        <f t="shared" si="5"/>
        <v>1</v>
      </c>
      <c r="P1050" s="208">
        <v>2.0</v>
      </c>
      <c r="Q1050" s="429">
        <v>46277.318240740744</v>
      </c>
      <c r="R1050" s="430">
        <v>12.0</v>
      </c>
      <c r="S1050" s="430">
        <v>9.0</v>
      </c>
      <c r="T1050" s="208">
        <v>2026.0</v>
      </c>
      <c r="U1050" s="209" t="s">
        <v>2</v>
      </c>
      <c r="V1050" s="209">
        <v>36.02</v>
      </c>
      <c r="W1050" s="429">
        <v>46295.0</v>
      </c>
      <c r="X1050" s="208">
        <v>30.0</v>
      </c>
      <c r="Y1050" s="208">
        <v>9.0</v>
      </c>
      <c r="Z1050" s="208">
        <v>2026.0</v>
      </c>
      <c r="AA1050" s="209" t="s">
        <v>2</v>
      </c>
    </row>
    <row r="1051" ht="15.75" hidden="1" customHeight="1">
      <c r="A1051" s="209" t="s">
        <v>2817</v>
      </c>
      <c r="B1051" s="209" t="s">
        <v>2818</v>
      </c>
      <c r="C1051" s="429">
        <v>46266.0</v>
      </c>
      <c r="D1051" s="208">
        <v>1.0</v>
      </c>
      <c r="E1051" s="208">
        <v>9.0</v>
      </c>
      <c r="F1051" s="208">
        <v>2026.0</v>
      </c>
      <c r="G1051" s="429">
        <v>46267.0</v>
      </c>
      <c r="H1051" s="208">
        <v>2.0</v>
      </c>
      <c r="I1051" s="208">
        <v>9.0</v>
      </c>
      <c r="J1051" s="208">
        <v>2026.0</v>
      </c>
      <c r="K1051" s="209" t="s">
        <v>51</v>
      </c>
      <c r="L1051" s="209" t="s">
        <v>1177</v>
      </c>
      <c r="M1051" s="208">
        <v>1.0</v>
      </c>
      <c r="N1051" s="208">
        <v>1.0</v>
      </c>
      <c r="O1051" s="201">
        <f t="shared" si="5"/>
        <v>1</v>
      </c>
      <c r="P1051" s="208">
        <v>2.0</v>
      </c>
      <c r="Q1051" s="429">
        <v>46295.0</v>
      </c>
      <c r="R1051" s="430">
        <v>30.0</v>
      </c>
      <c r="S1051" s="430">
        <v>9.0</v>
      </c>
      <c r="T1051" s="208">
        <v>2026.0</v>
      </c>
      <c r="U1051" s="209" t="s">
        <v>2</v>
      </c>
      <c r="V1051" s="209">
        <v>38.02</v>
      </c>
      <c r="W1051" s="429">
        <v>46295.0</v>
      </c>
      <c r="X1051" s="208">
        <v>30.0</v>
      </c>
      <c r="Y1051" s="208">
        <v>9.0</v>
      </c>
      <c r="Z1051" s="208">
        <v>2026.0</v>
      </c>
      <c r="AA1051" s="209" t="s">
        <v>2</v>
      </c>
    </row>
    <row r="1052" ht="15.75" hidden="1" customHeight="1">
      <c r="A1052" s="209" t="s">
        <v>2819</v>
      </c>
      <c r="B1052" s="208">
        <v>6.63042404E9</v>
      </c>
      <c r="C1052" s="429">
        <v>46288.0</v>
      </c>
      <c r="D1052" s="208">
        <v>23.0</v>
      </c>
      <c r="E1052" s="208">
        <v>9.0</v>
      </c>
      <c r="F1052" s="208">
        <v>2026.0</v>
      </c>
      <c r="G1052" s="429">
        <v>46289.0</v>
      </c>
      <c r="H1052" s="208">
        <v>24.0</v>
      </c>
      <c r="I1052" s="208">
        <v>9.0</v>
      </c>
      <c r="J1052" s="208">
        <v>2026.0</v>
      </c>
      <c r="K1052" s="209" t="s">
        <v>36</v>
      </c>
      <c r="L1052" s="209" t="s">
        <v>1177</v>
      </c>
      <c r="M1052" s="208">
        <v>1.0</v>
      </c>
      <c r="N1052" s="208">
        <v>1.0</v>
      </c>
      <c r="O1052" s="201">
        <f t="shared" si="5"/>
        <v>1</v>
      </c>
      <c r="P1052" s="208">
        <v>2.0</v>
      </c>
      <c r="Q1052" s="429">
        <v>46296.0</v>
      </c>
      <c r="R1052" s="430">
        <v>1.0</v>
      </c>
      <c r="S1052" s="430">
        <v>10.0</v>
      </c>
      <c r="T1052" s="208">
        <v>2026.0</v>
      </c>
      <c r="U1052" s="209" t="s">
        <v>36</v>
      </c>
      <c r="V1052" s="209">
        <v>29.23</v>
      </c>
      <c r="W1052" s="429">
        <v>46296.0</v>
      </c>
      <c r="X1052" s="208">
        <v>1.0</v>
      </c>
      <c r="Y1052" s="208">
        <v>10.0</v>
      </c>
      <c r="Z1052" s="208">
        <v>2026.0</v>
      </c>
      <c r="AA1052" s="209" t="s">
        <v>36</v>
      </c>
    </row>
    <row r="1053" ht="15.75" hidden="1" customHeight="1">
      <c r="A1053" s="209" t="s">
        <v>2820</v>
      </c>
      <c r="B1053" s="208">
        <v>5.611826855E9</v>
      </c>
      <c r="C1053" s="429">
        <v>46267.0</v>
      </c>
      <c r="D1053" s="208">
        <v>2.0</v>
      </c>
      <c r="E1053" s="208">
        <v>9.0</v>
      </c>
      <c r="F1053" s="208">
        <v>2026.0</v>
      </c>
      <c r="G1053" s="429">
        <v>46268.0</v>
      </c>
      <c r="H1053" s="208">
        <v>3.0</v>
      </c>
      <c r="I1053" s="208">
        <v>9.0</v>
      </c>
      <c r="J1053" s="208">
        <v>2026.0</v>
      </c>
      <c r="K1053" s="209" t="s">
        <v>36</v>
      </c>
      <c r="L1053" s="209" t="s">
        <v>1177</v>
      </c>
      <c r="M1053" s="208">
        <v>1.0</v>
      </c>
      <c r="N1053" s="208">
        <v>1.0</v>
      </c>
      <c r="O1053" s="201">
        <f t="shared" si="5"/>
        <v>1</v>
      </c>
      <c r="P1053" s="208">
        <v>2.0</v>
      </c>
      <c r="Q1053" s="429">
        <v>46296.0</v>
      </c>
      <c r="R1053" s="430">
        <v>1.0</v>
      </c>
      <c r="S1053" s="430">
        <v>10.0</v>
      </c>
      <c r="T1053" s="208">
        <v>2026.0</v>
      </c>
      <c r="U1053" s="209" t="s">
        <v>36</v>
      </c>
      <c r="V1053" s="209">
        <v>37.59</v>
      </c>
      <c r="W1053" s="429">
        <v>46296.0</v>
      </c>
      <c r="X1053" s="208">
        <v>1.0</v>
      </c>
      <c r="Y1053" s="208">
        <v>10.0</v>
      </c>
      <c r="Z1053" s="208">
        <v>2026.0</v>
      </c>
      <c r="AA1053" s="209" t="s">
        <v>36</v>
      </c>
    </row>
    <row r="1054" ht="15.75" hidden="1" customHeight="1">
      <c r="A1054" s="209" t="s">
        <v>2821</v>
      </c>
      <c r="B1054" s="209" t="s">
        <v>2822</v>
      </c>
      <c r="C1054" s="429">
        <v>46270.0</v>
      </c>
      <c r="D1054" s="208">
        <v>5.0</v>
      </c>
      <c r="E1054" s="208">
        <v>9.0</v>
      </c>
      <c r="F1054" s="208">
        <v>2026.0</v>
      </c>
      <c r="G1054" s="429">
        <v>46271.0</v>
      </c>
      <c r="H1054" s="208">
        <v>6.0</v>
      </c>
      <c r="I1054" s="208">
        <v>9.0</v>
      </c>
      <c r="J1054" s="208">
        <v>2026.0</v>
      </c>
      <c r="K1054" s="209" t="s">
        <v>46</v>
      </c>
      <c r="L1054" s="209" t="s">
        <v>1177</v>
      </c>
      <c r="M1054" s="208">
        <v>1.0</v>
      </c>
      <c r="N1054" s="208">
        <v>1.0</v>
      </c>
      <c r="O1054" s="201">
        <f t="shared" si="5"/>
        <v>1</v>
      </c>
      <c r="P1054" s="208">
        <v>2.0</v>
      </c>
      <c r="Q1054" s="429">
        <v>46270.826875</v>
      </c>
      <c r="R1054" s="430">
        <v>5.0</v>
      </c>
      <c r="S1054" s="430">
        <v>9.0</v>
      </c>
      <c r="T1054" s="208">
        <v>2026.0</v>
      </c>
      <c r="U1054" s="209" t="s">
        <v>12</v>
      </c>
      <c r="V1054" s="209">
        <v>38.25</v>
      </c>
      <c r="W1054" s="429">
        <v>46270.82666666667</v>
      </c>
      <c r="X1054" s="208">
        <v>5.0</v>
      </c>
      <c r="Y1054" s="208">
        <v>9.0</v>
      </c>
      <c r="Z1054" s="208">
        <v>2026.0</v>
      </c>
      <c r="AA1054" s="209" t="s">
        <v>12</v>
      </c>
    </row>
    <row r="1055" ht="15.75" hidden="1" customHeight="1">
      <c r="A1055" s="209" t="s">
        <v>2823</v>
      </c>
      <c r="B1055" s="208">
        <v>6.042927204E9</v>
      </c>
      <c r="C1055" s="429">
        <v>46274.0</v>
      </c>
      <c r="D1055" s="208">
        <v>9.0</v>
      </c>
      <c r="E1055" s="208">
        <v>9.0</v>
      </c>
      <c r="F1055" s="208">
        <v>2026.0</v>
      </c>
      <c r="G1055" s="429">
        <v>46275.0</v>
      </c>
      <c r="H1055" s="208">
        <v>10.0</v>
      </c>
      <c r="I1055" s="208">
        <v>9.0</v>
      </c>
      <c r="J1055" s="208">
        <v>2026.0</v>
      </c>
      <c r="K1055" s="209" t="s">
        <v>36</v>
      </c>
      <c r="L1055" s="209" t="s">
        <v>1177</v>
      </c>
      <c r="M1055" s="208">
        <v>1.0</v>
      </c>
      <c r="N1055" s="208">
        <v>1.0</v>
      </c>
      <c r="O1055" s="201">
        <f t="shared" si="5"/>
        <v>1</v>
      </c>
      <c r="P1055" s="208">
        <v>2.0</v>
      </c>
      <c r="Q1055" s="429">
        <v>46296.0</v>
      </c>
      <c r="R1055" s="430">
        <v>1.0</v>
      </c>
      <c r="S1055" s="430">
        <v>10.0</v>
      </c>
      <c r="T1055" s="208">
        <v>2026.0</v>
      </c>
      <c r="U1055" s="209" t="s">
        <v>36</v>
      </c>
      <c r="V1055" s="209">
        <v>29.23</v>
      </c>
      <c r="W1055" s="429">
        <v>46296.0</v>
      </c>
      <c r="X1055" s="208">
        <v>1.0</v>
      </c>
      <c r="Y1055" s="208">
        <v>10.0</v>
      </c>
      <c r="Z1055" s="208">
        <v>2026.0</v>
      </c>
      <c r="AA1055" s="209" t="s">
        <v>36</v>
      </c>
    </row>
    <row r="1056" ht="15.75" hidden="1" customHeight="1">
      <c r="A1056" s="209" t="s">
        <v>2824</v>
      </c>
      <c r="B1056" s="209" t="s">
        <v>2825</v>
      </c>
      <c r="C1056" s="429">
        <v>46291.0</v>
      </c>
      <c r="D1056" s="208">
        <v>26.0</v>
      </c>
      <c r="E1056" s="208">
        <v>9.0</v>
      </c>
      <c r="F1056" s="208">
        <v>2026.0</v>
      </c>
      <c r="G1056" s="429">
        <v>46292.0</v>
      </c>
      <c r="H1056" s="208">
        <v>27.0</v>
      </c>
      <c r="I1056" s="208">
        <v>9.0</v>
      </c>
      <c r="J1056" s="208">
        <v>2026.0</v>
      </c>
      <c r="K1056" s="209" t="s">
        <v>46</v>
      </c>
      <c r="L1056" s="209" t="s">
        <v>1177</v>
      </c>
      <c r="M1056" s="208">
        <v>1.0</v>
      </c>
      <c r="N1056" s="208">
        <v>1.0</v>
      </c>
      <c r="O1056" s="201">
        <f t="shared" si="5"/>
        <v>1</v>
      </c>
      <c r="P1056" s="208">
        <v>2.0</v>
      </c>
      <c r="Q1056" s="429">
        <v>46291.99743055556</v>
      </c>
      <c r="R1056" s="430">
        <v>26.0</v>
      </c>
      <c r="S1056" s="430">
        <v>9.0</v>
      </c>
      <c r="T1056" s="208">
        <v>2026.0</v>
      </c>
      <c r="U1056" s="209" t="s">
        <v>245</v>
      </c>
      <c r="V1056" s="209">
        <v>29.75</v>
      </c>
      <c r="W1056" s="429">
        <v>46291.99743055556</v>
      </c>
      <c r="X1056" s="208">
        <v>26.0</v>
      </c>
      <c r="Y1056" s="208">
        <v>9.0</v>
      </c>
      <c r="Z1056" s="208">
        <v>2026.0</v>
      </c>
      <c r="AA1056" s="209" t="s">
        <v>245</v>
      </c>
    </row>
    <row r="1057" ht="15.75" hidden="1" customHeight="1">
      <c r="A1057" s="209" t="s">
        <v>2826</v>
      </c>
      <c r="B1057" s="208">
        <v>6.615082592E9</v>
      </c>
      <c r="C1057" s="429">
        <v>46269.0</v>
      </c>
      <c r="D1057" s="208">
        <v>4.0</v>
      </c>
      <c r="E1057" s="208">
        <v>9.0</v>
      </c>
      <c r="F1057" s="208">
        <v>2026.0</v>
      </c>
      <c r="G1057" s="429">
        <v>46270.0</v>
      </c>
      <c r="H1057" s="208">
        <v>5.0</v>
      </c>
      <c r="I1057" s="208">
        <v>9.0</v>
      </c>
      <c r="J1057" s="208">
        <v>2026.0</v>
      </c>
      <c r="K1057" s="209" t="s">
        <v>36</v>
      </c>
      <c r="L1057" s="209" t="s">
        <v>1177</v>
      </c>
      <c r="M1057" s="208">
        <v>1.0</v>
      </c>
      <c r="N1057" s="208">
        <v>1.0</v>
      </c>
      <c r="O1057" s="201">
        <f t="shared" si="5"/>
        <v>1</v>
      </c>
      <c r="P1057" s="208">
        <v>2.0</v>
      </c>
      <c r="Q1057" s="429">
        <v>46296.0</v>
      </c>
      <c r="R1057" s="430">
        <v>1.0</v>
      </c>
      <c r="S1057" s="430">
        <v>10.0</v>
      </c>
      <c r="T1057" s="208">
        <v>2026.0</v>
      </c>
      <c r="U1057" s="209" t="s">
        <v>36</v>
      </c>
      <c r="V1057" s="209">
        <v>29.23</v>
      </c>
      <c r="W1057" s="429">
        <v>46296.0</v>
      </c>
      <c r="X1057" s="208">
        <v>1.0</v>
      </c>
      <c r="Y1057" s="208">
        <v>10.0</v>
      </c>
      <c r="Z1057" s="208">
        <v>2026.0</v>
      </c>
      <c r="AA1057" s="209" t="s">
        <v>36</v>
      </c>
    </row>
    <row r="1058" ht="15.75" hidden="1" customHeight="1">
      <c r="A1058" s="209" t="s">
        <v>2827</v>
      </c>
      <c r="B1058" s="208">
        <v>6.102993958E9</v>
      </c>
      <c r="C1058" s="429">
        <v>46284.0</v>
      </c>
      <c r="D1058" s="208">
        <v>19.0</v>
      </c>
      <c r="E1058" s="208">
        <v>9.0</v>
      </c>
      <c r="F1058" s="208">
        <v>2026.0</v>
      </c>
      <c r="G1058" s="429">
        <v>46285.0</v>
      </c>
      <c r="H1058" s="208">
        <v>20.0</v>
      </c>
      <c r="I1058" s="208">
        <v>9.0</v>
      </c>
      <c r="J1058" s="208">
        <v>2026.0</v>
      </c>
      <c r="K1058" s="209" t="s">
        <v>36</v>
      </c>
      <c r="L1058" s="209" t="s">
        <v>1177</v>
      </c>
      <c r="M1058" s="208">
        <v>1.0</v>
      </c>
      <c r="N1058" s="208">
        <v>1.0</v>
      </c>
      <c r="O1058" s="201">
        <f t="shared" si="5"/>
        <v>1</v>
      </c>
      <c r="P1058" s="208">
        <v>2.0</v>
      </c>
      <c r="Q1058" s="429">
        <v>46296.0</v>
      </c>
      <c r="R1058" s="430">
        <v>1.0</v>
      </c>
      <c r="S1058" s="430">
        <v>10.0</v>
      </c>
      <c r="T1058" s="208">
        <v>2026.0</v>
      </c>
      <c r="U1058" s="209" t="s">
        <v>36</v>
      </c>
      <c r="V1058" s="209">
        <v>37.59</v>
      </c>
      <c r="W1058" s="429">
        <v>46296.0</v>
      </c>
      <c r="X1058" s="208">
        <v>1.0</v>
      </c>
      <c r="Y1058" s="208">
        <v>10.0</v>
      </c>
      <c r="Z1058" s="208">
        <v>2026.0</v>
      </c>
      <c r="AA1058" s="209" t="s">
        <v>36</v>
      </c>
    </row>
    <row r="1059" ht="15.75" hidden="1" customHeight="1">
      <c r="A1059" s="209" t="s">
        <v>2828</v>
      </c>
      <c r="B1059" s="209" t="s">
        <v>2829</v>
      </c>
      <c r="C1059" s="429">
        <v>46281.0</v>
      </c>
      <c r="D1059" s="208">
        <v>16.0</v>
      </c>
      <c r="E1059" s="208">
        <v>9.0</v>
      </c>
      <c r="F1059" s="208">
        <v>2026.0</v>
      </c>
      <c r="G1059" s="429">
        <v>46282.0</v>
      </c>
      <c r="H1059" s="208">
        <v>17.0</v>
      </c>
      <c r="I1059" s="208">
        <v>9.0</v>
      </c>
      <c r="J1059" s="208">
        <v>2026.0</v>
      </c>
      <c r="K1059" s="209" t="s">
        <v>51</v>
      </c>
      <c r="L1059" s="209" t="s">
        <v>1177</v>
      </c>
      <c r="M1059" s="208">
        <v>1.0</v>
      </c>
      <c r="N1059" s="208">
        <v>1.0</v>
      </c>
      <c r="O1059" s="201">
        <f t="shared" si="5"/>
        <v>1</v>
      </c>
      <c r="P1059" s="208">
        <v>2.0</v>
      </c>
      <c r="Q1059" s="429">
        <v>46295.0</v>
      </c>
      <c r="R1059" s="430">
        <v>30.0</v>
      </c>
      <c r="S1059" s="430">
        <v>9.0</v>
      </c>
      <c r="T1059" s="208">
        <v>2026.0</v>
      </c>
      <c r="U1059" s="209" t="s">
        <v>2</v>
      </c>
      <c r="V1059" s="209">
        <v>37.18</v>
      </c>
      <c r="W1059" s="429">
        <v>46295.0</v>
      </c>
      <c r="X1059" s="208">
        <v>30.0</v>
      </c>
      <c r="Y1059" s="208">
        <v>9.0</v>
      </c>
      <c r="Z1059" s="208">
        <v>2026.0</v>
      </c>
      <c r="AA1059" s="209" t="s">
        <v>2</v>
      </c>
    </row>
    <row r="1060" ht="15.75" hidden="1" customHeight="1">
      <c r="A1060" s="209" t="s">
        <v>2830</v>
      </c>
      <c r="B1060" s="208">
        <v>6.16821606E9</v>
      </c>
      <c r="C1060" s="429">
        <v>46280.0</v>
      </c>
      <c r="D1060" s="208">
        <v>15.0</v>
      </c>
      <c r="E1060" s="208">
        <v>9.0</v>
      </c>
      <c r="F1060" s="208">
        <v>2026.0</v>
      </c>
      <c r="G1060" s="429">
        <v>46281.0</v>
      </c>
      <c r="H1060" s="208">
        <v>16.0</v>
      </c>
      <c r="I1060" s="208">
        <v>9.0</v>
      </c>
      <c r="J1060" s="208">
        <v>2026.0</v>
      </c>
      <c r="K1060" s="209" t="s">
        <v>36</v>
      </c>
      <c r="L1060" s="209" t="s">
        <v>1177</v>
      </c>
      <c r="M1060" s="208">
        <v>1.0</v>
      </c>
      <c r="N1060" s="208">
        <v>1.0</v>
      </c>
      <c r="O1060" s="201">
        <f t="shared" si="5"/>
        <v>1</v>
      </c>
      <c r="P1060" s="208">
        <v>2.0</v>
      </c>
      <c r="Q1060" s="429">
        <v>46296.0</v>
      </c>
      <c r="R1060" s="430">
        <v>1.0</v>
      </c>
      <c r="S1060" s="430">
        <v>10.0</v>
      </c>
      <c r="T1060" s="208">
        <v>2026.0</v>
      </c>
      <c r="U1060" s="209" t="s">
        <v>36</v>
      </c>
      <c r="V1060" s="209">
        <v>45.95</v>
      </c>
      <c r="W1060" s="429">
        <v>46296.0</v>
      </c>
      <c r="X1060" s="208">
        <v>1.0</v>
      </c>
      <c r="Y1060" s="208">
        <v>10.0</v>
      </c>
      <c r="Z1060" s="208">
        <v>2026.0</v>
      </c>
      <c r="AA1060" s="209" t="s">
        <v>36</v>
      </c>
    </row>
    <row r="1061" ht="15.75" hidden="1" customHeight="1">
      <c r="A1061" s="209" t="s">
        <v>2831</v>
      </c>
      <c r="B1061" s="208">
        <v>5.610728572E9</v>
      </c>
      <c r="C1061" s="429">
        <v>46267.0</v>
      </c>
      <c r="D1061" s="208">
        <v>2.0</v>
      </c>
      <c r="E1061" s="208">
        <v>9.0</v>
      </c>
      <c r="F1061" s="208">
        <v>2026.0</v>
      </c>
      <c r="G1061" s="429">
        <v>46268.0</v>
      </c>
      <c r="H1061" s="208">
        <v>3.0</v>
      </c>
      <c r="I1061" s="208">
        <v>9.0</v>
      </c>
      <c r="J1061" s="208">
        <v>2026.0</v>
      </c>
      <c r="K1061" s="209" t="s">
        <v>36</v>
      </c>
      <c r="L1061" s="209" t="s">
        <v>1177</v>
      </c>
      <c r="M1061" s="208">
        <v>1.0</v>
      </c>
      <c r="N1061" s="208">
        <v>1.0</v>
      </c>
      <c r="O1061" s="201">
        <f t="shared" si="5"/>
        <v>1</v>
      </c>
      <c r="P1061" s="208">
        <v>2.0</v>
      </c>
      <c r="Q1061" s="429">
        <v>46296.0</v>
      </c>
      <c r="R1061" s="430">
        <v>1.0</v>
      </c>
      <c r="S1061" s="430">
        <v>10.0</v>
      </c>
      <c r="T1061" s="208">
        <v>2026.0</v>
      </c>
      <c r="U1061" s="209" t="s">
        <v>36</v>
      </c>
      <c r="V1061" s="209">
        <v>29.23</v>
      </c>
      <c r="W1061" s="429">
        <v>46296.0</v>
      </c>
      <c r="X1061" s="208">
        <v>1.0</v>
      </c>
      <c r="Y1061" s="208">
        <v>10.0</v>
      </c>
      <c r="Z1061" s="208">
        <v>2026.0</v>
      </c>
      <c r="AA1061" s="209" t="s">
        <v>36</v>
      </c>
    </row>
    <row r="1062" ht="15.75" hidden="1" customHeight="1">
      <c r="A1062" s="209" t="s">
        <v>2832</v>
      </c>
      <c r="B1062" s="208">
        <v>6.336169592E9</v>
      </c>
      <c r="C1062" s="429">
        <v>46272.0</v>
      </c>
      <c r="D1062" s="208">
        <v>7.0</v>
      </c>
      <c r="E1062" s="208">
        <v>9.0</v>
      </c>
      <c r="F1062" s="208">
        <v>2026.0</v>
      </c>
      <c r="G1062" s="429">
        <v>46273.0</v>
      </c>
      <c r="H1062" s="208">
        <v>8.0</v>
      </c>
      <c r="I1062" s="208">
        <v>9.0</v>
      </c>
      <c r="J1062" s="208">
        <v>2026.0</v>
      </c>
      <c r="K1062" s="209" t="s">
        <v>36</v>
      </c>
      <c r="L1062" s="209" t="s">
        <v>1177</v>
      </c>
      <c r="M1062" s="208">
        <v>1.0</v>
      </c>
      <c r="N1062" s="208">
        <v>1.0</v>
      </c>
      <c r="O1062" s="201">
        <f t="shared" si="5"/>
        <v>1</v>
      </c>
      <c r="P1062" s="208">
        <v>2.0</v>
      </c>
      <c r="Q1062" s="429">
        <v>46296.0</v>
      </c>
      <c r="R1062" s="430">
        <v>1.0</v>
      </c>
      <c r="S1062" s="430">
        <v>10.0</v>
      </c>
      <c r="T1062" s="208">
        <v>2026.0</v>
      </c>
      <c r="U1062" s="209" t="s">
        <v>36</v>
      </c>
      <c r="V1062" s="209">
        <v>37.59</v>
      </c>
      <c r="W1062" s="429">
        <v>46296.0</v>
      </c>
      <c r="X1062" s="208">
        <v>1.0</v>
      </c>
      <c r="Y1062" s="208">
        <v>10.0</v>
      </c>
      <c r="Z1062" s="208">
        <v>2026.0</v>
      </c>
      <c r="AA1062" s="209" t="s">
        <v>36</v>
      </c>
    </row>
    <row r="1063" ht="15.75" hidden="1" customHeight="1">
      <c r="A1063" s="209" t="s">
        <v>2833</v>
      </c>
      <c r="B1063" s="209" t="s">
        <v>2834</v>
      </c>
      <c r="C1063" s="429">
        <v>46275.0</v>
      </c>
      <c r="D1063" s="208">
        <v>10.0</v>
      </c>
      <c r="E1063" s="208">
        <v>9.0</v>
      </c>
      <c r="F1063" s="208">
        <v>2026.0</v>
      </c>
      <c r="G1063" s="429">
        <v>46276.0</v>
      </c>
      <c r="H1063" s="208">
        <v>11.0</v>
      </c>
      <c r="I1063" s="208">
        <v>9.0</v>
      </c>
      <c r="J1063" s="208">
        <v>2026.0</v>
      </c>
      <c r="K1063" s="209" t="s">
        <v>46</v>
      </c>
      <c r="L1063" s="209" t="s">
        <v>1177</v>
      </c>
      <c r="M1063" s="208">
        <v>1.0</v>
      </c>
      <c r="N1063" s="208">
        <v>1.0</v>
      </c>
      <c r="O1063" s="201">
        <f t="shared" si="5"/>
        <v>1</v>
      </c>
      <c r="P1063" s="208">
        <v>2.0</v>
      </c>
      <c r="Q1063" s="429">
        <v>46275.76998842593</v>
      </c>
      <c r="R1063" s="430">
        <v>10.0</v>
      </c>
      <c r="S1063" s="430">
        <v>9.0</v>
      </c>
      <c r="T1063" s="208">
        <v>2026.0</v>
      </c>
      <c r="U1063" s="209" t="s">
        <v>245</v>
      </c>
      <c r="V1063" s="209">
        <v>29.75</v>
      </c>
      <c r="W1063" s="429">
        <v>46275.76998842593</v>
      </c>
      <c r="X1063" s="208">
        <v>10.0</v>
      </c>
      <c r="Y1063" s="208">
        <v>9.0</v>
      </c>
      <c r="Z1063" s="208">
        <v>2026.0</v>
      </c>
      <c r="AA1063" s="209" t="s">
        <v>245</v>
      </c>
    </row>
    <row r="1064" ht="15.75" hidden="1" customHeight="1">
      <c r="A1064" s="209" t="s">
        <v>2835</v>
      </c>
      <c r="B1064" s="209" t="s">
        <v>2836</v>
      </c>
      <c r="C1064" s="429">
        <v>46293.0</v>
      </c>
      <c r="D1064" s="208">
        <v>28.0</v>
      </c>
      <c r="E1064" s="208">
        <v>9.0</v>
      </c>
      <c r="F1064" s="208">
        <v>2026.0</v>
      </c>
      <c r="G1064" s="429">
        <v>46294.0</v>
      </c>
      <c r="H1064" s="208">
        <v>29.0</v>
      </c>
      <c r="I1064" s="208">
        <v>9.0</v>
      </c>
      <c r="J1064" s="208">
        <v>2026.0</v>
      </c>
      <c r="K1064" s="209" t="s">
        <v>51</v>
      </c>
      <c r="L1064" s="209" t="s">
        <v>1273</v>
      </c>
      <c r="M1064" s="208">
        <v>1.0</v>
      </c>
      <c r="N1064" s="208">
        <v>1.0</v>
      </c>
      <c r="O1064" s="201">
        <f t="shared" si="5"/>
        <v>1</v>
      </c>
      <c r="P1064" s="208">
        <v>2.0</v>
      </c>
      <c r="Q1064" s="429">
        <v>46295.0</v>
      </c>
      <c r="R1064" s="430">
        <v>30.0</v>
      </c>
      <c r="S1064" s="430">
        <v>9.0</v>
      </c>
      <c r="T1064" s="208">
        <v>2026.0</v>
      </c>
      <c r="U1064" s="209" t="s">
        <v>2</v>
      </c>
      <c r="V1064" s="209">
        <v>29.57</v>
      </c>
      <c r="W1064" s="429">
        <v>46295.0</v>
      </c>
      <c r="X1064" s="208">
        <v>30.0</v>
      </c>
      <c r="Y1064" s="208">
        <v>9.0</v>
      </c>
      <c r="Z1064" s="208">
        <v>2026.0</v>
      </c>
      <c r="AA1064" s="209" t="s">
        <v>2</v>
      </c>
    </row>
    <row r="1065" ht="15.75" hidden="1" customHeight="1">
      <c r="A1065" s="209" t="s">
        <v>2837</v>
      </c>
      <c r="B1065" s="208">
        <v>6.25731075E9</v>
      </c>
      <c r="C1065" s="429">
        <v>46289.0</v>
      </c>
      <c r="D1065" s="208">
        <v>24.0</v>
      </c>
      <c r="E1065" s="208">
        <v>9.0</v>
      </c>
      <c r="F1065" s="208">
        <v>2026.0</v>
      </c>
      <c r="G1065" s="429">
        <v>46290.0</v>
      </c>
      <c r="H1065" s="208">
        <v>25.0</v>
      </c>
      <c r="I1065" s="208">
        <v>9.0</v>
      </c>
      <c r="J1065" s="208">
        <v>2026.0</v>
      </c>
      <c r="K1065" s="209" t="s">
        <v>36</v>
      </c>
      <c r="L1065" s="209" t="s">
        <v>1177</v>
      </c>
      <c r="M1065" s="208">
        <v>1.0</v>
      </c>
      <c r="N1065" s="208">
        <v>1.0</v>
      </c>
      <c r="O1065" s="201">
        <f t="shared" si="5"/>
        <v>1</v>
      </c>
      <c r="P1065" s="208">
        <v>2.0</v>
      </c>
      <c r="Q1065" s="429">
        <v>46296.0</v>
      </c>
      <c r="R1065" s="430">
        <v>1.0</v>
      </c>
      <c r="S1065" s="430">
        <v>10.0</v>
      </c>
      <c r="T1065" s="208">
        <v>2026.0</v>
      </c>
      <c r="U1065" s="209" t="s">
        <v>36</v>
      </c>
      <c r="V1065" s="209">
        <v>29.23</v>
      </c>
      <c r="W1065" s="429">
        <v>46296.0</v>
      </c>
      <c r="X1065" s="208">
        <v>1.0</v>
      </c>
      <c r="Y1065" s="208">
        <v>10.0</v>
      </c>
      <c r="Z1065" s="208">
        <v>2026.0</v>
      </c>
      <c r="AA1065" s="209" t="s">
        <v>36</v>
      </c>
    </row>
    <row r="1066" ht="15.75" hidden="1" customHeight="1">
      <c r="A1066" s="209" t="s">
        <v>2838</v>
      </c>
      <c r="B1066" s="208">
        <v>6.829877932E9</v>
      </c>
      <c r="C1066" s="429">
        <v>46277.0</v>
      </c>
      <c r="D1066" s="208">
        <v>12.0</v>
      </c>
      <c r="E1066" s="208">
        <v>9.0</v>
      </c>
      <c r="F1066" s="208">
        <v>2026.0</v>
      </c>
      <c r="G1066" s="429">
        <v>46278.0</v>
      </c>
      <c r="H1066" s="208">
        <v>13.0</v>
      </c>
      <c r="I1066" s="208">
        <v>9.0</v>
      </c>
      <c r="J1066" s="208">
        <v>2026.0</v>
      </c>
      <c r="K1066" s="209" t="s">
        <v>36</v>
      </c>
      <c r="L1066" s="209" t="s">
        <v>1177</v>
      </c>
      <c r="M1066" s="208">
        <v>1.0</v>
      </c>
      <c r="N1066" s="208">
        <v>1.0</v>
      </c>
      <c r="O1066" s="201">
        <f t="shared" si="5"/>
        <v>1</v>
      </c>
      <c r="P1066" s="208">
        <v>2.0</v>
      </c>
      <c r="Q1066" s="429">
        <v>46296.0</v>
      </c>
      <c r="R1066" s="430">
        <v>1.0</v>
      </c>
      <c r="S1066" s="430">
        <v>10.0</v>
      </c>
      <c r="T1066" s="208">
        <v>2026.0</v>
      </c>
      <c r="U1066" s="209" t="s">
        <v>36</v>
      </c>
      <c r="V1066" s="209">
        <v>45.95</v>
      </c>
      <c r="W1066" s="429">
        <v>46296.0</v>
      </c>
      <c r="X1066" s="208">
        <v>1.0</v>
      </c>
      <c r="Y1066" s="208">
        <v>10.0</v>
      </c>
      <c r="Z1066" s="208">
        <v>2026.0</v>
      </c>
      <c r="AA1066" s="209" t="s">
        <v>36</v>
      </c>
    </row>
    <row r="1067" ht="15.75" hidden="1" customHeight="1">
      <c r="A1067" s="209" t="s">
        <v>2839</v>
      </c>
      <c r="B1067" s="209" t="s">
        <v>2840</v>
      </c>
      <c r="C1067" s="429">
        <v>46293.0</v>
      </c>
      <c r="D1067" s="208">
        <v>28.0</v>
      </c>
      <c r="E1067" s="208">
        <v>9.0</v>
      </c>
      <c r="F1067" s="208">
        <v>2026.0</v>
      </c>
      <c r="G1067" s="429">
        <v>46295.0</v>
      </c>
      <c r="H1067" s="208">
        <v>30.0</v>
      </c>
      <c r="I1067" s="208">
        <v>9.0</v>
      </c>
      <c r="J1067" s="208">
        <v>2026.0</v>
      </c>
      <c r="K1067" s="209" t="s">
        <v>46</v>
      </c>
      <c r="L1067" s="209" t="s">
        <v>1177</v>
      </c>
      <c r="M1067" s="208">
        <v>1.0</v>
      </c>
      <c r="N1067" s="208">
        <v>2.0</v>
      </c>
      <c r="O1067" s="201">
        <f t="shared" si="5"/>
        <v>2</v>
      </c>
      <c r="P1067" s="208">
        <v>4.0</v>
      </c>
      <c r="Q1067" s="429">
        <v>46294.04189814815</v>
      </c>
      <c r="R1067" s="430">
        <v>29.0</v>
      </c>
      <c r="S1067" s="430">
        <v>9.0</v>
      </c>
      <c r="T1067" s="208">
        <v>2026.0</v>
      </c>
      <c r="U1067" s="209" t="s">
        <v>245</v>
      </c>
      <c r="V1067" s="209">
        <v>59.5</v>
      </c>
      <c r="W1067" s="429">
        <v>46294.04189814815</v>
      </c>
      <c r="X1067" s="208">
        <v>29.0</v>
      </c>
      <c r="Y1067" s="208">
        <v>9.0</v>
      </c>
      <c r="Z1067" s="208">
        <v>2026.0</v>
      </c>
      <c r="AA1067" s="209" t="s">
        <v>245</v>
      </c>
    </row>
    <row r="1068" ht="15.75" hidden="1" customHeight="1">
      <c r="A1068" s="209" t="s">
        <v>2841</v>
      </c>
      <c r="B1068" s="208">
        <v>5.874865583E9</v>
      </c>
      <c r="C1068" s="429">
        <v>46264.0</v>
      </c>
      <c r="D1068" s="208">
        <v>30.0</v>
      </c>
      <c r="E1068" s="208">
        <v>8.0</v>
      </c>
      <c r="F1068" s="208">
        <v>2026.0</v>
      </c>
      <c r="G1068" s="429">
        <v>46266.0</v>
      </c>
      <c r="H1068" s="208">
        <v>1.0</v>
      </c>
      <c r="I1068" s="208">
        <v>9.0</v>
      </c>
      <c r="J1068" s="208">
        <v>2026.0</v>
      </c>
      <c r="K1068" s="209" t="s">
        <v>36</v>
      </c>
      <c r="L1068" s="209" t="s">
        <v>1177</v>
      </c>
      <c r="M1068" s="208">
        <v>1.0</v>
      </c>
      <c r="N1068" s="208">
        <v>2.0</v>
      </c>
      <c r="O1068" s="201">
        <f t="shared" si="5"/>
        <v>2</v>
      </c>
      <c r="P1068" s="208">
        <v>4.0</v>
      </c>
      <c r="Q1068" s="429">
        <v>46296.0</v>
      </c>
      <c r="R1068" s="430">
        <v>1.0</v>
      </c>
      <c r="S1068" s="430">
        <v>10.0</v>
      </c>
      <c r="T1068" s="208">
        <v>2026.0</v>
      </c>
      <c r="U1068" s="209" t="s">
        <v>36</v>
      </c>
      <c r="V1068" s="209">
        <v>75.18</v>
      </c>
      <c r="W1068" s="429">
        <v>46296.0</v>
      </c>
      <c r="X1068" s="208">
        <v>1.0</v>
      </c>
      <c r="Y1068" s="208">
        <v>10.0</v>
      </c>
      <c r="Z1068" s="208">
        <v>2026.0</v>
      </c>
      <c r="AA1068" s="209" t="s">
        <v>36</v>
      </c>
    </row>
    <row r="1069" ht="15.75" hidden="1" customHeight="1">
      <c r="A1069" s="209" t="s">
        <v>2842</v>
      </c>
      <c r="B1069" s="209" t="s">
        <v>2843</v>
      </c>
      <c r="C1069" s="429">
        <v>46285.0</v>
      </c>
      <c r="D1069" s="208">
        <v>20.0</v>
      </c>
      <c r="E1069" s="208">
        <v>9.0</v>
      </c>
      <c r="F1069" s="208">
        <v>2026.0</v>
      </c>
      <c r="G1069" s="429">
        <v>46286.0</v>
      </c>
      <c r="H1069" s="208">
        <v>21.0</v>
      </c>
      <c r="I1069" s="208">
        <v>9.0</v>
      </c>
      <c r="J1069" s="208">
        <v>2026.0</v>
      </c>
      <c r="K1069" s="209" t="s">
        <v>46</v>
      </c>
      <c r="L1069" s="209" t="s">
        <v>1177</v>
      </c>
      <c r="M1069" s="208">
        <v>1.0</v>
      </c>
      <c r="N1069" s="208">
        <v>1.0</v>
      </c>
      <c r="O1069" s="201">
        <f t="shared" si="5"/>
        <v>1</v>
      </c>
      <c r="P1069" s="208">
        <v>2.0</v>
      </c>
      <c r="Q1069" s="429">
        <v>46286.45685185185</v>
      </c>
      <c r="R1069" s="430">
        <v>21.0</v>
      </c>
      <c r="S1069" s="430">
        <v>9.0</v>
      </c>
      <c r="T1069" s="208">
        <v>2026.0</v>
      </c>
      <c r="U1069" s="209" t="s">
        <v>245</v>
      </c>
      <c r="V1069" s="209">
        <v>29.75</v>
      </c>
      <c r="W1069" s="429">
        <v>46286.45685185185</v>
      </c>
      <c r="X1069" s="208">
        <v>21.0</v>
      </c>
      <c r="Y1069" s="208">
        <v>9.0</v>
      </c>
      <c r="Z1069" s="208">
        <v>2026.0</v>
      </c>
      <c r="AA1069" s="209" t="s">
        <v>245</v>
      </c>
    </row>
    <row r="1070" ht="15.75" hidden="1" customHeight="1">
      <c r="A1070" s="209" t="s">
        <v>2844</v>
      </c>
      <c r="B1070" s="208">
        <v>5.556259791E9</v>
      </c>
      <c r="C1070" s="429">
        <v>46292.0</v>
      </c>
      <c r="D1070" s="208">
        <v>27.0</v>
      </c>
      <c r="E1070" s="208">
        <v>9.0</v>
      </c>
      <c r="F1070" s="208">
        <v>2026.0</v>
      </c>
      <c r="G1070" s="429">
        <v>46294.0</v>
      </c>
      <c r="H1070" s="208">
        <v>29.0</v>
      </c>
      <c r="I1070" s="208">
        <v>9.0</v>
      </c>
      <c r="J1070" s="208">
        <v>2026.0</v>
      </c>
      <c r="K1070" s="209" t="s">
        <v>36</v>
      </c>
      <c r="L1070" s="209" t="s">
        <v>1177</v>
      </c>
      <c r="M1070" s="208">
        <v>1.0</v>
      </c>
      <c r="N1070" s="208">
        <v>2.0</v>
      </c>
      <c r="O1070" s="201">
        <f t="shared" si="5"/>
        <v>2</v>
      </c>
      <c r="P1070" s="208">
        <v>4.0</v>
      </c>
      <c r="Q1070" s="429">
        <v>46296.0</v>
      </c>
      <c r="R1070" s="430">
        <v>1.0</v>
      </c>
      <c r="S1070" s="430">
        <v>10.0</v>
      </c>
      <c r="T1070" s="208">
        <v>2026.0</v>
      </c>
      <c r="U1070" s="209" t="s">
        <v>36</v>
      </c>
      <c r="V1070" s="209">
        <v>83.54</v>
      </c>
      <c r="W1070" s="429">
        <v>46296.0</v>
      </c>
      <c r="X1070" s="208">
        <v>1.0</v>
      </c>
      <c r="Y1070" s="208">
        <v>10.0</v>
      </c>
      <c r="Z1070" s="208">
        <v>2026.0</v>
      </c>
      <c r="AA1070" s="209" t="s">
        <v>36</v>
      </c>
    </row>
    <row r="1071" ht="15.75" hidden="1" customHeight="1">
      <c r="A1071" s="209" t="s">
        <v>2845</v>
      </c>
      <c r="B1071" s="208">
        <v>5.152276498E9</v>
      </c>
      <c r="C1071" s="429">
        <v>46276.0</v>
      </c>
      <c r="D1071" s="208">
        <v>11.0</v>
      </c>
      <c r="E1071" s="208">
        <v>9.0</v>
      </c>
      <c r="F1071" s="208">
        <v>2026.0</v>
      </c>
      <c r="G1071" s="429">
        <v>46278.0</v>
      </c>
      <c r="H1071" s="208">
        <v>13.0</v>
      </c>
      <c r="I1071" s="208">
        <v>9.0</v>
      </c>
      <c r="J1071" s="208">
        <v>2026.0</v>
      </c>
      <c r="K1071" s="209" t="s">
        <v>36</v>
      </c>
      <c r="L1071" s="209" t="s">
        <v>1177</v>
      </c>
      <c r="M1071" s="208">
        <v>1.0</v>
      </c>
      <c r="N1071" s="208">
        <v>2.0</v>
      </c>
      <c r="O1071" s="201">
        <f t="shared" si="5"/>
        <v>2</v>
      </c>
      <c r="P1071" s="208">
        <v>4.0</v>
      </c>
      <c r="Q1071" s="429">
        <v>46296.0</v>
      </c>
      <c r="R1071" s="430">
        <v>1.0</v>
      </c>
      <c r="S1071" s="430">
        <v>10.0</v>
      </c>
      <c r="T1071" s="208">
        <v>2026.0</v>
      </c>
      <c r="U1071" s="209" t="s">
        <v>36</v>
      </c>
      <c r="V1071" s="209">
        <v>75.18</v>
      </c>
      <c r="W1071" s="429">
        <v>46296.0</v>
      </c>
      <c r="X1071" s="208">
        <v>1.0</v>
      </c>
      <c r="Y1071" s="208">
        <v>10.0</v>
      </c>
      <c r="Z1071" s="208">
        <v>2026.0</v>
      </c>
      <c r="AA1071" s="209" t="s">
        <v>36</v>
      </c>
    </row>
    <row r="1072" ht="15.75" hidden="1" customHeight="1">
      <c r="A1072" s="209" t="s">
        <v>2846</v>
      </c>
      <c r="B1072" s="209" t="s">
        <v>2847</v>
      </c>
      <c r="C1072" s="429">
        <v>46279.0</v>
      </c>
      <c r="D1072" s="208">
        <v>14.0</v>
      </c>
      <c r="E1072" s="208">
        <v>9.0</v>
      </c>
      <c r="F1072" s="208">
        <v>2026.0</v>
      </c>
      <c r="G1072" s="429">
        <v>46280.0</v>
      </c>
      <c r="H1072" s="208">
        <v>15.0</v>
      </c>
      <c r="I1072" s="208">
        <v>9.0</v>
      </c>
      <c r="J1072" s="208">
        <v>2026.0</v>
      </c>
      <c r="K1072" s="209" t="s">
        <v>46</v>
      </c>
      <c r="L1072" s="209" t="s">
        <v>1177</v>
      </c>
      <c r="M1072" s="208">
        <v>1.0</v>
      </c>
      <c r="N1072" s="208">
        <v>1.0</v>
      </c>
      <c r="O1072" s="201">
        <f t="shared" si="5"/>
        <v>1</v>
      </c>
      <c r="P1072" s="208">
        <v>2.0</v>
      </c>
      <c r="Q1072" s="429">
        <v>46279.70744212963</v>
      </c>
      <c r="R1072" s="430">
        <v>14.0</v>
      </c>
      <c r="S1072" s="430">
        <v>9.0</v>
      </c>
      <c r="T1072" s="208">
        <v>2026.0</v>
      </c>
      <c r="U1072" s="209" t="s">
        <v>245</v>
      </c>
      <c r="V1072" s="209">
        <v>29.75</v>
      </c>
      <c r="W1072" s="429">
        <v>46279.70744212963</v>
      </c>
      <c r="X1072" s="208">
        <v>14.0</v>
      </c>
      <c r="Y1072" s="208">
        <v>9.0</v>
      </c>
      <c r="Z1072" s="208">
        <v>2026.0</v>
      </c>
      <c r="AA1072" s="209" t="s">
        <v>245</v>
      </c>
    </row>
    <row r="1073" ht="15.75" hidden="1" customHeight="1">
      <c r="A1073" s="209" t="s">
        <v>2848</v>
      </c>
      <c r="B1073" s="208">
        <v>5.664839515E9</v>
      </c>
      <c r="C1073" s="429">
        <v>46272.0</v>
      </c>
      <c r="D1073" s="208">
        <v>7.0</v>
      </c>
      <c r="E1073" s="208">
        <v>9.0</v>
      </c>
      <c r="F1073" s="208">
        <v>2026.0</v>
      </c>
      <c r="G1073" s="429">
        <v>46274.0</v>
      </c>
      <c r="H1073" s="208">
        <v>9.0</v>
      </c>
      <c r="I1073" s="208">
        <v>9.0</v>
      </c>
      <c r="J1073" s="208">
        <v>2026.0</v>
      </c>
      <c r="K1073" s="209" t="s">
        <v>36</v>
      </c>
      <c r="L1073" s="209" t="s">
        <v>1177</v>
      </c>
      <c r="M1073" s="208">
        <v>1.0</v>
      </c>
      <c r="N1073" s="208">
        <v>2.0</v>
      </c>
      <c r="O1073" s="201">
        <f t="shared" si="5"/>
        <v>2</v>
      </c>
      <c r="P1073" s="208">
        <v>4.0</v>
      </c>
      <c r="Q1073" s="429">
        <v>46296.0</v>
      </c>
      <c r="R1073" s="430">
        <v>1.0</v>
      </c>
      <c r="S1073" s="430">
        <v>10.0</v>
      </c>
      <c r="T1073" s="208">
        <v>2026.0</v>
      </c>
      <c r="U1073" s="209" t="s">
        <v>36</v>
      </c>
      <c r="V1073" s="209">
        <v>58.46</v>
      </c>
      <c r="W1073" s="429">
        <v>46296.0</v>
      </c>
      <c r="X1073" s="208">
        <v>1.0</v>
      </c>
      <c r="Y1073" s="208">
        <v>10.0</v>
      </c>
      <c r="Z1073" s="208">
        <v>2026.0</v>
      </c>
      <c r="AA1073" s="209" t="s">
        <v>36</v>
      </c>
    </row>
    <row r="1074" ht="15.75" hidden="1" customHeight="1">
      <c r="A1074" s="209" t="s">
        <v>2849</v>
      </c>
      <c r="B1074" s="208">
        <v>5.838355643E9</v>
      </c>
      <c r="C1074" s="429">
        <v>46282.0</v>
      </c>
      <c r="D1074" s="208">
        <v>17.0</v>
      </c>
      <c r="E1074" s="208">
        <v>9.0</v>
      </c>
      <c r="F1074" s="208">
        <v>2026.0</v>
      </c>
      <c r="G1074" s="429">
        <v>46283.0</v>
      </c>
      <c r="H1074" s="208">
        <v>18.0</v>
      </c>
      <c r="I1074" s="208">
        <v>9.0</v>
      </c>
      <c r="J1074" s="208">
        <v>2026.0</v>
      </c>
      <c r="K1074" s="209" t="s">
        <v>36</v>
      </c>
      <c r="L1074" s="209" t="s">
        <v>1177</v>
      </c>
      <c r="M1074" s="208">
        <v>2.0</v>
      </c>
      <c r="N1074" s="208">
        <v>1.0</v>
      </c>
      <c r="O1074" s="201">
        <f t="shared" si="5"/>
        <v>2</v>
      </c>
      <c r="P1074" s="208">
        <v>4.0</v>
      </c>
      <c r="Q1074" s="429">
        <v>46296.0</v>
      </c>
      <c r="R1074" s="430">
        <v>1.0</v>
      </c>
      <c r="S1074" s="430">
        <v>10.0</v>
      </c>
      <c r="T1074" s="208">
        <v>2026.0</v>
      </c>
      <c r="U1074" s="209" t="s">
        <v>36</v>
      </c>
      <c r="V1074" s="209">
        <v>58.46</v>
      </c>
      <c r="W1074" s="429">
        <v>46296.0</v>
      </c>
      <c r="X1074" s="208">
        <v>1.0</v>
      </c>
      <c r="Y1074" s="208">
        <v>10.0</v>
      </c>
      <c r="Z1074" s="208">
        <v>2026.0</v>
      </c>
      <c r="AA1074" s="209" t="s">
        <v>36</v>
      </c>
    </row>
    <row r="1075" ht="15.75" hidden="1" customHeight="1">
      <c r="A1075" s="209" t="s">
        <v>2850</v>
      </c>
      <c r="B1075" s="208">
        <v>6.360138478E9</v>
      </c>
      <c r="C1075" s="429">
        <v>46280.0</v>
      </c>
      <c r="D1075" s="208">
        <v>15.0</v>
      </c>
      <c r="E1075" s="208">
        <v>9.0</v>
      </c>
      <c r="F1075" s="208">
        <v>2026.0</v>
      </c>
      <c r="G1075" s="429">
        <v>46282.0</v>
      </c>
      <c r="H1075" s="208">
        <v>17.0</v>
      </c>
      <c r="I1075" s="208">
        <v>9.0</v>
      </c>
      <c r="J1075" s="208">
        <v>2026.0</v>
      </c>
      <c r="K1075" s="209" t="s">
        <v>36</v>
      </c>
      <c r="L1075" s="209" t="s">
        <v>1177</v>
      </c>
      <c r="M1075" s="208">
        <v>1.0</v>
      </c>
      <c r="N1075" s="208">
        <v>2.0</v>
      </c>
      <c r="O1075" s="201">
        <f t="shared" si="5"/>
        <v>2</v>
      </c>
      <c r="P1075" s="208">
        <v>4.0</v>
      </c>
      <c r="Q1075" s="429">
        <v>46296.0</v>
      </c>
      <c r="R1075" s="430">
        <v>1.0</v>
      </c>
      <c r="S1075" s="430">
        <v>10.0</v>
      </c>
      <c r="T1075" s="208">
        <v>2026.0</v>
      </c>
      <c r="U1075" s="209" t="s">
        <v>36</v>
      </c>
      <c r="V1075" s="209">
        <v>100.26</v>
      </c>
      <c r="W1075" s="429">
        <v>46296.0</v>
      </c>
      <c r="X1075" s="208">
        <v>1.0</v>
      </c>
      <c r="Y1075" s="208">
        <v>10.0</v>
      </c>
      <c r="Z1075" s="208">
        <v>2026.0</v>
      </c>
      <c r="AA1075" s="209" t="s">
        <v>36</v>
      </c>
    </row>
    <row r="1076" ht="15.75" hidden="1" customHeight="1">
      <c r="A1076" s="209" t="s">
        <v>2851</v>
      </c>
      <c r="B1076" s="208">
        <v>5.286014757E9</v>
      </c>
      <c r="C1076" s="429">
        <v>46284.0</v>
      </c>
      <c r="D1076" s="208">
        <v>19.0</v>
      </c>
      <c r="E1076" s="208">
        <v>9.0</v>
      </c>
      <c r="F1076" s="208">
        <v>2026.0</v>
      </c>
      <c r="G1076" s="429">
        <v>46286.0</v>
      </c>
      <c r="H1076" s="208">
        <v>21.0</v>
      </c>
      <c r="I1076" s="208">
        <v>9.0</v>
      </c>
      <c r="J1076" s="208">
        <v>2026.0</v>
      </c>
      <c r="K1076" s="209" t="s">
        <v>36</v>
      </c>
      <c r="L1076" s="209" t="s">
        <v>1177</v>
      </c>
      <c r="M1076" s="208">
        <v>1.0</v>
      </c>
      <c r="N1076" s="208">
        <v>2.0</v>
      </c>
      <c r="O1076" s="201">
        <f t="shared" si="5"/>
        <v>2</v>
      </c>
      <c r="P1076" s="208">
        <v>4.0</v>
      </c>
      <c r="Q1076" s="429">
        <v>46296.0</v>
      </c>
      <c r="R1076" s="430">
        <v>1.0</v>
      </c>
      <c r="S1076" s="430">
        <v>10.0</v>
      </c>
      <c r="T1076" s="208">
        <v>2026.0</v>
      </c>
      <c r="U1076" s="209" t="s">
        <v>36</v>
      </c>
      <c r="V1076" s="209">
        <v>58.46</v>
      </c>
      <c r="W1076" s="429">
        <v>46296.0</v>
      </c>
      <c r="X1076" s="208">
        <v>1.0</v>
      </c>
      <c r="Y1076" s="208">
        <v>10.0</v>
      </c>
      <c r="Z1076" s="208">
        <v>2026.0</v>
      </c>
      <c r="AA1076" s="209" t="s">
        <v>36</v>
      </c>
    </row>
    <row r="1077" ht="15.75" hidden="1" customHeight="1">
      <c r="A1077" s="209" t="s">
        <v>2852</v>
      </c>
      <c r="B1077" s="209" t="s">
        <v>2853</v>
      </c>
      <c r="C1077" s="429">
        <v>46288.0</v>
      </c>
      <c r="D1077" s="208">
        <v>23.0</v>
      </c>
      <c r="E1077" s="208">
        <v>9.0</v>
      </c>
      <c r="F1077" s="208">
        <v>2026.0</v>
      </c>
      <c r="G1077" s="429">
        <v>46290.0</v>
      </c>
      <c r="H1077" s="208">
        <v>25.0</v>
      </c>
      <c r="I1077" s="208">
        <v>9.0</v>
      </c>
      <c r="J1077" s="208">
        <v>2026.0</v>
      </c>
      <c r="K1077" s="209" t="s">
        <v>51</v>
      </c>
      <c r="L1077" s="209" t="s">
        <v>1177</v>
      </c>
      <c r="M1077" s="208">
        <v>1.0</v>
      </c>
      <c r="N1077" s="208">
        <v>2.0</v>
      </c>
      <c r="O1077" s="201">
        <f t="shared" si="5"/>
        <v>2</v>
      </c>
      <c r="P1077" s="208">
        <v>4.0</v>
      </c>
      <c r="Q1077" s="429">
        <v>46295.0</v>
      </c>
      <c r="R1077" s="430">
        <v>30.0</v>
      </c>
      <c r="S1077" s="430">
        <v>9.0</v>
      </c>
      <c r="T1077" s="208">
        <v>2026.0</v>
      </c>
      <c r="U1077" s="209" t="s">
        <v>2</v>
      </c>
      <c r="V1077" s="209">
        <v>67.6</v>
      </c>
      <c r="W1077" s="429">
        <v>46295.0</v>
      </c>
      <c r="X1077" s="208">
        <v>30.0</v>
      </c>
      <c r="Y1077" s="208">
        <v>9.0</v>
      </c>
      <c r="Z1077" s="208">
        <v>2026.0</v>
      </c>
      <c r="AA1077" s="209" t="s">
        <v>2</v>
      </c>
    </row>
    <row r="1078" ht="15.75" hidden="1" customHeight="1">
      <c r="A1078" s="209" t="s">
        <v>2854</v>
      </c>
      <c r="B1078" s="208">
        <v>5.782639137E9</v>
      </c>
      <c r="C1078" s="429">
        <v>46284.0</v>
      </c>
      <c r="D1078" s="208">
        <v>19.0</v>
      </c>
      <c r="E1078" s="208">
        <v>9.0</v>
      </c>
      <c r="F1078" s="208">
        <v>2026.0</v>
      </c>
      <c r="G1078" s="429">
        <v>46285.0</v>
      </c>
      <c r="H1078" s="208">
        <v>20.0</v>
      </c>
      <c r="I1078" s="208">
        <v>9.0</v>
      </c>
      <c r="J1078" s="208">
        <v>2026.0</v>
      </c>
      <c r="K1078" s="209" t="s">
        <v>36</v>
      </c>
      <c r="L1078" s="209" t="s">
        <v>1177</v>
      </c>
      <c r="M1078" s="208">
        <v>2.0</v>
      </c>
      <c r="N1078" s="208">
        <v>1.0</v>
      </c>
      <c r="O1078" s="201">
        <f t="shared" si="5"/>
        <v>2</v>
      </c>
      <c r="P1078" s="208">
        <v>4.0</v>
      </c>
      <c r="Q1078" s="429">
        <v>46296.0</v>
      </c>
      <c r="R1078" s="430">
        <v>1.0</v>
      </c>
      <c r="S1078" s="430">
        <v>10.0</v>
      </c>
      <c r="T1078" s="208">
        <v>2026.0</v>
      </c>
      <c r="U1078" s="209" t="s">
        <v>36</v>
      </c>
      <c r="V1078" s="209">
        <v>58.46</v>
      </c>
      <c r="W1078" s="429">
        <v>46296.0</v>
      </c>
      <c r="X1078" s="208">
        <v>1.0</v>
      </c>
      <c r="Y1078" s="208">
        <v>10.0</v>
      </c>
      <c r="Z1078" s="208">
        <v>2026.0</v>
      </c>
      <c r="AA1078" s="209" t="s">
        <v>36</v>
      </c>
    </row>
    <row r="1079" ht="15.75" hidden="1" customHeight="1">
      <c r="A1079" s="209" t="s">
        <v>2855</v>
      </c>
      <c r="B1079" s="208">
        <v>5.970567887E9</v>
      </c>
      <c r="C1079" s="429">
        <v>46270.0</v>
      </c>
      <c r="D1079" s="208">
        <v>5.0</v>
      </c>
      <c r="E1079" s="208">
        <v>9.0</v>
      </c>
      <c r="F1079" s="208">
        <v>2026.0</v>
      </c>
      <c r="G1079" s="429">
        <v>46272.0</v>
      </c>
      <c r="H1079" s="208">
        <v>7.0</v>
      </c>
      <c r="I1079" s="208">
        <v>9.0</v>
      </c>
      <c r="J1079" s="208">
        <v>2026.0</v>
      </c>
      <c r="K1079" s="209" t="s">
        <v>36</v>
      </c>
      <c r="L1079" s="209" t="s">
        <v>1177</v>
      </c>
      <c r="M1079" s="208">
        <v>1.0</v>
      </c>
      <c r="N1079" s="208">
        <v>2.0</v>
      </c>
      <c r="O1079" s="201">
        <f t="shared" si="5"/>
        <v>2</v>
      </c>
      <c r="P1079" s="208">
        <v>4.0</v>
      </c>
      <c r="Q1079" s="429">
        <v>46296.0</v>
      </c>
      <c r="R1079" s="430">
        <v>1.0</v>
      </c>
      <c r="S1079" s="430">
        <v>10.0</v>
      </c>
      <c r="T1079" s="208">
        <v>2026.0</v>
      </c>
      <c r="U1079" s="209" t="s">
        <v>36</v>
      </c>
      <c r="V1079" s="209">
        <v>75.18</v>
      </c>
      <c r="W1079" s="429">
        <v>46296.0</v>
      </c>
      <c r="X1079" s="208">
        <v>1.0</v>
      </c>
      <c r="Y1079" s="208">
        <v>10.0</v>
      </c>
      <c r="Z1079" s="208">
        <v>2026.0</v>
      </c>
      <c r="AA1079" s="209" t="s">
        <v>36</v>
      </c>
    </row>
    <row r="1080" ht="15.75" hidden="1" customHeight="1">
      <c r="A1080" s="209" t="s">
        <v>2856</v>
      </c>
      <c r="B1080" s="209" t="s">
        <v>2857</v>
      </c>
      <c r="C1080" s="429">
        <v>46272.0</v>
      </c>
      <c r="D1080" s="208">
        <v>7.0</v>
      </c>
      <c r="E1080" s="208">
        <v>9.0</v>
      </c>
      <c r="F1080" s="208">
        <v>2026.0</v>
      </c>
      <c r="G1080" s="429">
        <v>46273.0</v>
      </c>
      <c r="H1080" s="208">
        <v>8.0</v>
      </c>
      <c r="I1080" s="208">
        <v>9.0</v>
      </c>
      <c r="J1080" s="208">
        <v>2026.0</v>
      </c>
      <c r="K1080" s="209" t="s">
        <v>46</v>
      </c>
      <c r="L1080" s="209" t="s">
        <v>1177</v>
      </c>
      <c r="M1080" s="208">
        <v>1.0</v>
      </c>
      <c r="N1080" s="208">
        <v>1.0</v>
      </c>
      <c r="O1080" s="201">
        <f t="shared" si="5"/>
        <v>1</v>
      </c>
      <c r="P1080" s="208">
        <v>2.0</v>
      </c>
      <c r="Q1080" s="429">
        <v>46272.71287037037</v>
      </c>
      <c r="R1080" s="430">
        <v>7.0</v>
      </c>
      <c r="S1080" s="430">
        <v>9.0</v>
      </c>
      <c r="T1080" s="208">
        <v>2026.0</v>
      </c>
      <c r="U1080" s="209" t="s">
        <v>245</v>
      </c>
      <c r="V1080" s="209">
        <v>29.75</v>
      </c>
      <c r="W1080" s="429">
        <v>46272.71287037037</v>
      </c>
      <c r="X1080" s="208">
        <v>7.0</v>
      </c>
      <c r="Y1080" s="208">
        <v>9.0</v>
      </c>
      <c r="Z1080" s="208">
        <v>2026.0</v>
      </c>
      <c r="AA1080" s="209" t="s">
        <v>245</v>
      </c>
    </row>
    <row r="1081" ht="15.75" hidden="1" customHeight="1">
      <c r="A1081" s="209" t="s">
        <v>2858</v>
      </c>
      <c r="B1081" s="209" t="s">
        <v>2859</v>
      </c>
      <c r="C1081" s="429">
        <v>46288.0</v>
      </c>
      <c r="D1081" s="208">
        <v>23.0</v>
      </c>
      <c r="E1081" s="208">
        <v>9.0</v>
      </c>
      <c r="F1081" s="208">
        <v>2026.0</v>
      </c>
      <c r="G1081" s="429">
        <v>46292.0</v>
      </c>
      <c r="H1081" s="208">
        <v>27.0</v>
      </c>
      <c r="I1081" s="208">
        <v>9.0</v>
      </c>
      <c r="J1081" s="208">
        <v>2026.0</v>
      </c>
      <c r="K1081" s="209" t="s">
        <v>46</v>
      </c>
      <c r="L1081" s="209" t="s">
        <v>1177</v>
      </c>
      <c r="M1081" s="208">
        <v>1.0</v>
      </c>
      <c r="N1081" s="208">
        <v>4.0</v>
      </c>
      <c r="O1081" s="201">
        <f t="shared" si="5"/>
        <v>4</v>
      </c>
      <c r="P1081" s="208">
        <v>8.0</v>
      </c>
      <c r="Q1081" s="429">
        <v>46288.72369212963</v>
      </c>
      <c r="R1081" s="208">
        <v>23.0</v>
      </c>
      <c r="S1081" s="208">
        <v>9.0</v>
      </c>
      <c r="T1081" s="208">
        <v>2026.0</v>
      </c>
      <c r="U1081" s="209" t="s">
        <v>245</v>
      </c>
      <c r="V1081" s="209">
        <v>124.95</v>
      </c>
      <c r="W1081" s="429">
        <v>46288.72369212963</v>
      </c>
      <c r="X1081" s="208">
        <v>23.0</v>
      </c>
      <c r="Y1081" s="208">
        <v>9.0</v>
      </c>
      <c r="Z1081" s="208">
        <v>2026.0</v>
      </c>
      <c r="AA1081" s="209" t="s">
        <v>245</v>
      </c>
    </row>
    <row r="1082" ht="15.75" hidden="1" customHeight="1">
      <c r="A1082" s="209" t="s">
        <v>2860</v>
      </c>
      <c r="B1082" s="209" t="s">
        <v>2861</v>
      </c>
      <c r="C1082" s="429">
        <v>46286.0</v>
      </c>
      <c r="D1082" s="208">
        <v>21.0</v>
      </c>
      <c r="E1082" s="208">
        <v>9.0</v>
      </c>
      <c r="F1082" s="208">
        <v>2026.0</v>
      </c>
      <c r="G1082" s="429">
        <v>46287.0</v>
      </c>
      <c r="H1082" s="208">
        <v>22.0</v>
      </c>
      <c r="I1082" s="208">
        <v>9.0</v>
      </c>
      <c r="J1082" s="208">
        <v>2026.0</v>
      </c>
      <c r="K1082" s="209" t="s">
        <v>46</v>
      </c>
      <c r="L1082" s="209" t="s">
        <v>1177</v>
      </c>
      <c r="M1082" s="208">
        <v>1.0</v>
      </c>
      <c r="N1082" s="208">
        <v>1.0</v>
      </c>
      <c r="O1082" s="201">
        <f t="shared" si="5"/>
        <v>1</v>
      </c>
      <c r="P1082" s="208">
        <v>2.0</v>
      </c>
      <c r="Q1082" s="429">
        <v>46287.718148148146</v>
      </c>
      <c r="R1082" s="430">
        <v>22.0</v>
      </c>
      <c r="S1082" s="430">
        <v>9.0</v>
      </c>
      <c r="T1082" s="208">
        <v>2026.0</v>
      </c>
      <c r="U1082" s="209" t="s">
        <v>245</v>
      </c>
      <c r="V1082" s="209">
        <v>27.2</v>
      </c>
      <c r="W1082" s="429">
        <v>46287.718148148146</v>
      </c>
      <c r="X1082" s="208">
        <v>22.0</v>
      </c>
      <c r="Y1082" s="208">
        <v>9.0</v>
      </c>
      <c r="Z1082" s="208">
        <v>2026.0</v>
      </c>
      <c r="AA1082" s="209" t="s">
        <v>245</v>
      </c>
    </row>
    <row r="1083" ht="15.75" hidden="1" customHeight="1">
      <c r="A1083" s="209" t="s">
        <v>2862</v>
      </c>
      <c r="B1083" s="209" t="s">
        <v>2863</v>
      </c>
      <c r="C1083" s="429">
        <v>46281.0</v>
      </c>
      <c r="D1083" s="208">
        <v>16.0</v>
      </c>
      <c r="E1083" s="208">
        <v>9.0</v>
      </c>
      <c r="F1083" s="208">
        <v>2026.0</v>
      </c>
      <c r="G1083" s="429">
        <v>46284.0</v>
      </c>
      <c r="H1083" s="208">
        <v>19.0</v>
      </c>
      <c r="I1083" s="208">
        <v>9.0</v>
      </c>
      <c r="J1083" s="208">
        <v>2026.0</v>
      </c>
      <c r="K1083" s="209" t="s">
        <v>46</v>
      </c>
      <c r="L1083" s="209" t="s">
        <v>1177</v>
      </c>
      <c r="M1083" s="208">
        <v>1.0</v>
      </c>
      <c r="N1083" s="208">
        <v>3.0</v>
      </c>
      <c r="O1083" s="201">
        <f t="shared" si="5"/>
        <v>3</v>
      </c>
      <c r="P1083" s="208">
        <v>6.0</v>
      </c>
      <c r="Q1083" s="429">
        <v>46281.49269675926</v>
      </c>
      <c r="R1083" s="208">
        <v>16.0</v>
      </c>
      <c r="S1083" s="208">
        <v>9.0</v>
      </c>
      <c r="T1083" s="208">
        <v>2026.0</v>
      </c>
      <c r="U1083" s="209" t="s">
        <v>245</v>
      </c>
      <c r="V1083" s="209">
        <v>112.2</v>
      </c>
      <c r="W1083" s="429">
        <v>46281.49269675926</v>
      </c>
      <c r="X1083" s="208">
        <v>16.0</v>
      </c>
      <c r="Y1083" s="208">
        <v>9.0</v>
      </c>
      <c r="Z1083" s="208">
        <v>2026.0</v>
      </c>
      <c r="AA1083" s="209" t="s">
        <v>245</v>
      </c>
    </row>
    <row r="1084" ht="15.75" hidden="1" customHeight="1">
      <c r="A1084" s="209" t="s">
        <v>2864</v>
      </c>
      <c r="B1084" s="209" t="s">
        <v>2865</v>
      </c>
      <c r="C1084" s="429">
        <v>46270.0</v>
      </c>
      <c r="D1084" s="208">
        <v>5.0</v>
      </c>
      <c r="E1084" s="208">
        <v>9.0</v>
      </c>
      <c r="F1084" s="208">
        <v>2026.0</v>
      </c>
      <c r="G1084" s="429">
        <v>46271.0</v>
      </c>
      <c r="H1084" s="208">
        <v>6.0</v>
      </c>
      <c r="I1084" s="208">
        <v>9.0</v>
      </c>
      <c r="J1084" s="208">
        <v>2026.0</v>
      </c>
      <c r="K1084" s="209" t="s">
        <v>51</v>
      </c>
      <c r="L1084" s="209" t="s">
        <v>1177</v>
      </c>
      <c r="M1084" s="208">
        <v>2.0</v>
      </c>
      <c r="N1084" s="208">
        <v>1.0</v>
      </c>
      <c r="O1084" s="201">
        <f t="shared" si="5"/>
        <v>2</v>
      </c>
      <c r="P1084" s="208">
        <v>4.0</v>
      </c>
      <c r="Q1084" s="429">
        <v>46295.0</v>
      </c>
      <c r="R1084" s="430">
        <v>30.0</v>
      </c>
      <c r="S1084" s="430">
        <v>9.0</v>
      </c>
      <c r="T1084" s="208">
        <v>2026.0</v>
      </c>
      <c r="U1084" s="209" t="s">
        <v>2</v>
      </c>
      <c r="V1084" s="209">
        <v>76.05</v>
      </c>
      <c r="W1084" s="429">
        <v>46295.0</v>
      </c>
      <c r="X1084" s="208">
        <v>30.0</v>
      </c>
      <c r="Y1084" s="208">
        <v>9.0</v>
      </c>
      <c r="Z1084" s="208">
        <v>2026.0</v>
      </c>
      <c r="AA1084" s="209" t="s">
        <v>2</v>
      </c>
    </row>
    <row r="1085" ht="15.75" hidden="1" customHeight="1">
      <c r="A1085" s="209" t="s">
        <v>2866</v>
      </c>
      <c r="B1085" s="208">
        <v>6.10037685E9</v>
      </c>
      <c r="C1085" s="429">
        <v>46267.0</v>
      </c>
      <c r="D1085" s="208">
        <v>2.0</v>
      </c>
      <c r="E1085" s="208">
        <v>9.0</v>
      </c>
      <c r="F1085" s="208">
        <v>2026.0</v>
      </c>
      <c r="G1085" s="429">
        <v>46269.0</v>
      </c>
      <c r="H1085" s="208">
        <v>4.0</v>
      </c>
      <c r="I1085" s="208">
        <v>9.0</v>
      </c>
      <c r="J1085" s="208">
        <v>2026.0</v>
      </c>
      <c r="K1085" s="209" t="s">
        <v>36</v>
      </c>
      <c r="L1085" s="209" t="s">
        <v>1177</v>
      </c>
      <c r="M1085" s="208">
        <v>1.0</v>
      </c>
      <c r="N1085" s="208">
        <v>2.0</v>
      </c>
      <c r="O1085" s="201">
        <f t="shared" si="5"/>
        <v>2</v>
      </c>
      <c r="P1085" s="208">
        <v>4.0</v>
      </c>
      <c r="Q1085" s="429">
        <v>46296.0</v>
      </c>
      <c r="R1085" s="430">
        <v>1.0</v>
      </c>
      <c r="S1085" s="430">
        <v>10.0</v>
      </c>
      <c r="T1085" s="208">
        <v>2026.0</v>
      </c>
      <c r="U1085" s="209" t="s">
        <v>36</v>
      </c>
      <c r="V1085" s="209">
        <v>75.18</v>
      </c>
      <c r="W1085" s="429">
        <v>46296.0</v>
      </c>
      <c r="X1085" s="208">
        <v>1.0</v>
      </c>
      <c r="Y1085" s="208">
        <v>10.0</v>
      </c>
      <c r="Z1085" s="208">
        <v>2026.0</v>
      </c>
      <c r="AA1085" s="209" t="s">
        <v>36</v>
      </c>
    </row>
    <row r="1086" ht="15.75" hidden="1" customHeight="1">
      <c r="A1086" s="209" t="s">
        <v>2867</v>
      </c>
      <c r="B1086" s="208">
        <v>6.356082838E9</v>
      </c>
      <c r="C1086" s="429">
        <v>46293.0</v>
      </c>
      <c r="D1086" s="208">
        <v>28.0</v>
      </c>
      <c r="E1086" s="208">
        <v>9.0</v>
      </c>
      <c r="F1086" s="208">
        <v>2026.0</v>
      </c>
      <c r="G1086" s="429">
        <v>46295.0</v>
      </c>
      <c r="H1086" s="208">
        <v>30.0</v>
      </c>
      <c r="I1086" s="208">
        <v>9.0</v>
      </c>
      <c r="J1086" s="208">
        <v>2026.0</v>
      </c>
      <c r="K1086" s="209" t="s">
        <v>36</v>
      </c>
      <c r="L1086" s="209" t="s">
        <v>1177</v>
      </c>
      <c r="M1086" s="208">
        <v>1.0</v>
      </c>
      <c r="N1086" s="208">
        <v>2.0</v>
      </c>
      <c r="O1086" s="201">
        <f t="shared" si="5"/>
        <v>2</v>
      </c>
      <c r="P1086" s="208">
        <v>4.0</v>
      </c>
      <c r="Q1086" s="429">
        <v>46296.0</v>
      </c>
      <c r="R1086" s="430">
        <v>1.0</v>
      </c>
      <c r="S1086" s="430">
        <v>10.0</v>
      </c>
      <c r="T1086" s="208">
        <v>2026.0</v>
      </c>
      <c r="U1086" s="209" t="s">
        <v>36</v>
      </c>
      <c r="V1086" s="209">
        <v>58.46</v>
      </c>
      <c r="W1086" s="429">
        <v>46296.0</v>
      </c>
      <c r="X1086" s="208">
        <v>1.0</v>
      </c>
      <c r="Y1086" s="208">
        <v>10.0</v>
      </c>
      <c r="Z1086" s="208">
        <v>2026.0</v>
      </c>
      <c r="AA1086" s="209" t="s">
        <v>36</v>
      </c>
    </row>
    <row r="1087" ht="15.75" hidden="1" customHeight="1">
      <c r="A1087" s="209" t="s">
        <v>2868</v>
      </c>
      <c r="B1087" s="209" t="s">
        <v>2869</v>
      </c>
      <c r="C1087" s="429">
        <v>46287.0</v>
      </c>
      <c r="D1087" s="208">
        <v>22.0</v>
      </c>
      <c r="E1087" s="208">
        <v>9.0</v>
      </c>
      <c r="F1087" s="208">
        <v>2026.0</v>
      </c>
      <c r="G1087" s="429">
        <v>46288.0</v>
      </c>
      <c r="H1087" s="208">
        <v>23.0</v>
      </c>
      <c r="I1087" s="208">
        <v>9.0</v>
      </c>
      <c r="J1087" s="208">
        <v>2026.0</v>
      </c>
      <c r="K1087" s="209" t="s">
        <v>46</v>
      </c>
      <c r="L1087" s="209" t="s">
        <v>1177</v>
      </c>
      <c r="M1087" s="208">
        <v>1.0</v>
      </c>
      <c r="N1087" s="208">
        <v>1.0</v>
      </c>
      <c r="O1087" s="201">
        <f t="shared" si="5"/>
        <v>1</v>
      </c>
      <c r="P1087" s="208">
        <v>2.0</v>
      </c>
      <c r="Q1087" s="429">
        <v>46288.44552083333</v>
      </c>
      <c r="R1087" s="430">
        <v>23.0</v>
      </c>
      <c r="S1087" s="430">
        <v>9.0</v>
      </c>
      <c r="T1087" s="208">
        <v>2026.0</v>
      </c>
      <c r="U1087" s="209" t="s">
        <v>245</v>
      </c>
      <c r="V1087" s="209">
        <v>29.75</v>
      </c>
      <c r="W1087" s="429">
        <v>46288.44552083333</v>
      </c>
      <c r="X1087" s="208">
        <v>23.0</v>
      </c>
      <c r="Y1087" s="208">
        <v>9.0</v>
      </c>
      <c r="Z1087" s="208">
        <v>2026.0</v>
      </c>
      <c r="AA1087" s="209" t="s">
        <v>245</v>
      </c>
    </row>
    <row r="1088" ht="15.75" hidden="1" customHeight="1">
      <c r="A1088" s="209" t="s">
        <v>2870</v>
      </c>
      <c r="B1088" s="209" t="s">
        <v>2871</v>
      </c>
      <c r="C1088" s="429">
        <v>46285.0</v>
      </c>
      <c r="D1088" s="208">
        <v>20.0</v>
      </c>
      <c r="E1088" s="208">
        <v>9.0</v>
      </c>
      <c r="F1088" s="208">
        <v>2026.0</v>
      </c>
      <c r="G1088" s="429">
        <v>46286.0</v>
      </c>
      <c r="H1088" s="208">
        <v>21.0</v>
      </c>
      <c r="I1088" s="208">
        <v>9.0</v>
      </c>
      <c r="J1088" s="208">
        <v>2026.0</v>
      </c>
      <c r="K1088" s="209" t="s">
        <v>46</v>
      </c>
      <c r="L1088" s="209" t="s">
        <v>1177</v>
      </c>
      <c r="M1088" s="208">
        <v>1.0</v>
      </c>
      <c r="N1088" s="208">
        <v>1.0</v>
      </c>
      <c r="O1088" s="201">
        <f t="shared" si="5"/>
        <v>1</v>
      </c>
      <c r="P1088" s="208">
        <v>2.0</v>
      </c>
      <c r="Q1088" s="429">
        <v>46285.64386574074</v>
      </c>
      <c r="R1088" s="430">
        <v>20.0</v>
      </c>
      <c r="S1088" s="430">
        <v>9.0</v>
      </c>
      <c r="T1088" s="208">
        <v>2026.0</v>
      </c>
      <c r="U1088" s="209" t="s">
        <v>245</v>
      </c>
      <c r="V1088" s="209">
        <v>27.2</v>
      </c>
      <c r="W1088" s="429">
        <v>46285.64386574074</v>
      </c>
      <c r="X1088" s="208">
        <v>20.0</v>
      </c>
      <c r="Y1088" s="208">
        <v>9.0</v>
      </c>
      <c r="Z1088" s="208">
        <v>2026.0</v>
      </c>
      <c r="AA1088" s="209" t="s">
        <v>245</v>
      </c>
    </row>
    <row r="1089" ht="15.75" hidden="1" customHeight="1">
      <c r="A1089" s="209" t="s">
        <v>2872</v>
      </c>
      <c r="B1089" s="209" t="s">
        <v>2873</v>
      </c>
      <c r="C1089" s="429">
        <v>46285.0</v>
      </c>
      <c r="D1089" s="208">
        <v>20.0</v>
      </c>
      <c r="E1089" s="208">
        <v>9.0</v>
      </c>
      <c r="F1089" s="208">
        <v>2026.0</v>
      </c>
      <c r="G1089" s="429">
        <v>46287.0</v>
      </c>
      <c r="H1089" s="208">
        <v>22.0</v>
      </c>
      <c r="I1089" s="208">
        <v>9.0</v>
      </c>
      <c r="J1089" s="208">
        <v>2026.0</v>
      </c>
      <c r="K1089" s="209" t="s">
        <v>51</v>
      </c>
      <c r="L1089" s="209" t="s">
        <v>1177</v>
      </c>
      <c r="M1089" s="208">
        <v>1.0</v>
      </c>
      <c r="N1089" s="208">
        <v>2.0</v>
      </c>
      <c r="O1089" s="201">
        <f t="shared" si="5"/>
        <v>2</v>
      </c>
      <c r="P1089" s="208">
        <v>4.0</v>
      </c>
      <c r="Q1089" s="429">
        <v>46295.0</v>
      </c>
      <c r="R1089" s="430">
        <v>30.0</v>
      </c>
      <c r="S1089" s="430">
        <v>9.0</v>
      </c>
      <c r="T1089" s="208">
        <v>2026.0</v>
      </c>
      <c r="U1089" s="209" t="s">
        <v>2</v>
      </c>
      <c r="V1089" s="209">
        <v>67.6</v>
      </c>
      <c r="W1089" s="429">
        <v>46295.0</v>
      </c>
      <c r="X1089" s="208">
        <v>30.0</v>
      </c>
      <c r="Y1089" s="208">
        <v>9.0</v>
      </c>
      <c r="Z1089" s="208">
        <v>2026.0</v>
      </c>
      <c r="AA1089" s="209" t="s">
        <v>2</v>
      </c>
    </row>
    <row r="1090" ht="15.75" hidden="1" customHeight="1">
      <c r="A1090" s="209" t="s">
        <v>2874</v>
      </c>
      <c r="B1090" s="208">
        <v>6.865230104E9</v>
      </c>
      <c r="C1090" s="429">
        <v>46282.0</v>
      </c>
      <c r="D1090" s="208">
        <v>17.0</v>
      </c>
      <c r="E1090" s="208">
        <v>9.0</v>
      </c>
      <c r="F1090" s="208">
        <v>2026.0</v>
      </c>
      <c r="G1090" s="429">
        <v>46283.0</v>
      </c>
      <c r="H1090" s="208">
        <v>18.0</v>
      </c>
      <c r="I1090" s="208">
        <v>9.0</v>
      </c>
      <c r="J1090" s="208">
        <v>2026.0</v>
      </c>
      <c r="K1090" s="209" t="s">
        <v>36</v>
      </c>
      <c r="L1090" s="209" t="s">
        <v>1177</v>
      </c>
      <c r="M1090" s="208">
        <v>2.0</v>
      </c>
      <c r="N1090" s="208">
        <v>1.0</v>
      </c>
      <c r="O1090" s="201">
        <f t="shared" si="5"/>
        <v>2</v>
      </c>
      <c r="P1090" s="208">
        <v>4.0</v>
      </c>
      <c r="Q1090" s="429">
        <v>46296.0</v>
      </c>
      <c r="R1090" s="430">
        <v>1.0</v>
      </c>
      <c r="S1090" s="430">
        <v>10.0</v>
      </c>
      <c r="T1090" s="208">
        <v>2026.0</v>
      </c>
      <c r="U1090" s="209" t="s">
        <v>36</v>
      </c>
      <c r="V1090" s="209">
        <v>58.46</v>
      </c>
      <c r="W1090" s="429">
        <v>46296.0</v>
      </c>
      <c r="X1090" s="208">
        <v>1.0</v>
      </c>
      <c r="Y1090" s="208">
        <v>10.0</v>
      </c>
      <c r="Z1090" s="208">
        <v>2026.0</v>
      </c>
      <c r="AA1090" s="209" t="s">
        <v>36</v>
      </c>
    </row>
    <row r="1091" ht="15.75" hidden="1" customHeight="1">
      <c r="A1091" s="209" t="s">
        <v>2875</v>
      </c>
      <c r="B1091" s="208">
        <v>6.194969905E9</v>
      </c>
      <c r="C1091" s="429">
        <v>46282.0</v>
      </c>
      <c r="D1091" s="208">
        <v>17.0</v>
      </c>
      <c r="E1091" s="208">
        <v>9.0</v>
      </c>
      <c r="F1091" s="208">
        <v>2026.0</v>
      </c>
      <c r="G1091" s="429">
        <v>46284.0</v>
      </c>
      <c r="H1091" s="208">
        <v>19.0</v>
      </c>
      <c r="I1091" s="208">
        <v>9.0</v>
      </c>
      <c r="J1091" s="208">
        <v>2026.0</v>
      </c>
      <c r="K1091" s="209" t="s">
        <v>36</v>
      </c>
      <c r="L1091" s="209" t="s">
        <v>1177</v>
      </c>
      <c r="M1091" s="208">
        <v>1.0</v>
      </c>
      <c r="N1091" s="208">
        <v>2.0</v>
      </c>
      <c r="O1091" s="201">
        <f t="shared" si="5"/>
        <v>2</v>
      </c>
      <c r="P1091" s="208">
        <v>4.0</v>
      </c>
      <c r="Q1091" s="429">
        <v>46296.0</v>
      </c>
      <c r="R1091" s="430">
        <v>1.0</v>
      </c>
      <c r="S1091" s="430">
        <v>10.0</v>
      </c>
      <c r="T1091" s="208">
        <v>2026.0</v>
      </c>
      <c r="U1091" s="209" t="s">
        <v>36</v>
      </c>
      <c r="V1091" s="209">
        <v>58.46</v>
      </c>
      <c r="W1091" s="429">
        <v>46296.0</v>
      </c>
      <c r="X1091" s="208">
        <v>1.0</v>
      </c>
      <c r="Y1091" s="208">
        <v>10.0</v>
      </c>
      <c r="Z1091" s="208">
        <v>2026.0</v>
      </c>
      <c r="AA1091" s="209" t="s">
        <v>36</v>
      </c>
    </row>
    <row r="1092" ht="15.75" hidden="1" customHeight="1">
      <c r="A1092" s="209" t="s">
        <v>2876</v>
      </c>
      <c r="B1092" s="209" t="s">
        <v>2877</v>
      </c>
      <c r="C1092" s="429">
        <v>46274.0</v>
      </c>
      <c r="D1092" s="208">
        <v>9.0</v>
      </c>
      <c r="E1092" s="208">
        <v>9.0</v>
      </c>
      <c r="F1092" s="208">
        <v>2026.0</v>
      </c>
      <c r="G1092" s="429">
        <v>46278.0</v>
      </c>
      <c r="H1092" s="208">
        <v>13.0</v>
      </c>
      <c r="I1092" s="208">
        <v>9.0</v>
      </c>
      <c r="J1092" s="208">
        <v>2026.0</v>
      </c>
      <c r="K1092" s="209" t="s">
        <v>46</v>
      </c>
      <c r="L1092" s="209" t="s">
        <v>1177</v>
      </c>
      <c r="M1092" s="208">
        <v>1.0</v>
      </c>
      <c r="N1092" s="208">
        <v>4.0</v>
      </c>
      <c r="O1092" s="201">
        <f t="shared" si="5"/>
        <v>4</v>
      </c>
      <c r="P1092" s="208">
        <v>8.0</v>
      </c>
      <c r="Q1092" s="429">
        <v>46274.89244212963</v>
      </c>
      <c r="R1092" s="208">
        <v>9.0</v>
      </c>
      <c r="S1092" s="208">
        <v>9.0</v>
      </c>
      <c r="T1092" s="208">
        <v>2026.0</v>
      </c>
      <c r="U1092" s="209" t="s">
        <v>245</v>
      </c>
      <c r="V1092" s="209">
        <v>153.0</v>
      </c>
      <c r="W1092" s="429">
        <v>46274.89244212963</v>
      </c>
      <c r="X1092" s="208">
        <v>9.0</v>
      </c>
      <c r="Y1092" s="208">
        <v>9.0</v>
      </c>
      <c r="Z1092" s="208">
        <v>2026.0</v>
      </c>
      <c r="AA1092" s="209" t="s">
        <v>245</v>
      </c>
    </row>
    <row r="1093" ht="15.75" hidden="1" customHeight="1">
      <c r="A1093" s="209" t="s">
        <v>2878</v>
      </c>
      <c r="B1093" s="209" t="s">
        <v>2879</v>
      </c>
      <c r="C1093" s="429">
        <v>46275.0</v>
      </c>
      <c r="D1093" s="208">
        <v>10.0</v>
      </c>
      <c r="E1093" s="208">
        <v>9.0</v>
      </c>
      <c r="F1093" s="208">
        <v>2026.0</v>
      </c>
      <c r="G1093" s="429">
        <v>46277.0</v>
      </c>
      <c r="H1093" s="208">
        <v>12.0</v>
      </c>
      <c r="I1093" s="208">
        <v>9.0</v>
      </c>
      <c r="J1093" s="208">
        <v>2026.0</v>
      </c>
      <c r="K1093" s="209" t="s">
        <v>51</v>
      </c>
      <c r="L1093" s="209" t="s">
        <v>1177</v>
      </c>
      <c r="M1093" s="208">
        <v>1.0</v>
      </c>
      <c r="N1093" s="208">
        <v>2.0</v>
      </c>
      <c r="O1093" s="201">
        <f t="shared" si="5"/>
        <v>2</v>
      </c>
      <c r="P1093" s="208">
        <v>4.0</v>
      </c>
      <c r="Q1093" s="429">
        <v>46295.0</v>
      </c>
      <c r="R1093" s="430">
        <v>30.0</v>
      </c>
      <c r="S1093" s="430">
        <v>9.0</v>
      </c>
      <c r="T1093" s="208">
        <v>2026.0</v>
      </c>
      <c r="U1093" s="209" t="s">
        <v>2</v>
      </c>
      <c r="V1093" s="209">
        <v>84.5</v>
      </c>
      <c r="W1093" s="429">
        <v>46295.0</v>
      </c>
      <c r="X1093" s="208">
        <v>30.0</v>
      </c>
      <c r="Y1093" s="208">
        <v>9.0</v>
      </c>
      <c r="Z1093" s="208">
        <v>2026.0</v>
      </c>
      <c r="AA1093" s="209" t="s">
        <v>2</v>
      </c>
    </row>
    <row r="1094" ht="15.75" hidden="1" customHeight="1">
      <c r="A1094" s="209" t="s">
        <v>2880</v>
      </c>
      <c r="B1094" s="209" t="s">
        <v>2881</v>
      </c>
      <c r="C1094" s="429">
        <v>46274.0</v>
      </c>
      <c r="D1094" s="208">
        <v>9.0</v>
      </c>
      <c r="E1094" s="208">
        <v>9.0</v>
      </c>
      <c r="F1094" s="208">
        <v>2026.0</v>
      </c>
      <c r="G1094" s="429">
        <v>46276.0</v>
      </c>
      <c r="H1094" s="208">
        <v>11.0</v>
      </c>
      <c r="I1094" s="208">
        <v>9.0</v>
      </c>
      <c r="J1094" s="208">
        <v>2026.0</v>
      </c>
      <c r="K1094" s="209" t="s">
        <v>51</v>
      </c>
      <c r="L1094" s="209" t="s">
        <v>1177</v>
      </c>
      <c r="M1094" s="208">
        <v>1.0</v>
      </c>
      <c r="N1094" s="208">
        <v>2.0</v>
      </c>
      <c r="O1094" s="201">
        <f t="shared" si="5"/>
        <v>2</v>
      </c>
      <c r="P1094" s="208">
        <v>4.0</v>
      </c>
      <c r="Q1094" s="429">
        <v>46295.0</v>
      </c>
      <c r="R1094" s="430">
        <v>30.0</v>
      </c>
      <c r="S1094" s="430">
        <v>9.0</v>
      </c>
      <c r="T1094" s="208">
        <v>2026.0</v>
      </c>
      <c r="U1094" s="209" t="s">
        <v>2</v>
      </c>
      <c r="V1094" s="209">
        <v>76.05</v>
      </c>
      <c r="W1094" s="429">
        <v>46295.0</v>
      </c>
      <c r="X1094" s="208">
        <v>30.0</v>
      </c>
      <c r="Y1094" s="208">
        <v>9.0</v>
      </c>
      <c r="Z1094" s="208">
        <v>2026.0</v>
      </c>
      <c r="AA1094" s="209" t="s">
        <v>2</v>
      </c>
    </row>
    <row r="1095" ht="15.75" hidden="1" customHeight="1">
      <c r="A1095" s="209" t="s">
        <v>2882</v>
      </c>
      <c r="B1095" s="208">
        <v>5.747754191E9</v>
      </c>
      <c r="C1095" s="429">
        <v>46272.0</v>
      </c>
      <c r="D1095" s="208">
        <v>7.0</v>
      </c>
      <c r="E1095" s="208">
        <v>9.0</v>
      </c>
      <c r="F1095" s="208">
        <v>2026.0</v>
      </c>
      <c r="G1095" s="429">
        <v>46273.0</v>
      </c>
      <c r="H1095" s="208">
        <v>8.0</v>
      </c>
      <c r="I1095" s="208">
        <v>9.0</v>
      </c>
      <c r="J1095" s="208">
        <v>2026.0</v>
      </c>
      <c r="K1095" s="209" t="s">
        <v>36</v>
      </c>
      <c r="L1095" s="209" t="s">
        <v>1177</v>
      </c>
      <c r="M1095" s="208">
        <v>2.0</v>
      </c>
      <c r="N1095" s="208">
        <v>1.0</v>
      </c>
      <c r="O1095" s="201">
        <f t="shared" si="5"/>
        <v>2</v>
      </c>
      <c r="P1095" s="208">
        <v>4.0</v>
      </c>
      <c r="Q1095" s="429">
        <v>46296.0</v>
      </c>
      <c r="R1095" s="430">
        <v>1.0</v>
      </c>
      <c r="S1095" s="430">
        <v>10.0</v>
      </c>
      <c r="T1095" s="208">
        <v>2026.0</v>
      </c>
      <c r="U1095" s="209" t="s">
        <v>36</v>
      </c>
      <c r="V1095" s="209">
        <v>58.46</v>
      </c>
      <c r="W1095" s="429">
        <v>46296.0</v>
      </c>
      <c r="X1095" s="208">
        <v>1.0</v>
      </c>
      <c r="Y1095" s="208">
        <v>10.0</v>
      </c>
      <c r="Z1095" s="208">
        <v>2026.0</v>
      </c>
      <c r="AA1095" s="209" t="s">
        <v>36</v>
      </c>
    </row>
    <row r="1096" ht="15.75" hidden="1" customHeight="1">
      <c r="A1096" s="209" t="s">
        <v>2883</v>
      </c>
      <c r="B1096" s="209" t="s">
        <v>2884</v>
      </c>
      <c r="C1096" s="429">
        <v>46269.0</v>
      </c>
      <c r="D1096" s="208">
        <v>4.0</v>
      </c>
      <c r="E1096" s="208">
        <v>9.0</v>
      </c>
      <c r="F1096" s="208">
        <v>2026.0</v>
      </c>
      <c r="G1096" s="429">
        <v>46271.0</v>
      </c>
      <c r="H1096" s="208">
        <v>6.0</v>
      </c>
      <c r="I1096" s="208">
        <v>9.0</v>
      </c>
      <c r="J1096" s="208">
        <v>2026.0</v>
      </c>
      <c r="K1096" s="209" t="s">
        <v>46</v>
      </c>
      <c r="L1096" s="209" t="s">
        <v>1177</v>
      </c>
      <c r="M1096" s="208">
        <v>1.0</v>
      </c>
      <c r="N1096" s="208">
        <v>2.0</v>
      </c>
      <c r="O1096" s="201">
        <f t="shared" si="5"/>
        <v>2</v>
      </c>
      <c r="P1096" s="208">
        <v>4.0</v>
      </c>
      <c r="Q1096" s="429">
        <v>46270.71607638889</v>
      </c>
      <c r="R1096" s="430">
        <v>5.0</v>
      </c>
      <c r="S1096" s="430">
        <v>9.0</v>
      </c>
      <c r="T1096" s="208">
        <v>2026.0</v>
      </c>
      <c r="U1096" s="209" t="s">
        <v>245</v>
      </c>
      <c r="V1096" s="209">
        <v>76.5</v>
      </c>
      <c r="W1096" s="429">
        <v>46270.71607638889</v>
      </c>
      <c r="X1096" s="208">
        <v>5.0</v>
      </c>
      <c r="Y1096" s="208">
        <v>9.0</v>
      </c>
      <c r="Z1096" s="208">
        <v>2026.0</v>
      </c>
      <c r="AA1096" s="209" t="s">
        <v>245</v>
      </c>
    </row>
    <row r="1097" ht="15.75" hidden="1" customHeight="1">
      <c r="A1097" s="209" t="s">
        <v>2885</v>
      </c>
      <c r="B1097" s="208">
        <v>6.24108369E9</v>
      </c>
      <c r="C1097" s="429">
        <v>46282.0</v>
      </c>
      <c r="D1097" s="208">
        <v>17.0</v>
      </c>
      <c r="E1097" s="208">
        <v>9.0</v>
      </c>
      <c r="F1097" s="208">
        <v>2026.0</v>
      </c>
      <c r="G1097" s="429">
        <v>46284.0</v>
      </c>
      <c r="H1097" s="208">
        <v>19.0</v>
      </c>
      <c r="I1097" s="208">
        <v>9.0</v>
      </c>
      <c r="J1097" s="208">
        <v>2026.0</v>
      </c>
      <c r="K1097" s="209" t="s">
        <v>36</v>
      </c>
      <c r="L1097" s="209" t="s">
        <v>1177</v>
      </c>
      <c r="M1097" s="208">
        <v>1.0</v>
      </c>
      <c r="N1097" s="208">
        <v>2.0</v>
      </c>
      <c r="O1097" s="201">
        <f t="shared" si="5"/>
        <v>2</v>
      </c>
      <c r="P1097" s="208">
        <v>4.0</v>
      </c>
      <c r="Q1097" s="429">
        <v>46296.0</v>
      </c>
      <c r="R1097" s="430">
        <v>1.0</v>
      </c>
      <c r="S1097" s="430">
        <v>10.0</v>
      </c>
      <c r="T1097" s="208">
        <v>2026.0</v>
      </c>
      <c r="U1097" s="209" t="s">
        <v>36</v>
      </c>
      <c r="V1097" s="209">
        <v>58.46</v>
      </c>
      <c r="W1097" s="429">
        <v>46296.0</v>
      </c>
      <c r="X1097" s="208">
        <v>1.0</v>
      </c>
      <c r="Y1097" s="208">
        <v>10.0</v>
      </c>
      <c r="Z1097" s="208">
        <v>2026.0</v>
      </c>
      <c r="AA1097" s="209" t="s">
        <v>36</v>
      </c>
    </row>
    <row r="1098" ht="15.75" hidden="1" customHeight="1">
      <c r="A1098" s="209" t="s">
        <v>2886</v>
      </c>
      <c r="B1098" s="208">
        <v>5.903454026E9</v>
      </c>
      <c r="C1098" s="429">
        <v>46289.0</v>
      </c>
      <c r="D1098" s="208">
        <v>24.0</v>
      </c>
      <c r="E1098" s="208">
        <v>9.0</v>
      </c>
      <c r="F1098" s="208">
        <v>2026.0</v>
      </c>
      <c r="G1098" s="429">
        <v>46291.0</v>
      </c>
      <c r="H1098" s="208">
        <v>26.0</v>
      </c>
      <c r="I1098" s="208">
        <v>9.0</v>
      </c>
      <c r="J1098" s="208">
        <v>2026.0</v>
      </c>
      <c r="K1098" s="209" t="s">
        <v>36</v>
      </c>
      <c r="L1098" s="209" t="s">
        <v>1177</v>
      </c>
      <c r="M1098" s="208">
        <v>1.0</v>
      </c>
      <c r="N1098" s="208">
        <v>2.0</v>
      </c>
      <c r="O1098" s="201">
        <f t="shared" si="5"/>
        <v>2</v>
      </c>
      <c r="P1098" s="208">
        <v>4.0</v>
      </c>
      <c r="Q1098" s="429">
        <v>46296.0</v>
      </c>
      <c r="R1098" s="430">
        <v>1.0</v>
      </c>
      <c r="S1098" s="430">
        <v>10.0</v>
      </c>
      <c r="T1098" s="208">
        <v>2026.0</v>
      </c>
      <c r="U1098" s="209" t="s">
        <v>36</v>
      </c>
      <c r="V1098" s="209">
        <v>75.18</v>
      </c>
      <c r="W1098" s="429">
        <v>46296.0</v>
      </c>
      <c r="X1098" s="208">
        <v>1.0</v>
      </c>
      <c r="Y1098" s="208">
        <v>10.0</v>
      </c>
      <c r="Z1098" s="208">
        <v>2026.0</v>
      </c>
      <c r="AA1098" s="209" t="s">
        <v>36</v>
      </c>
    </row>
    <row r="1099" ht="15.75" hidden="1" customHeight="1">
      <c r="A1099" s="209" t="s">
        <v>2887</v>
      </c>
      <c r="B1099" s="208">
        <v>6.846095052E9</v>
      </c>
      <c r="C1099" s="429">
        <v>46289.0</v>
      </c>
      <c r="D1099" s="208">
        <v>24.0</v>
      </c>
      <c r="E1099" s="208">
        <v>9.0</v>
      </c>
      <c r="F1099" s="208">
        <v>2026.0</v>
      </c>
      <c r="G1099" s="429">
        <v>46291.0</v>
      </c>
      <c r="H1099" s="208">
        <v>26.0</v>
      </c>
      <c r="I1099" s="208">
        <v>9.0</v>
      </c>
      <c r="J1099" s="208">
        <v>2026.0</v>
      </c>
      <c r="K1099" s="209" t="s">
        <v>36</v>
      </c>
      <c r="L1099" s="209" t="s">
        <v>1177</v>
      </c>
      <c r="M1099" s="208">
        <v>1.0</v>
      </c>
      <c r="N1099" s="208">
        <v>2.0</v>
      </c>
      <c r="O1099" s="201">
        <f t="shared" si="5"/>
        <v>2</v>
      </c>
      <c r="P1099" s="208">
        <v>4.0</v>
      </c>
      <c r="Q1099" s="429">
        <v>46296.0</v>
      </c>
      <c r="R1099" s="430">
        <v>1.0</v>
      </c>
      <c r="S1099" s="430">
        <v>10.0</v>
      </c>
      <c r="T1099" s="208">
        <v>2026.0</v>
      </c>
      <c r="U1099" s="209" t="s">
        <v>36</v>
      </c>
      <c r="V1099" s="209">
        <v>58.46</v>
      </c>
      <c r="W1099" s="429">
        <v>46296.0</v>
      </c>
      <c r="X1099" s="208">
        <v>1.0</v>
      </c>
      <c r="Y1099" s="208">
        <v>10.0</v>
      </c>
      <c r="Z1099" s="208">
        <v>2026.0</v>
      </c>
      <c r="AA1099" s="209" t="s">
        <v>36</v>
      </c>
    </row>
    <row r="1100" ht="15.75" hidden="1" customHeight="1">
      <c r="A1100" s="209" t="s">
        <v>2888</v>
      </c>
      <c r="B1100" s="209" t="s">
        <v>2889</v>
      </c>
      <c r="C1100" s="429">
        <v>46267.0</v>
      </c>
      <c r="D1100" s="208">
        <v>2.0</v>
      </c>
      <c r="E1100" s="208">
        <v>9.0</v>
      </c>
      <c r="F1100" s="208">
        <v>2026.0</v>
      </c>
      <c r="G1100" s="429">
        <v>46269.0</v>
      </c>
      <c r="H1100" s="208">
        <v>4.0</v>
      </c>
      <c r="I1100" s="208">
        <v>9.0</v>
      </c>
      <c r="J1100" s="208">
        <v>2026.0</v>
      </c>
      <c r="K1100" s="209" t="s">
        <v>51</v>
      </c>
      <c r="L1100" s="209" t="s">
        <v>1177</v>
      </c>
      <c r="M1100" s="208">
        <v>1.0</v>
      </c>
      <c r="N1100" s="208">
        <v>2.0</v>
      </c>
      <c r="O1100" s="201">
        <f t="shared" si="5"/>
        <v>2</v>
      </c>
      <c r="P1100" s="208">
        <v>4.0</v>
      </c>
      <c r="Q1100" s="429">
        <v>46295.0</v>
      </c>
      <c r="R1100" s="430">
        <v>30.0</v>
      </c>
      <c r="S1100" s="430">
        <v>9.0</v>
      </c>
      <c r="T1100" s="208">
        <v>2026.0</v>
      </c>
      <c r="U1100" s="209" t="s">
        <v>2</v>
      </c>
      <c r="V1100" s="209">
        <v>76.05</v>
      </c>
      <c r="W1100" s="429">
        <v>46295.0</v>
      </c>
      <c r="X1100" s="208">
        <v>30.0</v>
      </c>
      <c r="Y1100" s="208">
        <v>9.0</v>
      </c>
      <c r="Z1100" s="208">
        <v>2026.0</v>
      </c>
      <c r="AA1100" s="209" t="s">
        <v>2</v>
      </c>
    </row>
    <row r="1101" ht="15.75" hidden="1" customHeight="1">
      <c r="A1101" s="209" t="s">
        <v>2890</v>
      </c>
      <c r="B1101" s="208">
        <v>6.016109869E9</v>
      </c>
      <c r="C1101" s="429">
        <v>46271.0</v>
      </c>
      <c r="D1101" s="208">
        <v>6.0</v>
      </c>
      <c r="E1101" s="208">
        <v>9.0</v>
      </c>
      <c r="F1101" s="208">
        <v>2026.0</v>
      </c>
      <c r="G1101" s="429">
        <v>46273.0</v>
      </c>
      <c r="H1101" s="208">
        <v>8.0</v>
      </c>
      <c r="I1101" s="208">
        <v>9.0</v>
      </c>
      <c r="J1101" s="208">
        <v>2026.0</v>
      </c>
      <c r="K1101" s="209" t="s">
        <v>36</v>
      </c>
      <c r="L1101" s="209" t="s">
        <v>1177</v>
      </c>
      <c r="M1101" s="208">
        <v>1.0</v>
      </c>
      <c r="N1101" s="208">
        <v>2.0</v>
      </c>
      <c r="O1101" s="201">
        <f t="shared" si="5"/>
        <v>2</v>
      </c>
      <c r="P1101" s="208">
        <v>4.0</v>
      </c>
      <c r="Q1101" s="429">
        <v>46296.0</v>
      </c>
      <c r="R1101" s="430">
        <v>1.0</v>
      </c>
      <c r="S1101" s="430">
        <v>10.0</v>
      </c>
      <c r="T1101" s="208">
        <v>2026.0</v>
      </c>
      <c r="U1101" s="209" t="s">
        <v>36</v>
      </c>
      <c r="V1101" s="209">
        <v>58.46</v>
      </c>
      <c r="W1101" s="429">
        <v>46296.0</v>
      </c>
      <c r="X1101" s="208">
        <v>1.0</v>
      </c>
      <c r="Y1101" s="208">
        <v>10.0</v>
      </c>
      <c r="Z1101" s="208">
        <v>2026.0</v>
      </c>
      <c r="AA1101" s="209" t="s">
        <v>36</v>
      </c>
    </row>
    <row r="1102" ht="15.75" hidden="1" customHeight="1">
      <c r="A1102" s="209" t="s">
        <v>2891</v>
      </c>
      <c r="B1102" s="209" t="s">
        <v>2892</v>
      </c>
      <c r="C1102" s="429">
        <v>46273.0</v>
      </c>
      <c r="D1102" s="208">
        <v>8.0</v>
      </c>
      <c r="E1102" s="208">
        <v>9.0</v>
      </c>
      <c r="F1102" s="208">
        <v>2026.0</v>
      </c>
      <c r="G1102" s="429">
        <v>46276.0</v>
      </c>
      <c r="H1102" s="208">
        <v>11.0</v>
      </c>
      <c r="I1102" s="208">
        <v>9.0</v>
      </c>
      <c r="J1102" s="208">
        <v>2026.0</v>
      </c>
      <c r="K1102" s="209" t="s">
        <v>46</v>
      </c>
      <c r="L1102" s="209" t="s">
        <v>1177</v>
      </c>
      <c r="M1102" s="208">
        <v>1.0</v>
      </c>
      <c r="N1102" s="208">
        <v>3.0</v>
      </c>
      <c r="O1102" s="201">
        <f t="shared" si="5"/>
        <v>3</v>
      </c>
      <c r="P1102" s="208">
        <v>6.0</v>
      </c>
      <c r="Q1102" s="429">
        <v>46273.653865740744</v>
      </c>
      <c r="R1102" s="208">
        <v>8.0</v>
      </c>
      <c r="S1102" s="208">
        <v>9.0</v>
      </c>
      <c r="T1102" s="208">
        <v>2026.0</v>
      </c>
      <c r="U1102" s="209" t="s">
        <v>262</v>
      </c>
      <c r="V1102" s="209">
        <v>106.25</v>
      </c>
      <c r="W1102" s="429">
        <v>46273.653865740744</v>
      </c>
      <c r="X1102" s="208">
        <v>8.0</v>
      </c>
      <c r="Y1102" s="208">
        <v>9.0</v>
      </c>
      <c r="Z1102" s="208">
        <v>2026.0</v>
      </c>
      <c r="AA1102" s="209" t="s">
        <v>262</v>
      </c>
    </row>
    <row r="1103" ht="15.75" hidden="1" customHeight="1">
      <c r="A1103" s="209" t="s">
        <v>2893</v>
      </c>
      <c r="B1103" s="208">
        <v>5.186705756E9</v>
      </c>
      <c r="C1103" s="429">
        <v>46284.0</v>
      </c>
      <c r="D1103" s="208">
        <v>19.0</v>
      </c>
      <c r="E1103" s="208">
        <v>9.0</v>
      </c>
      <c r="F1103" s="208">
        <v>2026.0</v>
      </c>
      <c r="G1103" s="429">
        <v>46286.0</v>
      </c>
      <c r="H1103" s="208">
        <v>21.0</v>
      </c>
      <c r="I1103" s="208">
        <v>9.0</v>
      </c>
      <c r="J1103" s="208">
        <v>2026.0</v>
      </c>
      <c r="K1103" s="209" t="s">
        <v>36</v>
      </c>
      <c r="L1103" s="209" t="s">
        <v>1177</v>
      </c>
      <c r="M1103" s="208">
        <v>1.0</v>
      </c>
      <c r="N1103" s="208">
        <v>2.0</v>
      </c>
      <c r="O1103" s="201">
        <f t="shared" si="5"/>
        <v>2</v>
      </c>
      <c r="P1103" s="208">
        <v>4.0</v>
      </c>
      <c r="Q1103" s="429">
        <v>46296.0</v>
      </c>
      <c r="R1103" s="430">
        <v>1.0</v>
      </c>
      <c r="S1103" s="430">
        <v>10.0</v>
      </c>
      <c r="T1103" s="208">
        <v>2026.0</v>
      </c>
      <c r="U1103" s="209" t="s">
        <v>36</v>
      </c>
      <c r="V1103" s="209">
        <v>58.46</v>
      </c>
      <c r="W1103" s="429">
        <v>46296.0</v>
      </c>
      <c r="X1103" s="208">
        <v>1.0</v>
      </c>
      <c r="Y1103" s="208">
        <v>10.0</v>
      </c>
      <c r="Z1103" s="208">
        <v>2026.0</v>
      </c>
      <c r="AA1103" s="209" t="s">
        <v>36</v>
      </c>
    </row>
    <row r="1104" ht="15.75" hidden="1" customHeight="1">
      <c r="A1104" s="209" t="s">
        <v>2894</v>
      </c>
      <c r="B1104" s="209" t="s">
        <v>2895</v>
      </c>
      <c r="C1104" s="429">
        <v>46271.0</v>
      </c>
      <c r="D1104" s="208">
        <v>6.0</v>
      </c>
      <c r="E1104" s="208">
        <v>9.0</v>
      </c>
      <c r="F1104" s="208">
        <v>2026.0</v>
      </c>
      <c r="G1104" s="429">
        <v>46274.0</v>
      </c>
      <c r="H1104" s="208">
        <v>9.0</v>
      </c>
      <c r="I1104" s="208">
        <v>9.0</v>
      </c>
      <c r="J1104" s="208">
        <v>2026.0</v>
      </c>
      <c r="K1104" s="209" t="s">
        <v>46</v>
      </c>
      <c r="L1104" s="209" t="s">
        <v>1177</v>
      </c>
      <c r="M1104" s="208">
        <v>1.0</v>
      </c>
      <c r="N1104" s="208">
        <v>3.0</v>
      </c>
      <c r="O1104" s="201">
        <f t="shared" si="5"/>
        <v>3</v>
      </c>
      <c r="P1104" s="208">
        <v>6.0</v>
      </c>
      <c r="Q1104" s="429">
        <v>46271.755578703705</v>
      </c>
      <c r="R1104" s="208">
        <v>6.0</v>
      </c>
      <c r="S1104" s="208">
        <v>9.0</v>
      </c>
      <c r="T1104" s="208">
        <v>2026.0</v>
      </c>
      <c r="U1104" s="209" t="s">
        <v>245</v>
      </c>
      <c r="V1104" s="209">
        <v>89.25</v>
      </c>
      <c r="W1104" s="429">
        <v>46271.755578703705</v>
      </c>
      <c r="X1104" s="208">
        <v>6.0</v>
      </c>
      <c r="Y1104" s="208">
        <v>9.0</v>
      </c>
      <c r="Z1104" s="208">
        <v>2026.0</v>
      </c>
      <c r="AA1104" s="209" t="s">
        <v>245</v>
      </c>
    </row>
    <row r="1105" ht="15.75" hidden="1" customHeight="1">
      <c r="A1105" s="209" t="s">
        <v>2896</v>
      </c>
      <c r="B1105" s="208">
        <v>5.757185557E9</v>
      </c>
      <c r="C1105" s="429">
        <v>46282.0</v>
      </c>
      <c r="D1105" s="208">
        <v>17.0</v>
      </c>
      <c r="E1105" s="208">
        <v>9.0</v>
      </c>
      <c r="F1105" s="208">
        <v>2026.0</v>
      </c>
      <c r="G1105" s="429">
        <v>46284.0</v>
      </c>
      <c r="H1105" s="208">
        <v>19.0</v>
      </c>
      <c r="I1105" s="208">
        <v>9.0</v>
      </c>
      <c r="J1105" s="208">
        <v>2026.0</v>
      </c>
      <c r="K1105" s="209" t="s">
        <v>36</v>
      </c>
      <c r="L1105" s="209" t="s">
        <v>1177</v>
      </c>
      <c r="M1105" s="208">
        <v>1.0</v>
      </c>
      <c r="N1105" s="208">
        <v>2.0</v>
      </c>
      <c r="O1105" s="201">
        <f t="shared" si="5"/>
        <v>2</v>
      </c>
      <c r="P1105" s="208">
        <v>4.0</v>
      </c>
      <c r="Q1105" s="429">
        <v>46296.0</v>
      </c>
      <c r="R1105" s="430">
        <v>1.0</v>
      </c>
      <c r="S1105" s="430">
        <v>10.0</v>
      </c>
      <c r="T1105" s="208">
        <v>2026.0</v>
      </c>
      <c r="U1105" s="209" t="s">
        <v>36</v>
      </c>
      <c r="V1105" s="209">
        <v>66.82</v>
      </c>
      <c r="W1105" s="429">
        <v>46296.0</v>
      </c>
      <c r="X1105" s="208">
        <v>1.0</v>
      </c>
      <c r="Y1105" s="208">
        <v>10.0</v>
      </c>
      <c r="Z1105" s="208">
        <v>2026.0</v>
      </c>
      <c r="AA1105" s="209" t="s">
        <v>36</v>
      </c>
    </row>
    <row r="1106" ht="15.75" hidden="1" customHeight="1">
      <c r="A1106" s="209" t="s">
        <v>2897</v>
      </c>
      <c r="B1106" s="208">
        <v>5.109863328E9</v>
      </c>
      <c r="C1106" s="429">
        <v>46287.0</v>
      </c>
      <c r="D1106" s="208">
        <v>22.0</v>
      </c>
      <c r="E1106" s="208">
        <v>9.0</v>
      </c>
      <c r="F1106" s="208">
        <v>2026.0</v>
      </c>
      <c r="G1106" s="429">
        <v>46289.0</v>
      </c>
      <c r="H1106" s="208">
        <v>24.0</v>
      </c>
      <c r="I1106" s="208">
        <v>9.0</v>
      </c>
      <c r="J1106" s="208">
        <v>2026.0</v>
      </c>
      <c r="K1106" s="209" t="s">
        <v>36</v>
      </c>
      <c r="L1106" s="209" t="s">
        <v>1177</v>
      </c>
      <c r="M1106" s="208">
        <v>1.0</v>
      </c>
      <c r="N1106" s="208">
        <v>2.0</v>
      </c>
      <c r="O1106" s="201">
        <f t="shared" si="5"/>
        <v>2</v>
      </c>
      <c r="P1106" s="208">
        <v>4.0</v>
      </c>
      <c r="Q1106" s="429">
        <v>46296.0</v>
      </c>
      <c r="R1106" s="430">
        <v>1.0</v>
      </c>
      <c r="S1106" s="430">
        <v>10.0</v>
      </c>
      <c r="T1106" s="208">
        <v>2026.0</v>
      </c>
      <c r="U1106" s="209" t="s">
        <v>36</v>
      </c>
      <c r="V1106" s="209">
        <v>73.51</v>
      </c>
      <c r="W1106" s="429">
        <v>46296.0</v>
      </c>
      <c r="X1106" s="208">
        <v>1.0</v>
      </c>
      <c r="Y1106" s="208">
        <v>10.0</v>
      </c>
      <c r="Z1106" s="208">
        <v>2026.0</v>
      </c>
      <c r="AA1106" s="209" t="s">
        <v>36</v>
      </c>
    </row>
    <row r="1107" ht="15.75" hidden="1" customHeight="1">
      <c r="A1107" s="209" t="s">
        <v>2898</v>
      </c>
      <c r="B1107" s="209" t="s">
        <v>2899</v>
      </c>
      <c r="C1107" s="429">
        <v>46293.0</v>
      </c>
      <c r="D1107" s="208">
        <v>28.0</v>
      </c>
      <c r="E1107" s="208">
        <v>9.0</v>
      </c>
      <c r="F1107" s="208">
        <v>2026.0</v>
      </c>
      <c r="G1107" s="429">
        <v>46295.0</v>
      </c>
      <c r="H1107" s="208">
        <v>30.0</v>
      </c>
      <c r="I1107" s="208">
        <v>9.0</v>
      </c>
      <c r="J1107" s="208">
        <v>2026.0</v>
      </c>
      <c r="K1107" s="209" t="s">
        <v>46</v>
      </c>
      <c r="L1107" s="209" t="s">
        <v>1177</v>
      </c>
      <c r="M1107" s="208">
        <v>1.0</v>
      </c>
      <c r="N1107" s="208">
        <v>2.0</v>
      </c>
      <c r="O1107" s="201">
        <f t="shared" si="5"/>
        <v>2</v>
      </c>
      <c r="P1107" s="208">
        <v>4.0</v>
      </c>
      <c r="Q1107" s="429">
        <v>46294.04440972222</v>
      </c>
      <c r="R1107" s="430">
        <v>29.0</v>
      </c>
      <c r="S1107" s="430">
        <v>9.0</v>
      </c>
      <c r="T1107" s="208">
        <v>2026.0</v>
      </c>
      <c r="U1107" s="209" t="s">
        <v>245</v>
      </c>
      <c r="V1107" s="209">
        <v>59.5</v>
      </c>
      <c r="W1107" s="429">
        <v>46294.04440972222</v>
      </c>
      <c r="X1107" s="208">
        <v>29.0</v>
      </c>
      <c r="Y1107" s="208">
        <v>9.0</v>
      </c>
      <c r="Z1107" s="208">
        <v>2026.0</v>
      </c>
      <c r="AA1107" s="209" t="s">
        <v>245</v>
      </c>
    </row>
    <row r="1108" ht="15.75" hidden="1" customHeight="1">
      <c r="A1108" s="209" t="s">
        <v>2900</v>
      </c>
      <c r="B1108" s="209" t="s">
        <v>2901</v>
      </c>
      <c r="C1108" s="429">
        <v>46292.0</v>
      </c>
      <c r="D1108" s="208">
        <v>27.0</v>
      </c>
      <c r="E1108" s="208">
        <v>9.0</v>
      </c>
      <c r="F1108" s="208">
        <v>2026.0</v>
      </c>
      <c r="G1108" s="429">
        <v>46294.0</v>
      </c>
      <c r="H1108" s="208">
        <v>29.0</v>
      </c>
      <c r="I1108" s="208">
        <v>9.0</v>
      </c>
      <c r="J1108" s="208">
        <v>2026.0</v>
      </c>
      <c r="K1108" s="209" t="s">
        <v>46</v>
      </c>
      <c r="L1108" s="209" t="s">
        <v>1177</v>
      </c>
      <c r="M1108" s="208">
        <v>1.0</v>
      </c>
      <c r="N1108" s="208">
        <v>2.0</v>
      </c>
      <c r="O1108" s="201">
        <f t="shared" si="5"/>
        <v>2</v>
      </c>
      <c r="P1108" s="208">
        <v>4.0</v>
      </c>
      <c r="Q1108" s="429">
        <v>46293.28260416666</v>
      </c>
      <c r="R1108" s="430">
        <v>28.0</v>
      </c>
      <c r="S1108" s="430">
        <v>9.0</v>
      </c>
      <c r="T1108" s="208">
        <v>2026.0</v>
      </c>
      <c r="U1108" s="209" t="s">
        <v>245</v>
      </c>
      <c r="V1108" s="209">
        <v>59.5</v>
      </c>
      <c r="W1108" s="429">
        <v>46293.28260416666</v>
      </c>
      <c r="X1108" s="208">
        <v>28.0</v>
      </c>
      <c r="Y1108" s="208">
        <v>9.0</v>
      </c>
      <c r="Z1108" s="208">
        <v>2026.0</v>
      </c>
      <c r="AA1108" s="209" t="s">
        <v>245</v>
      </c>
    </row>
    <row r="1109" ht="15.75" hidden="1" customHeight="1">
      <c r="A1109" s="209" t="s">
        <v>2902</v>
      </c>
      <c r="B1109" s="208">
        <v>6.946682468E9</v>
      </c>
      <c r="C1109" s="429">
        <v>46283.0</v>
      </c>
      <c r="D1109" s="208">
        <v>18.0</v>
      </c>
      <c r="E1109" s="208">
        <v>9.0</v>
      </c>
      <c r="F1109" s="208">
        <v>2026.0</v>
      </c>
      <c r="G1109" s="429">
        <v>46285.0</v>
      </c>
      <c r="H1109" s="208">
        <v>20.0</v>
      </c>
      <c r="I1109" s="208">
        <v>9.0</v>
      </c>
      <c r="J1109" s="208">
        <v>2026.0</v>
      </c>
      <c r="K1109" s="209" t="s">
        <v>36</v>
      </c>
      <c r="L1109" s="209" t="s">
        <v>1177</v>
      </c>
      <c r="M1109" s="208">
        <v>1.0</v>
      </c>
      <c r="N1109" s="208">
        <v>2.0</v>
      </c>
      <c r="O1109" s="201">
        <f t="shared" si="5"/>
        <v>2</v>
      </c>
      <c r="P1109" s="208">
        <v>4.0</v>
      </c>
      <c r="Q1109" s="429">
        <v>46296.0</v>
      </c>
      <c r="R1109" s="430">
        <v>1.0</v>
      </c>
      <c r="S1109" s="430">
        <v>10.0</v>
      </c>
      <c r="T1109" s="208">
        <v>2026.0</v>
      </c>
      <c r="U1109" s="209" t="s">
        <v>36</v>
      </c>
      <c r="V1109" s="209">
        <v>83.54</v>
      </c>
      <c r="W1109" s="429">
        <v>46296.0</v>
      </c>
      <c r="X1109" s="208">
        <v>1.0</v>
      </c>
      <c r="Y1109" s="208">
        <v>10.0</v>
      </c>
      <c r="Z1109" s="208">
        <v>2026.0</v>
      </c>
      <c r="AA1109" s="209" t="s">
        <v>36</v>
      </c>
    </row>
    <row r="1110" ht="15.75" hidden="1" customHeight="1">
      <c r="A1110" s="209" t="s">
        <v>2903</v>
      </c>
      <c r="B1110" s="209" t="s">
        <v>2904</v>
      </c>
      <c r="C1110" s="429">
        <v>46266.0</v>
      </c>
      <c r="D1110" s="208">
        <v>1.0</v>
      </c>
      <c r="E1110" s="208">
        <v>9.0</v>
      </c>
      <c r="F1110" s="208">
        <v>2026.0</v>
      </c>
      <c r="G1110" s="429">
        <v>46269.0</v>
      </c>
      <c r="H1110" s="208">
        <v>4.0</v>
      </c>
      <c r="I1110" s="208">
        <v>9.0</v>
      </c>
      <c r="J1110" s="208">
        <v>2026.0</v>
      </c>
      <c r="K1110" s="209" t="s">
        <v>46</v>
      </c>
      <c r="L1110" s="209" t="s">
        <v>1177</v>
      </c>
      <c r="M1110" s="208">
        <v>1.0</v>
      </c>
      <c r="N1110" s="208">
        <v>3.0</v>
      </c>
      <c r="O1110" s="201">
        <f t="shared" si="5"/>
        <v>3</v>
      </c>
      <c r="P1110" s="208">
        <v>6.0</v>
      </c>
      <c r="Q1110" s="429">
        <v>46267.798796296294</v>
      </c>
      <c r="R1110" s="208">
        <v>2.0</v>
      </c>
      <c r="S1110" s="208">
        <v>9.0</v>
      </c>
      <c r="T1110" s="208">
        <v>2026.0</v>
      </c>
      <c r="U1110" s="209" t="s">
        <v>12</v>
      </c>
      <c r="V1110" s="209">
        <v>106.25</v>
      </c>
      <c r="W1110" s="429">
        <v>46267.798796296294</v>
      </c>
      <c r="X1110" s="208">
        <v>2.0</v>
      </c>
      <c r="Y1110" s="208">
        <v>9.0</v>
      </c>
      <c r="Z1110" s="208">
        <v>2026.0</v>
      </c>
      <c r="AA1110" s="209" t="s">
        <v>12</v>
      </c>
    </row>
    <row r="1111" ht="15.75" hidden="1" customHeight="1">
      <c r="A1111" s="209" t="s">
        <v>2905</v>
      </c>
      <c r="B1111" s="209" t="s">
        <v>2906</v>
      </c>
      <c r="C1111" s="429">
        <v>46283.0</v>
      </c>
      <c r="D1111" s="208">
        <v>18.0</v>
      </c>
      <c r="E1111" s="208">
        <v>9.0</v>
      </c>
      <c r="F1111" s="208">
        <v>2026.0</v>
      </c>
      <c r="G1111" s="429">
        <v>46285.0</v>
      </c>
      <c r="H1111" s="208">
        <v>20.0</v>
      </c>
      <c r="I1111" s="208">
        <v>9.0</v>
      </c>
      <c r="J1111" s="208">
        <v>2026.0</v>
      </c>
      <c r="K1111" s="209" t="s">
        <v>51</v>
      </c>
      <c r="L1111" s="209" t="s">
        <v>1177</v>
      </c>
      <c r="M1111" s="208">
        <v>1.0</v>
      </c>
      <c r="N1111" s="208">
        <v>2.0</v>
      </c>
      <c r="O1111" s="201">
        <f t="shared" si="5"/>
        <v>2</v>
      </c>
      <c r="P1111" s="208">
        <v>4.0</v>
      </c>
      <c r="Q1111" s="429">
        <v>46295.0</v>
      </c>
      <c r="R1111" s="430">
        <v>30.0</v>
      </c>
      <c r="S1111" s="430">
        <v>9.0</v>
      </c>
      <c r="T1111" s="208">
        <v>2026.0</v>
      </c>
      <c r="U1111" s="209" t="s">
        <v>2</v>
      </c>
      <c r="V1111" s="209">
        <v>67.6</v>
      </c>
      <c r="W1111" s="429">
        <v>46295.0</v>
      </c>
      <c r="X1111" s="208">
        <v>30.0</v>
      </c>
      <c r="Y1111" s="208">
        <v>9.0</v>
      </c>
      <c r="Z1111" s="208">
        <v>2026.0</v>
      </c>
      <c r="AA1111" s="209" t="s">
        <v>2</v>
      </c>
    </row>
    <row r="1112" ht="15.75" hidden="1" customHeight="1">
      <c r="A1112" s="209" t="s">
        <v>2907</v>
      </c>
      <c r="B1112" s="209" t="s">
        <v>2908</v>
      </c>
      <c r="C1112" s="429">
        <v>46268.0</v>
      </c>
      <c r="D1112" s="208">
        <v>3.0</v>
      </c>
      <c r="E1112" s="208">
        <v>9.0</v>
      </c>
      <c r="F1112" s="208">
        <v>2026.0</v>
      </c>
      <c r="G1112" s="429">
        <v>46270.0</v>
      </c>
      <c r="H1112" s="208">
        <v>5.0</v>
      </c>
      <c r="I1112" s="208">
        <v>9.0</v>
      </c>
      <c r="J1112" s="208">
        <v>2026.0</v>
      </c>
      <c r="K1112" s="209" t="s">
        <v>51</v>
      </c>
      <c r="L1112" s="209" t="s">
        <v>1177</v>
      </c>
      <c r="M1112" s="208">
        <v>1.0</v>
      </c>
      <c r="N1112" s="208">
        <v>2.0</v>
      </c>
      <c r="O1112" s="201">
        <f t="shared" si="5"/>
        <v>2</v>
      </c>
      <c r="P1112" s="208">
        <v>4.0</v>
      </c>
      <c r="Q1112" s="429">
        <v>46295.0</v>
      </c>
      <c r="R1112" s="430">
        <v>30.0</v>
      </c>
      <c r="S1112" s="430">
        <v>9.0</v>
      </c>
      <c r="T1112" s="208">
        <v>2026.0</v>
      </c>
      <c r="U1112" s="209" t="s">
        <v>2</v>
      </c>
      <c r="V1112" s="209">
        <v>76.05</v>
      </c>
      <c r="W1112" s="429">
        <v>46295.0</v>
      </c>
      <c r="X1112" s="208">
        <v>30.0</v>
      </c>
      <c r="Y1112" s="208">
        <v>9.0</v>
      </c>
      <c r="Z1112" s="208">
        <v>2026.0</v>
      </c>
      <c r="AA1112" s="209" t="s">
        <v>2</v>
      </c>
    </row>
    <row r="1113" ht="15.75" hidden="1" customHeight="1">
      <c r="A1113" s="209" t="s">
        <v>2909</v>
      </c>
      <c r="B1113" s="209" t="s">
        <v>2910</v>
      </c>
      <c r="C1113" s="429">
        <v>46268.0</v>
      </c>
      <c r="D1113" s="208">
        <v>3.0</v>
      </c>
      <c r="E1113" s="208">
        <v>9.0</v>
      </c>
      <c r="F1113" s="208">
        <v>2026.0</v>
      </c>
      <c r="G1113" s="429">
        <v>46270.0</v>
      </c>
      <c r="H1113" s="208">
        <v>5.0</v>
      </c>
      <c r="I1113" s="208">
        <v>9.0</v>
      </c>
      <c r="J1113" s="208">
        <v>2026.0</v>
      </c>
      <c r="K1113" s="209" t="s">
        <v>46</v>
      </c>
      <c r="L1113" s="209" t="s">
        <v>1177</v>
      </c>
      <c r="M1113" s="208">
        <v>1.0</v>
      </c>
      <c r="N1113" s="208">
        <v>2.0</v>
      </c>
      <c r="O1113" s="201">
        <f t="shared" si="5"/>
        <v>2</v>
      </c>
      <c r="P1113" s="208">
        <v>4.0</v>
      </c>
      <c r="Q1113" s="429">
        <v>46269.082453703704</v>
      </c>
      <c r="R1113" s="430">
        <v>4.0</v>
      </c>
      <c r="S1113" s="430">
        <v>9.0</v>
      </c>
      <c r="T1113" s="208">
        <v>2026.0</v>
      </c>
      <c r="U1113" s="209" t="s">
        <v>245</v>
      </c>
      <c r="V1113" s="209">
        <v>68.0</v>
      </c>
      <c r="W1113" s="429">
        <v>46269.082453703704</v>
      </c>
      <c r="X1113" s="208">
        <v>4.0</v>
      </c>
      <c r="Y1113" s="208">
        <v>9.0</v>
      </c>
      <c r="Z1113" s="208">
        <v>2026.0</v>
      </c>
      <c r="AA1113" s="209" t="s">
        <v>245</v>
      </c>
    </row>
    <row r="1114" ht="15.75" hidden="1" customHeight="1">
      <c r="A1114" s="209" t="s">
        <v>2911</v>
      </c>
      <c r="B1114" s="208">
        <v>6.096493191E9</v>
      </c>
      <c r="C1114" s="429">
        <v>46294.0</v>
      </c>
      <c r="D1114" s="208">
        <v>29.0</v>
      </c>
      <c r="E1114" s="208">
        <v>9.0</v>
      </c>
      <c r="F1114" s="208">
        <v>2026.0</v>
      </c>
      <c r="G1114" s="429">
        <v>46295.0</v>
      </c>
      <c r="H1114" s="208">
        <v>30.0</v>
      </c>
      <c r="I1114" s="208">
        <v>9.0</v>
      </c>
      <c r="J1114" s="208">
        <v>2026.0</v>
      </c>
      <c r="K1114" s="209" t="s">
        <v>36</v>
      </c>
      <c r="L1114" s="209" t="s">
        <v>1177</v>
      </c>
      <c r="M1114" s="208">
        <v>2.0</v>
      </c>
      <c r="N1114" s="208">
        <v>1.0</v>
      </c>
      <c r="O1114" s="201">
        <f t="shared" si="5"/>
        <v>2</v>
      </c>
      <c r="P1114" s="208">
        <v>4.0</v>
      </c>
      <c r="Q1114" s="429">
        <v>46296.0</v>
      </c>
      <c r="R1114" s="430">
        <v>1.0</v>
      </c>
      <c r="S1114" s="430">
        <v>10.0</v>
      </c>
      <c r="T1114" s="208">
        <v>2026.0</v>
      </c>
      <c r="U1114" s="209" t="s">
        <v>36</v>
      </c>
      <c r="V1114" s="209">
        <v>75.18</v>
      </c>
      <c r="W1114" s="429">
        <v>46296.0</v>
      </c>
      <c r="X1114" s="208">
        <v>1.0</v>
      </c>
      <c r="Y1114" s="208">
        <v>10.0</v>
      </c>
      <c r="Z1114" s="208">
        <v>2026.0</v>
      </c>
      <c r="AA1114" s="209" t="s">
        <v>36</v>
      </c>
    </row>
    <row r="1115" ht="15.75" hidden="1" customHeight="1">
      <c r="A1115" s="209" t="s">
        <v>2912</v>
      </c>
      <c r="B1115" s="208">
        <v>5.466060936E9</v>
      </c>
      <c r="C1115" s="429">
        <v>46292.0</v>
      </c>
      <c r="D1115" s="208">
        <v>27.0</v>
      </c>
      <c r="E1115" s="208">
        <v>9.0</v>
      </c>
      <c r="F1115" s="208">
        <v>2026.0</v>
      </c>
      <c r="G1115" s="429">
        <v>46294.0</v>
      </c>
      <c r="H1115" s="208">
        <v>29.0</v>
      </c>
      <c r="I1115" s="208">
        <v>9.0</v>
      </c>
      <c r="J1115" s="208">
        <v>2026.0</v>
      </c>
      <c r="K1115" s="209" t="s">
        <v>36</v>
      </c>
      <c r="L1115" s="209" t="s">
        <v>1177</v>
      </c>
      <c r="M1115" s="208">
        <v>1.0</v>
      </c>
      <c r="N1115" s="208">
        <v>2.0</v>
      </c>
      <c r="O1115" s="201">
        <f t="shared" si="5"/>
        <v>2</v>
      </c>
      <c r="P1115" s="208">
        <v>4.0</v>
      </c>
      <c r="Q1115" s="429">
        <v>46296.0</v>
      </c>
      <c r="R1115" s="430">
        <v>1.0</v>
      </c>
      <c r="S1115" s="430">
        <v>10.0</v>
      </c>
      <c r="T1115" s="208">
        <v>2026.0</v>
      </c>
      <c r="U1115" s="209" t="s">
        <v>36</v>
      </c>
      <c r="V1115" s="209">
        <v>58.46</v>
      </c>
      <c r="W1115" s="429">
        <v>46296.0</v>
      </c>
      <c r="X1115" s="208">
        <v>1.0</v>
      </c>
      <c r="Y1115" s="208">
        <v>10.0</v>
      </c>
      <c r="Z1115" s="208">
        <v>2026.0</v>
      </c>
      <c r="AA1115" s="209" t="s">
        <v>36</v>
      </c>
    </row>
    <row r="1116" ht="15.75" customHeight="1">
      <c r="A1116" s="209" t="s">
        <v>2913</v>
      </c>
      <c r="B1116" s="209" t="s">
        <v>2914</v>
      </c>
      <c r="C1116" s="429">
        <v>46269.0</v>
      </c>
      <c r="D1116" s="208">
        <v>4.0</v>
      </c>
      <c r="E1116" s="208">
        <v>9.0</v>
      </c>
      <c r="F1116" s="208">
        <v>2026.0</v>
      </c>
      <c r="G1116" s="429">
        <v>46271.0</v>
      </c>
      <c r="H1116" s="208">
        <v>6.0</v>
      </c>
      <c r="I1116" s="208">
        <v>9.0</v>
      </c>
      <c r="J1116" s="208">
        <v>2026.0</v>
      </c>
      <c r="K1116" s="209" t="s">
        <v>46</v>
      </c>
      <c r="L1116" s="209" t="s">
        <v>1177</v>
      </c>
      <c r="M1116" s="208">
        <v>1.0</v>
      </c>
      <c r="N1116" s="208">
        <v>2.0</v>
      </c>
      <c r="O1116" s="201">
        <f t="shared" si="5"/>
        <v>2</v>
      </c>
      <c r="P1116" s="208">
        <v>4.0</v>
      </c>
      <c r="Q1116" s="429">
        <v>46269.64509259259</v>
      </c>
      <c r="R1116" s="430">
        <v>4.0</v>
      </c>
      <c r="S1116" s="430">
        <v>9.0</v>
      </c>
      <c r="T1116" s="208">
        <v>2026.0</v>
      </c>
      <c r="U1116" s="209" t="s">
        <v>238</v>
      </c>
      <c r="V1116" s="209">
        <v>59.5</v>
      </c>
      <c r="W1116" s="429">
        <v>46269.476018518515</v>
      </c>
      <c r="X1116" s="208">
        <v>4.0</v>
      </c>
      <c r="Y1116" s="208">
        <v>9.0</v>
      </c>
      <c r="Z1116" s="208">
        <v>2026.0</v>
      </c>
      <c r="AA1116" s="209" t="s">
        <v>238</v>
      </c>
    </row>
    <row r="1117" ht="15.75" hidden="1" customHeight="1">
      <c r="A1117" s="209" t="s">
        <v>2915</v>
      </c>
      <c r="B1117" s="209" t="s">
        <v>2916</v>
      </c>
      <c r="C1117" s="429">
        <v>46276.0</v>
      </c>
      <c r="D1117" s="208">
        <v>11.0</v>
      </c>
      <c r="E1117" s="208">
        <v>9.0</v>
      </c>
      <c r="F1117" s="208">
        <v>2026.0</v>
      </c>
      <c r="G1117" s="429">
        <v>46277.0</v>
      </c>
      <c r="H1117" s="208">
        <v>12.0</v>
      </c>
      <c r="I1117" s="208">
        <v>9.0</v>
      </c>
      <c r="J1117" s="208">
        <v>2026.0</v>
      </c>
      <c r="K1117" s="209" t="s">
        <v>46</v>
      </c>
      <c r="L1117" s="209" t="s">
        <v>1177</v>
      </c>
      <c r="M1117" s="208">
        <v>1.0</v>
      </c>
      <c r="N1117" s="208">
        <v>1.0</v>
      </c>
      <c r="O1117" s="201">
        <f t="shared" si="5"/>
        <v>1</v>
      </c>
      <c r="P1117" s="208">
        <v>2.0</v>
      </c>
      <c r="Q1117" s="429">
        <v>46276.92824074074</v>
      </c>
      <c r="R1117" s="430">
        <v>11.0</v>
      </c>
      <c r="S1117" s="430">
        <v>9.0</v>
      </c>
      <c r="T1117" s="208">
        <v>2026.0</v>
      </c>
      <c r="U1117" s="209" t="s">
        <v>245</v>
      </c>
      <c r="V1117" s="209">
        <v>29.75</v>
      </c>
      <c r="W1117" s="429">
        <v>46276.92824074074</v>
      </c>
      <c r="X1117" s="208">
        <v>11.0</v>
      </c>
      <c r="Y1117" s="208">
        <v>9.0</v>
      </c>
      <c r="Z1117" s="208">
        <v>2026.0</v>
      </c>
      <c r="AA1117" s="209" t="s">
        <v>245</v>
      </c>
    </row>
    <row r="1118" ht="15.75" hidden="1" customHeight="1">
      <c r="A1118" s="209" t="s">
        <v>2917</v>
      </c>
      <c r="B1118" s="208">
        <v>6.028014231E9</v>
      </c>
      <c r="C1118" s="429">
        <v>46266.0</v>
      </c>
      <c r="D1118" s="208">
        <v>1.0</v>
      </c>
      <c r="E1118" s="208">
        <v>9.0</v>
      </c>
      <c r="F1118" s="208">
        <v>2026.0</v>
      </c>
      <c r="G1118" s="429">
        <v>46268.0</v>
      </c>
      <c r="H1118" s="208">
        <v>3.0</v>
      </c>
      <c r="I1118" s="208">
        <v>9.0</v>
      </c>
      <c r="J1118" s="208">
        <v>2026.0</v>
      </c>
      <c r="K1118" s="209" t="s">
        <v>36</v>
      </c>
      <c r="L1118" s="209" t="s">
        <v>1177</v>
      </c>
      <c r="M1118" s="208">
        <v>1.0</v>
      </c>
      <c r="N1118" s="208">
        <v>2.0</v>
      </c>
      <c r="O1118" s="201">
        <f t="shared" si="5"/>
        <v>2</v>
      </c>
      <c r="P1118" s="208">
        <v>4.0</v>
      </c>
      <c r="Q1118" s="429">
        <v>46296.0</v>
      </c>
      <c r="R1118" s="430">
        <v>1.0</v>
      </c>
      <c r="S1118" s="430">
        <v>10.0</v>
      </c>
      <c r="T1118" s="208">
        <v>2026.0</v>
      </c>
      <c r="U1118" s="209" t="s">
        <v>36</v>
      </c>
      <c r="V1118" s="209">
        <v>66.82</v>
      </c>
      <c r="W1118" s="429">
        <v>46296.0</v>
      </c>
      <c r="X1118" s="208">
        <v>1.0</v>
      </c>
      <c r="Y1118" s="208">
        <v>10.0</v>
      </c>
      <c r="Z1118" s="208">
        <v>2026.0</v>
      </c>
      <c r="AA1118" s="209" t="s">
        <v>36</v>
      </c>
    </row>
    <row r="1119" ht="15.75" hidden="1" customHeight="1">
      <c r="A1119" s="209" t="s">
        <v>2918</v>
      </c>
      <c r="B1119" s="208">
        <v>6.724506643E9</v>
      </c>
      <c r="C1119" s="429">
        <v>46271.0</v>
      </c>
      <c r="D1119" s="208">
        <v>6.0</v>
      </c>
      <c r="E1119" s="208">
        <v>9.0</v>
      </c>
      <c r="F1119" s="208">
        <v>2026.0</v>
      </c>
      <c r="G1119" s="429">
        <v>46272.0</v>
      </c>
      <c r="H1119" s="208">
        <v>7.0</v>
      </c>
      <c r="I1119" s="208">
        <v>9.0</v>
      </c>
      <c r="J1119" s="208">
        <v>2026.0</v>
      </c>
      <c r="K1119" s="209" t="s">
        <v>36</v>
      </c>
      <c r="L1119" s="209" t="s">
        <v>1177</v>
      </c>
      <c r="M1119" s="208">
        <v>2.0</v>
      </c>
      <c r="N1119" s="208">
        <v>1.0</v>
      </c>
      <c r="O1119" s="201">
        <f t="shared" si="5"/>
        <v>2</v>
      </c>
      <c r="P1119" s="208">
        <v>4.0</v>
      </c>
      <c r="Q1119" s="429">
        <v>46296.0</v>
      </c>
      <c r="R1119" s="430">
        <v>1.0</v>
      </c>
      <c r="S1119" s="430">
        <v>10.0</v>
      </c>
      <c r="T1119" s="208">
        <v>2026.0</v>
      </c>
      <c r="U1119" s="209" t="s">
        <v>36</v>
      </c>
      <c r="V1119" s="209">
        <v>75.18</v>
      </c>
      <c r="W1119" s="429">
        <v>46296.0</v>
      </c>
      <c r="X1119" s="208">
        <v>1.0</v>
      </c>
      <c r="Y1119" s="208">
        <v>10.0</v>
      </c>
      <c r="Z1119" s="208">
        <v>2026.0</v>
      </c>
      <c r="AA1119" s="209" t="s">
        <v>36</v>
      </c>
    </row>
    <row r="1120" ht="15.75" hidden="1" customHeight="1">
      <c r="A1120" s="209" t="s">
        <v>2779</v>
      </c>
      <c r="B1120" s="208">
        <v>6.294913258E9</v>
      </c>
      <c r="C1120" s="429">
        <v>46264.0</v>
      </c>
      <c r="D1120" s="208">
        <v>30.0</v>
      </c>
      <c r="E1120" s="208">
        <v>8.0</v>
      </c>
      <c r="F1120" s="208">
        <v>2026.0</v>
      </c>
      <c r="G1120" s="429">
        <v>46266.0</v>
      </c>
      <c r="H1120" s="208">
        <v>1.0</v>
      </c>
      <c r="I1120" s="208">
        <v>9.0</v>
      </c>
      <c r="J1120" s="208">
        <v>2026.0</v>
      </c>
      <c r="K1120" s="209" t="s">
        <v>36</v>
      </c>
      <c r="L1120" s="209" t="s">
        <v>1177</v>
      </c>
      <c r="M1120" s="208">
        <v>1.0</v>
      </c>
      <c r="N1120" s="208">
        <v>2.0</v>
      </c>
      <c r="O1120" s="201">
        <f t="shared" si="5"/>
        <v>2</v>
      </c>
      <c r="P1120" s="208">
        <v>4.0</v>
      </c>
      <c r="Q1120" s="429">
        <v>46296.0</v>
      </c>
      <c r="R1120" s="430">
        <v>1.0</v>
      </c>
      <c r="S1120" s="430">
        <v>10.0</v>
      </c>
      <c r="T1120" s="208">
        <v>2026.0</v>
      </c>
      <c r="U1120" s="209" t="s">
        <v>36</v>
      </c>
      <c r="V1120" s="209">
        <v>91.9</v>
      </c>
      <c r="W1120" s="429">
        <v>46296.0</v>
      </c>
      <c r="X1120" s="208">
        <v>1.0</v>
      </c>
      <c r="Y1120" s="208">
        <v>10.0</v>
      </c>
      <c r="Z1120" s="208">
        <v>2026.0</v>
      </c>
      <c r="AA1120" s="209" t="s">
        <v>36</v>
      </c>
    </row>
    <row r="1121" ht="15.75" hidden="1" customHeight="1">
      <c r="A1121" s="209" t="s">
        <v>2919</v>
      </c>
      <c r="B1121" s="208">
        <v>5.908763803E9</v>
      </c>
      <c r="C1121" s="429">
        <v>46285.0</v>
      </c>
      <c r="D1121" s="208">
        <v>20.0</v>
      </c>
      <c r="E1121" s="208">
        <v>9.0</v>
      </c>
      <c r="F1121" s="208">
        <v>2026.0</v>
      </c>
      <c r="G1121" s="429">
        <v>46287.0</v>
      </c>
      <c r="H1121" s="208">
        <v>22.0</v>
      </c>
      <c r="I1121" s="208">
        <v>9.0</v>
      </c>
      <c r="J1121" s="208">
        <v>2026.0</v>
      </c>
      <c r="K1121" s="209" t="s">
        <v>36</v>
      </c>
      <c r="L1121" s="209" t="s">
        <v>1177</v>
      </c>
      <c r="M1121" s="208">
        <v>1.0</v>
      </c>
      <c r="N1121" s="208">
        <v>2.0</v>
      </c>
      <c r="O1121" s="201">
        <f t="shared" si="5"/>
        <v>2</v>
      </c>
      <c r="P1121" s="208">
        <v>4.0</v>
      </c>
      <c r="Q1121" s="429">
        <v>46296.0</v>
      </c>
      <c r="R1121" s="430">
        <v>1.0</v>
      </c>
      <c r="S1121" s="430">
        <v>10.0</v>
      </c>
      <c r="T1121" s="208">
        <v>2026.0</v>
      </c>
      <c r="U1121" s="209" t="s">
        <v>36</v>
      </c>
      <c r="V1121" s="209">
        <v>53.45</v>
      </c>
      <c r="W1121" s="429">
        <v>46296.0</v>
      </c>
      <c r="X1121" s="208">
        <v>1.0</v>
      </c>
      <c r="Y1121" s="208">
        <v>10.0</v>
      </c>
      <c r="Z1121" s="208">
        <v>2026.0</v>
      </c>
      <c r="AA1121" s="209" t="s">
        <v>36</v>
      </c>
    </row>
    <row r="1122" ht="15.75" hidden="1" customHeight="1">
      <c r="A1122" s="209" t="s">
        <v>2920</v>
      </c>
      <c r="B1122" s="209" t="s">
        <v>2921</v>
      </c>
      <c r="C1122" s="429">
        <v>46280.0</v>
      </c>
      <c r="D1122" s="208">
        <v>15.0</v>
      </c>
      <c r="E1122" s="208">
        <v>9.0</v>
      </c>
      <c r="F1122" s="208">
        <v>2026.0</v>
      </c>
      <c r="G1122" s="429">
        <v>46281.0</v>
      </c>
      <c r="H1122" s="208">
        <v>16.0</v>
      </c>
      <c r="I1122" s="208">
        <v>9.0</v>
      </c>
      <c r="J1122" s="208">
        <v>2026.0</v>
      </c>
      <c r="K1122" s="209" t="s">
        <v>51</v>
      </c>
      <c r="L1122" s="209" t="s">
        <v>1177</v>
      </c>
      <c r="M1122" s="208">
        <v>2.0</v>
      </c>
      <c r="N1122" s="208">
        <v>1.0</v>
      </c>
      <c r="O1122" s="201">
        <f t="shared" si="5"/>
        <v>2</v>
      </c>
      <c r="P1122" s="208">
        <v>4.0</v>
      </c>
      <c r="Q1122" s="429">
        <v>46295.0</v>
      </c>
      <c r="R1122" s="430">
        <v>30.0</v>
      </c>
      <c r="S1122" s="430">
        <v>9.0</v>
      </c>
      <c r="T1122" s="208">
        <v>2026.0</v>
      </c>
      <c r="U1122" s="209" t="s">
        <v>2</v>
      </c>
      <c r="V1122" s="209">
        <v>63.3499999999999</v>
      </c>
      <c r="W1122" s="429">
        <v>46295.0</v>
      </c>
      <c r="X1122" s="208">
        <v>30.0</v>
      </c>
      <c r="Y1122" s="208">
        <v>9.0</v>
      </c>
      <c r="Z1122" s="208">
        <v>2026.0</v>
      </c>
      <c r="AA1122" s="209" t="s">
        <v>2</v>
      </c>
    </row>
    <row r="1123" ht="15.75" hidden="1" customHeight="1">
      <c r="A1123" s="209" t="s">
        <v>2922</v>
      </c>
      <c r="B1123" s="209" t="s">
        <v>2923</v>
      </c>
      <c r="C1123" s="429">
        <v>46285.0</v>
      </c>
      <c r="D1123" s="208">
        <v>20.0</v>
      </c>
      <c r="E1123" s="208">
        <v>9.0</v>
      </c>
      <c r="F1123" s="208">
        <v>2026.0</v>
      </c>
      <c r="G1123" s="429">
        <v>46288.0</v>
      </c>
      <c r="H1123" s="208">
        <v>23.0</v>
      </c>
      <c r="I1123" s="208">
        <v>9.0</v>
      </c>
      <c r="J1123" s="208">
        <v>2026.0</v>
      </c>
      <c r="K1123" s="209" t="s">
        <v>46</v>
      </c>
      <c r="L1123" s="209" t="s">
        <v>1177</v>
      </c>
      <c r="M1123" s="208">
        <v>1.0</v>
      </c>
      <c r="N1123" s="208">
        <v>3.0</v>
      </c>
      <c r="O1123" s="201">
        <f t="shared" si="5"/>
        <v>3</v>
      </c>
      <c r="P1123" s="208">
        <v>6.0</v>
      </c>
      <c r="Q1123" s="429">
        <v>46285.78939814815</v>
      </c>
      <c r="R1123" s="208">
        <v>20.0</v>
      </c>
      <c r="S1123" s="208">
        <v>9.0</v>
      </c>
      <c r="T1123" s="208">
        <v>2026.0</v>
      </c>
      <c r="U1123" s="209" t="s">
        <v>245</v>
      </c>
      <c r="V1123" s="209">
        <v>130.9</v>
      </c>
      <c r="W1123" s="429">
        <v>46285.78939814815</v>
      </c>
      <c r="X1123" s="208">
        <v>20.0</v>
      </c>
      <c r="Y1123" s="208">
        <v>9.0</v>
      </c>
      <c r="Z1123" s="208">
        <v>2026.0</v>
      </c>
      <c r="AA1123" s="209" t="s">
        <v>245</v>
      </c>
    </row>
    <row r="1124" ht="15.75" hidden="1" customHeight="1">
      <c r="A1124" s="209" t="s">
        <v>2924</v>
      </c>
      <c r="B1124" s="209" t="s">
        <v>2925</v>
      </c>
      <c r="C1124" s="429">
        <v>46270.0</v>
      </c>
      <c r="D1124" s="208">
        <v>5.0</v>
      </c>
      <c r="E1124" s="208">
        <v>9.0</v>
      </c>
      <c r="F1124" s="208">
        <v>2026.0</v>
      </c>
      <c r="G1124" s="429">
        <v>46272.0</v>
      </c>
      <c r="H1124" s="208">
        <v>7.0</v>
      </c>
      <c r="I1124" s="208">
        <v>9.0</v>
      </c>
      <c r="J1124" s="208">
        <v>2026.0</v>
      </c>
      <c r="K1124" s="209" t="s">
        <v>51</v>
      </c>
      <c r="L1124" s="209" t="s">
        <v>1177</v>
      </c>
      <c r="M1124" s="208">
        <v>1.0</v>
      </c>
      <c r="N1124" s="208">
        <v>2.0</v>
      </c>
      <c r="O1124" s="201">
        <f t="shared" si="5"/>
        <v>2</v>
      </c>
      <c r="P1124" s="208">
        <v>4.0</v>
      </c>
      <c r="Q1124" s="429">
        <v>46295.0</v>
      </c>
      <c r="R1124" s="430">
        <v>30.0</v>
      </c>
      <c r="S1124" s="430">
        <v>9.0</v>
      </c>
      <c r="T1124" s="208">
        <v>2026.0</v>
      </c>
      <c r="U1124" s="209" t="s">
        <v>2</v>
      </c>
      <c r="V1124" s="209">
        <v>76.05</v>
      </c>
      <c r="W1124" s="429">
        <v>46295.0</v>
      </c>
      <c r="X1124" s="208">
        <v>30.0</v>
      </c>
      <c r="Y1124" s="208">
        <v>9.0</v>
      </c>
      <c r="Z1124" s="208">
        <v>2026.0</v>
      </c>
      <c r="AA1124" s="209" t="s">
        <v>2</v>
      </c>
    </row>
    <row r="1125" ht="15.75" hidden="1" customHeight="1">
      <c r="A1125" s="209" t="s">
        <v>2926</v>
      </c>
      <c r="B1125" s="208">
        <v>5.830449959E9</v>
      </c>
      <c r="C1125" s="429">
        <v>46292.0</v>
      </c>
      <c r="D1125" s="208">
        <v>27.0</v>
      </c>
      <c r="E1125" s="208">
        <v>9.0</v>
      </c>
      <c r="F1125" s="208">
        <v>2026.0</v>
      </c>
      <c r="G1125" s="429">
        <v>46294.0</v>
      </c>
      <c r="H1125" s="208">
        <v>29.0</v>
      </c>
      <c r="I1125" s="208">
        <v>9.0</v>
      </c>
      <c r="J1125" s="208">
        <v>2026.0</v>
      </c>
      <c r="K1125" s="209" t="s">
        <v>36</v>
      </c>
      <c r="L1125" s="209" t="s">
        <v>1177</v>
      </c>
      <c r="M1125" s="208">
        <v>1.0</v>
      </c>
      <c r="N1125" s="208">
        <v>2.0</v>
      </c>
      <c r="O1125" s="201">
        <f t="shared" si="5"/>
        <v>2</v>
      </c>
      <c r="P1125" s="208">
        <v>4.0</v>
      </c>
      <c r="Q1125" s="429">
        <v>46296.0</v>
      </c>
      <c r="R1125" s="430">
        <v>1.0</v>
      </c>
      <c r="S1125" s="430">
        <v>10.0</v>
      </c>
      <c r="T1125" s="208">
        <v>2026.0</v>
      </c>
      <c r="U1125" s="209" t="s">
        <v>36</v>
      </c>
      <c r="V1125" s="209">
        <v>58.46</v>
      </c>
      <c r="W1125" s="429">
        <v>46296.0</v>
      </c>
      <c r="X1125" s="208">
        <v>1.0</v>
      </c>
      <c r="Y1125" s="208">
        <v>10.0</v>
      </c>
      <c r="Z1125" s="208">
        <v>2026.0</v>
      </c>
      <c r="AA1125" s="209" t="s">
        <v>36</v>
      </c>
    </row>
    <row r="1126" ht="15.75" hidden="1" customHeight="1">
      <c r="A1126" s="209" t="s">
        <v>2927</v>
      </c>
      <c r="B1126" s="208">
        <v>6.202936875E9</v>
      </c>
      <c r="C1126" s="429">
        <v>46290.0</v>
      </c>
      <c r="D1126" s="208">
        <v>25.0</v>
      </c>
      <c r="E1126" s="208">
        <v>9.0</v>
      </c>
      <c r="F1126" s="208">
        <v>2026.0</v>
      </c>
      <c r="G1126" s="429">
        <v>46292.0</v>
      </c>
      <c r="H1126" s="208">
        <v>27.0</v>
      </c>
      <c r="I1126" s="208">
        <v>9.0</v>
      </c>
      <c r="J1126" s="208">
        <v>2026.0</v>
      </c>
      <c r="K1126" s="209" t="s">
        <v>36</v>
      </c>
      <c r="L1126" s="209" t="s">
        <v>1177</v>
      </c>
      <c r="M1126" s="208">
        <v>1.0</v>
      </c>
      <c r="N1126" s="208">
        <v>2.0</v>
      </c>
      <c r="O1126" s="201">
        <f t="shared" si="5"/>
        <v>2</v>
      </c>
      <c r="P1126" s="208">
        <v>4.0</v>
      </c>
      <c r="Q1126" s="429">
        <v>46296.0</v>
      </c>
      <c r="R1126" s="430">
        <v>1.0</v>
      </c>
      <c r="S1126" s="430">
        <v>10.0</v>
      </c>
      <c r="T1126" s="208">
        <v>2026.0</v>
      </c>
      <c r="U1126" s="209" t="s">
        <v>36</v>
      </c>
      <c r="V1126" s="209">
        <v>75.18</v>
      </c>
      <c r="W1126" s="429">
        <v>46296.0</v>
      </c>
      <c r="X1126" s="208">
        <v>1.0</v>
      </c>
      <c r="Y1126" s="208">
        <v>10.0</v>
      </c>
      <c r="Z1126" s="208">
        <v>2026.0</v>
      </c>
      <c r="AA1126" s="209" t="s">
        <v>36</v>
      </c>
    </row>
    <row r="1127" ht="15.75" hidden="1" customHeight="1">
      <c r="A1127" s="209" t="s">
        <v>2928</v>
      </c>
      <c r="B1127" s="208">
        <v>5.500779107E9</v>
      </c>
      <c r="C1127" s="429">
        <v>46283.0</v>
      </c>
      <c r="D1127" s="208">
        <v>18.0</v>
      </c>
      <c r="E1127" s="208">
        <v>9.0</v>
      </c>
      <c r="F1127" s="208">
        <v>2026.0</v>
      </c>
      <c r="G1127" s="429">
        <v>46285.0</v>
      </c>
      <c r="H1127" s="208">
        <v>20.0</v>
      </c>
      <c r="I1127" s="208">
        <v>9.0</v>
      </c>
      <c r="J1127" s="208">
        <v>2026.0</v>
      </c>
      <c r="K1127" s="209" t="s">
        <v>36</v>
      </c>
      <c r="L1127" s="209" t="s">
        <v>1177</v>
      </c>
      <c r="M1127" s="208">
        <v>1.0</v>
      </c>
      <c r="N1127" s="208">
        <v>2.0</v>
      </c>
      <c r="O1127" s="201">
        <f t="shared" si="5"/>
        <v>2</v>
      </c>
      <c r="P1127" s="208">
        <v>4.0</v>
      </c>
      <c r="Q1127" s="429">
        <v>46296.0</v>
      </c>
      <c r="R1127" s="430">
        <v>1.0</v>
      </c>
      <c r="S1127" s="430">
        <v>10.0</v>
      </c>
      <c r="T1127" s="208">
        <v>2026.0</v>
      </c>
      <c r="U1127" s="209" t="s">
        <v>36</v>
      </c>
      <c r="V1127" s="209">
        <v>58.46</v>
      </c>
      <c r="W1127" s="429">
        <v>46296.0</v>
      </c>
      <c r="X1127" s="208">
        <v>1.0</v>
      </c>
      <c r="Y1127" s="208">
        <v>10.0</v>
      </c>
      <c r="Z1127" s="208">
        <v>2026.0</v>
      </c>
      <c r="AA1127" s="209" t="s">
        <v>36</v>
      </c>
    </row>
    <row r="1128" ht="15.75" hidden="1" customHeight="1">
      <c r="A1128" s="209" t="s">
        <v>2929</v>
      </c>
      <c r="B1128" s="208">
        <v>6.028004572E9</v>
      </c>
      <c r="C1128" s="429">
        <v>46265.0</v>
      </c>
      <c r="D1128" s="208">
        <v>31.0</v>
      </c>
      <c r="E1128" s="208">
        <v>8.0</v>
      </c>
      <c r="F1128" s="208">
        <v>2026.0</v>
      </c>
      <c r="G1128" s="429">
        <v>46267.0</v>
      </c>
      <c r="H1128" s="208">
        <v>2.0</v>
      </c>
      <c r="I1128" s="208">
        <v>9.0</v>
      </c>
      <c r="J1128" s="208">
        <v>2026.0</v>
      </c>
      <c r="K1128" s="209" t="s">
        <v>36</v>
      </c>
      <c r="L1128" s="209" t="s">
        <v>1177</v>
      </c>
      <c r="M1128" s="208">
        <v>1.0</v>
      </c>
      <c r="N1128" s="208">
        <v>2.0</v>
      </c>
      <c r="O1128" s="201">
        <f t="shared" si="5"/>
        <v>2</v>
      </c>
      <c r="P1128" s="208">
        <v>4.0</v>
      </c>
      <c r="Q1128" s="429">
        <v>46296.0</v>
      </c>
      <c r="R1128" s="430">
        <v>1.0</v>
      </c>
      <c r="S1128" s="430">
        <v>10.0</v>
      </c>
      <c r="T1128" s="208">
        <v>2026.0</v>
      </c>
      <c r="U1128" s="209" t="s">
        <v>36</v>
      </c>
      <c r="V1128" s="209">
        <v>83.54</v>
      </c>
      <c r="W1128" s="429">
        <v>46296.0</v>
      </c>
      <c r="X1128" s="208">
        <v>1.0</v>
      </c>
      <c r="Y1128" s="208">
        <v>10.0</v>
      </c>
      <c r="Z1128" s="208">
        <v>2026.0</v>
      </c>
      <c r="AA1128" s="209" t="s">
        <v>36</v>
      </c>
    </row>
    <row r="1129" ht="15.75" hidden="1" customHeight="1">
      <c r="A1129" s="209" t="s">
        <v>2930</v>
      </c>
      <c r="B1129" s="208">
        <v>6.227832538E9</v>
      </c>
      <c r="C1129" s="429">
        <v>46272.0</v>
      </c>
      <c r="D1129" s="208">
        <v>7.0</v>
      </c>
      <c r="E1129" s="208">
        <v>9.0</v>
      </c>
      <c r="F1129" s="208">
        <v>2026.0</v>
      </c>
      <c r="G1129" s="429">
        <v>46274.0</v>
      </c>
      <c r="H1129" s="208">
        <v>9.0</v>
      </c>
      <c r="I1129" s="208">
        <v>9.0</v>
      </c>
      <c r="J1129" s="208">
        <v>2026.0</v>
      </c>
      <c r="K1129" s="209" t="s">
        <v>36</v>
      </c>
      <c r="L1129" s="209" t="s">
        <v>1177</v>
      </c>
      <c r="M1129" s="208">
        <v>1.0</v>
      </c>
      <c r="N1129" s="208">
        <v>2.0</v>
      </c>
      <c r="O1129" s="201">
        <f t="shared" si="5"/>
        <v>2</v>
      </c>
      <c r="P1129" s="208">
        <v>4.0</v>
      </c>
      <c r="Q1129" s="429">
        <v>46296.0</v>
      </c>
      <c r="R1129" s="430">
        <v>1.0</v>
      </c>
      <c r="S1129" s="430">
        <v>10.0</v>
      </c>
      <c r="T1129" s="208">
        <v>2026.0</v>
      </c>
      <c r="U1129" s="209" t="s">
        <v>36</v>
      </c>
      <c r="V1129" s="209">
        <v>75.18</v>
      </c>
      <c r="W1129" s="429">
        <v>46296.0</v>
      </c>
      <c r="X1129" s="208">
        <v>1.0</v>
      </c>
      <c r="Y1129" s="208">
        <v>10.0</v>
      </c>
      <c r="Z1129" s="208">
        <v>2026.0</v>
      </c>
      <c r="AA1129" s="209" t="s">
        <v>36</v>
      </c>
    </row>
    <row r="1130" ht="15.75" hidden="1" customHeight="1">
      <c r="A1130" s="209" t="s">
        <v>2931</v>
      </c>
      <c r="B1130" s="208">
        <v>5.930452326E9</v>
      </c>
      <c r="C1130" s="429">
        <v>46268.0</v>
      </c>
      <c r="D1130" s="208">
        <v>3.0</v>
      </c>
      <c r="E1130" s="208">
        <v>9.0</v>
      </c>
      <c r="F1130" s="208">
        <v>2026.0</v>
      </c>
      <c r="G1130" s="429">
        <v>46270.0</v>
      </c>
      <c r="H1130" s="208">
        <v>5.0</v>
      </c>
      <c r="I1130" s="208">
        <v>9.0</v>
      </c>
      <c r="J1130" s="208">
        <v>2026.0</v>
      </c>
      <c r="K1130" s="209" t="s">
        <v>36</v>
      </c>
      <c r="L1130" s="209" t="s">
        <v>1177</v>
      </c>
      <c r="M1130" s="208">
        <v>1.0</v>
      </c>
      <c r="N1130" s="208">
        <v>2.0</v>
      </c>
      <c r="O1130" s="201">
        <f t="shared" si="5"/>
        <v>2</v>
      </c>
      <c r="P1130" s="208">
        <v>4.0</v>
      </c>
      <c r="Q1130" s="429">
        <v>46296.0</v>
      </c>
      <c r="R1130" s="430">
        <v>1.0</v>
      </c>
      <c r="S1130" s="430">
        <v>10.0</v>
      </c>
      <c r="T1130" s="208">
        <v>2026.0</v>
      </c>
      <c r="U1130" s="209" t="s">
        <v>36</v>
      </c>
      <c r="V1130" s="209">
        <v>75.18</v>
      </c>
      <c r="W1130" s="429">
        <v>46296.0</v>
      </c>
      <c r="X1130" s="208">
        <v>1.0</v>
      </c>
      <c r="Y1130" s="208">
        <v>10.0</v>
      </c>
      <c r="Z1130" s="208">
        <v>2026.0</v>
      </c>
      <c r="AA1130" s="209" t="s">
        <v>36</v>
      </c>
    </row>
    <row r="1131" ht="15.75" hidden="1" customHeight="1">
      <c r="A1131" s="209" t="s">
        <v>2932</v>
      </c>
      <c r="B1131" s="209" t="s">
        <v>2933</v>
      </c>
      <c r="C1131" s="429">
        <v>46277.0</v>
      </c>
      <c r="D1131" s="208">
        <v>12.0</v>
      </c>
      <c r="E1131" s="208">
        <v>9.0</v>
      </c>
      <c r="F1131" s="208">
        <v>2026.0</v>
      </c>
      <c r="G1131" s="429">
        <v>46279.0</v>
      </c>
      <c r="H1131" s="208">
        <v>14.0</v>
      </c>
      <c r="I1131" s="208">
        <v>9.0</v>
      </c>
      <c r="J1131" s="208">
        <v>2026.0</v>
      </c>
      <c r="K1131" s="209" t="s">
        <v>51</v>
      </c>
      <c r="L1131" s="209" t="s">
        <v>1177</v>
      </c>
      <c r="M1131" s="208">
        <v>1.0</v>
      </c>
      <c r="N1131" s="208">
        <v>2.0</v>
      </c>
      <c r="O1131" s="201">
        <f t="shared" si="5"/>
        <v>2</v>
      </c>
      <c r="P1131" s="208">
        <v>4.0</v>
      </c>
      <c r="Q1131" s="429">
        <v>46295.0</v>
      </c>
      <c r="R1131" s="430">
        <v>30.0</v>
      </c>
      <c r="S1131" s="430">
        <v>9.0</v>
      </c>
      <c r="T1131" s="208">
        <v>2026.0</v>
      </c>
      <c r="U1131" s="209" t="s">
        <v>2</v>
      </c>
      <c r="V1131" s="209">
        <v>84.5</v>
      </c>
      <c r="W1131" s="429">
        <v>46295.0</v>
      </c>
      <c r="X1131" s="208">
        <v>30.0</v>
      </c>
      <c r="Y1131" s="208">
        <v>9.0</v>
      </c>
      <c r="Z1131" s="208">
        <v>2026.0</v>
      </c>
      <c r="AA1131" s="209" t="s">
        <v>2</v>
      </c>
    </row>
    <row r="1132" ht="15.75" hidden="1" customHeight="1">
      <c r="A1132" s="209" t="s">
        <v>2934</v>
      </c>
      <c r="B1132" s="209" t="s">
        <v>2935</v>
      </c>
      <c r="C1132" s="429">
        <v>46283.0</v>
      </c>
      <c r="D1132" s="208">
        <v>18.0</v>
      </c>
      <c r="E1132" s="208">
        <v>9.0</v>
      </c>
      <c r="F1132" s="208">
        <v>2026.0</v>
      </c>
      <c r="G1132" s="429">
        <v>46285.0</v>
      </c>
      <c r="H1132" s="208">
        <v>20.0</v>
      </c>
      <c r="I1132" s="208">
        <v>9.0</v>
      </c>
      <c r="J1132" s="208">
        <v>2026.0</v>
      </c>
      <c r="K1132" s="209" t="s">
        <v>51</v>
      </c>
      <c r="L1132" s="209" t="s">
        <v>1177</v>
      </c>
      <c r="M1132" s="208">
        <v>1.0</v>
      </c>
      <c r="N1132" s="208">
        <v>2.0</v>
      </c>
      <c r="O1132" s="201">
        <f t="shared" si="5"/>
        <v>2</v>
      </c>
      <c r="P1132" s="208">
        <v>4.0</v>
      </c>
      <c r="Q1132" s="429">
        <v>46295.0</v>
      </c>
      <c r="R1132" s="430">
        <v>30.0</v>
      </c>
      <c r="S1132" s="430">
        <v>9.0</v>
      </c>
      <c r="T1132" s="208">
        <v>2026.0</v>
      </c>
      <c r="U1132" s="209" t="s">
        <v>2</v>
      </c>
      <c r="V1132" s="209">
        <v>59.15</v>
      </c>
      <c r="W1132" s="429">
        <v>46295.0</v>
      </c>
      <c r="X1132" s="208">
        <v>30.0</v>
      </c>
      <c r="Y1132" s="208">
        <v>9.0</v>
      </c>
      <c r="Z1132" s="208">
        <v>2026.0</v>
      </c>
      <c r="AA1132" s="209" t="s">
        <v>2</v>
      </c>
    </row>
    <row r="1133" ht="15.75" hidden="1" customHeight="1">
      <c r="A1133" s="209" t="s">
        <v>2936</v>
      </c>
      <c r="B1133" s="208">
        <v>6.874702151E9</v>
      </c>
      <c r="C1133" s="429">
        <v>46284.0</v>
      </c>
      <c r="D1133" s="208">
        <v>19.0</v>
      </c>
      <c r="E1133" s="208">
        <v>9.0</v>
      </c>
      <c r="F1133" s="208">
        <v>2026.0</v>
      </c>
      <c r="G1133" s="429">
        <v>46286.0</v>
      </c>
      <c r="H1133" s="208">
        <v>21.0</v>
      </c>
      <c r="I1133" s="208">
        <v>9.0</v>
      </c>
      <c r="J1133" s="208">
        <v>2026.0</v>
      </c>
      <c r="K1133" s="209" t="s">
        <v>36</v>
      </c>
      <c r="L1133" s="209" t="s">
        <v>1177</v>
      </c>
      <c r="M1133" s="208">
        <v>1.0</v>
      </c>
      <c r="N1133" s="208">
        <v>2.0</v>
      </c>
      <c r="O1133" s="201">
        <f t="shared" si="5"/>
        <v>2</v>
      </c>
      <c r="P1133" s="208">
        <v>4.0</v>
      </c>
      <c r="Q1133" s="429">
        <v>46296.0</v>
      </c>
      <c r="R1133" s="430">
        <v>1.0</v>
      </c>
      <c r="S1133" s="430">
        <v>10.0</v>
      </c>
      <c r="T1133" s="208">
        <v>2026.0</v>
      </c>
      <c r="U1133" s="209" t="s">
        <v>36</v>
      </c>
      <c r="V1133" s="209">
        <v>58.46</v>
      </c>
      <c r="W1133" s="429">
        <v>46296.0</v>
      </c>
      <c r="X1133" s="208">
        <v>1.0</v>
      </c>
      <c r="Y1133" s="208">
        <v>10.0</v>
      </c>
      <c r="Z1133" s="208">
        <v>2026.0</v>
      </c>
      <c r="AA1133" s="209" t="s">
        <v>36</v>
      </c>
    </row>
    <row r="1134" ht="15.75" hidden="1" customHeight="1">
      <c r="A1134" s="209" t="s">
        <v>2937</v>
      </c>
      <c r="B1134" s="208">
        <v>6.304142602E9</v>
      </c>
      <c r="C1134" s="429">
        <v>46291.0</v>
      </c>
      <c r="D1134" s="208">
        <v>26.0</v>
      </c>
      <c r="E1134" s="208">
        <v>9.0</v>
      </c>
      <c r="F1134" s="208">
        <v>2026.0</v>
      </c>
      <c r="G1134" s="429">
        <v>46293.0</v>
      </c>
      <c r="H1134" s="208">
        <v>28.0</v>
      </c>
      <c r="I1134" s="208">
        <v>9.0</v>
      </c>
      <c r="J1134" s="208">
        <v>2026.0</v>
      </c>
      <c r="K1134" s="209" t="s">
        <v>36</v>
      </c>
      <c r="L1134" s="209" t="s">
        <v>1177</v>
      </c>
      <c r="M1134" s="208">
        <v>1.0</v>
      </c>
      <c r="N1134" s="208">
        <v>2.0</v>
      </c>
      <c r="O1134" s="201">
        <f t="shared" si="5"/>
        <v>2</v>
      </c>
      <c r="P1134" s="208">
        <v>4.0</v>
      </c>
      <c r="Q1134" s="429">
        <v>46296.0</v>
      </c>
      <c r="R1134" s="430">
        <v>1.0</v>
      </c>
      <c r="S1134" s="430">
        <v>10.0</v>
      </c>
      <c r="T1134" s="208">
        <v>2026.0</v>
      </c>
      <c r="U1134" s="209" t="s">
        <v>36</v>
      </c>
      <c r="V1134" s="209">
        <v>58.46</v>
      </c>
      <c r="W1134" s="429">
        <v>46296.0</v>
      </c>
      <c r="X1134" s="208">
        <v>1.0</v>
      </c>
      <c r="Y1134" s="208">
        <v>10.0</v>
      </c>
      <c r="Z1134" s="208">
        <v>2026.0</v>
      </c>
      <c r="AA1134" s="209" t="s">
        <v>36</v>
      </c>
    </row>
    <row r="1135" ht="15.75" hidden="1" customHeight="1">
      <c r="A1135" s="209" t="s">
        <v>2938</v>
      </c>
      <c r="B1135" s="209" t="s">
        <v>2939</v>
      </c>
      <c r="C1135" s="429">
        <v>46265.0</v>
      </c>
      <c r="D1135" s="208">
        <v>31.0</v>
      </c>
      <c r="E1135" s="208">
        <v>8.0</v>
      </c>
      <c r="F1135" s="208">
        <v>2026.0</v>
      </c>
      <c r="G1135" s="429">
        <v>46267.0</v>
      </c>
      <c r="H1135" s="208">
        <v>2.0</v>
      </c>
      <c r="I1135" s="208">
        <v>9.0</v>
      </c>
      <c r="J1135" s="208">
        <v>2026.0</v>
      </c>
      <c r="K1135" s="209" t="s">
        <v>51</v>
      </c>
      <c r="L1135" s="209" t="s">
        <v>1177</v>
      </c>
      <c r="M1135" s="208">
        <v>1.0</v>
      </c>
      <c r="N1135" s="208">
        <v>2.0</v>
      </c>
      <c r="O1135" s="201">
        <f t="shared" si="5"/>
        <v>2</v>
      </c>
      <c r="P1135" s="208">
        <v>4.0</v>
      </c>
      <c r="Q1135" s="429">
        <v>46295.0</v>
      </c>
      <c r="R1135" s="430">
        <v>30.0</v>
      </c>
      <c r="S1135" s="430">
        <v>9.0</v>
      </c>
      <c r="T1135" s="208">
        <v>2026.0</v>
      </c>
      <c r="U1135" s="209" t="s">
        <v>2</v>
      </c>
      <c r="V1135" s="209">
        <v>76.05</v>
      </c>
      <c r="W1135" s="429">
        <v>46295.0</v>
      </c>
      <c r="X1135" s="208">
        <v>30.0</v>
      </c>
      <c r="Y1135" s="208">
        <v>9.0</v>
      </c>
      <c r="Z1135" s="208">
        <v>2026.0</v>
      </c>
      <c r="AA1135" s="209" t="s">
        <v>2</v>
      </c>
    </row>
    <row r="1136" ht="15.75" hidden="1" customHeight="1">
      <c r="A1136" s="209" t="s">
        <v>2940</v>
      </c>
      <c r="B1136" s="209" t="s">
        <v>2941</v>
      </c>
      <c r="C1136" s="429">
        <v>46273.0</v>
      </c>
      <c r="D1136" s="208">
        <v>8.0</v>
      </c>
      <c r="E1136" s="208">
        <v>9.0</v>
      </c>
      <c r="F1136" s="208">
        <v>2026.0</v>
      </c>
      <c r="G1136" s="429">
        <v>46275.0</v>
      </c>
      <c r="H1136" s="208">
        <v>10.0</v>
      </c>
      <c r="I1136" s="208">
        <v>9.0</v>
      </c>
      <c r="J1136" s="208">
        <v>2026.0</v>
      </c>
      <c r="K1136" s="209" t="s">
        <v>51</v>
      </c>
      <c r="L1136" s="209" t="s">
        <v>1177</v>
      </c>
      <c r="M1136" s="208">
        <v>1.0</v>
      </c>
      <c r="N1136" s="208">
        <v>2.0</v>
      </c>
      <c r="O1136" s="201">
        <f t="shared" si="5"/>
        <v>2</v>
      </c>
      <c r="P1136" s="208">
        <v>4.0</v>
      </c>
      <c r="Q1136" s="429">
        <v>46295.0</v>
      </c>
      <c r="R1136" s="430">
        <v>30.0</v>
      </c>
      <c r="S1136" s="430">
        <v>9.0</v>
      </c>
      <c r="T1136" s="208">
        <v>2026.0</v>
      </c>
      <c r="U1136" s="209" t="s">
        <v>2</v>
      </c>
      <c r="V1136" s="209">
        <v>59.15</v>
      </c>
      <c r="W1136" s="429">
        <v>46295.0</v>
      </c>
      <c r="X1136" s="208">
        <v>30.0</v>
      </c>
      <c r="Y1136" s="208">
        <v>9.0</v>
      </c>
      <c r="Z1136" s="208">
        <v>2026.0</v>
      </c>
      <c r="AA1136" s="209" t="s">
        <v>2</v>
      </c>
    </row>
    <row r="1137" ht="15.75" hidden="1" customHeight="1">
      <c r="A1137" s="209" t="s">
        <v>2942</v>
      </c>
      <c r="B1137" s="209" t="s">
        <v>2943</v>
      </c>
      <c r="C1137" s="429">
        <v>46281.0</v>
      </c>
      <c r="D1137" s="208">
        <v>16.0</v>
      </c>
      <c r="E1137" s="208">
        <v>9.0</v>
      </c>
      <c r="F1137" s="208">
        <v>2026.0</v>
      </c>
      <c r="G1137" s="429">
        <v>46284.0</v>
      </c>
      <c r="H1137" s="208">
        <v>19.0</v>
      </c>
      <c r="I1137" s="208">
        <v>9.0</v>
      </c>
      <c r="J1137" s="208">
        <v>2026.0</v>
      </c>
      <c r="K1137" s="209" t="s">
        <v>46</v>
      </c>
      <c r="L1137" s="209" t="s">
        <v>1177</v>
      </c>
      <c r="M1137" s="208">
        <v>1.0</v>
      </c>
      <c r="N1137" s="208">
        <v>3.0</v>
      </c>
      <c r="O1137" s="201">
        <f t="shared" si="5"/>
        <v>3</v>
      </c>
      <c r="P1137" s="208">
        <v>6.0</v>
      </c>
      <c r="Q1137" s="429">
        <v>46282.68230324074</v>
      </c>
      <c r="R1137" s="208">
        <v>17.0</v>
      </c>
      <c r="S1137" s="208">
        <v>9.0</v>
      </c>
      <c r="T1137" s="208">
        <v>2026.0</v>
      </c>
      <c r="U1137" s="209" t="s">
        <v>245</v>
      </c>
      <c r="V1137" s="209">
        <v>89.25</v>
      </c>
      <c r="W1137" s="429">
        <v>46282.68230324074</v>
      </c>
      <c r="X1137" s="208">
        <v>17.0</v>
      </c>
      <c r="Y1137" s="208">
        <v>9.0</v>
      </c>
      <c r="Z1137" s="208">
        <v>2026.0</v>
      </c>
      <c r="AA1137" s="209" t="s">
        <v>245</v>
      </c>
    </row>
    <row r="1138" ht="15.75" hidden="1" customHeight="1">
      <c r="A1138" s="209" t="s">
        <v>2944</v>
      </c>
      <c r="B1138" s="208">
        <v>6.604720559E9</v>
      </c>
      <c r="C1138" s="429">
        <v>46276.0</v>
      </c>
      <c r="D1138" s="208">
        <v>11.0</v>
      </c>
      <c r="E1138" s="208">
        <v>9.0</v>
      </c>
      <c r="F1138" s="208">
        <v>2026.0</v>
      </c>
      <c r="G1138" s="429">
        <v>46278.0</v>
      </c>
      <c r="H1138" s="208">
        <v>13.0</v>
      </c>
      <c r="I1138" s="208">
        <v>9.0</v>
      </c>
      <c r="J1138" s="208">
        <v>2026.0</v>
      </c>
      <c r="K1138" s="209" t="s">
        <v>36</v>
      </c>
      <c r="L1138" s="209" t="s">
        <v>1177</v>
      </c>
      <c r="M1138" s="208">
        <v>1.0</v>
      </c>
      <c r="N1138" s="208">
        <v>2.0</v>
      </c>
      <c r="O1138" s="201">
        <f t="shared" si="5"/>
        <v>2</v>
      </c>
      <c r="P1138" s="208">
        <v>4.0</v>
      </c>
      <c r="Q1138" s="429">
        <v>46296.0</v>
      </c>
      <c r="R1138" s="208">
        <v>1.0</v>
      </c>
      <c r="S1138" s="208">
        <v>10.0</v>
      </c>
      <c r="T1138" s="208">
        <v>2026.0</v>
      </c>
      <c r="U1138" s="209" t="s">
        <v>36</v>
      </c>
      <c r="V1138" s="209">
        <v>75.18</v>
      </c>
      <c r="W1138" s="429">
        <v>46296.0</v>
      </c>
      <c r="X1138" s="208">
        <v>1.0</v>
      </c>
      <c r="Y1138" s="208">
        <v>10.0</v>
      </c>
      <c r="Z1138" s="208">
        <v>2026.0</v>
      </c>
      <c r="AA1138" s="209" t="s">
        <v>36</v>
      </c>
    </row>
    <row r="1139" ht="15.75" hidden="1" customHeight="1">
      <c r="A1139" s="209" t="s">
        <v>2945</v>
      </c>
      <c r="B1139" s="208">
        <v>6.570954987E9</v>
      </c>
      <c r="C1139" s="429">
        <v>46271.0</v>
      </c>
      <c r="D1139" s="208">
        <v>6.0</v>
      </c>
      <c r="E1139" s="208">
        <v>9.0</v>
      </c>
      <c r="F1139" s="208">
        <v>2026.0</v>
      </c>
      <c r="G1139" s="429">
        <v>46273.0</v>
      </c>
      <c r="H1139" s="208">
        <v>8.0</v>
      </c>
      <c r="I1139" s="208">
        <v>9.0</v>
      </c>
      <c r="J1139" s="208">
        <v>2026.0</v>
      </c>
      <c r="K1139" s="209" t="s">
        <v>36</v>
      </c>
      <c r="L1139" s="209" t="s">
        <v>1177</v>
      </c>
      <c r="M1139" s="208">
        <v>1.0</v>
      </c>
      <c r="N1139" s="208">
        <v>2.0</v>
      </c>
      <c r="O1139" s="201">
        <f t="shared" si="5"/>
        <v>2</v>
      </c>
      <c r="P1139" s="208">
        <v>4.0</v>
      </c>
      <c r="Q1139" s="429">
        <v>46296.0</v>
      </c>
      <c r="R1139" s="208">
        <v>1.0</v>
      </c>
      <c r="S1139" s="208">
        <v>10.0</v>
      </c>
      <c r="T1139" s="208">
        <v>2026.0</v>
      </c>
      <c r="U1139" s="209" t="s">
        <v>36</v>
      </c>
      <c r="V1139" s="209">
        <v>66.82</v>
      </c>
      <c r="W1139" s="429">
        <v>46296.0</v>
      </c>
      <c r="X1139" s="208">
        <v>1.0</v>
      </c>
      <c r="Y1139" s="208">
        <v>10.0</v>
      </c>
      <c r="Z1139" s="208">
        <v>2026.0</v>
      </c>
      <c r="AA1139" s="209" t="s">
        <v>36</v>
      </c>
    </row>
    <row r="1140" ht="15.75" hidden="1" customHeight="1">
      <c r="A1140" s="209" t="s">
        <v>2946</v>
      </c>
      <c r="B1140" s="209" t="s">
        <v>2947</v>
      </c>
      <c r="C1140" s="429">
        <v>46270.0</v>
      </c>
      <c r="D1140" s="208">
        <v>5.0</v>
      </c>
      <c r="E1140" s="208">
        <v>9.0</v>
      </c>
      <c r="F1140" s="208">
        <v>2026.0</v>
      </c>
      <c r="G1140" s="429">
        <v>46272.0</v>
      </c>
      <c r="H1140" s="208">
        <v>7.0</v>
      </c>
      <c r="I1140" s="208">
        <v>9.0</v>
      </c>
      <c r="J1140" s="208">
        <v>2026.0</v>
      </c>
      <c r="K1140" s="209" t="s">
        <v>51</v>
      </c>
      <c r="L1140" s="209" t="s">
        <v>1177</v>
      </c>
      <c r="M1140" s="208">
        <v>1.0</v>
      </c>
      <c r="N1140" s="208">
        <v>2.0</v>
      </c>
      <c r="O1140" s="201">
        <f t="shared" si="5"/>
        <v>2</v>
      </c>
      <c r="P1140" s="208">
        <v>4.0</v>
      </c>
      <c r="Q1140" s="429">
        <v>46295.0</v>
      </c>
      <c r="R1140" s="208">
        <v>30.0</v>
      </c>
      <c r="S1140" s="208">
        <v>9.0</v>
      </c>
      <c r="T1140" s="208">
        <v>2026.0</v>
      </c>
      <c r="U1140" s="209" t="s">
        <v>2</v>
      </c>
      <c r="V1140" s="209">
        <v>76.05</v>
      </c>
      <c r="W1140" s="429">
        <v>46295.0</v>
      </c>
      <c r="X1140" s="208">
        <v>30.0</v>
      </c>
      <c r="Y1140" s="208">
        <v>9.0</v>
      </c>
      <c r="Z1140" s="208">
        <v>2026.0</v>
      </c>
      <c r="AA1140" s="209" t="s">
        <v>2</v>
      </c>
    </row>
    <row r="1141" ht="15.75" hidden="1" customHeight="1">
      <c r="A1141" s="209"/>
      <c r="B1141" s="210"/>
      <c r="C1141" s="429"/>
      <c r="D1141" s="208"/>
      <c r="E1141" s="208"/>
      <c r="F1141" s="208"/>
      <c r="G1141" s="429"/>
      <c r="H1141" s="208"/>
      <c r="I1141" s="208"/>
      <c r="J1141" s="208"/>
      <c r="K1141" s="209"/>
      <c r="L1141" s="209"/>
      <c r="M1141" s="208"/>
      <c r="N1141" s="208"/>
      <c r="O1141" s="201"/>
      <c r="P1141" s="208"/>
      <c r="Q1141" s="429"/>
      <c r="R1141" s="208"/>
      <c r="S1141" s="208"/>
      <c r="T1141" s="208"/>
      <c r="U1141" s="209"/>
      <c r="V1141" s="208"/>
      <c r="W1141" s="429"/>
      <c r="X1141" s="208"/>
      <c r="Y1141" s="208"/>
      <c r="Z1141" s="208"/>
      <c r="AA1141" s="209"/>
    </row>
    <row r="1142" ht="15.75" hidden="1" customHeight="1">
      <c r="A1142" s="209" t="s">
        <v>2948</v>
      </c>
      <c r="B1142" s="209" t="s">
        <v>2949</v>
      </c>
      <c r="C1142" s="429">
        <v>46275.0</v>
      </c>
      <c r="D1142" s="208">
        <v>10.0</v>
      </c>
      <c r="E1142" s="208">
        <v>9.0</v>
      </c>
      <c r="F1142" s="208">
        <v>2026.0</v>
      </c>
      <c r="G1142" s="429">
        <v>46277.0</v>
      </c>
      <c r="H1142" s="208">
        <v>12.0</v>
      </c>
      <c r="I1142" s="208">
        <v>9.0</v>
      </c>
      <c r="J1142" s="208">
        <v>2026.0</v>
      </c>
      <c r="K1142" s="209" t="s">
        <v>51</v>
      </c>
      <c r="L1142" s="209" t="s">
        <v>1177</v>
      </c>
      <c r="M1142" s="208">
        <v>1.0</v>
      </c>
      <c r="N1142" s="208">
        <v>2.0</v>
      </c>
      <c r="O1142" s="201">
        <f t="shared" ref="O1142:O1228" si="6">N1142*M1142</f>
        <v>2</v>
      </c>
      <c r="P1142" s="208">
        <v>4.0</v>
      </c>
      <c r="Q1142" s="429">
        <v>46295.0</v>
      </c>
      <c r="R1142" s="208">
        <v>30.0</v>
      </c>
      <c r="S1142" s="208">
        <v>9.0</v>
      </c>
      <c r="T1142" s="208">
        <v>2026.0</v>
      </c>
      <c r="U1142" s="209" t="s">
        <v>2</v>
      </c>
      <c r="V1142" s="209">
        <v>76.05</v>
      </c>
      <c r="W1142" s="429">
        <v>46295.0</v>
      </c>
      <c r="X1142" s="208">
        <v>30.0</v>
      </c>
      <c r="Y1142" s="208">
        <v>9.0</v>
      </c>
      <c r="Z1142" s="208">
        <v>2026.0</v>
      </c>
      <c r="AA1142" s="209" t="s">
        <v>2</v>
      </c>
    </row>
    <row r="1143" ht="15.75" hidden="1" customHeight="1">
      <c r="A1143" s="209" t="s">
        <v>2950</v>
      </c>
      <c r="B1143" s="208">
        <v>6.100383948E9</v>
      </c>
      <c r="C1143" s="429">
        <v>46280.0</v>
      </c>
      <c r="D1143" s="208">
        <v>15.0</v>
      </c>
      <c r="E1143" s="208">
        <v>9.0</v>
      </c>
      <c r="F1143" s="208">
        <v>2026.0</v>
      </c>
      <c r="G1143" s="429">
        <v>46282.0</v>
      </c>
      <c r="H1143" s="208">
        <v>17.0</v>
      </c>
      <c r="I1143" s="208">
        <v>9.0</v>
      </c>
      <c r="J1143" s="208">
        <v>2026.0</v>
      </c>
      <c r="K1143" s="209" t="s">
        <v>36</v>
      </c>
      <c r="L1143" s="209" t="s">
        <v>1177</v>
      </c>
      <c r="M1143" s="208">
        <v>1.0</v>
      </c>
      <c r="N1143" s="208">
        <v>2.0</v>
      </c>
      <c r="O1143" s="201">
        <f t="shared" si="6"/>
        <v>2</v>
      </c>
      <c r="P1143" s="208">
        <v>4.0</v>
      </c>
      <c r="Q1143" s="429">
        <v>46296.0</v>
      </c>
      <c r="R1143" s="208">
        <v>1.0</v>
      </c>
      <c r="S1143" s="208">
        <v>10.0</v>
      </c>
      <c r="T1143" s="208">
        <v>2026.0</v>
      </c>
      <c r="U1143" s="209" t="s">
        <v>36</v>
      </c>
      <c r="V1143" s="209">
        <v>65.99</v>
      </c>
      <c r="W1143" s="429">
        <v>46296.0</v>
      </c>
      <c r="X1143" s="208">
        <v>1.0</v>
      </c>
      <c r="Y1143" s="208">
        <v>10.0</v>
      </c>
      <c r="Z1143" s="208">
        <v>2026.0</v>
      </c>
      <c r="AA1143" s="209" t="s">
        <v>36</v>
      </c>
    </row>
    <row r="1144" ht="15.75" hidden="1" customHeight="1">
      <c r="A1144" s="209" t="s">
        <v>2951</v>
      </c>
      <c r="B1144" s="209" t="s">
        <v>2952</v>
      </c>
      <c r="C1144" s="429">
        <v>46273.0</v>
      </c>
      <c r="D1144" s="208">
        <v>8.0</v>
      </c>
      <c r="E1144" s="208">
        <v>9.0</v>
      </c>
      <c r="F1144" s="208">
        <v>2026.0</v>
      </c>
      <c r="G1144" s="429">
        <v>46275.0</v>
      </c>
      <c r="H1144" s="208">
        <v>10.0</v>
      </c>
      <c r="I1144" s="208">
        <v>9.0</v>
      </c>
      <c r="J1144" s="208">
        <v>2026.0</v>
      </c>
      <c r="K1144" s="209" t="s">
        <v>46</v>
      </c>
      <c r="L1144" s="209" t="s">
        <v>1177</v>
      </c>
      <c r="M1144" s="208">
        <v>2.0</v>
      </c>
      <c r="N1144" s="208">
        <v>2.0</v>
      </c>
      <c r="O1144" s="201">
        <f t="shared" si="6"/>
        <v>4</v>
      </c>
      <c r="P1144" s="208">
        <v>8.0</v>
      </c>
      <c r="Q1144" s="429">
        <v>46273.6553587963</v>
      </c>
      <c r="R1144" s="208">
        <v>8.0</v>
      </c>
      <c r="S1144" s="208">
        <v>9.0</v>
      </c>
      <c r="T1144" s="208">
        <v>2026.0</v>
      </c>
      <c r="U1144" s="209" t="s">
        <v>245</v>
      </c>
      <c r="V1144" s="209">
        <v>119.0</v>
      </c>
      <c r="W1144" s="429">
        <v>46273.6553587963</v>
      </c>
      <c r="X1144" s="208">
        <v>8.0</v>
      </c>
      <c r="Y1144" s="208">
        <v>9.0</v>
      </c>
      <c r="Z1144" s="208">
        <v>2026.0</v>
      </c>
      <c r="AA1144" s="209" t="s">
        <v>245</v>
      </c>
    </row>
    <row r="1145" ht="15.75" hidden="1" customHeight="1">
      <c r="A1145" s="209" t="s">
        <v>2953</v>
      </c>
      <c r="B1145" s="209" t="s">
        <v>2954</v>
      </c>
      <c r="C1145" s="429">
        <v>46275.0</v>
      </c>
      <c r="D1145" s="208">
        <v>10.0</v>
      </c>
      <c r="E1145" s="208">
        <v>9.0</v>
      </c>
      <c r="F1145" s="208">
        <v>2026.0</v>
      </c>
      <c r="G1145" s="429">
        <v>46277.0</v>
      </c>
      <c r="H1145" s="208">
        <v>12.0</v>
      </c>
      <c r="I1145" s="208">
        <v>9.0</v>
      </c>
      <c r="J1145" s="208">
        <v>2026.0</v>
      </c>
      <c r="K1145" s="209" t="s">
        <v>51</v>
      </c>
      <c r="L1145" s="209" t="s">
        <v>1177</v>
      </c>
      <c r="M1145" s="208">
        <v>1.0</v>
      </c>
      <c r="N1145" s="208">
        <v>2.0</v>
      </c>
      <c r="O1145" s="201">
        <f t="shared" si="6"/>
        <v>2</v>
      </c>
      <c r="P1145" s="208">
        <v>4.0</v>
      </c>
      <c r="Q1145" s="429">
        <v>46295.0</v>
      </c>
      <c r="R1145" s="208">
        <v>30.0</v>
      </c>
      <c r="S1145" s="208">
        <v>9.0</v>
      </c>
      <c r="T1145" s="208">
        <v>2026.0</v>
      </c>
      <c r="U1145" s="209" t="s">
        <v>2</v>
      </c>
      <c r="V1145" s="209">
        <v>84.5</v>
      </c>
      <c r="W1145" s="429">
        <v>46295.0</v>
      </c>
      <c r="X1145" s="208">
        <v>30.0</v>
      </c>
      <c r="Y1145" s="208">
        <v>9.0</v>
      </c>
      <c r="Z1145" s="208">
        <v>2026.0</v>
      </c>
      <c r="AA1145" s="209" t="s">
        <v>2</v>
      </c>
    </row>
    <row r="1146" ht="15.75" hidden="1" customHeight="1">
      <c r="A1146" s="209" t="s">
        <v>2955</v>
      </c>
      <c r="B1146" s="209" t="s">
        <v>2956</v>
      </c>
      <c r="C1146" s="429">
        <v>46289.0</v>
      </c>
      <c r="D1146" s="208">
        <v>24.0</v>
      </c>
      <c r="E1146" s="208">
        <v>9.0</v>
      </c>
      <c r="F1146" s="208">
        <v>2026.0</v>
      </c>
      <c r="G1146" s="429">
        <v>46291.0</v>
      </c>
      <c r="H1146" s="208">
        <v>26.0</v>
      </c>
      <c r="I1146" s="208">
        <v>9.0</v>
      </c>
      <c r="J1146" s="208">
        <v>2026.0</v>
      </c>
      <c r="K1146" s="209" t="s">
        <v>46</v>
      </c>
      <c r="L1146" s="209" t="s">
        <v>1177</v>
      </c>
      <c r="M1146" s="208">
        <v>1.0</v>
      </c>
      <c r="N1146" s="208">
        <v>2.0</v>
      </c>
      <c r="O1146" s="201">
        <f t="shared" si="6"/>
        <v>2</v>
      </c>
      <c r="P1146" s="208">
        <v>4.0</v>
      </c>
      <c r="Q1146" s="429">
        <v>46289.93829861111</v>
      </c>
      <c r="R1146" s="430">
        <v>24.0</v>
      </c>
      <c r="S1146" s="430">
        <v>9.0</v>
      </c>
      <c r="T1146" s="208">
        <v>2026.0</v>
      </c>
      <c r="U1146" s="209" t="s">
        <v>245</v>
      </c>
      <c r="V1146" s="209">
        <v>119.0</v>
      </c>
      <c r="W1146" s="429">
        <v>46289.93829861111</v>
      </c>
      <c r="X1146" s="208">
        <v>24.0</v>
      </c>
      <c r="Y1146" s="208">
        <v>9.0</v>
      </c>
      <c r="Z1146" s="208">
        <v>2026.0</v>
      </c>
      <c r="AA1146" s="209" t="s">
        <v>245</v>
      </c>
    </row>
    <row r="1147" ht="15.75" hidden="1" customHeight="1">
      <c r="A1147" s="209" t="s">
        <v>2957</v>
      </c>
      <c r="B1147" s="208">
        <v>6.662909202E9</v>
      </c>
      <c r="C1147" s="429">
        <v>46272.0</v>
      </c>
      <c r="D1147" s="208">
        <v>7.0</v>
      </c>
      <c r="E1147" s="208">
        <v>9.0</v>
      </c>
      <c r="F1147" s="208">
        <v>2026.0</v>
      </c>
      <c r="G1147" s="429">
        <v>46275.0</v>
      </c>
      <c r="H1147" s="208">
        <v>10.0</v>
      </c>
      <c r="I1147" s="208">
        <v>9.0</v>
      </c>
      <c r="J1147" s="208">
        <v>2026.0</v>
      </c>
      <c r="K1147" s="209" t="s">
        <v>36</v>
      </c>
      <c r="L1147" s="209" t="s">
        <v>1177</v>
      </c>
      <c r="M1147" s="208">
        <v>1.0</v>
      </c>
      <c r="N1147" s="208">
        <v>3.0</v>
      </c>
      <c r="O1147" s="201">
        <f t="shared" si="6"/>
        <v>3</v>
      </c>
      <c r="P1147" s="208">
        <v>6.0</v>
      </c>
      <c r="Q1147" s="429">
        <v>46296.0</v>
      </c>
      <c r="R1147" s="208">
        <v>1.0</v>
      </c>
      <c r="S1147" s="208">
        <v>10.0</v>
      </c>
      <c r="T1147" s="208">
        <v>2026.0</v>
      </c>
      <c r="U1147" s="209" t="s">
        <v>36</v>
      </c>
      <c r="V1147" s="209">
        <v>87.7</v>
      </c>
      <c r="W1147" s="429">
        <v>46296.0</v>
      </c>
      <c r="X1147" s="208">
        <v>1.0</v>
      </c>
      <c r="Y1147" s="208">
        <v>10.0</v>
      </c>
      <c r="Z1147" s="208">
        <v>2026.0</v>
      </c>
      <c r="AA1147" s="209" t="s">
        <v>36</v>
      </c>
    </row>
    <row r="1148" ht="15.75" hidden="1" customHeight="1">
      <c r="A1148" s="209" t="s">
        <v>2958</v>
      </c>
      <c r="B1148" s="209" t="s">
        <v>2959</v>
      </c>
      <c r="C1148" s="429">
        <v>46279.0</v>
      </c>
      <c r="D1148" s="208">
        <v>14.0</v>
      </c>
      <c r="E1148" s="208">
        <v>9.0</v>
      </c>
      <c r="F1148" s="208">
        <v>2026.0</v>
      </c>
      <c r="G1148" s="429">
        <v>46281.0</v>
      </c>
      <c r="H1148" s="208">
        <v>16.0</v>
      </c>
      <c r="I1148" s="208">
        <v>9.0</v>
      </c>
      <c r="J1148" s="208">
        <v>2026.0</v>
      </c>
      <c r="K1148" s="209" t="s">
        <v>46</v>
      </c>
      <c r="L1148" s="209" t="s">
        <v>1177</v>
      </c>
      <c r="M1148" s="208">
        <v>2.0</v>
      </c>
      <c r="N1148" s="208">
        <v>2.0</v>
      </c>
      <c r="O1148" s="201">
        <f t="shared" si="6"/>
        <v>4</v>
      </c>
      <c r="P1148" s="208">
        <v>8.0</v>
      </c>
      <c r="Q1148" s="429">
        <v>46279.7193287037</v>
      </c>
      <c r="R1148" s="208">
        <v>14.0</v>
      </c>
      <c r="S1148" s="208">
        <v>9.0</v>
      </c>
      <c r="T1148" s="208">
        <v>2026.0</v>
      </c>
      <c r="U1148" s="209" t="s">
        <v>245</v>
      </c>
      <c r="V1148" s="209">
        <v>119.0</v>
      </c>
      <c r="W1148" s="429">
        <v>46279.7193287037</v>
      </c>
      <c r="X1148" s="208">
        <v>14.0</v>
      </c>
      <c r="Y1148" s="208">
        <v>9.0</v>
      </c>
      <c r="Z1148" s="208">
        <v>2026.0</v>
      </c>
      <c r="AA1148" s="209" t="s">
        <v>245</v>
      </c>
    </row>
    <row r="1149" ht="15.75" hidden="1" customHeight="1">
      <c r="A1149" s="209" t="s">
        <v>2960</v>
      </c>
      <c r="B1149" s="209" t="s">
        <v>2961</v>
      </c>
      <c r="C1149" s="429">
        <v>46275.0</v>
      </c>
      <c r="D1149" s="208">
        <v>10.0</v>
      </c>
      <c r="E1149" s="208">
        <v>9.0</v>
      </c>
      <c r="F1149" s="208">
        <v>2026.0</v>
      </c>
      <c r="G1149" s="429">
        <v>46278.0</v>
      </c>
      <c r="H1149" s="208">
        <v>13.0</v>
      </c>
      <c r="I1149" s="208">
        <v>9.0</v>
      </c>
      <c r="J1149" s="208">
        <v>2026.0</v>
      </c>
      <c r="K1149" s="209" t="s">
        <v>51</v>
      </c>
      <c r="L1149" s="209" t="s">
        <v>1177</v>
      </c>
      <c r="M1149" s="208">
        <v>1.0</v>
      </c>
      <c r="N1149" s="208">
        <v>3.0</v>
      </c>
      <c r="O1149" s="201">
        <f t="shared" si="6"/>
        <v>3</v>
      </c>
      <c r="P1149" s="208">
        <v>6.0</v>
      </c>
      <c r="Q1149" s="429">
        <v>46295.0</v>
      </c>
      <c r="R1149" s="208">
        <v>30.0</v>
      </c>
      <c r="S1149" s="208">
        <v>9.0</v>
      </c>
      <c r="T1149" s="208">
        <v>2026.0</v>
      </c>
      <c r="U1149" s="209" t="s">
        <v>2</v>
      </c>
      <c r="V1149" s="209">
        <v>122.52</v>
      </c>
      <c r="W1149" s="429">
        <v>46295.0</v>
      </c>
      <c r="X1149" s="208">
        <v>30.0</v>
      </c>
      <c r="Y1149" s="208">
        <v>9.0</v>
      </c>
      <c r="Z1149" s="208">
        <v>2026.0</v>
      </c>
      <c r="AA1149" s="209" t="s">
        <v>2</v>
      </c>
    </row>
    <row r="1150" ht="15.75" hidden="1" customHeight="1">
      <c r="A1150" s="209" t="s">
        <v>2962</v>
      </c>
      <c r="B1150" s="208">
        <v>6.828996703E9</v>
      </c>
      <c r="C1150" s="429">
        <v>46289.0</v>
      </c>
      <c r="D1150" s="208">
        <v>24.0</v>
      </c>
      <c r="E1150" s="208">
        <v>9.0</v>
      </c>
      <c r="F1150" s="208">
        <v>2026.0</v>
      </c>
      <c r="G1150" s="429">
        <v>46292.0</v>
      </c>
      <c r="H1150" s="208">
        <v>27.0</v>
      </c>
      <c r="I1150" s="208">
        <v>9.0</v>
      </c>
      <c r="J1150" s="208">
        <v>2026.0</v>
      </c>
      <c r="K1150" s="209" t="s">
        <v>36</v>
      </c>
      <c r="L1150" s="209" t="s">
        <v>1177</v>
      </c>
      <c r="M1150" s="208">
        <v>1.0</v>
      </c>
      <c r="N1150" s="208">
        <v>3.0</v>
      </c>
      <c r="O1150" s="201">
        <f t="shared" si="6"/>
        <v>3</v>
      </c>
      <c r="P1150" s="208">
        <v>6.0</v>
      </c>
      <c r="Q1150" s="429">
        <v>46296.0</v>
      </c>
      <c r="R1150" s="208">
        <v>1.0</v>
      </c>
      <c r="S1150" s="208">
        <v>10.0</v>
      </c>
      <c r="T1150" s="208">
        <v>2026.0</v>
      </c>
      <c r="U1150" s="209" t="s">
        <v>36</v>
      </c>
      <c r="V1150" s="209">
        <v>112.78</v>
      </c>
      <c r="W1150" s="429">
        <v>46296.0</v>
      </c>
      <c r="X1150" s="208">
        <v>1.0</v>
      </c>
      <c r="Y1150" s="208">
        <v>10.0</v>
      </c>
      <c r="Z1150" s="208">
        <v>2026.0</v>
      </c>
      <c r="AA1150" s="209" t="s">
        <v>36</v>
      </c>
    </row>
    <row r="1151" ht="15.75" hidden="1" customHeight="1">
      <c r="A1151" s="209" t="s">
        <v>2963</v>
      </c>
      <c r="B1151" s="209" t="s">
        <v>2964</v>
      </c>
      <c r="C1151" s="429">
        <v>46293.0</v>
      </c>
      <c r="D1151" s="208">
        <v>28.0</v>
      </c>
      <c r="E1151" s="208">
        <v>9.0</v>
      </c>
      <c r="F1151" s="208">
        <v>2026.0</v>
      </c>
      <c r="G1151" s="429">
        <v>46294.0</v>
      </c>
      <c r="H1151" s="208">
        <v>29.0</v>
      </c>
      <c r="I1151" s="208">
        <v>9.0</v>
      </c>
      <c r="J1151" s="208">
        <v>2026.0</v>
      </c>
      <c r="K1151" s="209" t="s">
        <v>46</v>
      </c>
      <c r="L1151" s="209" t="s">
        <v>1177</v>
      </c>
      <c r="M1151" s="208">
        <v>1.0</v>
      </c>
      <c r="N1151" s="208">
        <v>1.0</v>
      </c>
      <c r="O1151" s="201">
        <f t="shared" si="6"/>
        <v>1</v>
      </c>
      <c r="P1151" s="208">
        <v>2.0</v>
      </c>
      <c r="Q1151" s="429">
        <v>46293.65023148148</v>
      </c>
      <c r="R1151" s="430">
        <v>28.0</v>
      </c>
      <c r="S1151" s="430">
        <v>9.0</v>
      </c>
      <c r="T1151" s="208">
        <v>2026.0</v>
      </c>
      <c r="U1151" s="209" t="s">
        <v>245</v>
      </c>
      <c r="V1151" s="209">
        <v>29.75</v>
      </c>
      <c r="W1151" s="429">
        <v>46293.65023148148</v>
      </c>
      <c r="X1151" s="208">
        <v>28.0</v>
      </c>
      <c r="Y1151" s="208">
        <v>9.0</v>
      </c>
      <c r="Z1151" s="208">
        <v>2026.0</v>
      </c>
      <c r="AA1151" s="209" t="s">
        <v>245</v>
      </c>
    </row>
    <row r="1152" ht="15.75" hidden="1" customHeight="1">
      <c r="A1152" s="209" t="s">
        <v>2965</v>
      </c>
      <c r="B1152" s="208">
        <v>5.880985053E9</v>
      </c>
      <c r="C1152" s="429">
        <v>46286.0</v>
      </c>
      <c r="D1152" s="208">
        <v>21.0</v>
      </c>
      <c r="E1152" s="208">
        <v>9.0</v>
      </c>
      <c r="F1152" s="208">
        <v>2026.0</v>
      </c>
      <c r="G1152" s="429">
        <v>46289.0</v>
      </c>
      <c r="H1152" s="208">
        <v>24.0</v>
      </c>
      <c r="I1152" s="208">
        <v>9.0</v>
      </c>
      <c r="J1152" s="208">
        <v>2026.0</v>
      </c>
      <c r="K1152" s="209" t="s">
        <v>36</v>
      </c>
      <c r="L1152" s="209" t="s">
        <v>1177</v>
      </c>
      <c r="M1152" s="208">
        <v>1.0</v>
      </c>
      <c r="N1152" s="208">
        <v>3.0</v>
      </c>
      <c r="O1152" s="201">
        <f t="shared" si="6"/>
        <v>3</v>
      </c>
      <c r="P1152" s="208">
        <v>6.0</v>
      </c>
      <c r="Q1152" s="429">
        <v>46296.0</v>
      </c>
      <c r="R1152" s="208">
        <v>1.0</v>
      </c>
      <c r="S1152" s="208">
        <v>10.0</v>
      </c>
      <c r="T1152" s="208">
        <v>2026.0</v>
      </c>
      <c r="U1152" s="209" t="s">
        <v>36</v>
      </c>
      <c r="V1152" s="209">
        <v>102.74</v>
      </c>
      <c r="W1152" s="429">
        <v>46296.0</v>
      </c>
      <c r="X1152" s="208">
        <v>1.0</v>
      </c>
      <c r="Y1152" s="208">
        <v>10.0</v>
      </c>
      <c r="Z1152" s="208">
        <v>2026.0</v>
      </c>
      <c r="AA1152" s="209" t="s">
        <v>36</v>
      </c>
    </row>
    <row r="1153" ht="15.75" hidden="1" customHeight="1">
      <c r="A1153" s="209" t="s">
        <v>2966</v>
      </c>
      <c r="B1153" s="209" t="s">
        <v>2967</v>
      </c>
      <c r="C1153" s="429">
        <v>46285.0</v>
      </c>
      <c r="D1153" s="208">
        <v>20.0</v>
      </c>
      <c r="E1153" s="208">
        <v>9.0</v>
      </c>
      <c r="F1153" s="208">
        <v>2026.0</v>
      </c>
      <c r="G1153" s="429">
        <v>46286.0</v>
      </c>
      <c r="H1153" s="208">
        <v>21.0</v>
      </c>
      <c r="I1153" s="208">
        <v>9.0</v>
      </c>
      <c r="J1153" s="208">
        <v>2026.0</v>
      </c>
      <c r="K1153" s="209" t="s">
        <v>46</v>
      </c>
      <c r="L1153" s="209" t="s">
        <v>1177</v>
      </c>
      <c r="M1153" s="208">
        <v>1.0</v>
      </c>
      <c r="N1153" s="208">
        <v>1.0</v>
      </c>
      <c r="O1153" s="201">
        <f t="shared" si="6"/>
        <v>1</v>
      </c>
      <c r="P1153" s="208">
        <v>2.0</v>
      </c>
      <c r="Q1153" s="429">
        <v>46285.883680555555</v>
      </c>
      <c r="R1153" s="430">
        <v>20.0</v>
      </c>
      <c r="S1153" s="430">
        <v>9.0</v>
      </c>
      <c r="T1153" s="208">
        <v>2026.0</v>
      </c>
      <c r="U1153" s="209" t="s">
        <v>12</v>
      </c>
      <c r="V1153" s="209">
        <v>27.2</v>
      </c>
      <c r="W1153" s="429">
        <v>46285.883680555555</v>
      </c>
      <c r="X1153" s="208">
        <v>20.0</v>
      </c>
      <c r="Y1153" s="208">
        <v>9.0</v>
      </c>
      <c r="Z1153" s="208">
        <v>2026.0</v>
      </c>
      <c r="AA1153" s="209" t="s">
        <v>12</v>
      </c>
    </row>
    <row r="1154" ht="15.75" hidden="1" customHeight="1">
      <c r="A1154" s="209" t="s">
        <v>2968</v>
      </c>
      <c r="B1154" s="209" t="s">
        <v>2969</v>
      </c>
      <c r="C1154" s="429">
        <v>46269.0</v>
      </c>
      <c r="D1154" s="208">
        <v>4.0</v>
      </c>
      <c r="E1154" s="208">
        <v>9.0</v>
      </c>
      <c r="F1154" s="208">
        <v>2026.0</v>
      </c>
      <c r="G1154" s="429">
        <v>46271.0</v>
      </c>
      <c r="H1154" s="208">
        <v>6.0</v>
      </c>
      <c r="I1154" s="208">
        <v>9.0</v>
      </c>
      <c r="J1154" s="208">
        <v>2026.0</v>
      </c>
      <c r="K1154" s="209" t="s">
        <v>46</v>
      </c>
      <c r="L1154" s="209" t="s">
        <v>1177</v>
      </c>
      <c r="M1154" s="208">
        <v>1.0</v>
      </c>
      <c r="N1154" s="208">
        <v>2.0</v>
      </c>
      <c r="O1154" s="201">
        <f t="shared" si="6"/>
        <v>2</v>
      </c>
      <c r="P1154" s="208">
        <v>4.0</v>
      </c>
      <c r="Q1154" s="429">
        <v>46269.65048611111</v>
      </c>
      <c r="R1154" s="430">
        <v>4.0</v>
      </c>
      <c r="S1154" s="430">
        <v>9.0</v>
      </c>
      <c r="T1154" s="208">
        <v>2026.0</v>
      </c>
      <c r="U1154" s="209" t="s">
        <v>245</v>
      </c>
      <c r="V1154" s="209">
        <v>85.0</v>
      </c>
      <c r="W1154" s="429">
        <v>46269.648460648146</v>
      </c>
      <c r="X1154" s="208">
        <v>4.0</v>
      </c>
      <c r="Y1154" s="208">
        <v>9.0</v>
      </c>
      <c r="Z1154" s="208">
        <v>2026.0</v>
      </c>
      <c r="AA1154" s="209" t="s">
        <v>245</v>
      </c>
    </row>
    <row r="1155" ht="15.75" hidden="1" customHeight="1">
      <c r="A1155" s="209" t="s">
        <v>2970</v>
      </c>
      <c r="B1155" s="208">
        <v>5.683740351E9</v>
      </c>
      <c r="C1155" s="429">
        <v>46292.0</v>
      </c>
      <c r="D1155" s="208">
        <v>27.0</v>
      </c>
      <c r="E1155" s="208">
        <v>9.0</v>
      </c>
      <c r="F1155" s="208">
        <v>2026.0</v>
      </c>
      <c r="G1155" s="429">
        <v>46295.0</v>
      </c>
      <c r="H1155" s="208">
        <v>30.0</v>
      </c>
      <c r="I1155" s="208">
        <v>9.0</v>
      </c>
      <c r="J1155" s="208">
        <v>2026.0</v>
      </c>
      <c r="K1155" s="209" t="s">
        <v>36</v>
      </c>
      <c r="L1155" s="209" t="s">
        <v>1177</v>
      </c>
      <c r="M1155" s="208">
        <v>1.0</v>
      </c>
      <c r="N1155" s="208">
        <v>3.0</v>
      </c>
      <c r="O1155" s="201">
        <f t="shared" si="6"/>
        <v>3</v>
      </c>
      <c r="P1155" s="208">
        <v>6.0</v>
      </c>
      <c r="Q1155" s="429">
        <v>46296.0</v>
      </c>
      <c r="R1155" s="208">
        <v>1.0</v>
      </c>
      <c r="S1155" s="208">
        <v>10.0</v>
      </c>
      <c r="T1155" s="208">
        <v>2026.0</v>
      </c>
      <c r="U1155" s="209" t="s">
        <v>36</v>
      </c>
      <c r="V1155" s="209">
        <v>87.7</v>
      </c>
      <c r="W1155" s="429">
        <v>46296.0</v>
      </c>
      <c r="X1155" s="208">
        <v>1.0</v>
      </c>
      <c r="Y1155" s="208">
        <v>10.0</v>
      </c>
      <c r="Z1155" s="208">
        <v>2026.0</v>
      </c>
      <c r="AA1155" s="209" t="s">
        <v>36</v>
      </c>
    </row>
    <row r="1156" ht="15.75" hidden="1" customHeight="1">
      <c r="A1156" s="209" t="s">
        <v>2971</v>
      </c>
      <c r="B1156" s="208">
        <v>5.895728306E9</v>
      </c>
      <c r="C1156" s="429">
        <v>46279.0</v>
      </c>
      <c r="D1156" s="208">
        <v>14.0</v>
      </c>
      <c r="E1156" s="208">
        <v>9.0</v>
      </c>
      <c r="F1156" s="208">
        <v>2026.0</v>
      </c>
      <c r="G1156" s="429">
        <v>46282.0</v>
      </c>
      <c r="H1156" s="208">
        <v>17.0</v>
      </c>
      <c r="I1156" s="208">
        <v>9.0</v>
      </c>
      <c r="J1156" s="208">
        <v>2026.0</v>
      </c>
      <c r="K1156" s="209" t="s">
        <v>36</v>
      </c>
      <c r="L1156" s="209" t="s">
        <v>1177</v>
      </c>
      <c r="M1156" s="208">
        <v>1.0</v>
      </c>
      <c r="N1156" s="208">
        <v>3.0</v>
      </c>
      <c r="O1156" s="201">
        <f t="shared" si="6"/>
        <v>3</v>
      </c>
      <c r="P1156" s="208">
        <v>6.0</v>
      </c>
      <c r="Q1156" s="429">
        <v>46296.0</v>
      </c>
      <c r="R1156" s="208">
        <v>1.0</v>
      </c>
      <c r="S1156" s="208">
        <v>10.0</v>
      </c>
      <c r="T1156" s="208">
        <v>2026.0</v>
      </c>
      <c r="U1156" s="209" t="s">
        <v>36</v>
      </c>
      <c r="V1156" s="209">
        <v>95.22</v>
      </c>
      <c r="W1156" s="429">
        <v>46296.0</v>
      </c>
      <c r="X1156" s="208">
        <v>1.0</v>
      </c>
      <c r="Y1156" s="208">
        <v>10.0</v>
      </c>
      <c r="Z1156" s="208">
        <v>2026.0</v>
      </c>
      <c r="AA1156" s="209" t="s">
        <v>36</v>
      </c>
    </row>
    <row r="1157" ht="15.75" hidden="1" customHeight="1">
      <c r="A1157" s="209" t="s">
        <v>2972</v>
      </c>
      <c r="B1157" s="209" t="s">
        <v>2973</v>
      </c>
      <c r="C1157" s="429">
        <v>46292.0</v>
      </c>
      <c r="D1157" s="208">
        <v>27.0</v>
      </c>
      <c r="E1157" s="208">
        <v>9.0</v>
      </c>
      <c r="F1157" s="208">
        <v>2026.0</v>
      </c>
      <c r="G1157" s="429">
        <v>46293.0</v>
      </c>
      <c r="H1157" s="208">
        <v>28.0</v>
      </c>
      <c r="I1157" s="208">
        <v>9.0</v>
      </c>
      <c r="J1157" s="208">
        <v>2026.0</v>
      </c>
      <c r="K1157" s="209" t="s">
        <v>46</v>
      </c>
      <c r="L1157" s="209" t="s">
        <v>1177</v>
      </c>
      <c r="M1157" s="208">
        <v>1.0</v>
      </c>
      <c r="N1157" s="208">
        <v>1.0</v>
      </c>
      <c r="O1157" s="201">
        <f t="shared" si="6"/>
        <v>1</v>
      </c>
      <c r="P1157" s="208">
        <v>2.0</v>
      </c>
      <c r="Q1157" s="429">
        <v>46292.64679398148</v>
      </c>
      <c r="R1157" s="430">
        <v>27.0</v>
      </c>
      <c r="S1157" s="430">
        <v>9.0</v>
      </c>
      <c r="T1157" s="208">
        <v>2026.0</v>
      </c>
      <c r="U1157" s="209" t="s">
        <v>245</v>
      </c>
      <c r="V1157" s="209">
        <v>29.75</v>
      </c>
      <c r="W1157" s="429">
        <v>46292.64679398148</v>
      </c>
      <c r="X1157" s="208">
        <v>27.0</v>
      </c>
      <c r="Y1157" s="208">
        <v>9.0</v>
      </c>
      <c r="Z1157" s="208">
        <v>2026.0</v>
      </c>
      <c r="AA1157" s="209" t="s">
        <v>245</v>
      </c>
    </row>
    <row r="1158" ht="15.75" hidden="1" customHeight="1">
      <c r="A1158" s="209" t="s">
        <v>2974</v>
      </c>
      <c r="B1158" s="208">
        <v>5.786690441E9</v>
      </c>
      <c r="C1158" s="429">
        <v>46280.0</v>
      </c>
      <c r="D1158" s="208">
        <v>15.0</v>
      </c>
      <c r="E1158" s="208">
        <v>9.0</v>
      </c>
      <c r="F1158" s="208">
        <v>2026.0</v>
      </c>
      <c r="G1158" s="429">
        <v>46283.0</v>
      </c>
      <c r="H1158" s="208">
        <v>18.0</v>
      </c>
      <c r="I1158" s="208">
        <v>9.0</v>
      </c>
      <c r="J1158" s="208">
        <v>2026.0</v>
      </c>
      <c r="K1158" s="209" t="s">
        <v>36</v>
      </c>
      <c r="L1158" s="209" t="s">
        <v>1177</v>
      </c>
      <c r="M1158" s="208">
        <v>1.0</v>
      </c>
      <c r="N1158" s="208">
        <v>3.0</v>
      </c>
      <c r="O1158" s="201">
        <f t="shared" si="6"/>
        <v>3</v>
      </c>
      <c r="P1158" s="208">
        <v>6.0</v>
      </c>
      <c r="Q1158" s="429">
        <v>46296.0</v>
      </c>
      <c r="R1158" s="208">
        <v>1.0</v>
      </c>
      <c r="S1158" s="208">
        <v>10.0</v>
      </c>
      <c r="T1158" s="208">
        <v>2026.0</v>
      </c>
      <c r="U1158" s="209" t="s">
        <v>36</v>
      </c>
      <c r="V1158" s="209">
        <v>96.06</v>
      </c>
      <c r="W1158" s="429">
        <v>46296.0</v>
      </c>
      <c r="X1158" s="208">
        <v>1.0</v>
      </c>
      <c r="Y1158" s="208">
        <v>10.0</v>
      </c>
      <c r="Z1158" s="208">
        <v>2026.0</v>
      </c>
      <c r="AA1158" s="209" t="s">
        <v>36</v>
      </c>
    </row>
    <row r="1159" ht="15.75" hidden="1" customHeight="1">
      <c r="A1159" s="209" t="s">
        <v>2975</v>
      </c>
      <c r="B1159" s="209" t="s">
        <v>2976</v>
      </c>
      <c r="C1159" s="429">
        <v>46266.0</v>
      </c>
      <c r="D1159" s="208">
        <v>1.0</v>
      </c>
      <c r="E1159" s="208">
        <v>9.0</v>
      </c>
      <c r="F1159" s="208">
        <v>2026.0</v>
      </c>
      <c r="G1159" s="429">
        <v>46269.0</v>
      </c>
      <c r="H1159" s="208">
        <v>4.0</v>
      </c>
      <c r="I1159" s="208">
        <v>9.0</v>
      </c>
      <c r="J1159" s="208">
        <v>2026.0</v>
      </c>
      <c r="K1159" s="209" t="s">
        <v>51</v>
      </c>
      <c r="L1159" s="209" t="s">
        <v>1177</v>
      </c>
      <c r="M1159" s="208">
        <v>1.0</v>
      </c>
      <c r="N1159" s="208">
        <v>3.0</v>
      </c>
      <c r="O1159" s="201">
        <f t="shared" si="6"/>
        <v>3</v>
      </c>
      <c r="P1159" s="208">
        <v>6.0</v>
      </c>
      <c r="Q1159" s="429">
        <v>46295.0</v>
      </c>
      <c r="R1159" s="208">
        <v>30.0</v>
      </c>
      <c r="S1159" s="208">
        <v>9.0</v>
      </c>
      <c r="T1159" s="208">
        <v>2026.0</v>
      </c>
      <c r="U1159" s="209" t="s">
        <v>2</v>
      </c>
      <c r="V1159" s="209">
        <v>114.07</v>
      </c>
      <c r="W1159" s="429">
        <v>46295.0</v>
      </c>
      <c r="X1159" s="208">
        <v>30.0</v>
      </c>
      <c r="Y1159" s="208">
        <v>9.0</v>
      </c>
      <c r="Z1159" s="208">
        <v>2026.0</v>
      </c>
      <c r="AA1159" s="209" t="s">
        <v>2</v>
      </c>
    </row>
    <row r="1160" ht="15.75" hidden="1" customHeight="1">
      <c r="A1160" s="209" t="s">
        <v>2977</v>
      </c>
      <c r="B1160" s="209" t="s">
        <v>2978</v>
      </c>
      <c r="C1160" s="429">
        <v>46285.0</v>
      </c>
      <c r="D1160" s="208">
        <v>20.0</v>
      </c>
      <c r="E1160" s="208">
        <v>9.0</v>
      </c>
      <c r="F1160" s="208">
        <v>2026.0</v>
      </c>
      <c r="G1160" s="429">
        <v>46286.0</v>
      </c>
      <c r="H1160" s="208">
        <v>21.0</v>
      </c>
      <c r="I1160" s="208">
        <v>9.0</v>
      </c>
      <c r="J1160" s="208">
        <v>2026.0</v>
      </c>
      <c r="K1160" s="209" t="s">
        <v>46</v>
      </c>
      <c r="L1160" s="209" t="s">
        <v>1177</v>
      </c>
      <c r="M1160" s="208">
        <v>1.0</v>
      </c>
      <c r="N1160" s="208">
        <v>1.0</v>
      </c>
      <c r="O1160" s="201">
        <f t="shared" si="6"/>
        <v>1</v>
      </c>
      <c r="P1160" s="208">
        <v>2.0</v>
      </c>
      <c r="Q1160" s="429">
        <v>46285.839895833335</v>
      </c>
      <c r="R1160" s="430">
        <v>20.0</v>
      </c>
      <c r="S1160" s="430">
        <v>9.0</v>
      </c>
      <c r="T1160" s="208">
        <v>2026.0</v>
      </c>
      <c r="U1160" s="209" t="s">
        <v>245</v>
      </c>
      <c r="V1160" s="209">
        <v>29.75</v>
      </c>
      <c r="W1160" s="429">
        <v>46285.839895833335</v>
      </c>
      <c r="X1160" s="208">
        <v>20.0</v>
      </c>
      <c r="Y1160" s="208">
        <v>9.0</v>
      </c>
      <c r="Z1160" s="208">
        <v>2026.0</v>
      </c>
      <c r="AA1160" s="209" t="s">
        <v>245</v>
      </c>
    </row>
    <row r="1161" ht="15.75" hidden="1" customHeight="1">
      <c r="A1161" s="209" t="s">
        <v>2979</v>
      </c>
      <c r="B1161" s="208">
        <v>5.815918085E9</v>
      </c>
      <c r="C1161" s="429">
        <v>46271.0</v>
      </c>
      <c r="D1161" s="208">
        <v>6.0</v>
      </c>
      <c r="E1161" s="208">
        <v>9.0</v>
      </c>
      <c r="F1161" s="208">
        <v>2026.0</v>
      </c>
      <c r="G1161" s="429">
        <v>46274.0</v>
      </c>
      <c r="H1161" s="208">
        <v>9.0</v>
      </c>
      <c r="I1161" s="208">
        <v>9.0</v>
      </c>
      <c r="J1161" s="208">
        <v>2026.0</v>
      </c>
      <c r="K1161" s="209" t="s">
        <v>36</v>
      </c>
      <c r="L1161" s="209" t="s">
        <v>1177</v>
      </c>
      <c r="M1161" s="208">
        <v>1.0</v>
      </c>
      <c r="N1161" s="208">
        <v>3.0</v>
      </c>
      <c r="O1161" s="201">
        <f t="shared" si="6"/>
        <v>3</v>
      </c>
      <c r="P1161" s="208">
        <v>6.0</v>
      </c>
      <c r="Q1161" s="429">
        <v>46296.0</v>
      </c>
      <c r="R1161" s="208">
        <v>1.0</v>
      </c>
      <c r="S1161" s="208">
        <v>10.0</v>
      </c>
      <c r="T1161" s="208">
        <v>2026.0</v>
      </c>
      <c r="U1161" s="209" t="s">
        <v>36</v>
      </c>
      <c r="V1161" s="209">
        <v>96.06</v>
      </c>
      <c r="W1161" s="429">
        <v>46296.0</v>
      </c>
      <c r="X1161" s="208">
        <v>1.0</v>
      </c>
      <c r="Y1161" s="208">
        <v>10.0</v>
      </c>
      <c r="Z1161" s="208">
        <v>2026.0</v>
      </c>
      <c r="AA1161" s="209" t="s">
        <v>36</v>
      </c>
    </row>
    <row r="1162" ht="15.75" hidden="1" customHeight="1">
      <c r="A1162" s="209" t="s">
        <v>2980</v>
      </c>
      <c r="B1162" s="209" t="s">
        <v>2981</v>
      </c>
      <c r="C1162" s="429">
        <v>46270.0</v>
      </c>
      <c r="D1162" s="208">
        <v>5.0</v>
      </c>
      <c r="E1162" s="208">
        <v>9.0</v>
      </c>
      <c r="F1162" s="208">
        <v>2026.0</v>
      </c>
      <c r="G1162" s="429">
        <v>46271.0</v>
      </c>
      <c r="H1162" s="208">
        <v>6.0</v>
      </c>
      <c r="I1162" s="208">
        <v>9.0</v>
      </c>
      <c r="J1162" s="208">
        <v>2026.0</v>
      </c>
      <c r="K1162" s="209" t="s">
        <v>46</v>
      </c>
      <c r="L1162" s="209" t="s">
        <v>1177</v>
      </c>
      <c r="M1162" s="208">
        <v>2.0</v>
      </c>
      <c r="N1162" s="208">
        <v>1.0</v>
      </c>
      <c r="O1162" s="201">
        <f t="shared" si="6"/>
        <v>2</v>
      </c>
      <c r="P1162" s="208">
        <v>4.0</v>
      </c>
      <c r="Q1162" s="429">
        <v>46270.69273148148</v>
      </c>
      <c r="R1162" s="430">
        <v>5.0</v>
      </c>
      <c r="S1162" s="430">
        <v>9.0</v>
      </c>
      <c r="T1162" s="208">
        <v>2026.0</v>
      </c>
      <c r="U1162" s="209" t="s">
        <v>245</v>
      </c>
      <c r="V1162" s="209">
        <v>76.5</v>
      </c>
      <c r="W1162" s="429">
        <v>46270.69273148148</v>
      </c>
      <c r="X1162" s="208">
        <v>5.0</v>
      </c>
      <c r="Y1162" s="208">
        <v>9.0</v>
      </c>
      <c r="Z1162" s="208">
        <v>2026.0</v>
      </c>
      <c r="AA1162" s="209" t="s">
        <v>245</v>
      </c>
    </row>
    <row r="1163" ht="15.75" hidden="1" customHeight="1">
      <c r="A1163" s="209" t="s">
        <v>2982</v>
      </c>
      <c r="B1163" s="208">
        <v>6.581759128E9</v>
      </c>
      <c r="C1163" s="429">
        <v>46279.0</v>
      </c>
      <c r="D1163" s="208">
        <v>14.0</v>
      </c>
      <c r="E1163" s="208">
        <v>9.0</v>
      </c>
      <c r="F1163" s="208">
        <v>2026.0</v>
      </c>
      <c r="G1163" s="429">
        <v>46282.0</v>
      </c>
      <c r="H1163" s="208">
        <v>17.0</v>
      </c>
      <c r="I1163" s="208">
        <v>9.0</v>
      </c>
      <c r="J1163" s="208">
        <v>2026.0</v>
      </c>
      <c r="K1163" s="209" t="s">
        <v>36</v>
      </c>
      <c r="L1163" s="209" t="s">
        <v>1177</v>
      </c>
      <c r="M1163" s="208">
        <v>1.0</v>
      </c>
      <c r="N1163" s="208">
        <v>3.0</v>
      </c>
      <c r="O1163" s="201">
        <f t="shared" si="6"/>
        <v>3</v>
      </c>
      <c r="P1163" s="208">
        <v>6.0</v>
      </c>
      <c r="Q1163" s="429">
        <v>46296.0</v>
      </c>
      <c r="R1163" s="208">
        <v>1.0</v>
      </c>
      <c r="S1163" s="208">
        <v>10.0</v>
      </c>
      <c r="T1163" s="208">
        <v>2026.0</v>
      </c>
      <c r="U1163" s="209" t="s">
        <v>36</v>
      </c>
      <c r="V1163" s="209">
        <v>87.7</v>
      </c>
      <c r="W1163" s="429">
        <v>46296.0</v>
      </c>
      <c r="X1163" s="208">
        <v>1.0</v>
      </c>
      <c r="Y1163" s="208">
        <v>10.0</v>
      </c>
      <c r="Z1163" s="208">
        <v>2026.0</v>
      </c>
      <c r="AA1163" s="209" t="s">
        <v>36</v>
      </c>
    </row>
    <row r="1164" ht="15.75" hidden="1" customHeight="1">
      <c r="A1164" s="209" t="s">
        <v>2983</v>
      </c>
      <c r="B1164" s="209" t="s">
        <v>2984</v>
      </c>
      <c r="C1164" s="429">
        <v>46269.0</v>
      </c>
      <c r="D1164" s="208">
        <v>4.0</v>
      </c>
      <c r="E1164" s="208">
        <v>9.0</v>
      </c>
      <c r="F1164" s="208">
        <v>2026.0</v>
      </c>
      <c r="G1164" s="429">
        <v>46271.0</v>
      </c>
      <c r="H1164" s="208">
        <v>6.0</v>
      </c>
      <c r="I1164" s="208">
        <v>9.0</v>
      </c>
      <c r="J1164" s="208">
        <v>2026.0</v>
      </c>
      <c r="K1164" s="209" t="s">
        <v>46</v>
      </c>
      <c r="L1164" s="209" t="s">
        <v>1177</v>
      </c>
      <c r="M1164" s="208">
        <v>1.0</v>
      </c>
      <c r="N1164" s="208">
        <v>2.0</v>
      </c>
      <c r="O1164" s="201">
        <f t="shared" si="6"/>
        <v>2</v>
      </c>
      <c r="P1164" s="208">
        <v>4.0</v>
      </c>
      <c r="Q1164" s="429">
        <v>46270.016435185185</v>
      </c>
      <c r="R1164" s="430">
        <v>5.0</v>
      </c>
      <c r="S1164" s="430">
        <v>9.0</v>
      </c>
      <c r="T1164" s="208">
        <v>2026.0</v>
      </c>
      <c r="U1164" s="209" t="s">
        <v>245</v>
      </c>
      <c r="V1164" s="209">
        <v>76.5</v>
      </c>
      <c r="W1164" s="429">
        <v>46270.016435185185</v>
      </c>
      <c r="X1164" s="208">
        <v>5.0</v>
      </c>
      <c r="Y1164" s="208">
        <v>9.0</v>
      </c>
      <c r="Z1164" s="208">
        <v>2026.0</v>
      </c>
      <c r="AA1164" s="209" t="s">
        <v>245</v>
      </c>
    </row>
    <row r="1165" ht="15.75" hidden="1" customHeight="1">
      <c r="A1165" s="209" t="s">
        <v>2985</v>
      </c>
      <c r="B1165" s="208">
        <v>5.660791786E9</v>
      </c>
      <c r="C1165" s="429">
        <v>46263.0</v>
      </c>
      <c r="D1165" s="208">
        <v>29.0</v>
      </c>
      <c r="E1165" s="208">
        <v>8.0</v>
      </c>
      <c r="F1165" s="208">
        <v>2026.0</v>
      </c>
      <c r="G1165" s="429">
        <v>46266.0</v>
      </c>
      <c r="H1165" s="208">
        <v>1.0</v>
      </c>
      <c r="I1165" s="208">
        <v>9.0</v>
      </c>
      <c r="J1165" s="208">
        <v>2026.0</v>
      </c>
      <c r="K1165" s="209" t="s">
        <v>36</v>
      </c>
      <c r="L1165" s="209" t="s">
        <v>1177</v>
      </c>
      <c r="M1165" s="208">
        <v>1.0</v>
      </c>
      <c r="N1165" s="208">
        <v>3.0</v>
      </c>
      <c r="O1165" s="201">
        <f t="shared" si="6"/>
        <v>3</v>
      </c>
      <c r="P1165" s="208">
        <v>6.0</v>
      </c>
      <c r="Q1165" s="429">
        <v>46296.0</v>
      </c>
      <c r="R1165" s="208">
        <v>1.0</v>
      </c>
      <c r="S1165" s="208">
        <v>10.0</v>
      </c>
      <c r="T1165" s="208">
        <v>2026.0</v>
      </c>
      <c r="U1165" s="209" t="s">
        <v>36</v>
      </c>
      <c r="V1165" s="209">
        <v>137.86</v>
      </c>
      <c r="W1165" s="429">
        <v>46296.0</v>
      </c>
      <c r="X1165" s="208">
        <v>1.0</v>
      </c>
      <c r="Y1165" s="208">
        <v>10.0</v>
      </c>
      <c r="Z1165" s="208">
        <v>2026.0</v>
      </c>
      <c r="AA1165" s="209" t="s">
        <v>36</v>
      </c>
    </row>
    <row r="1166" ht="15.75" hidden="1" customHeight="1">
      <c r="A1166" s="209" t="s">
        <v>2986</v>
      </c>
      <c r="B1166" s="208">
        <v>6.43223568E9</v>
      </c>
      <c r="C1166" s="429">
        <v>46281.0</v>
      </c>
      <c r="D1166" s="208">
        <v>16.0</v>
      </c>
      <c r="E1166" s="208">
        <v>9.0</v>
      </c>
      <c r="F1166" s="208">
        <v>2026.0</v>
      </c>
      <c r="G1166" s="429">
        <v>46284.0</v>
      </c>
      <c r="H1166" s="208">
        <v>19.0</v>
      </c>
      <c r="I1166" s="208">
        <v>9.0</v>
      </c>
      <c r="J1166" s="208">
        <v>2026.0</v>
      </c>
      <c r="K1166" s="209" t="s">
        <v>36</v>
      </c>
      <c r="L1166" s="209" t="s">
        <v>1177</v>
      </c>
      <c r="M1166" s="208">
        <v>1.0</v>
      </c>
      <c r="N1166" s="208">
        <v>3.0</v>
      </c>
      <c r="O1166" s="201">
        <f t="shared" si="6"/>
        <v>3</v>
      </c>
      <c r="P1166" s="208">
        <v>6.0</v>
      </c>
      <c r="Q1166" s="429">
        <v>46296.0</v>
      </c>
      <c r="R1166" s="208">
        <v>1.0</v>
      </c>
      <c r="S1166" s="208">
        <v>10.0</v>
      </c>
      <c r="T1166" s="208">
        <v>2026.0</v>
      </c>
      <c r="U1166" s="209" t="s">
        <v>36</v>
      </c>
      <c r="V1166" s="209">
        <v>87.7</v>
      </c>
      <c r="W1166" s="429">
        <v>46296.0</v>
      </c>
      <c r="X1166" s="208">
        <v>1.0</v>
      </c>
      <c r="Y1166" s="208">
        <v>10.0</v>
      </c>
      <c r="Z1166" s="208">
        <v>2026.0</v>
      </c>
      <c r="AA1166" s="209" t="s">
        <v>36</v>
      </c>
    </row>
    <row r="1167" ht="15.75" hidden="1" customHeight="1">
      <c r="A1167" s="209" t="s">
        <v>2987</v>
      </c>
      <c r="B1167" s="209" t="s">
        <v>2988</v>
      </c>
      <c r="C1167" s="429">
        <v>46288.0</v>
      </c>
      <c r="D1167" s="208">
        <v>23.0</v>
      </c>
      <c r="E1167" s="208">
        <v>9.0</v>
      </c>
      <c r="F1167" s="208">
        <v>2026.0</v>
      </c>
      <c r="G1167" s="429">
        <v>46292.0</v>
      </c>
      <c r="H1167" s="208">
        <v>27.0</v>
      </c>
      <c r="I1167" s="208">
        <v>9.0</v>
      </c>
      <c r="J1167" s="208">
        <v>2026.0</v>
      </c>
      <c r="K1167" s="209" t="s">
        <v>46</v>
      </c>
      <c r="L1167" s="209" t="s">
        <v>1177</v>
      </c>
      <c r="M1167" s="208">
        <v>1.0</v>
      </c>
      <c r="N1167" s="208">
        <v>4.0</v>
      </c>
      <c r="O1167" s="201">
        <f t="shared" si="6"/>
        <v>4</v>
      </c>
      <c r="P1167" s="208">
        <v>2.0</v>
      </c>
      <c r="Q1167" s="429">
        <v>46289.02365740741</v>
      </c>
      <c r="R1167" s="430">
        <v>24.0</v>
      </c>
      <c r="S1167" s="430">
        <v>9.0</v>
      </c>
      <c r="T1167" s="208">
        <v>2026.0</v>
      </c>
      <c r="U1167" s="209" t="s">
        <v>245</v>
      </c>
      <c r="V1167" s="208">
        <v>70.0</v>
      </c>
      <c r="W1167" s="429">
        <v>46289.02365740741</v>
      </c>
      <c r="X1167" s="208">
        <v>24.0</v>
      </c>
      <c r="Y1167" s="208">
        <v>9.0</v>
      </c>
      <c r="Z1167" s="208">
        <v>2026.0</v>
      </c>
      <c r="AA1167" s="209" t="s">
        <v>245</v>
      </c>
    </row>
    <row r="1168" ht="15.75" hidden="1" customHeight="1">
      <c r="A1168" s="209" t="s">
        <v>2989</v>
      </c>
      <c r="B1168" s="209" t="s">
        <v>2990</v>
      </c>
      <c r="C1168" s="429">
        <v>46281.0</v>
      </c>
      <c r="D1168" s="208">
        <v>16.0</v>
      </c>
      <c r="E1168" s="208">
        <v>9.0</v>
      </c>
      <c r="F1168" s="208">
        <v>2026.0</v>
      </c>
      <c r="G1168" s="429">
        <v>46284.0</v>
      </c>
      <c r="H1168" s="208">
        <v>19.0</v>
      </c>
      <c r="I1168" s="208">
        <v>9.0</v>
      </c>
      <c r="J1168" s="208">
        <v>2026.0</v>
      </c>
      <c r="K1168" s="209" t="s">
        <v>51</v>
      </c>
      <c r="L1168" s="209" t="s">
        <v>1177</v>
      </c>
      <c r="M1168" s="208">
        <v>1.0</v>
      </c>
      <c r="N1168" s="208">
        <v>3.0</v>
      </c>
      <c r="O1168" s="201">
        <f t="shared" si="6"/>
        <v>3</v>
      </c>
      <c r="P1168" s="208">
        <v>6.0</v>
      </c>
      <c r="Q1168" s="429">
        <v>46295.0</v>
      </c>
      <c r="R1168" s="208">
        <v>30.0</v>
      </c>
      <c r="S1168" s="208">
        <v>9.0</v>
      </c>
      <c r="T1168" s="208">
        <v>2026.0</v>
      </c>
      <c r="U1168" s="209" t="s">
        <v>2</v>
      </c>
      <c r="V1168" s="209">
        <v>88.73</v>
      </c>
      <c r="W1168" s="429">
        <v>46295.0</v>
      </c>
      <c r="X1168" s="208">
        <v>30.0</v>
      </c>
      <c r="Y1168" s="208">
        <v>9.0</v>
      </c>
      <c r="Z1168" s="208">
        <v>2026.0</v>
      </c>
      <c r="AA1168" s="209" t="s">
        <v>2</v>
      </c>
    </row>
    <row r="1169" ht="15.75" hidden="1" customHeight="1">
      <c r="A1169" s="209" t="s">
        <v>2991</v>
      </c>
      <c r="B1169" s="209" t="s">
        <v>2992</v>
      </c>
      <c r="C1169" s="429">
        <v>46281.0</v>
      </c>
      <c r="D1169" s="208">
        <v>16.0</v>
      </c>
      <c r="E1169" s="208">
        <v>9.0</v>
      </c>
      <c r="F1169" s="208">
        <v>2026.0</v>
      </c>
      <c r="G1169" s="429">
        <v>46283.0</v>
      </c>
      <c r="H1169" s="208">
        <v>18.0</v>
      </c>
      <c r="I1169" s="208">
        <v>9.0</v>
      </c>
      <c r="J1169" s="208">
        <v>2026.0</v>
      </c>
      <c r="K1169" s="209" t="s">
        <v>46</v>
      </c>
      <c r="L1169" s="209" t="s">
        <v>1177</v>
      </c>
      <c r="M1169" s="208">
        <v>1.0</v>
      </c>
      <c r="N1169" s="208">
        <v>2.0</v>
      </c>
      <c r="O1169" s="201">
        <f t="shared" si="6"/>
        <v>2</v>
      </c>
      <c r="P1169" s="208">
        <v>4.0</v>
      </c>
      <c r="Q1169" s="429">
        <v>46283.85780092593</v>
      </c>
      <c r="R1169" s="430">
        <v>18.0</v>
      </c>
      <c r="S1169" s="430">
        <v>9.0</v>
      </c>
      <c r="T1169" s="208">
        <v>2026.0</v>
      </c>
      <c r="U1169" s="209" t="s">
        <v>245</v>
      </c>
      <c r="V1169" s="209">
        <v>67.15</v>
      </c>
      <c r="W1169" s="429">
        <v>46283.85780092593</v>
      </c>
      <c r="X1169" s="208">
        <v>18.0</v>
      </c>
      <c r="Y1169" s="208">
        <v>9.0</v>
      </c>
      <c r="Z1169" s="208">
        <v>2026.0</v>
      </c>
      <c r="AA1169" s="209" t="s">
        <v>245</v>
      </c>
    </row>
    <row r="1170" ht="15.75" hidden="1" customHeight="1">
      <c r="A1170" s="209" t="s">
        <v>2993</v>
      </c>
      <c r="B1170" s="209" t="s">
        <v>2994</v>
      </c>
      <c r="C1170" s="429">
        <v>46275.0</v>
      </c>
      <c r="D1170" s="208">
        <v>10.0</v>
      </c>
      <c r="E1170" s="208">
        <v>9.0</v>
      </c>
      <c r="F1170" s="208">
        <v>2026.0</v>
      </c>
      <c r="G1170" s="429">
        <v>46277.0</v>
      </c>
      <c r="H1170" s="208">
        <v>12.0</v>
      </c>
      <c r="I1170" s="208">
        <v>9.0</v>
      </c>
      <c r="J1170" s="208">
        <v>2026.0</v>
      </c>
      <c r="K1170" s="209" t="s">
        <v>46</v>
      </c>
      <c r="L1170" s="209" t="s">
        <v>1177</v>
      </c>
      <c r="M1170" s="208">
        <v>1.0</v>
      </c>
      <c r="N1170" s="208">
        <v>1.0</v>
      </c>
      <c r="O1170" s="201">
        <f t="shared" si="6"/>
        <v>1</v>
      </c>
      <c r="P1170" s="208">
        <v>2.0</v>
      </c>
      <c r="Q1170" s="429">
        <v>46276.79145833333</v>
      </c>
      <c r="R1170" s="430">
        <v>11.0</v>
      </c>
      <c r="S1170" s="430">
        <v>9.0</v>
      </c>
      <c r="T1170" s="208">
        <v>2026.0</v>
      </c>
      <c r="U1170" s="209" t="s">
        <v>245</v>
      </c>
      <c r="V1170" s="209">
        <v>29.75</v>
      </c>
      <c r="W1170" s="429">
        <v>46276.79145833333</v>
      </c>
      <c r="X1170" s="208">
        <v>11.0</v>
      </c>
      <c r="Y1170" s="208">
        <v>9.0</v>
      </c>
      <c r="Z1170" s="208">
        <v>2026.0</v>
      </c>
      <c r="AA1170" s="209" t="s">
        <v>245</v>
      </c>
    </row>
    <row r="1171" ht="15.75" hidden="1" customHeight="1">
      <c r="A1171" s="209" t="s">
        <v>2995</v>
      </c>
      <c r="B1171" s="209" t="s">
        <v>2996</v>
      </c>
      <c r="C1171" s="429">
        <v>46267.0</v>
      </c>
      <c r="D1171" s="208">
        <v>2.0</v>
      </c>
      <c r="E1171" s="208">
        <v>9.0</v>
      </c>
      <c r="F1171" s="208">
        <v>2026.0</v>
      </c>
      <c r="G1171" s="429">
        <v>46270.0</v>
      </c>
      <c r="H1171" s="208">
        <v>5.0</v>
      </c>
      <c r="I1171" s="208">
        <v>9.0</v>
      </c>
      <c r="J1171" s="208">
        <v>2026.0</v>
      </c>
      <c r="K1171" s="209" t="s">
        <v>51</v>
      </c>
      <c r="L1171" s="209" t="s">
        <v>1177</v>
      </c>
      <c r="M1171" s="208">
        <v>1.0</v>
      </c>
      <c r="N1171" s="208">
        <v>3.0</v>
      </c>
      <c r="O1171" s="201">
        <f t="shared" si="6"/>
        <v>3</v>
      </c>
      <c r="P1171" s="208">
        <v>6.0</v>
      </c>
      <c r="Q1171" s="429">
        <v>46295.0</v>
      </c>
      <c r="R1171" s="208">
        <v>30.0</v>
      </c>
      <c r="S1171" s="208">
        <v>9.0</v>
      </c>
      <c r="T1171" s="208">
        <v>2026.0</v>
      </c>
      <c r="U1171" s="209" t="s">
        <v>2</v>
      </c>
      <c r="V1171" s="209">
        <v>114.07</v>
      </c>
      <c r="W1171" s="429">
        <v>46295.0</v>
      </c>
      <c r="X1171" s="208">
        <v>30.0</v>
      </c>
      <c r="Y1171" s="208">
        <v>9.0</v>
      </c>
      <c r="Z1171" s="208">
        <v>2026.0</v>
      </c>
      <c r="AA1171" s="209" t="s">
        <v>2</v>
      </c>
    </row>
    <row r="1172" ht="15.75" hidden="1" customHeight="1">
      <c r="A1172" s="209" t="s">
        <v>2997</v>
      </c>
      <c r="B1172" s="208">
        <v>6.966041119E9</v>
      </c>
      <c r="C1172" s="429">
        <v>46286.0</v>
      </c>
      <c r="D1172" s="208">
        <v>21.0</v>
      </c>
      <c r="E1172" s="208">
        <v>9.0</v>
      </c>
      <c r="F1172" s="208">
        <v>2026.0</v>
      </c>
      <c r="G1172" s="429">
        <v>46289.0</v>
      </c>
      <c r="H1172" s="208">
        <v>24.0</v>
      </c>
      <c r="I1172" s="208">
        <v>9.0</v>
      </c>
      <c r="J1172" s="208">
        <v>2026.0</v>
      </c>
      <c r="K1172" s="209" t="s">
        <v>36</v>
      </c>
      <c r="L1172" s="209" t="s">
        <v>1177</v>
      </c>
      <c r="M1172" s="208">
        <v>1.0</v>
      </c>
      <c r="N1172" s="208">
        <v>3.0</v>
      </c>
      <c r="O1172" s="201">
        <f t="shared" si="6"/>
        <v>3</v>
      </c>
      <c r="P1172" s="208">
        <v>6.0</v>
      </c>
      <c r="Q1172" s="429">
        <v>46296.0</v>
      </c>
      <c r="R1172" s="208">
        <v>1.0</v>
      </c>
      <c r="S1172" s="208">
        <v>10.0</v>
      </c>
      <c r="T1172" s="208">
        <v>2026.0</v>
      </c>
      <c r="U1172" s="209" t="s">
        <v>36</v>
      </c>
      <c r="V1172" s="209">
        <v>104.42</v>
      </c>
      <c r="W1172" s="429">
        <v>46296.0</v>
      </c>
      <c r="X1172" s="208">
        <v>1.0</v>
      </c>
      <c r="Y1172" s="208">
        <v>10.0</v>
      </c>
      <c r="Z1172" s="208">
        <v>2026.0</v>
      </c>
      <c r="AA1172" s="209" t="s">
        <v>36</v>
      </c>
    </row>
    <row r="1173" ht="15.75" hidden="1" customHeight="1">
      <c r="A1173" s="209" t="s">
        <v>2998</v>
      </c>
      <c r="B1173" s="208">
        <v>6.520113954E9</v>
      </c>
      <c r="C1173" s="429">
        <v>46269.0</v>
      </c>
      <c r="D1173" s="208">
        <v>4.0</v>
      </c>
      <c r="E1173" s="208">
        <v>9.0</v>
      </c>
      <c r="F1173" s="208">
        <v>2026.0</v>
      </c>
      <c r="G1173" s="429">
        <v>46272.0</v>
      </c>
      <c r="H1173" s="208">
        <v>7.0</v>
      </c>
      <c r="I1173" s="208">
        <v>9.0</v>
      </c>
      <c r="J1173" s="208">
        <v>2026.0</v>
      </c>
      <c r="K1173" s="209" t="s">
        <v>36</v>
      </c>
      <c r="L1173" s="209" t="s">
        <v>1177</v>
      </c>
      <c r="M1173" s="208">
        <v>1.0</v>
      </c>
      <c r="N1173" s="208">
        <v>3.0</v>
      </c>
      <c r="O1173" s="201">
        <f t="shared" si="6"/>
        <v>3</v>
      </c>
      <c r="P1173" s="208">
        <v>6.0</v>
      </c>
      <c r="Q1173" s="429">
        <v>46296.0</v>
      </c>
      <c r="R1173" s="208">
        <v>1.0</v>
      </c>
      <c r="S1173" s="208">
        <v>10.0</v>
      </c>
      <c r="T1173" s="208">
        <v>2026.0</v>
      </c>
      <c r="U1173" s="209" t="s">
        <v>36</v>
      </c>
      <c r="V1173" s="209">
        <v>87.7</v>
      </c>
      <c r="W1173" s="429">
        <v>46296.0</v>
      </c>
      <c r="X1173" s="208">
        <v>1.0</v>
      </c>
      <c r="Y1173" s="208">
        <v>10.0</v>
      </c>
      <c r="Z1173" s="208">
        <v>2026.0</v>
      </c>
      <c r="AA1173" s="209" t="s">
        <v>36</v>
      </c>
    </row>
    <row r="1174" ht="15.75" hidden="1" customHeight="1">
      <c r="A1174" s="209" t="s">
        <v>2999</v>
      </c>
      <c r="B1174" s="209" t="s">
        <v>3000</v>
      </c>
      <c r="C1174" s="429">
        <v>46292.0</v>
      </c>
      <c r="D1174" s="208">
        <v>27.0</v>
      </c>
      <c r="E1174" s="208">
        <v>9.0</v>
      </c>
      <c r="F1174" s="208">
        <v>2026.0</v>
      </c>
      <c r="G1174" s="429">
        <v>46295.0</v>
      </c>
      <c r="H1174" s="208">
        <v>30.0</v>
      </c>
      <c r="I1174" s="208">
        <v>9.0</v>
      </c>
      <c r="J1174" s="208">
        <v>2026.0</v>
      </c>
      <c r="K1174" s="209" t="s">
        <v>51</v>
      </c>
      <c r="L1174" s="209" t="s">
        <v>1177</v>
      </c>
      <c r="M1174" s="208">
        <v>1.0</v>
      </c>
      <c r="N1174" s="208">
        <v>3.0</v>
      </c>
      <c r="O1174" s="201">
        <f t="shared" si="6"/>
        <v>3</v>
      </c>
      <c r="P1174" s="208">
        <v>6.0</v>
      </c>
      <c r="Q1174" s="429">
        <v>46295.0</v>
      </c>
      <c r="R1174" s="208">
        <v>30.0</v>
      </c>
      <c r="S1174" s="208">
        <v>9.0</v>
      </c>
      <c r="T1174" s="208">
        <v>2026.0</v>
      </c>
      <c r="U1174" s="209" t="s">
        <v>2</v>
      </c>
      <c r="V1174" s="209">
        <v>97.18</v>
      </c>
      <c r="W1174" s="429">
        <v>46295.0</v>
      </c>
      <c r="X1174" s="208">
        <v>30.0</v>
      </c>
      <c r="Y1174" s="208">
        <v>9.0</v>
      </c>
      <c r="Z1174" s="208">
        <v>2026.0</v>
      </c>
      <c r="AA1174" s="209" t="s">
        <v>2</v>
      </c>
    </row>
    <row r="1175" ht="15.75" hidden="1" customHeight="1">
      <c r="A1175" s="209" t="s">
        <v>3001</v>
      </c>
      <c r="B1175" s="208">
        <v>5.948436543E9</v>
      </c>
      <c r="C1175" s="429">
        <v>46275.0</v>
      </c>
      <c r="D1175" s="208">
        <v>10.0</v>
      </c>
      <c r="E1175" s="208">
        <v>9.0</v>
      </c>
      <c r="F1175" s="208">
        <v>2026.0</v>
      </c>
      <c r="G1175" s="429">
        <v>46278.0</v>
      </c>
      <c r="H1175" s="208">
        <v>13.0</v>
      </c>
      <c r="I1175" s="208">
        <v>9.0</v>
      </c>
      <c r="J1175" s="208">
        <v>2026.0</v>
      </c>
      <c r="K1175" s="209" t="s">
        <v>36</v>
      </c>
      <c r="L1175" s="209" t="s">
        <v>1177</v>
      </c>
      <c r="M1175" s="208">
        <v>1.0</v>
      </c>
      <c r="N1175" s="208">
        <v>3.0</v>
      </c>
      <c r="O1175" s="201">
        <f t="shared" si="6"/>
        <v>3</v>
      </c>
      <c r="P1175" s="208">
        <v>6.0</v>
      </c>
      <c r="Q1175" s="429">
        <v>46296.0</v>
      </c>
      <c r="R1175" s="208">
        <v>1.0</v>
      </c>
      <c r="S1175" s="208">
        <v>10.0</v>
      </c>
      <c r="T1175" s="208">
        <v>2026.0</v>
      </c>
      <c r="U1175" s="209" t="s">
        <v>36</v>
      </c>
      <c r="V1175" s="209">
        <v>112.78</v>
      </c>
      <c r="W1175" s="429">
        <v>46296.0</v>
      </c>
      <c r="X1175" s="208">
        <v>1.0</v>
      </c>
      <c r="Y1175" s="208">
        <v>10.0</v>
      </c>
      <c r="Z1175" s="208">
        <v>2026.0</v>
      </c>
      <c r="AA1175" s="209" t="s">
        <v>36</v>
      </c>
    </row>
    <row r="1176" ht="15.75" hidden="1" customHeight="1">
      <c r="A1176" s="209" t="s">
        <v>3002</v>
      </c>
      <c r="B1176" s="208">
        <v>6.261325531E9</v>
      </c>
      <c r="C1176" s="429">
        <v>46272.0</v>
      </c>
      <c r="D1176" s="208">
        <v>7.0</v>
      </c>
      <c r="E1176" s="208">
        <v>9.0</v>
      </c>
      <c r="F1176" s="208">
        <v>2026.0</v>
      </c>
      <c r="G1176" s="429">
        <v>46275.0</v>
      </c>
      <c r="H1176" s="208">
        <v>10.0</v>
      </c>
      <c r="I1176" s="208">
        <v>9.0</v>
      </c>
      <c r="J1176" s="208">
        <v>2026.0</v>
      </c>
      <c r="K1176" s="209" t="s">
        <v>36</v>
      </c>
      <c r="L1176" s="209" t="s">
        <v>1177</v>
      </c>
      <c r="M1176" s="208">
        <v>1.0</v>
      </c>
      <c r="N1176" s="208">
        <v>3.0</v>
      </c>
      <c r="O1176" s="201">
        <f t="shared" si="6"/>
        <v>3</v>
      </c>
      <c r="P1176" s="208">
        <v>6.0</v>
      </c>
      <c r="Q1176" s="429">
        <v>46296.0</v>
      </c>
      <c r="R1176" s="208">
        <v>1.0</v>
      </c>
      <c r="S1176" s="208">
        <v>10.0</v>
      </c>
      <c r="T1176" s="208">
        <v>2026.0</v>
      </c>
      <c r="U1176" s="209" t="s">
        <v>36</v>
      </c>
      <c r="V1176" s="209">
        <v>87.7</v>
      </c>
      <c r="W1176" s="429">
        <v>46296.0</v>
      </c>
      <c r="X1176" s="208">
        <v>1.0</v>
      </c>
      <c r="Y1176" s="208">
        <v>10.0</v>
      </c>
      <c r="Z1176" s="208">
        <v>2026.0</v>
      </c>
      <c r="AA1176" s="209" t="s">
        <v>36</v>
      </c>
    </row>
    <row r="1177" ht="15.75" hidden="1" customHeight="1">
      <c r="A1177" s="209" t="s">
        <v>3003</v>
      </c>
      <c r="B1177" s="208">
        <v>6.689969682E9</v>
      </c>
      <c r="C1177" s="429">
        <v>46280.0</v>
      </c>
      <c r="D1177" s="208">
        <v>15.0</v>
      </c>
      <c r="E1177" s="208">
        <v>9.0</v>
      </c>
      <c r="F1177" s="208">
        <v>2026.0</v>
      </c>
      <c r="G1177" s="429">
        <v>46283.0</v>
      </c>
      <c r="H1177" s="208">
        <v>18.0</v>
      </c>
      <c r="I1177" s="208">
        <v>9.0</v>
      </c>
      <c r="J1177" s="208">
        <v>2026.0</v>
      </c>
      <c r="K1177" s="209" t="s">
        <v>36</v>
      </c>
      <c r="L1177" s="209" t="s">
        <v>1177</v>
      </c>
      <c r="M1177" s="208">
        <v>1.0</v>
      </c>
      <c r="N1177" s="208">
        <v>3.0</v>
      </c>
      <c r="O1177" s="201">
        <f t="shared" si="6"/>
        <v>3</v>
      </c>
      <c r="P1177" s="208">
        <v>6.0</v>
      </c>
      <c r="Q1177" s="429">
        <v>46296.0</v>
      </c>
      <c r="R1177" s="208">
        <v>1.0</v>
      </c>
      <c r="S1177" s="208">
        <v>10.0</v>
      </c>
      <c r="T1177" s="208">
        <v>2026.0</v>
      </c>
      <c r="U1177" s="209" t="s">
        <v>36</v>
      </c>
      <c r="V1177" s="209">
        <v>110.27</v>
      </c>
      <c r="W1177" s="429">
        <v>46296.0</v>
      </c>
      <c r="X1177" s="208">
        <v>1.0</v>
      </c>
      <c r="Y1177" s="208">
        <v>10.0</v>
      </c>
      <c r="Z1177" s="208">
        <v>2026.0</v>
      </c>
      <c r="AA1177" s="209" t="s">
        <v>36</v>
      </c>
    </row>
    <row r="1178" ht="15.75" hidden="1" customHeight="1">
      <c r="A1178" s="209" t="s">
        <v>3004</v>
      </c>
      <c r="B1178" s="208">
        <v>5.047333069E9</v>
      </c>
      <c r="C1178" s="429">
        <v>46269.0</v>
      </c>
      <c r="D1178" s="208">
        <v>4.0</v>
      </c>
      <c r="E1178" s="208">
        <v>9.0</v>
      </c>
      <c r="F1178" s="208">
        <v>2026.0</v>
      </c>
      <c r="G1178" s="429">
        <v>46272.0</v>
      </c>
      <c r="H1178" s="208">
        <v>7.0</v>
      </c>
      <c r="I1178" s="208">
        <v>9.0</v>
      </c>
      <c r="J1178" s="208">
        <v>2026.0</v>
      </c>
      <c r="K1178" s="209" t="s">
        <v>36</v>
      </c>
      <c r="L1178" s="209" t="s">
        <v>1177</v>
      </c>
      <c r="M1178" s="208">
        <v>1.0</v>
      </c>
      <c r="N1178" s="208">
        <v>3.0</v>
      </c>
      <c r="O1178" s="201">
        <f t="shared" si="6"/>
        <v>3</v>
      </c>
      <c r="P1178" s="208">
        <v>6.0</v>
      </c>
      <c r="Q1178" s="429">
        <v>46296.0</v>
      </c>
      <c r="R1178" s="208">
        <v>1.0</v>
      </c>
      <c r="S1178" s="208">
        <v>10.0</v>
      </c>
      <c r="T1178" s="208">
        <v>2026.0</v>
      </c>
      <c r="U1178" s="209" t="s">
        <v>36</v>
      </c>
      <c r="V1178" s="209">
        <v>146.22</v>
      </c>
      <c r="W1178" s="429">
        <v>46296.0</v>
      </c>
      <c r="X1178" s="208">
        <v>1.0</v>
      </c>
      <c r="Y1178" s="208">
        <v>10.0</v>
      </c>
      <c r="Z1178" s="208">
        <v>2026.0</v>
      </c>
      <c r="AA1178" s="209" t="s">
        <v>36</v>
      </c>
    </row>
    <row r="1179" ht="15.75" hidden="1" customHeight="1">
      <c r="A1179" s="209" t="s">
        <v>3005</v>
      </c>
      <c r="B1179" s="208">
        <v>6.367748374E9</v>
      </c>
      <c r="C1179" s="429">
        <v>46292.0</v>
      </c>
      <c r="D1179" s="208">
        <v>27.0</v>
      </c>
      <c r="E1179" s="208">
        <v>9.0</v>
      </c>
      <c r="F1179" s="208">
        <v>2026.0</v>
      </c>
      <c r="G1179" s="429">
        <v>46295.0</v>
      </c>
      <c r="H1179" s="208">
        <v>30.0</v>
      </c>
      <c r="I1179" s="208">
        <v>9.0</v>
      </c>
      <c r="J1179" s="208">
        <v>2026.0</v>
      </c>
      <c r="K1179" s="209" t="s">
        <v>36</v>
      </c>
      <c r="L1179" s="209" t="s">
        <v>1177</v>
      </c>
      <c r="M1179" s="208">
        <v>1.0</v>
      </c>
      <c r="N1179" s="208">
        <v>3.0</v>
      </c>
      <c r="O1179" s="201">
        <f t="shared" si="6"/>
        <v>3</v>
      </c>
      <c r="P1179" s="208">
        <v>6.0</v>
      </c>
      <c r="Q1179" s="429">
        <v>46296.0</v>
      </c>
      <c r="R1179" s="208">
        <v>1.0</v>
      </c>
      <c r="S1179" s="208">
        <v>10.0</v>
      </c>
      <c r="T1179" s="208">
        <v>2026.0</v>
      </c>
      <c r="U1179" s="209" t="s">
        <v>36</v>
      </c>
      <c r="V1179" s="209">
        <v>83.52</v>
      </c>
      <c r="W1179" s="429">
        <v>46296.0</v>
      </c>
      <c r="X1179" s="208">
        <v>1.0</v>
      </c>
      <c r="Y1179" s="208">
        <v>10.0</v>
      </c>
      <c r="Z1179" s="208">
        <v>2026.0</v>
      </c>
      <c r="AA1179" s="209" t="s">
        <v>36</v>
      </c>
    </row>
    <row r="1180" ht="15.75" hidden="1" customHeight="1">
      <c r="A1180" s="209" t="s">
        <v>3006</v>
      </c>
      <c r="B1180" s="208">
        <v>6.427966138E9</v>
      </c>
      <c r="C1180" s="429">
        <v>46286.0</v>
      </c>
      <c r="D1180" s="208">
        <v>21.0</v>
      </c>
      <c r="E1180" s="208">
        <v>9.0</v>
      </c>
      <c r="F1180" s="208">
        <v>2026.0</v>
      </c>
      <c r="G1180" s="429">
        <v>46289.0</v>
      </c>
      <c r="H1180" s="208">
        <v>24.0</v>
      </c>
      <c r="I1180" s="208">
        <v>9.0</v>
      </c>
      <c r="J1180" s="208">
        <v>2026.0</v>
      </c>
      <c r="K1180" s="209" t="s">
        <v>36</v>
      </c>
      <c r="L1180" s="209" t="s">
        <v>1177</v>
      </c>
      <c r="M1180" s="208">
        <v>1.0</v>
      </c>
      <c r="N1180" s="208">
        <v>3.0</v>
      </c>
      <c r="O1180" s="201">
        <f t="shared" si="6"/>
        <v>3</v>
      </c>
      <c r="P1180" s="208">
        <v>6.0</v>
      </c>
      <c r="Q1180" s="429">
        <v>46296.0</v>
      </c>
      <c r="R1180" s="208">
        <v>1.0</v>
      </c>
      <c r="S1180" s="208">
        <v>10.0</v>
      </c>
      <c r="T1180" s="208">
        <v>2026.0</v>
      </c>
      <c r="U1180" s="209" t="s">
        <v>36</v>
      </c>
      <c r="V1180" s="209">
        <v>104.42</v>
      </c>
      <c r="W1180" s="429">
        <v>46296.0</v>
      </c>
      <c r="X1180" s="208">
        <v>1.0</v>
      </c>
      <c r="Y1180" s="208">
        <v>10.0</v>
      </c>
      <c r="Z1180" s="208">
        <v>2026.0</v>
      </c>
      <c r="AA1180" s="209" t="s">
        <v>36</v>
      </c>
    </row>
    <row r="1181" ht="15.75" hidden="1" customHeight="1">
      <c r="A1181" s="209" t="s">
        <v>3007</v>
      </c>
      <c r="B1181" s="208">
        <v>6.604572447E9</v>
      </c>
      <c r="C1181" s="429">
        <v>46284.0</v>
      </c>
      <c r="D1181" s="208">
        <v>19.0</v>
      </c>
      <c r="E1181" s="208">
        <v>9.0</v>
      </c>
      <c r="F1181" s="208">
        <v>2026.0</v>
      </c>
      <c r="G1181" s="429">
        <v>46287.0</v>
      </c>
      <c r="H1181" s="208">
        <v>22.0</v>
      </c>
      <c r="I1181" s="208">
        <v>9.0</v>
      </c>
      <c r="J1181" s="208">
        <v>2026.0</v>
      </c>
      <c r="K1181" s="209" t="s">
        <v>36</v>
      </c>
      <c r="L1181" s="209" t="s">
        <v>1177</v>
      </c>
      <c r="M1181" s="208">
        <v>1.0</v>
      </c>
      <c r="N1181" s="208">
        <v>3.0</v>
      </c>
      <c r="O1181" s="201">
        <f t="shared" si="6"/>
        <v>3</v>
      </c>
      <c r="P1181" s="208">
        <v>6.0</v>
      </c>
      <c r="Q1181" s="429">
        <v>46296.0</v>
      </c>
      <c r="R1181" s="208">
        <v>1.0</v>
      </c>
      <c r="S1181" s="208">
        <v>10.0</v>
      </c>
      <c r="T1181" s="208">
        <v>2026.0</v>
      </c>
      <c r="U1181" s="209" t="s">
        <v>36</v>
      </c>
      <c r="V1181" s="209">
        <v>104.42</v>
      </c>
      <c r="W1181" s="429">
        <v>46296.0</v>
      </c>
      <c r="X1181" s="208">
        <v>1.0</v>
      </c>
      <c r="Y1181" s="208">
        <v>10.0</v>
      </c>
      <c r="Z1181" s="208">
        <v>2026.0</v>
      </c>
      <c r="AA1181" s="209" t="s">
        <v>36</v>
      </c>
    </row>
    <row r="1182" ht="15.75" hidden="1" customHeight="1">
      <c r="A1182" s="209" t="s">
        <v>3008</v>
      </c>
      <c r="B1182" s="209" t="s">
        <v>3009</v>
      </c>
      <c r="C1182" s="429">
        <v>46281.0</v>
      </c>
      <c r="D1182" s="208">
        <v>16.0</v>
      </c>
      <c r="E1182" s="208">
        <v>9.0</v>
      </c>
      <c r="F1182" s="208">
        <v>2026.0</v>
      </c>
      <c r="G1182" s="429">
        <v>46284.0</v>
      </c>
      <c r="H1182" s="208">
        <v>19.0</v>
      </c>
      <c r="I1182" s="208">
        <v>9.0</v>
      </c>
      <c r="J1182" s="208">
        <v>2026.0</v>
      </c>
      <c r="K1182" s="209" t="s">
        <v>51</v>
      </c>
      <c r="L1182" s="209" t="s">
        <v>1177</v>
      </c>
      <c r="M1182" s="208">
        <v>1.0</v>
      </c>
      <c r="N1182" s="208">
        <v>3.0</v>
      </c>
      <c r="O1182" s="201">
        <f t="shared" si="6"/>
        <v>3</v>
      </c>
      <c r="P1182" s="208">
        <v>6.0</v>
      </c>
      <c r="Q1182" s="429">
        <v>46295.0</v>
      </c>
      <c r="R1182" s="208">
        <v>30.0</v>
      </c>
      <c r="S1182" s="208">
        <v>9.0</v>
      </c>
      <c r="T1182" s="208">
        <v>2026.0</v>
      </c>
      <c r="U1182" s="209" t="s">
        <v>2</v>
      </c>
      <c r="V1182" s="209">
        <v>88.73</v>
      </c>
      <c r="W1182" s="429">
        <v>46295.0</v>
      </c>
      <c r="X1182" s="208">
        <v>30.0</v>
      </c>
      <c r="Y1182" s="208">
        <v>9.0</v>
      </c>
      <c r="Z1182" s="208">
        <v>2026.0</v>
      </c>
      <c r="AA1182" s="209" t="s">
        <v>2</v>
      </c>
    </row>
    <row r="1183" ht="15.75" hidden="1" customHeight="1">
      <c r="A1183" s="209" t="s">
        <v>3010</v>
      </c>
      <c r="B1183" s="208">
        <v>6.75025919E9</v>
      </c>
      <c r="C1183" s="429">
        <v>46276.0</v>
      </c>
      <c r="D1183" s="208">
        <v>11.0</v>
      </c>
      <c r="E1183" s="208">
        <v>9.0</v>
      </c>
      <c r="F1183" s="208">
        <v>2026.0</v>
      </c>
      <c r="G1183" s="429">
        <v>46279.0</v>
      </c>
      <c r="H1183" s="208">
        <v>14.0</v>
      </c>
      <c r="I1183" s="208">
        <v>9.0</v>
      </c>
      <c r="J1183" s="208">
        <v>2026.0</v>
      </c>
      <c r="K1183" s="209" t="s">
        <v>36</v>
      </c>
      <c r="L1183" s="209" t="s">
        <v>1177</v>
      </c>
      <c r="M1183" s="208">
        <v>1.0</v>
      </c>
      <c r="N1183" s="208">
        <v>3.0</v>
      </c>
      <c r="O1183" s="201">
        <f t="shared" si="6"/>
        <v>3</v>
      </c>
      <c r="P1183" s="208">
        <v>6.0</v>
      </c>
      <c r="Q1183" s="429">
        <v>46296.0</v>
      </c>
      <c r="R1183" s="208">
        <v>1.0</v>
      </c>
      <c r="S1183" s="208">
        <v>10.0</v>
      </c>
      <c r="T1183" s="208">
        <v>2026.0</v>
      </c>
      <c r="U1183" s="209" t="s">
        <v>36</v>
      </c>
      <c r="V1183" s="209">
        <v>112.78</v>
      </c>
      <c r="W1183" s="429">
        <v>46296.0</v>
      </c>
      <c r="X1183" s="208">
        <v>1.0</v>
      </c>
      <c r="Y1183" s="208">
        <v>10.0</v>
      </c>
      <c r="Z1183" s="208">
        <v>2026.0</v>
      </c>
      <c r="AA1183" s="209" t="s">
        <v>36</v>
      </c>
    </row>
    <row r="1184" ht="15.75" hidden="1" customHeight="1">
      <c r="A1184" s="209" t="s">
        <v>3011</v>
      </c>
      <c r="B1184" s="208">
        <v>5.770857136E9</v>
      </c>
      <c r="C1184" s="429">
        <v>46287.0</v>
      </c>
      <c r="D1184" s="208">
        <v>22.0</v>
      </c>
      <c r="E1184" s="208">
        <v>9.0</v>
      </c>
      <c r="F1184" s="208">
        <v>2026.0</v>
      </c>
      <c r="G1184" s="429">
        <v>46290.0</v>
      </c>
      <c r="H1184" s="208">
        <v>25.0</v>
      </c>
      <c r="I1184" s="208">
        <v>9.0</v>
      </c>
      <c r="J1184" s="208">
        <v>2026.0</v>
      </c>
      <c r="K1184" s="209" t="s">
        <v>36</v>
      </c>
      <c r="L1184" s="209" t="s">
        <v>1177</v>
      </c>
      <c r="M1184" s="208">
        <v>1.0</v>
      </c>
      <c r="N1184" s="208">
        <v>3.0</v>
      </c>
      <c r="O1184" s="201">
        <f t="shared" si="6"/>
        <v>3</v>
      </c>
      <c r="P1184" s="208">
        <v>6.0</v>
      </c>
      <c r="Q1184" s="429">
        <v>46296.0</v>
      </c>
      <c r="R1184" s="208">
        <v>1.0</v>
      </c>
      <c r="S1184" s="208">
        <v>10.0</v>
      </c>
      <c r="T1184" s="208">
        <v>2026.0</v>
      </c>
      <c r="U1184" s="209" t="s">
        <v>36</v>
      </c>
      <c r="V1184" s="209">
        <v>82.68</v>
      </c>
      <c r="W1184" s="429">
        <v>46296.0</v>
      </c>
      <c r="X1184" s="208">
        <v>1.0</v>
      </c>
      <c r="Y1184" s="208">
        <v>10.0</v>
      </c>
      <c r="Z1184" s="208">
        <v>2026.0</v>
      </c>
      <c r="AA1184" s="209" t="s">
        <v>36</v>
      </c>
    </row>
    <row r="1185" ht="15.75" hidden="1" customHeight="1">
      <c r="A1185" s="433" t="s">
        <v>3012</v>
      </c>
      <c r="B1185" s="209" t="s">
        <v>3013</v>
      </c>
      <c r="C1185" s="429">
        <v>46290.0</v>
      </c>
      <c r="D1185" s="208">
        <v>25.0</v>
      </c>
      <c r="E1185" s="208">
        <v>9.0</v>
      </c>
      <c r="F1185" s="208">
        <v>2026.0</v>
      </c>
      <c r="G1185" s="429">
        <v>46293.0</v>
      </c>
      <c r="H1185" s="208">
        <v>28.0</v>
      </c>
      <c r="I1185" s="208">
        <v>9.0</v>
      </c>
      <c r="J1185" s="208">
        <v>2026.0</v>
      </c>
      <c r="K1185" s="209" t="s">
        <v>51</v>
      </c>
      <c r="L1185" s="209" t="s">
        <v>1177</v>
      </c>
      <c r="M1185" s="208">
        <v>1.0</v>
      </c>
      <c r="N1185" s="208">
        <v>3.0</v>
      </c>
      <c r="O1185" s="201">
        <f t="shared" si="6"/>
        <v>3</v>
      </c>
      <c r="P1185" s="208">
        <v>6.0</v>
      </c>
      <c r="Q1185" s="429">
        <v>46294.300578703704</v>
      </c>
      <c r="R1185" s="208">
        <v>29.0</v>
      </c>
      <c r="S1185" s="208">
        <v>9.0</v>
      </c>
      <c r="T1185" s="208">
        <v>2026.0</v>
      </c>
      <c r="U1185" s="209" t="s">
        <v>2</v>
      </c>
      <c r="V1185" s="209">
        <v>82.73</v>
      </c>
      <c r="W1185" s="429">
        <v>46295.0</v>
      </c>
      <c r="X1185" s="208">
        <v>30.0</v>
      </c>
      <c r="Y1185" s="208">
        <v>9.0</v>
      </c>
      <c r="Z1185" s="208">
        <v>2026.0</v>
      </c>
      <c r="AA1185" s="209" t="s">
        <v>2</v>
      </c>
    </row>
    <row r="1186" ht="15.75" hidden="1" customHeight="1">
      <c r="A1186" s="209" t="s">
        <v>3014</v>
      </c>
      <c r="B1186" s="209" t="s">
        <v>3015</v>
      </c>
      <c r="C1186" s="429">
        <v>46281.0</v>
      </c>
      <c r="D1186" s="208">
        <v>16.0</v>
      </c>
      <c r="E1186" s="208">
        <v>9.0</v>
      </c>
      <c r="F1186" s="208">
        <v>2026.0</v>
      </c>
      <c r="G1186" s="429">
        <v>46282.0</v>
      </c>
      <c r="H1186" s="208">
        <v>17.0</v>
      </c>
      <c r="I1186" s="208">
        <v>9.0</v>
      </c>
      <c r="J1186" s="208">
        <v>2026.0</v>
      </c>
      <c r="K1186" s="209" t="s">
        <v>46</v>
      </c>
      <c r="L1186" s="209" t="s">
        <v>1177</v>
      </c>
      <c r="M1186" s="208">
        <v>1.0</v>
      </c>
      <c r="N1186" s="208">
        <v>1.0</v>
      </c>
      <c r="O1186" s="201">
        <f t="shared" si="6"/>
        <v>1</v>
      </c>
      <c r="P1186" s="208">
        <v>2.0</v>
      </c>
      <c r="Q1186" s="429">
        <v>46284.271886574075</v>
      </c>
      <c r="R1186" s="430">
        <v>19.0</v>
      </c>
      <c r="S1186" s="430">
        <v>9.0</v>
      </c>
      <c r="T1186" s="208">
        <v>2026.0</v>
      </c>
      <c r="U1186" s="209" t="s">
        <v>245</v>
      </c>
      <c r="V1186" s="209">
        <v>29.75</v>
      </c>
      <c r="W1186" s="429">
        <v>46284.271886574075</v>
      </c>
      <c r="X1186" s="208">
        <v>19.0</v>
      </c>
      <c r="Y1186" s="208">
        <v>9.0</v>
      </c>
      <c r="Z1186" s="208">
        <v>2026.0</v>
      </c>
      <c r="AA1186" s="209" t="s">
        <v>245</v>
      </c>
    </row>
    <row r="1187" ht="15.75" hidden="1" customHeight="1">
      <c r="A1187" s="209" t="s">
        <v>3016</v>
      </c>
      <c r="B1187" s="209" t="s">
        <v>3017</v>
      </c>
      <c r="C1187" s="429">
        <v>46271.0</v>
      </c>
      <c r="D1187" s="208">
        <v>6.0</v>
      </c>
      <c r="E1187" s="208">
        <v>9.0</v>
      </c>
      <c r="F1187" s="208">
        <v>2026.0</v>
      </c>
      <c r="G1187" s="429">
        <v>46272.0</v>
      </c>
      <c r="H1187" s="208">
        <v>7.0</v>
      </c>
      <c r="I1187" s="208">
        <v>9.0</v>
      </c>
      <c r="J1187" s="208">
        <v>2026.0</v>
      </c>
      <c r="K1187" s="209" t="s">
        <v>46</v>
      </c>
      <c r="L1187" s="209" t="s">
        <v>1177</v>
      </c>
      <c r="M1187" s="208">
        <v>1.0</v>
      </c>
      <c r="N1187" s="208">
        <v>1.0</v>
      </c>
      <c r="O1187" s="201">
        <f t="shared" si="6"/>
        <v>1</v>
      </c>
      <c r="P1187" s="208">
        <v>2.0</v>
      </c>
      <c r="Q1187" s="429">
        <v>46271.77412037037</v>
      </c>
      <c r="R1187" s="430">
        <v>6.0</v>
      </c>
      <c r="S1187" s="430">
        <v>9.0</v>
      </c>
      <c r="T1187" s="208">
        <v>2026.0</v>
      </c>
      <c r="U1187" s="209" t="s">
        <v>245</v>
      </c>
      <c r="V1187" s="209">
        <v>29.75</v>
      </c>
      <c r="W1187" s="429">
        <v>46271.77412037037</v>
      </c>
      <c r="X1187" s="208">
        <v>6.0</v>
      </c>
      <c r="Y1187" s="208">
        <v>9.0</v>
      </c>
      <c r="Z1187" s="208">
        <v>2026.0</v>
      </c>
      <c r="AA1187" s="209" t="s">
        <v>245</v>
      </c>
    </row>
    <row r="1188" ht="15.75" hidden="1" customHeight="1">
      <c r="A1188" s="209" t="s">
        <v>3018</v>
      </c>
      <c r="B1188" s="209" t="s">
        <v>3019</v>
      </c>
      <c r="C1188" s="429">
        <v>46267.0</v>
      </c>
      <c r="D1188" s="208">
        <v>2.0</v>
      </c>
      <c r="E1188" s="208">
        <v>9.0</v>
      </c>
      <c r="F1188" s="208">
        <v>2026.0</v>
      </c>
      <c r="G1188" s="429">
        <v>46268.0</v>
      </c>
      <c r="H1188" s="208">
        <v>3.0</v>
      </c>
      <c r="I1188" s="208">
        <v>9.0</v>
      </c>
      <c r="J1188" s="208">
        <v>2026.0</v>
      </c>
      <c r="K1188" s="209" t="s">
        <v>46</v>
      </c>
      <c r="L1188" s="209" t="s">
        <v>1177</v>
      </c>
      <c r="M1188" s="208">
        <v>1.0</v>
      </c>
      <c r="N1188" s="208">
        <v>1.0</v>
      </c>
      <c r="O1188" s="201">
        <f t="shared" si="6"/>
        <v>1</v>
      </c>
      <c r="P1188" s="208">
        <v>2.0</v>
      </c>
      <c r="Q1188" s="429">
        <v>46269.44818287037</v>
      </c>
      <c r="R1188" s="430">
        <v>4.0</v>
      </c>
      <c r="S1188" s="430">
        <v>9.0</v>
      </c>
      <c r="T1188" s="208">
        <v>2026.0</v>
      </c>
      <c r="U1188" s="209" t="s">
        <v>245</v>
      </c>
      <c r="V1188" s="209">
        <v>29.75</v>
      </c>
      <c r="W1188" s="429">
        <v>46269.44818287037</v>
      </c>
      <c r="X1188" s="208">
        <v>4.0</v>
      </c>
      <c r="Y1188" s="208">
        <v>9.0</v>
      </c>
      <c r="Z1188" s="208">
        <v>2026.0</v>
      </c>
      <c r="AA1188" s="209" t="s">
        <v>245</v>
      </c>
    </row>
    <row r="1189" ht="15.75" hidden="1" customHeight="1">
      <c r="A1189" s="209" t="s">
        <v>3020</v>
      </c>
      <c r="B1189" s="209" t="s">
        <v>3021</v>
      </c>
      <c r="C1189" s="429">
        <v>46268.0</v>
      </c>
      <c r="D1189" s="208">
        <v>3.0</v>
      </c>
      <c r="E1189" s="208">
        <v>9.0</v>
      </c>
      <c r="F1189" s="208">
        <v>2026.0</v>
      </c>
      <c r="G1189" s="429">
        <v>46270.0</v>
      </c>
      <c r="H1189" s="208">
        <v>5.0</v>
      </c>
      <c r="I1189" s="208">
        <v>9.0</v>
      </c>
      <c r="J1189" s="208">
        <v>2026.0</v>
      </c>
      <c r="K1189" s="209" t="s">
        <v>46</v>
      </c>
      <c r="L1189" s="209" t="s">
        <v>1177</v>
      </c>
      <c r="M1189" s="208">
        <v>2.0</v>
      </c>
      <c r="N1189" s="208">
        <v>2.0</v>
      </c>
      <c r="O1189" s="201">
        <f t="shared" si="6"/>
        <v>4</v>
      </c>
      <c r="P1189" s="208">
        <v>8.0</v>
      </c>
      <c r="Q1189" s="429">
        <v>46269.3768287037</v>
      </c>
      <c r="R1189" s="208">
        <v>4.0</v>
      </c>
      <c r="S1189" s="208">
        <v>9.0</v>
      </c>
      <c r="T1189" s="208">
        <v>2026.0</v>
      </c>
      <c r="U1189" s="209" t="s">
        <v>245</v>
      </c>
      <c r="V1189" s="209">
        <v>153.0</v>
      </c>
      <c r="W1189" s="429">
        <v>46269.3768287037</v>
      </c>
      <c r="X1189" s="208">
        <v>4.0</v>
      </c>
      <c r="Y1189" s="208">
        <v>9.0</v>
      </c>
      <c r="Z1189" s="208">
        <v>2026.0</v>
      </c>
      <c r="AA1189" s="209" t="s">
        <v>245</v>
      </c>
    </row>
    <row r="1190" ht="15.75" hidden="1" customHeight="1">
      <c r="A1190" s="209" t="s">
        <v>3022</v>
      </c>
      <c r="B1190" s="209" t="s">
        <v>3023</v>
      </c>
      <c r="C1190" s="429">
        <v>46292.0</v>
      </c>
      <c r="D1190" s="208">
        <v>27.0</v>
      </c>
      <c r="E1190" s="208">
        <v>9.0</v>
      </c>
      <c r="F1190" s="208">
        <v>2026.0</v>
      </c>
      <c r="G1190" s="429">
        <v>46296.0</v>
      </c>
      <c r="H1190" s="208">
        <v>1.0</v>
      </c>
      <c r="I1190" s="208">
        <v>10.0</v>
      </c>
      <c r="J1190" s="208">
        <v>2026.0</v>
      </c>
      <c r="K1190" s="209" t="s">
        <v>51</v>
      </c>
      <c r="L1190" s="209" t="s">
        <v>1177</v>
      </c>
      <c r="M1190" s="208">
        <v>1.0</v>
      </c>
      <c r="N1190" s="208">
        <v>4.0</v>
      </c>
      <c r="O1190" s="201">
        <f t="shared" si="6"/>
        <v>4</v>
      </c>
      <c r="P1190" s="208">
        <v>8.0</v>
      </c>
      <c r="Q1190" s="429">
        <v>46295.0</v>
      </c>
      <c r="R1190" s="208">
        <v>30.0</v>
      </c>
      <c r="S1190" s="208">
        <v>9.0</v>
      </c>
      <c r="T1190" s="208">
        <v>2026.0</v>
      </c>
      <c r="U1190" s="209" t="s">
        <v>2</v>
      </c>
      <c r="V1190" s="209">
        <v>118.3</v>
      </c>
      <c r="W1190" s="429">
        <v>46295.0</v>
      </c>
      <c r="X1190" s="208">
        <v>30.0</v>
      </c>
      <c r="Y1190" s="208">
        <v>9.0</v>
      </c>
      <c r="Z1190" s="208">
        <v>2026.0</v>
      </c>
      <c r="AA1190" s="209" t="s">
        <v>2</v>
      </c>
    </row>
    <row r="1191" ht="15.75" hidden="1" customHeight="1">
      <c r="A1191" s="209" t="s">
        <v>3024</v>
      </c>
      <c r="B1191" s="208">
        <v>5.095578555E9</v>
      </c>
      <c r="C1191" s="429">
        <v>46275.0</v>
      </c>
      <c r="D1191" s="208">
        <v>10.0</v>
      </c>
      <c r="E1191" s="208">
        <v>9.0</v>
      </c>
      <c r="F1191" s="208">
        <v>2026.0</v>
      </c>
      <c r="G1191" s="429">
        <v>46277.0</v>
      </c>
      <c r="H1191" s="208">
        <v>12.0</v>
      </c>
      <c r="I1191" s="208">
        <v>9.0</v>
      </c>
      <c r="J1191" s="208">
        <v>2026.0</v>
      </c>
      <c r="K1191" s="209" t="s">
        <v>36</v>
      </c>
      <c r="L1191" s="209" t="s">
        <v>1177</v>
      </c>
      <c r="M1191" s="208">
        <v>2.0</v>
      </c>
      <c r="N1191" s="208">
        <v>2.0</v>
      </c>
      <c r="O1191" s="201">
        <f t="shared" si="6"/>
        <v>4</v>
      </c>
      <c r="P1191" s="208">
        <v>8.0</v>
      </c>
      <c r="Q1191" s="429">
        <v>46296.0</v>
      </c>
      <c r="R1191" s="208">
        <v>1.0</v>
      </c>
      <c r="S1191" s="208">
        <v>10.0</v>
      </c>
      <c r="T1191" s="208">
        <v>2026.0</v>
      </c>
      <c r="U1191" s="209" t="s">
        <v>36</v>
      </c>
      <c r="V1191" s="209">
        <v>116.92</v>
      </c>
      <c r="W1191" s="429">
        <v>46296.0</v>
      </c>
      <c r="X1191" s="208">
        <v>1.0</v>
      </c>
      <c r="Y1191" s="208">
        <v>10.0</v>
      </c>
      <c r="Z1191" s="208">
        <v>2026.0</v>
      </c>
      <c r="AA1191" s="209" t="s">
        <v>36</v>
      </c>
    </row>
    <row r="1192" ht="15.75" hidden="1" customHeight="1">
      <c r="A1192" s="209" t="s">
        <v>3025</v>
      </c>
      <c r="B1192" s="208">
        <v>5.164644058E9</v>
      </c>
      <c r="C1192" s="429">
        <v>46286.0</v>
      </c>
      <c r="D1192" s="208">
        <v>21.0</v>
      </c>
      <c r="E1192" s="208">
        <v>9.0</v>
      </c>
      <c r="F1192" s="208">
        <v>2026.0</v>
      </c>
      <c r="G1192" s="429">
        <v>46290.0</v>
      </c>
      <c r="H1192" s="208">
        <v>25.0</v>
      </c>
      <c r="I1192" s="208">
        <v>9.0</v>
      </c>
      <c r="J1192" s="208">
        <v>2026.0</v>
      </c>
      <c r="K1192" s="209" t="s">
        <v>36</v>
      </c>
      <c r="L1192" s="209" t="s">
        <v>1177</v>
      </c>
      <c r="M1192" s="208">
        <v>1.0</v>
      </c>
      <c r="N1192" s="208">
        <v>4.0</v>
      </c>
      <c r="O1192" s="201">
        <f t="shared" si="6"/>
        <v>4</v>
      </c>
      <c r="P1192" s="208">
        <v>8.0</v>
      </c>
      <c r="Q1192" s="429">
        <v>46296.0</v>
      </c>
      <c r="R1192" s="208">
        <v>1.0</v>
      </c>
      <c r="S1192" s="208">
        <v>10.0</v>
      </c>
      <c r="T1192" s="208">
        <v>2026.0</v>
      </c>
      <c r="U1192" s="209" t="s">
        <v>36</v>
      </c>
      <c r="V1192" s="209">
        <v>142.01</v>
      </c>
      <c r="W1192" s="429">
        <v>46296.0</v>
      </c>
      <c r="X1192" s="208">
        <v>1.0</v>
      </c>
      <c r="Y1192" s="208">
        <v>10.0</v>
      </c>
      <c r="Z1192" s="208">
        <v>2026.0</v>
      </c>
      <c r="AA1192" s="209" t="s">
        <v>36</v>
      </c>
    </row>
    <row r="1193" ht="15.75" hidden="1" customHeight="1">
      <c r="A1193" s="209" t="s">
        <v>3026</v>
      </c>
      <c r="B1193" s="209" t="s">
        <v>3027</v>
      </c>
      <c r="C1193" s="429">
        <v>46285.0</v>
      </c>
      <c r="D1193" s="208">
        <v>20.0</v>
      </c>
      <c r="E1193" s="208">
        <v>9.0</v>
      </c>
      <c r="F1193" s="208">
        <v>2026.0</v>
      </c>
      <c r="G1193" s="429">
        <v>46289.0</v>
      </c>
      <c r="H1193" s="208">
        <v>24.0</v>
      </c>
      <c r="I1193" s="208">
        <v>9.0</v>
      </c>
      <c r="J1193" s="208">
        <v>2026.0</v>
      </c>
      <c r="K1193" s="209" t="s">
        <v>46</v>
      </c>
      <c r="L1193" s="209" t="s">
        <v>1177</v>
      </c>
      <c r="M1193" s="208">
        <v>1.0</v>
      </c>
      <c r="N1193" s="208">
        <v>4.0</v>
      </c>
      <c r="O1193" s="201">
        <f t="shared" si="6"/>
        <v>4</v>
      </c>
      <c r="P1193" s="208">
        <v>8.0</v>
      </c>
      <c r="Q1193" s="429">
        <v>46286.373240740744</v>
      </c>
      <c r="R1193" s="208">
        <v>21.0</v>
      </c>
      <c r="S1193" s="208">
        <v>9.0</v>
      </c>
      <c r="T1193" s="208">
        <v>2026.0</v>
      </c>
      <c r="U1193" s="209" t="s">
        <v>245</v>
      </c>
      <c r="V1193" s="209">
        <v>126.65</v>
      </c>
      <c r="W1193" s="429">
        <v>46286.373240740744</v>
      </c>
      <c r="X1193" s="208">
        <v>21.0</v>
      </c>
      <c r="Y1193" s="208">
        <v>9.0</v>
      </c>
      <c r="Z1193" s="208">
        <v>2026.0</v>
      </c>
      <c r="AA1193" s="209" t="s">
        <v>245</v>
      </c>
    </row>
    <row r="1194" ht="15.75" hidden="1" customHeight="1">
      <c r="A1194" s="209" t="s">
        <v>3028</v>
      </c>
      <c r="B1194" s="208">
        <v>5.958487456E9</v>
      </c>
      <c r="C1194" s="429">
        <v>46290.0</v>
      </c>
      <c r="D1194" s="208">
        <v>25.0</v>
      </c>
      <c r="E1194" s="208">
        <v>9.0</v>
      </c>
      <c r="F1194" s="208">
        <v>2026.0</v>
      </c>
      <c r="G1194" s="429">
        <v>46291.0</v>
      </c>
      <c r="H1194" s="208">
        <v>26.0</v>
      </c>
      <c r="I1194" s="208">
        <v>9.0</v>
      </c>
      <c r="J1194" s="208">
        <v>2026.0</v>
      </c>
      <c r="K1194" s="209" t="s">
        <v>36</v>
      </c>
      <c r="L1194" s="209" t="s">
        <v>1177</v>
      </c>
      <c r="M1194" s="208">
        <v>4.0</v>
      </c>
      <c r="N1194" s="208">
        <v>1.0</v>
      </c>
      <c r="O1194" s="201">
        <f t="shared" si="6"/>
        <v>4</v>
      </c>
      <c r="P1194" s="208">
        <v>8.0</v>
      </c>
      <c r="Q1194" s="429">
        <v>46296.0</v>
      </c>
      <c r="R1194" s="208">
        <v>1.0</v>
      </c>
      <c r="S1194" s="208">
        <v>10.0</v>
      </c>
      <c r="T1194" s="208">
        <v>2026.0</v>
      </c>
      <c r="U1194" s="209" t="s">
        <v>36</v>
      </c>
      <c r="V1194" s="209">
        <v>116.92</v>
      </c>
      <c r="W1194" s="429">
        <v>46296.0</v>
      </c>
      <c r="X1194" s="208">
        <v>1.0</v>
      </c>
      <c r="Y1194" s="208">
        <v>10.0</v>
      </c>
      <c r="Z1194" s="208">
        <v>2026.0</v>
      </c>
      <c r="AA1194" s="209" t="s">
        <v>36</v>
      </c>
    </row>
    <row r="1195" ht="15.75" hidden="1" customHeight="1">
      <c r="A1195" s="209" t="s">
        <v>3029</v>
      </c>
      <c r="B1195" s="209" t="s">
        <v>3030</v>
      </c>
      <c r="C1195" s="429">
        <v>46292.0</v>
      </c>
      <c r="D1195" s="208">
        <v>27.0</v>
      </c>
      <c r="E1195" s="208">
        <v>9.0</v>
      </c>
      <c r="F1195" s="208">
        <v>2026.0</v>
      </c>
      <c r="G1195" s="429">
        <v>46293.0</v>
      </c>
      <c r="H1195" s="208">
        <v>28.0</v>
      </c>
      <c r="I1195" s="208">
        <v>9.0</v>
      </c>
      <c r="J1195" s="208">
        <v>2026.0</v>
      </c>
      <c r="K1195" s="209" t="s">
        <v>46</v>
      </c>
      <c r="L1195" s="209" t="s">
        <v>1177</v>
      </c>
      <c r="M1195" s="208">
        <v>1.0</v>
      </c>
      <c r="N1195" s="208">
        <v>1.0</v>
      </c>
      <c r="O1195" s="201">
        <f t="shared" si="6"/>
        <v>1</v>
      </c>
      <c r="P1195" s="208">
        <v>2.0</v>
      </c>
      <c r="Q1195" s="429">
        <v>46292.49972222222</v>
      </c>
      <c r="R1195" s="430">
        <v>27.0</v>
      </c>
      <c r="S1195" s="430">
        <v>9.0</v>
      </c>
      <c r="T1195" s="208">
        <v>2026.0</v>
      </c>
      <c r="U1195" s="209" t="s">
        <v>245</v>
      </c>
      <c r="V1195" s="209">
        <v>38.25</v>
      </c>
      <c r="W1195" s="429">
        <v>46292.49972222222</v>
      </c>
      <c r="X1195" s="208">
        <v>27.0</v>
      </c>
      <c r="Y1195" s="208">
        <v>9.0</v>
      </c>
      <c r="Z1195" s="208">
        <v>2026.0</v>
      </c>
      <c r="AA1195" s="209" t="s">
        <v>245</v>
      </c>
    </row>
    <row r="1196" ht="15.75" hidden="1" customHeight="1">
      <c r="A1196" s="209" t="s">
        <v>3031</v>
      </c>
      <c r="B1196" s="208">
        <v>6.229118548E9</v>
      </c>
      <c r="C1196" s="429">
        <v>46282.0</v>
      </c>
      <c r="D1196" s="208">
        <v>17.0</v>
      </c>
      <c r="E1196" s="208">
        <v>9.0</v>
      </c>
      <c r="F1196" s="208">
        <v>2026.0</v>
      </c>
      <c r="G1196" s="429">
        <v>46286.0</v>
      </c>
      <c r="H1196" s="208">
        <v>21.0</v>
      </c>
      <c r="I1196" s="208">
        <v>9.0</v>
      </c>
      <c r="J1196" s="208">
        <v>2026.0</v>
      </c>
      <c r="K1196" s="209" t="s">
        <v>36</v>
      </c>
      <c r="L1196" s="209" t="s">
        <v>1177</v>
      </c>
      <c r="M1196" s="208">
        <v>1.0</v>
      </c>
      <c r="N1196" s="208">
        <v>4.0</v>
      </c>
      <c r="O1196" s="201">
        <f t="shared" si="6"/>
        <v>4</v>
      </c>
      <c r="P1196" s="208">
        <v>8.0</v>
      </c>
      <c r="Q1196" s="429">
        <v>46296.0</v>
      </c>
      <c r="R1196" s="208">
        <v>1.0</v>
      </c>
      <c r="S1196" s="208">
        <v>10.0</v>
      </c>
      <c r="T1196" s="208">
        <v>2026.0</v>
      </c>
      <c r="U1196" s="209" t="s">
        <v>36</v>
      </c>
      <c r="V1196" s="209">
        <v>116.93</v>
      </c>
      <c r="W1196" s="429">
        <v>46296.0</v>
      </c>
      <c r="X1196" s="208">
        <v>1.0</v>
      </c>
      <c r="Y1196" s="208">
        <v>10.0</v>
      </c>
      <c r="Z1196" s="208">
        <v>2026.0</v>
      </c>
      <c r="AA1196" s="209" t="s">
        <v>36</v>
      </c>
    </row>
    <row r="1197" ht="15.75" hidden="1" customHeight="1">
      <c r="A1197" s="209" t="s">
        <v>3032</v>
      </c>
      <c r="B1197" s="208">
        <v>6.218426203E9</v>
      </c>
      <c r="C1197" s="429">
        <v>46273.0</v>
      </c>
      <c r="D1197" s="208">
        <v>8.0</v>
      </c>
      <c r="E1197" s="208">
        <v>9.0</v>
      </c>
      <c r="F1197" s="208">
        <v>2026.0</v>
      </c>
      <c r="G1197" s="429">
        <v>46275.0</v>
      </c>
      <c r="H1197" s="208">
        <v>10.0</v>
      </c>
      <c r="I1197" s="208">
        <v>9.0</v>
      </c>
      <c r="J1197" s="208">
        <v>2026.0</v>
      </c>
      <c r="K1197" s="209" t="s">
        <v>36</v>
      </c>
      <c r="L1197" s="209" t="s">
        <v>1177</v>
      </c>
      <c r="M1197" s="208">
        <v>2.0</v>
      </c>
      <c r="N1197" s="208">
        <v>2.0</v>
      </c>
      <c r="O1197" s="201">
        <f t="shared" si="6"/>
        <v>4</v>
      </c>
      <c r="P1197" s="208">
        <v>8.0</v>
      </c>
      <c r="Q1197" s="429">
        <v>46296.0</v>
      </c>
      <c r="R1197" s="208">
        <v>1.0</v>
      </c>
      <c r="S1197" s="208">
        <v>10.0</v>
      </c>
      <c r="T1197" s="208">
        <v>2026.0</v>
      </c>
      <c r="U1197" s="209" t="s">
        <v>36</v>
      </c>
      <c r="V1197" s="209">
        <v>116.92</v>
      </c>
      <c r="W1197" s="429">
        <v>46296.0</v>
      </c>
      <c r="X1197" s="208">
        <v>1.0</v>
      </c>
      <c r="Y1197" s="208">
        <v>10.0</v>
      </c>
      <c r="Z1197" s="208">
        <v>2026.0</v>
      </c>
      <c r="AA1197" s="209" t="s">
        <v>36</v>
      </c>
    </row>
    <row r="1198" ht="15.75" hidden="1" customHeight="1">
      <c r="A1198" s="209" t="s">
        <v>3033</v>
      </c>
      <c r="B1198" s="209" t="s">
        <v>3034</v>
      </c>
      <c r="C1198" s="429">
        <v>46265.0</v>
      </c>
      <c r="D1198" s="208">
        <v>31.0</v>
      </c>
      <c r="E1198" s="208">
        <v>8.0</v>
      </c>
      <c r="F1198" s="208">
        <v>2026.0</v>
      </c>
      <c r="G1198" s="429">
        <v>46267.0</v>
      </c>
      <c r="H1198" s="208">
        <v>2.0</v>
      </c>
      <c r="I1198" s="208">
        <v>9.0</v>
      </c>
      <c r="J1198" s="208">
        <v>2026.0</v>
      </c>
      <c r="K1198" s="209" t="s">
        <v>51</v>
      </c>
      <c r="L1198" s="209" t="s">
        <v>1177</v>
      </c>
      <c r="M1198" s="208">
        <v>2.0</v>
      </c>
      <c r="N1198" s="208">
        <v>2.0</v>
      </c>
      <c r="O1198" s="201">
        <f t="shared" si="6"/>
        <v>4</v>
      </c>
      <c r="P1198" s="208">
        <v>8.0</v>
      </c>
      <c r="Q1198" s="429">
        <v>46295.0</v>
      </c>
      <c r="R1198" s="208">
        <v>30.0</v>
      </c>
      <c r="S1198" s="208">
        <v>9.0</v>
      </c>
      <c r="T1198" s="208">
        <v>2026.0</v>
      </c>
      <c r="U1198" s="209" t="s">
        <v>2</v>
      </c>
      <c r="V1198" s="209">
        <v>152.1</v>
      </c>
      <c r="W1198" s="429">
        <v>46295.0</v>
      </c>
      <c r="X1198" s="208">
        <v>30.0</v>
      </c>
      <c r="Y1198" s="208">
        <v>9.0</v>
      </c>
      <c r="Z1198" s="208">
        <v>2026.0</v>
      </c>
      <c r="AA1198" s="209" t="s">
        <v>2</v>
      </c>
    </row>
    <row r="1199" ht="15.75" hidden="1" customHeight="1">
      <c r="A1199" s="209" t="s">
        <v>3035</v>
      </c>
      <c r="B1199" s="209" t="s">
        <v>3036</v>
      </c>
      <c r="C1199" s="429">
        <v>46279.0</v>
      </c>
      <c r="D1199" s="208">
        <v>14.0</v>
      </c>
      <c r="E1199" s="208">
        <v>9.0</v>
      </c>
      <c r="F1199" s="208">
        <v>2026.0</v>
      </c>
      <c r="G1199" s="429">
        <v>46280.0</v>
      </c>
      <c r="H1199" s="208">
        <v>15.0</v>
      </c>
      <c r="I1199" s="208">
        <v>9.0</v>
      </c>
      <c r="J1199" s="208">
        <v>2026.0</v>
      </c>
      <c r="K1199" s="209" t="s">
        <v>46</v>
      </c>
      <c r="L1199" s="209" t="s">
        <v>1177</v>
      </c>
      <c r="M1199" s="208">
        <v>1.0</v>
      </c>
      <c r="N1199" s="208">
        <v>1.0</v>
      </c>
      <c r="O1199" s="201">
        <f t="shared" si="6"/>
        <v>1</v>
      </c>
      <c r="P1199" s="208">
        <v>2.0</v>
      </c>
      <c r="Q1199" s="429">
        <v>46279.627430555556</v>
      </c>
      <c r="R1199" s="430">
        <v>14.0</v>
      </c>
      <c r="S1199" s="430">
        <v>9.0</v>
      </c>
      <c r="T1199" s="208">
        <v>2026.0</v>
      </c>
      <c r="U1199" s="209" t="s">
        <v>245</v>
      </c>
      <c r="V1199" s="209">
        <v>29.75</v>
      </c>
      <c r="W1199" s="429">
        <v>46279.627430555556</v>
      </c>
      <c r="X1199" s="208">
        <v>14.0</v>
      </c>
      <c r="Y1199" s="208">
        <v>9.0</v>
      </c>
      <c r="Z1199" s="208">
        <v>2026.0</v>
      </c>
      <c r="AA1199" s="209" t="s">
        <v>245</v>
      </c>
    </row>
    <row r="1200" ht="15.75" hidden="1" customHeight="1">
      <c r="A1200" s="209" t="s">
        <v>3037</v>
      </c>
      <c r="B1200" s="209" t="s">
        <v>3038</v>
      </c>
      <c r="C1200" s="429">
        <v>46279.0</v>
      </c>
      <c r="D1200" s="208">
        <v>14.0</v>
      </c>
      <c r="E1200" s="208">
        <v>9.0</v>
      </c>
      <c r="F1200" s="208">
        <v>2026.0</v>
      </c>
      <c r="G1200" s="429">
        <v>46281.0</v>
      </c>
      <c r="H1200" s="208">
        <v>16.0</v>
      </c>
      <c r="I1200" s="208">
        <v>9.0</v>
      </c>
      <c r="J1200" s="208">
        <v>2026.0</v>
      </c>
      <c r="K1200" s="209" t="s">
        <v>46</v>
      </c>
      <c r="L1200" s="209" t="s">
        <v>1177</v>
      </c>
      <c r="M1200" s="208">
        <v>1.0</v>
      </c>
      <c r="N1200" s="208">
        <v>2.0</v>
      </c>
      <c r="O1200" s="201">
        <f t="shared" si="6"/>
        <v>2</v>
      </c>
      <c r="P1200" s="208">
        <v>4.0</v>
      </c>
      <c r="Q1200" s="429">
        <v>46280.019641203704</v>
      </c>
      <c r="R1200" s="430">
        <v>15.0</v>
      </c>
      <c r="S1200" s="430">
        <v>9.0</v>
      </c>
      <c r="T1200" s="208">
        <v>2026.0</v>
      </c>
      <c r="U1200" s="209" t="s">
        <v>245</v>
      </c>
      <c r="V1200" s="209">
        <v>59.5</v>
      </c>
      <c r="W1200" s="429">
        <v>46280.019641203704</v>
      </c>
      <c r="X1200" s="208">
        <v>15.0</v>
      </c>
      <c r="Y1200" s="208">
        <v>9.0</v>
      </c>
      <c r="Z1200" s="208">
        <v>2026.0</v>
      </c>
      <c r="AA1200" s="209" t="s">
        <v>245</v>
      </c>
    </row>
    <row r="1201" ht="15.75" hidden="1" customHeight="1">
      <c r="A1201" s="209" t="s">
        <v>3039</v>
      </c>
      <c r="B1201" s="208">
        <v>6.511242723E9</v>
      </c>
      <c r="C1201" s="429">
        <v>46275.0</v>
      </c>
      <c r="D1201" s="208">
        <v>10.0</v>
      </c>
      <c r="E1201" s="208">
        <v>9.0</v>
      </c>
      <c r="F1201" s="208">
        <v>2026.0</v>
      </c>
      <c r="G1201" s="429">
        <v>46277.0</v>
      </c>
      <c r="H1201" s="208">
        <v>12.0</v>
      </c>
      <c r="I1201" s="208">
        <v>9.0</v>
      </c>
      <c r="J1201" s="208">
        <v>2026.0</v>
      </c>
      <c r="K1201" s="209" t="s">
        <v>36</v>
      </c>
      <c r="L1201" s="209" t="s">
        <v>1177</v>
      </c>
      <c r="M1201" s="208">
        <v>2.0</v>
      </c>
      <c r="N1201" s="208">
        <v>2.0</v>
      </c>
      <c r="O1201" s="201">
        <f t="shared" si="6"/>
        <v>4</v>
      </c>
      <c r="P1201" s="208">
        <v>8.0</v>
      </c>
      <c r="Q1201" s="429">
        <v>46296.0</v>
      </c>
      <c r="R1201" s="208">
        <v>1.0</v>
      </c>
      <c r="S1201" s="208">
        <v>10.0</v>
      </c>
      <c r="T1201" s="208">
        <v>2026.0</v>
      </c>
      <c r="U1201" s="209" t="s">
        <v>36</v>
      </c>
      <c r="V1201" s="209">
        <v>116.92</v>
      </c>
      <c r="W1201" s="429">
        <v>46296.0</v>
      </c>
      <c r="X1201" s="208">
        <v>1.0</v>
      </c>
      <c r="Y1201" s="208">
        <v>10.0</v>
      </c>
      <c r="Z1201" s="208">
        <v>2026.0</v>
      </c>
      <c r="AA1201" s="209" t="s">
        <v>36</v>
      </c>
    </row>
    <row r="1202" ht="15.75" hidden="1" customHeight="1">
      <c r="A1202" s="209" t="s">
        <v>3040</v>
      </c>
      <c r="B1202" s="208">
        <v>6.285799641E9</v>
      </c>
      <c r="C1202" s="429">
        <v>46284.0</v>
      </c>
      <c r="D1202" s="208">
        <v>19.0</v>
      </c>
      <c r="E1202" s="208">
        <v>9.0</v>
      </c>
      <c r="F1202" s="208">
        <v>2026.0</v>
      </c>
      <c r="G1202" s="429">
        <v>46288.0</v>
      </c>
      <c r="H1202" s="208">
        <v>23.0</v>
      </c>
      <c r="I1202" s="208">
        <v>9.0</v>
      </c>
      <c r="J1202" s="208">
        <v>2026.0</v>
      </c>
      <c r="K1202" s="209" t="s">
        <v>36</v>
      </c>
      <c r="L1202" s="209" t="s">
        <v>1177</v>
      </c>
      <c r="M1202" s="208">
        <v>1.0</v>
      </c>
      <c r="N1202" s="208">
        <v>4.0</v>
      </c>
      <c r="O1202" s="201">
        <f t="shared" si="6"/>
        <v>4</v>
      </c>
      <c r="P1202" s="208">
        <v>8.0</v>
      </c>
      <c r="Q1202" s="429">
        <v>46296.0</v>
      </c>
      <c r="R1202" s="208">
        <v>1.0</v>
      </c>
      <c r="S1202" s="208">
        <v>10.0</v>
      </c>
      <c r="T1202" s="208">
        <v>2026.0</v>
      </c>
      <c r="U1202" s="209" t="s">
        <v>36</v>
      </c>
      <c r="V1202" s="209">
        <v>116.93</v>
      </c>
      <c r="W1202" s="429">
        <v>46296.0</v>
      </c>
      <c r="X1202" s="208">
        <v>1.0</v>
      </c>
      <c r="Y1202" s="208">
        <v>10.0</v>
      </c>
      <c r="Z1202" s="208">
        <v>2026.0</v>
      </c>
      <c r="AA1202" s="209" t="s">
        <v>36</v>
      </c>
    </row>
    <row r="1203" ht="15.75" hidden="1" customHeight="1">
      <c r="A1203" s="209" t="s">
        <v>3041</v>
      </c>
      <c r="B1203" s="208">
        <v>6.890059632E9</v>
      </c>
      <c r="C1203" s="429">
        <v>46286.0</v>
      </c>
      <c r="D1203" s="208">
        <v>21.0</v>
      </c>
      <c r="E1203" s="208">
        <v>9.0</v>
      </c>
      <c r="F1203" s="208">
        <v>2026.0</v>
      </c>
      <c r="G1203" s="429">
        <v>46288.0</v>
      </c>
      <c r="H1203" s="208">
        <v>23.0</v>
      </c>
      <c r="I1203" s="208">
        <v>9.0</v>
      </c>
      <c r="J1203" s="208">
        <v>2026.0</v>
      </c>
      <c r="K1203" s="209" t="s">
        <v>36</v>
      </c>
      <c r="L1203" s="209" t="s">
        <v>1177</v>
      </c>
      <c r="M1203" s="208">
        <v>2.0</v>
      </c>
      <c r="N1203" s="208">
        <v>2.0</v>
      </c>
      <c r="O1203" s="201">
        <f t="shared" si="6"/>
        <v>4</v>
      </c>
      <c r="P1203" s="208">
        <v>8.0</v>
      </c>
      <c r="Q1203" s="429">
        <v>46296.0</v>
      </c>
      <c r="R1203" s="208">
        <v>1.0</v>
      </c>
      <c r="S1203" s="208">
        <v>10.0</v>
      </c>
      <c r="T1203" s="208">
        <v>2026.0</v>
      </c>
      <c r="U1203" s="209" t="s">
        <v>36</v>
      </c>
      <c r="V1203" s="209">
        <v>165.42</v>
      </c>
      <c r="W1203" s="429">
        <v>46296.0</v>
      </c>
      <c r="X1203" s="208">
        <v>1.0</v>
      </c>
      <c r="Y1203" s="208">
        <v>10.0</v>
      </c>
      <c r="Z1203" s="208">
        <v>2026.0</v>
      </c>
      <c r="AA1203" s="209" t="s">
        <v>36</v>
      </c>
    </row>
    <row r="1204" ht="15.75" hidden="1" customHeight="1">
      <c r="A1204" s="209" t="s">
        <v>3042</v>
      </c>
      <c r="B1204" s="209" t="s">
        <v>3043</v>
      </c>
      <c r="C1204" s="429">
        <v>46276.0</v>
      </c>
      <c r="D1204" s="208">
        <v>11.0</v>
      </c>
      <c r="E1204" s="208">
        <v>9.0</v>
      </c>
      <c r="F1204" s="208">
        <v>2026.0</v>
      </c>
      <c r="G1204" s="429">
        <v>46280.0</v>
      </c>
      <c r="H1204" s="208">
        <v>15.0</v>
      </c>
      <c r="I1204" s="208">
        <v>9.0</v>
      </c>
      <c r="J1204" s="208">
        <v>2026.0</v>
      </c>
      <c r="K1204" s="209" t="s">
        <v>51</v>
      </c>
      <c r="L1204" s="209" t="s">
        <v>1177</v>
      </c>
      <c r="M1204" s="208">
        <v>1.0</v>
      </c>
      <c r="N1204" s="208">
        <v>4.0</v>
      </c>
      <c r="O1204" s="201">
        <f t="shared" si="6"/>
        <v>4</v>
      </c>
      <c r="P1204" s="208">
        <v>8.0</v>
      </c>
      <c r="Q1204" s="429">
        <v>46295.0</v>
      </c>
      <c r="R1204" s="208">
        <v>30.0</v>
      </c>
      <c r="S1204" s="208">
        <v>9.0</v>
      </c>
      <c r="T1204" s="208">
        <v>2026.0</v>
      </c>
      <c r="U1204" s="209" t="s">
        <v>2</v>
      </c>
      <c r="V1204" s="209">
        <v>135.65</v>
      </c>
      <c r="W1204" s="429">
        <v>46295.0</v>
      </c>
      <c r="X1204" s="208">
        <v>30.0</v>
      </c>
      <c r="Y1204" s="208">
        <v>9.0</v>
      </c>
      <c r="Z1204" s="208">
        <v>2026.0</v>
      </c>
      <c r="AA1204" s="209" t="s">
        <v>2</v>
      </c>
    </row>
    <row r="1205" ht="15.75" hidden="1" customHeight="1">
      <c r="A1205" s="209" t="s">
        <v>3044</v>
      </c>
      <c r="B1205" s="208">
        <v>5.321027845E9</v>
      </c>
      <c r="C1205" s="429">
        <v>46283.0</v>
      </c>
      <c r="D1205" s="208">
        <v>18.0</v>
      </c>
      <c r="E1205" s="208">
        <v>9.0</v>
      </c>
      <c r="F1205" s="208">
        <v>2026.0</v>
      </c>
      <c r="G1205" s="429">
        <v>46285.0</v>
      </c>
      <c r="H1205" s="208">
        <v>20.0</v>
      </c>
      <c r="I1205" s="208">
        <v>9.0</v>
      </c>
      <c r="J1205" s="208">
        <v>2026.0</v>
      </c>
      <c r="K1205" s="209" t="s">
        <v>36</v>
      </c>
      <c r="L1205" s="209" t="s">
        <v>1177</v>
      </c>
      <c r="M1205" s="208">
        <v>2.0</v>
      </c>
      <c r="N1205" s="208">
        <v>2.0</v>
      </c>
      <c r="O1205" s="201">
        <f t="shared" si="6"/>
        <v>4</v>
      </c>
      <c r="P1205" s="208">
        <v>8.0</v>
      </c>
      <c r="Q1205" s="429">
        <v>46296.0</v>
      </c>
      <c r="R1205" s="208">
        <v>1.0</v>
      </c>
      <c r="S1205" s="208">
        <v>10.0</v>
      </c>
      <c r="T1205" s="208">
        <v>2026.0</v>
      </c>
      <c r="U1205" s="209" t="s">
        <v>36</v>
      </c>
      <c r="V1205" s="209">
        <v>116.92</v>
      </c>
      <c r="W1205" s="429">
        <v>46296.0</v>
      </c>
      <c r="X1205" s="208">
        <v>1.0</v>
      </c>
      <c r="Y1205" s="208">
        <v>10.0</v>
      </c>
      <c r="Z1205" s="208">
        <v>2026.0</v>
      </c>
      <c r="AA1205" s="209" t="s">
        <v>36</v>
      </c>
    </row>
    <row r="1206" ht="15.75" hidden="1" customHeight="1">
      <c r="A1206" s="209" t="s">
        <v>3045</v>
      </c>
      <c r="B1206" s="208">
        <v>6.737199042E9</v>
      </c>
      <c r="C1206" s="429">
        <v>46271.0</v>
      </c>
      <c r="D1206" s="208">
        <v>6.0</v>
      </c>
      <c r="E1206" s="208">
        <v>9.0</v>
      </c>
      <c r="F1206" s="208">
        <v>2026.0</v>
      </c>
      <c r="G1206" s="429">
        <v>46275.0</v>
      </c>
      <c r="H1206" s="208">
        <v>10.0</v>
      </c>
      <c r="I1206" s="208">
        <v>9.0</v>
      </c>
      <c r="J1206" s="208">
        <v>2026.0</v>
      </c>
      <c r="K1206" s="209" t="s">
        <v>36</v>
      </c>
      <c r="L1206" s="209" t="s">
        <v>1177</v>
      </c>
      <c r="M1206" s="208">
        <v>1.0</v>
      </c>
      <c r="N1206" s="208">
        <v>4.0</v>
      </c>
      <c r="O1206" s="201">
        <f t="shared" si="6"/>
        <v>4</v>
      </c>
      <c r="P1206" s="208">
        <v>8.0</v>
      </c>
      <c r="Q1206" s="429">
        <v>46296.0</v>
      </c>
      <c r="R1206" s="208">
        <v>1.0</v>
      </c>
      <c r="S1206" s="208">
        <v>10.0</v>
      </c>
      <c r="T1206" s="208">
        <v>2026.0</v>
      </c>
      <c r="U1206" s="209" t="s">
        <v>36</v>
      </c>
      <c r="V1206" s="209">
        <v>150.37</v>
      </c>
      <c r="W1206" s="429">
        <v>46296.0</v>
      </c>
      <c r="X1206" s="208">
        <v>1.0</v>
      </c>
      <c r="Y1206" s="208">
        <v>10.0</v>
      </c>
      <c r="Z1206" s="208">
        <v>2026.0</v>
      </c>
      <c r="AA1206" s="209" t="s">
        <v>36</v>
      </c>
    </row>
    <row r="1207" ht="15.75" hidden="1" customHeight="1">
      <c r="A1207" s="209" t="s">
        <v>3046</v>
      </c>
      <c r="B1207" s="209" t="s">
        <v>3047</v>
      </c>
      <c r="C1207" s="429">
        <v>46266.0</v>
      </c>
      <c r="D1207" s="208">
        <v>1.0</v>
      </c>
      <c r="E1207" s="208">
        <v>9.0</v>
      </c>
      <c r="F1207" s="208">
        <v>2026.0</v>
      </c>
      <c r="G1207" s="429">
        <v>46270.0</v>
      </c>
      <c r="H1207" s="208">
        <v>5.0</v>
      </c>
      <c r="I1207" s="208">
        <v>9.0</v>
      </c>
      <c r="J1207" s="208">
        <v>2026.0</v>
      </c>
      <c r="K1207" s="209" t="s">
        <v>51</v>
      </c>
      <c r="L1207" s="209" t="s">
        <v>1177</v>
      </c>
      <c r="M1207" s="208">
        <v>1.0</v>
      </c>
      <c r="N1207" s="208">
        <v>4.0</v>
      </c>
      <c r="O1207" s="201">
        <f t="shared" si="6"/>
        <v>4</v>
      </c>
      <c r="P1207" s="208">
        <v>8.0</v>
      </c>
      <c r="Q1207" s="429">
        <v>46295.0</v>
      </c>
      <c r="R1207" s="208">
        <v>30.0</v>
      </c>
      <c r="S1207" s="208">
        <v>9.0</v>
      </c>
      <c r="T1207" s="208">
        <v>2026.0</v>
      </c>
      <c r="U1207" s="209" t="s">
        <v>2</v>
      </c>
      <c r="V1207" s="209">
        <v>152.1</v>
      </c>
      <c r="W1207" s="429">
        <v>46295.0</v>
      </c>
      <c r="X1207" s="208">
        <v>30.0</v>
      </c>
      <c r="Y1207" s="208">
        <v>9.0</v>
      </c>
      <c r="Z1207" s="208">
        <v>2026.0</v>
      </c>
      <c r="AA1207" s="209" t="s">
        <v>2</v>
      </c>
    </row>
    <row r="1208" ht="15.75" hidden="1" customHeight="1">
      <c r="A1208" s="209" t="s">
        <v>3048</v>
      </c>
      <c r="B1208" s="209" t="s">
        <v>3049</v>
      </c>
      <c r="C1208" s="429">
        <v>46275.0</v>
      </c>
      <c r="D1208" s="208">
        <v>10.0</v>
      </c>
      <c r="E1208" s="208">
        <v>9.0</v>
      </c>
      <c r="F1208" s="208">
        <v>2026.0</v>
      </c>
      <c r="G1208" s="429">
        <v>46279.0</v>
      </c>
      <c r="H1208" s="208">
        <v>14.0</v>
      </c>
      <c r="I1208" s="208">
        <v>9.0</v>
      </c>
      <c r="J1208" s="208">
        <v>2026.0</v>
      </c>
      <c r="K1208" s="209" t="s">
        <v>46</v>
      </c>
      <c r="L1208" s="209" t="s">
        <v>1177</v>
      </c>
      <c r="M1208" s="208">
        <v>1.0</v>
      </c>
      <c r="N1208" s="208">
        <v>4.0</v>
      </c>
      <c r="O1208" s="201">
        <f t="shared" si="6"/>
        <v>4</v>
      </c>
      <c r="P1208" s="208">
        <v>8.0</v>
      </c>
      <c r="Q1208" s="429">
        <v>46276.535787037035</v>
      </c>
      <c r="R1208" s="208">
        <v>11.0</v>
      </c>
      <c r="S1208" s="208">
        <v>9.0</v>
      </c>
      <c r="T1208" s="208">
        <v>2026.0</v>
      </c>
      <c r="U1208" s="209" t="s">
        <v>245</v>
      </c>
      <c r="V1208" s="209">
        <v>229.5</v>
      </c>
      <c r="W1208" s="429">
        <v>46276.535787037035</v>
      </c>
      <c r="X1208" s="208">
        <v>11.0</v>
      </c>
      <c r="Y1208" s="208">
        <v>9.0</v>
      </c>
      <c r="Z1208" s="208">
        <v>2026.0</v>
      </c>
      <c r="AA1208" s="209" t="s">
        <v>245</v>
      </c>
    </row>
    <row r="1209" ht="15.75" hidden="1" customHeight="1">
      <c r="A1209" s="209" t="s">
        <v>3050</v>
      </c>
      <c r="B1209" s="209" t="s">
        <v>3051</v>
      </c>
      <c r="C1209" s="429">
        <v>46273.0</v>
      </c>
      <c r="D1209" s="208">
        <v>8.0</v>
      </c>
      <c r="E1209" s="208">
        <v>9.0</v>
      </c>
      <c r="F1209" s="208">
        <v>2026.0</v>
      </c>
      <c r="G1209" s="429">
        <v>46274.0</v>
      </c>
      <c r="H1209" s="208">
        <v>9.0</v>
      </c>
      <c r="I1209" s="208">
        <v>9.0</v>
      </c>
      <c r="J1209" s="208">
        <v>2026.0</v>
      </c>
      <c r="K1209" s="209" t="s">
        <v>46</v>
      </c>
      <c r="L1209" s="209" t="s">
        <v>1177</v>
      </c>
      <c r="M1209" s="208">
        <v>1.0</v>
      </c>
      <c r="N1209" s="208">
        <v>1.0</v>
      </c>
      <c r="O1209" s="201">
        <f t="shared" si="6"/>
        <v>1</v>
      </c>
      <c r="P1209" s="208">
        <v>2.0</v>
      </c>
      <c r="Q1209" s="429">
        <v>46275.31298611111</v>
      </c>
      <c r="R1209" s="430">
        <v>10.0</v>
      </c>
      <c r="S1209" s="430">
        <v>9.0</v>
      </c>
      <c r="T1209" s="208">
        <v>2026.0</v>
      </c>
      <c r="U1209" s="209" t="s">
        <v>245</v>
      </c>
      <c r="V1209" s="209">
        <v>29.75</v>
      </c>
      <c r="W1209" s="429">
        <v>46275.31298611111</v>
      </c>
      <c r="X1209" s="208">
        <v>10.0</v>
      </c>
      <c r="Y1209" s="208">
        <v>9.0</v>
      </c>
      <c r="Z1209" s="208">
        <v>2026.0</v>
      </c>
      <c r="AA1209" s="209" t="s">
        <v>245</v>
      </c>
    </row>
    <row r="1210" ht="15.75" hidden="1" customHeight="1">
      <c r="A1210" s="209" t="s">
        <v>3052</v>
      </c>
      <c r="B1210" s="208">
        <v>6.870869694E9</v>
      </c>
      <c r="C1210" s="429">
        <v>46279.0</v>
      </c>
      <c r="D1210" s="208">
        <v>14.0</v>
      </c>
      <c r="E1210" s="208">
        <v>9.0</v>
      </c>
      <c r="F1210" s="208">
        <v>2026.0</v>
      </c>
      <c r="G1210" s="429">
        <v>46283.0</v>
      </c>
      <c r="H1210" s="208">
        <v>18.0</v>
      </c>
      <c r="I1210" s="208">
        <v>9.0</v>
      </c>
      <c r="J1210" s="208">
        <v>2026.0</v>
      </c>
      <c r="K1210" s="209" t="s">
        <v>36</v>
      </c>
      <c r="L1210" s="209" t="s">
        <v>1177</v>
      </c>
      <c r="M1210" s="208">
        <v>1.0</v>
      </c>
      <c r="N1210" s="208">
        <v>4.0</v>
      </c>
      <c r="O1210" s="201">
        <f t="shared" si="6"/>
        <v>4</v>
      </c>
      <c r="P1210" s="208">
        <v>8.0</v>
      </c>
      <c r="Q1210" s="429">
        <v>46296.0</v>
      </c>
      <c r="R1210" s="208">
        <v>1.0</v>
      </c>
      <c r="S1210" s="208">
        <v>10.0</v>
      </c>
      <c r="T1210" s="208">
        <v>2026.0</v>
      </c>
      <c r="U1210" s="209" t="s">
        <v>36</v>
      </c>
      <c r="V1210" s="209">
        <v>133.65</v>
      </c>
      <c r="W1210" s="429">
        <v>46296.0</v>
      </c>
      <c r="X1210" s="208">
        <v>1.0</v>
      </c>
      <c r="Y1210" s="208">
        <v>10.0</v>
      </c>
      <c r="Z1210" s="208">
        <v>2026.0</v>
      </c>
      <c r="AA1210" s="209" t="s">
        <v>36</v>
      </c>
    </row>
    <row r="1211" ht="15.75" hidden="1" customHeight="1">
      <c r="A1211" s="209" t="s">
        <v>3053</v>
      </c>
      <c r="B1211" s="209" t="s">
        <v>3054</v>
      </c>
      <c r="C1211" s="429">
        <v>46277.0</v>
      </c>
      <c r="D1211" s="208">
        <v>12.0</v>
      </c>
      <c r="E1211" s="208">
        <v>9.0</v>
      </c>
      <c r="F1211" s="208">
        <v>2026.0</v>
      </c>
      <c r="G1211" s="429">
        <v>46278.0</v>
      </c>
      <c r="H1211" s="208">
        <v>13.0</v>
      </c>
      <c r="I1211" s="208">
        <v>9.0</v>
      </c>
      <c r="J1211" s="208">
        <v>2026.0</v>
      </c>
      <c r="K1211" s="209" t="s">
        <v>46</v>
      </c>
      <c r="L1211" s="209" t="s">
        <v>1177</v>
      </c>
      <c r="M1211" s="208">
        <v>1.0</v>
      </c>
      <c r="N1211" s="208">
        <v>1.0</v>
      </c>
      <c r="O1211" s="201">
        <f t="shared" si="6"/>
        <v>1</v>
      </c>
      <c r="P1211" s="208">
        <v>2.0</v>
      </c>
      <c r="Q1211" s="429">
        <v>46278.450902777775</v>
      </c>
      <c r="R1211" s="430">
        <v>13.0</v>
      </c>
      <c r="S1211" s="430">
        <v>9.0</v>
      </c>
      <c r="T1211" s="208">
        <v>2026.0</v>
      </c>
      <c r="U1211" s="209" t="s">
        <v>245</v>
      </c>
      <c r="V1211" s="209">
        <v>38.25</v>
      </c>
      <c r="W1211" s="429">
        <v>46278.450902777775</v>
      </c>
      <c r="X1211" s="208">
        <v>13.0</v>
      </c>
      <c r="Y1211" s="208">
        <v>9.0</v>
      </c>
      <c r="Z1211" s="208">
        <v>2026.0</v>
      </c>
      <c r="AA1211" s="209" t="s">
        <v>245</v>
      </c>
    </row>
    <row r="1212" ht="15.75" hidden="1" customHeight="1">
      <c r="A1212" s="209" t="s">
        <v>3055</v>
      </c>
      <c r="B1212" s="209" t="s">
        <v>3056</v>
      </c>
      <c r="C1212" s="429">
        <v>46276.0</v>
      </c>
      <c r="D1212" s="208">
        <v>11.0</v>
      </c>
      <c r="E1212" s="208">
        <v>9.0</v>
      </c>
      <c r="F1212" s="208">
        <v>2026.0</v>
      </c>
      <c r="G1212" s="429">
        <v>46280.0</v>
      </c>
      <c r="H1212" s="208">
        <v>15.0</v>
      </c>
      <c r="I1212" s="208">
        <v>9.0</v>
      </c>
      <c r="J1212" s="208">
        <v>2026.0</v>
      </c>
      <c r="K1212" s="209" t="s">
        <v>51</v>
      </c>
      <c r="L1212" s="209" t="s">
        <v>1177</v>
      </c>
      <c r="M1212" s="208">
        <v>1.0</v>
      </c>
      <c r="N1212" s="208">
        <v>4.0</v>
      </c>
      <c r="O1212" s="201">
        <f t="shared" si="6"/>
        <v>4</v>
      </c>
      <c r="P1212" s="208">
        <v>8.0</v>
      </c>
      <c r="Q1212" s="429">
        <v>46295.0</v>
      </c>
      <c r="R1212" s="208">
        <v>30.0</v>
      </c>
      <c r="S1212" s="208">
        <v>9.0</v>
      </c>
      <c r="T1212" s="208">
        <v>2026.0</v>
      </c>
      <c r="U1212" s="209" t="s">
        <v>2</v>
      </c>
      <c r="V1212" s="209">
        <v>135.2</v>
      </c>
      <c r="W1212" s="429">
        <v>46295.0</v>
      </c>
      <c r="X1212" s="208">
        <v>30.0</v>
      </c>
      <c r="Y1212" s="208">
        <v>9.0</v>
      </c>
      <c r="Z1212" s="208">
        <v>2026.0</v>
      </c>
      <c r="AA1212" s="209" t="s">
        <v>2</v>
      </c>
    </row>
    <row r="1213" ht="15.75" hidden="1" customHeight="1">
      <c r="A1213" s="209" t="s">
        <v>3057</v>
      </c>
      <c r="B1213" s="209" t="s">
        <v>3058</v>
      </c>
      <c r="C1213" s="429">
        <v>46285.0</v>
      </c>
      <c r="D1213" s="208">
        <v>20.0</v>
      </c>
      <c r="E1213" s="208">
        <v>9.0</v>
      </c>
      <c r="F1213" s="208">
        <v>2026.0</v>
      </c>
      <c r="G1213" s="429">
        <v>46287.0</v>
      </c>
      <c r="H1213" s="208">
        <v>22.0</v>
      </c>
      <c r="I1213" s="208">
        <v>9.0</v>
      </c>
      <c r="J1213" s="208">
        <v>2026.0</v>
      </c>
      <c r="K1213" s="209" t="s">
        <v>51</v>
      </c>
      <c r="L1213" s="209" t="s">
        <v>1177</v>
      </c>
      <c r="M1213" s="208">
        <v>2.0</v>
      </c>
      <c r="N1213" s="208">
        <v>2.0</v>
      </c>
      <c r="O1213" s="201">
        <f t="shared" si="6"/>
        <v>4</v>
      </c>
      <c r="P1213" s="208">
        <v>8.0</v>
      </c>
      <c r="Q1213" s="429">
        <v>46295.0</v>
      </c>
      <c r="R1213" s="208">
        <v>30.0</v>
      </c>
      <c r="S1213" s="208">
        <v>9.0</v>
      </c>
      <c r="T1213" s="208">
        <v>2026.0</v>
      </c>
      <c r="U1213" s="209" t="s">
        <v>2</v>
      </c>
      <c r="V1213" s="209">
        <v>118.3</v>
      </c>
      <c r="W1213" s="429">
        <v>46295.0</v>
      </c>
      <c r="X1213" s="208">
        <v>30.0</v>
      </c>
      <c r="Y1213" s="208">
        <v>9.0</v>
      </c>
      <c r="Z1213" s="208">
        <v>2026.0</v>
      </c>
      <c r="AA1213" s="209" t="s">
        <v>2</v>
      </c>
    </row>
    <row r="1214" ht="15.75" hidden="1" customHeight="1">
      <c r="A1214" s="209" t="s">
        <v>3059</v>
      </c>
      <c r="B1214" s="209" t="s">
        <v>3060</v>
      </c>
      <c r="C1214" s="429">
        <v>46274.0</v>
      </c>
      <c r="D1214" s="208">
        <v>9.0</v>
      </c>
      <c r="E1214" s="208">
        <v>9.0</v>
      </c>
      <c r="F1214" s="208">
        <v>2026.0</v>
      </c>
      <c r="G1214" s="429">
        <v>46278.0</v>
      </c>
      <c r="H1214" s="208">
        <v>13.0</v>
      </c>
      <c r="I1214" s="208">
        <v>9.0</v>
      </c>
      <c r="J1214" s="208">
        <v>2026.0</v>
      </c>
      <c r="K1214" s="209" t="s">
        <v>51</v>
      </c>
      <c r="L1214" s="209" t="s">
        <v>1177</v>
      </c>
      <c r="M1214" s="208">
        <v>1.0</v>
      </c>
      <c r="N1214" s="208">
        <v>4.0</v>
      </c>
      <c r="O1214" s="201">
        <f t="shared" si="6"/>
        <v>4</v>
      </c>
      <c r="P1214" s="208">
        <v>8.0</v>
      </c>
      <c r="Q1214" s="429">
        <v>46295.0</v>
      </c>
      <c r="R1214" s="208">
        <v>30.0</v>
      </c>
      <c r="S1214" s="208">
        <v>9.0</v>
      </c>
      <c r="T1214" s="208">
        <v>2026.0</v>
      </c>
      <c r="U1214" s="209" t="s">
        <v>2</v>
      </c>
      <c r="V1214" s="209">
        <v>118.29</v>
      </c>
      <c r="W1214" s="429">
        <v>46295.0</v>
      </c>
      <c r="X1214" s="208">
        <v>30.0</v>
      </c>
      <c r="Y1214" s="208">
        <v>9.0</v>
      </c>
      <c r="Z1214" s="208">
        <v>2026.0</v>
      </c>
      <c r="AA1214" s="209" t="s">
        <v>2</v>
      </c>
    </row>
    <row r="1215" ht="15.75" hidden="1" customHeight="1">
      <c r="A1215" s="209" t="s">
        <v>3061</v>
      </c>
      <c r="B1215" s="208">
        <v>6.948310892E9</v>
      </c>
      <c r="C1215" s="429">
        <v>46271.0</v>
      </c>
      <c r="D1215" s="208">
        <v>6.0</v>
      </c>
      <c r="E1215" s="208">
        <v>9.0</v>
      </c>
      <c r="F1215" s="208">
        <v>2026.0</v>
      </c>
      <c r="G1215" s="429">
        <v>46276.0</v>
      </c>
      <c r="H1215" s="208">
        <v>11.0</v>
      </c>
      <c r="I1215" s="208">
        <v>9.0</v>
      </c>
      <c r="J1215" s="208">
        <v>2026.0</v>
      </c>
      <c r="K1215" s="209" t="s">
        <v>36</v>
      </c>
      <c r="L1215" s="209" t="s">
        <v>1177</v>
      </c>
      <c r="M1215" s="208">
        <v>1.0</v>
      </c>
      <c r="N1215" s="208">
        <v>5.0</v>
      </c>
      <c r="O1215" s="201">
        <f t="shared" si="6"/>
        <v>5</v>
      </c>
      <c r="P1215" s="208">
        <v>10.0</v>
      </c>
      <c r="Q1215" s="429">
        <v>46296.0</v>
      </c>
      <c r="R1215" s="208">
        <v>1.0</v>
      </c>
      <c r="S1215" s="208">
        <v>10.0</v>
      </c>
      <c r="T1215" s="208">
        <v>2026.0</v>
      </c>
      <c r="U1215" s="209" t="s">
        <v>36</v>
      </c>
      <c r="V1215" s="209">
        <v>204.68</v>
      </c>
      <c r="W1215" s="429">
        <v>46296.0</v>
      </c>
      <c r="X1215" s="208">
        <v>1.0</v>
      </c>
      <c r="Y1215" s="208">
        <v>10.0</v>
      </c>
      <c r="Z1215" s="208">
        <v>2026.0</v>
      </c>
      <c r="AA1215" s="209" t="s">
        <v>36</v>
      </c>
    </row>
    <row r="1216" ht="15.75" hidden="1" customHeight="1">
      <c r="A1216" s="209" t="s">
        <v>3062</v>
      </c>
      <c r="B1216" s="208">
        <v>5.876112198E9</v>
      </c>
      <c r="C1216" s="429">
        <v>46261.0</v>
      </c>
      <c r="D1216" s="208">
        <v>27.0</v>
      </c>
      <c r="E1216" s="208">
        <v>8.0</v>
      </c>
      <c r="F1216" s="208">
        <v>2026.0</v>
      </c>
      <c r="G1216" s="429">
        <v>46266.0</v>
      </c>
      <c r="H1216" s="208">
        <v>1.0</v>
      </c>
      <c r="I1216" s="208">
        <v>9.0</v>
      </c>
      <c r="J1216" s="208">
        <v>2026.0</v>
      </c>
      <c r="K1216" s="209" t="s">
        <v>36</v>
      </c>
      <c r="L1216" s="209" t="s">
        <v>1177</v>
      </c>
      <c r="M1216" s="208">
        <v>1.0</v>
      </c>
      <c r="N1216" s="208">
        <v>5.0</v>
      </c>
      <c r="O1216" s="201">
        <f t="shared" si="6"/>
        <v>5</v>
      </c>
      <c r="P1216" s="208">
        <v>10.0</v>
      </c>
      <c r="Q1216" s="429">
        <v>46296.0</v>
      </c>
      <c r="R1216" s="208">
        <v>1.0</v>
      </c>
      <c r="S1216" s="208">
        <v>10.0</v>
      </c>
      <c r="T1216" s="208">
        <v>2026.0</v>
      </c>
      <c r="U1216" s="209" t="s">
        <v>36</v>
      </c>
      <c r="V1216" s="209">
        <v>229.76</v>
      </c>
      <c r="W1216" s="429">
        <v>46296.0</v>
      </c>
      <c r="X1216" s="208">
        <v>1.0</v>
      </c>
      <c r="Y1216" s="208">
        <v>10.0</v>
      </c>
      <c r="Z1216" s="208">
        <v>2026.0</v>
      </c>
      <c r="AA1216" s="209" t="s">
        <v>36</v>
      </c>
    </row>
    <row r="1217" ht="15.75" hidden="1" customHeight="1">
      <c r="A1217" s="209" t="s">
        <v>3063</v>
      </c>
      <c r="B1217" s="209" t="s">
        <v>3064</v>
      </c>
      <c r="C1217" s="429">
        <v>46268.0</v>
      </c>
      <c r="D1217" s="208">
        <v>3.0</v>
      </c>
      <c r="E1217" s="208">
        <v>9.0</v>
      </c>
      <c r="F1217" s="208">
        <v>2026.0</v>
      </c>
      <c r="G1217" s="429">
        <v>46273.0</v>
      </c>
      <c r="H1217" s="208">
        <v>8.0</v>
      </c>
      <c r="I1217" s="208">
        <v>9.0</v>
      </c>
      <c r="J1217" s="208">
        <v>2026.0</v>
      </c>
      <c r="K1217" s="209" t="s">
        <v>51</v>
      </c>
      <c r="L1217" s="209" t="s">
        <v>1177</v>
      </c>
      <c r="M1217" s="208">
        <v>1.0</v>
      </c>
      <c r="N1217" s="208">
        <v>5.0</v>
      </c>
      <c r="O1217" s="201">
        <f t="shared" si="6"/>
        <v>5</v>
      </c>
      <c r="P1217" s="208">
        <v>10.0</v>
      </c>
      <c r="Q1217" s="429">
        <v>46295.0</v>
      </c>
      <c r="R1217" s="208">
        <v>30.0</v>
      </c>
      <c r="S1217" s="208">
        <v>9.0</v>
      </c>
      <c r="T1217" s="208">
        <v>2026.0</v>
      </c>
      <c r="U1217" s="209" t="s">
        <v>2</v>
      </c>
      <c r="V1217" s="209">
        <v>181.67</v>
      </c>
      <c r="W1217" s="429">
        <v>46295.0</v>
      </c>
      <c r="X1217" s="208">
        <v>30.0</v>
      </c>
      <c r="Y1217" s="208">
        <v>9.0</v>
      </c>
      <c r="Z1217" s="208">
        <v>2026.0</v>
      </c>
      <c r="AA1217" s="209" t="s">
        <v>2</v>
      </c>
    </row>
    <row r="1218" ht="15.75" hidden="1" customHeight="1">
      <c r="A1218" s="209" t="s">
        <v>3065</v>
      </c>
      <c r="B1218" s="208">
        <v>6.178157239E9</v>
      </c>
      <c r="C1218" s="429">
        <v>46289.0</v>
      </c>
      <c r="D1218" s="208">
        <v>24.0</v>
      </c>
      <c r="E1218" s="208">
        <v>9.0</v>
      </c>
      <c r="F1218" s="208">
        <v>2026.0</v>
      </c>
      <c r="G1218" s="429">
        <v>46294.0</v>
      </c>
      <c r="H1218" s="208">
        <v>29.0</v>
      </c>
      <c r="I1218" s="208">
        <v>9.0</v>
      </c>
      <c r="J1218" s="208">
        <v>2026.0</v>
      </c>
      <c r="K1218" s="209" t="s">
        <v>36</v>
      </c>
      <c r="L1218" s="209" t="s">
        <v>1177</v>
      </c>
      <c r="M1218" s="208">
        <v>1.0</v>
      </c>
      <c r="N1218" s="208">
        <v>5.0</v>
      </c>
      <c r="O1218" s="201">
        <f t="shared" si="6"/>
        <v>5</v>
      </c>
      <c r="P1218" s="208">
        <v>10.0</v>
      </c>
      <c r="Q1218" s="429">
        <v>46296.0</v>
      </c>
      <c r="R1218" s="208">
        <v>1.0</v>
      </c>
      <c r="S1218" s="208">
        <v>10.0</v>
      </c>
      <c r="T1218" s="208">
        <v>2026.0</v>
      </c>
      <c r="U1218" s="209" t="s">
        <v>36</v>
      </c>
      <c r="V1218" s="209">
        <v>146.16</v>
      </c>
      <c r="W1218" s="429">
        <v>46296.0</v>
      </c>
      <c r="X1218" s="208">
        <v>1.0</v>
      </c>
      <c r="Y1218" s="208">
        <v>10.0</v>
      </c>
      <c r="Z1218" s="208">
        <v>2026.0</v>
      </c>
      <c r="AA1218" s="209" t="s">
        <v>36</v>
      </c>
    </row>
    <row r="1219" ht="15.75" hidden="1" customHeight="1">
      <c r="A1219" s="209" t="s">
        <v>3066</v>
      </c>
      <c r="B1219" s="209" t="s">
        <v>3067</v>
      </c>
      <c r="C1219" s="429">
        <v>46277.0</v>
      </c>
      <c r="D1219" s="208">
        <v>12.0</v>
      </c>
      <c r="E1219" s="208">
        <v>9.0</v>
      </c>
      <c r="F1219" s="208">
        <v>2026.0</v>
      </c>
      <c r="G1219" s="429">
        <v>46282.0</v>
      </c>
      <c r="H1219" s="208">
        <v>17.0</v>
      </c>
      <c r="I1219" s="208">
        <v>9.0</v>
      </c>
      <c r="J1219" s="208">
        <v>2026.0</v>
      </c>
      <c r="K1219" s="209" t="s">
        <v>51</v>
      </c>
      <c r="L1219" s="209" t="s">
        <v>1177</v>
      </c>
      <c r="M1219" s="208">
        <v>1.0</v>
      </c>
      <c r="N1219" s="208">
        <v>5.0</v>
      </c>
      <c r="O1219" s="201">
        <f t="shared" si="6"/>
        <v>5</v>
      </c>
      <c r="P1219" s="208">
        <v>10.0</v>
      </c>
      <c r="Q1219" s="429">
        <v>46295.0</v>
      </c>
      <c r="R1219" s="208">
        <v>30.0</v>
      </c>
      <c r="S1219" s="208">
        <v>9.0</v>
      </c>
      <c r="T1219" s="208">
        <v>2026.0</v>
      </c>
      <c r="U1219" s="209" t="s">
        <v>2</v>
      </c>
      <c r="V1219" s="209">
        <v>172.38</v>
      </c>
      <c r="W1219" s="429">
        <v>46295.0</v>
      </c>
      <c r="X1219" s="208">
        <v>30.0</v>
      </c>
      <c r="Y1219" s="208">
        <v>9.0</v>
      </c>
      <c r="Z1219" s="208">
        <v>2026.0</v>
      </c>
      <c r="AA1219" s="209" t="s">
        <v>2</v>
      </c>
    </row>
    <row r="1220" ht="15.75" hidden="1" customHeight="1">
      <c r="A1220" s="209" t="s">
        <v>3068</v>
      </c>
      <c r="B1220" s="209" t="s">
        <v>3069</v>
      </c>
      <c r="C1220" s="429">
        <v>46291.0</v>
      </c>
      <c r="D1220" s="208">
        <v>26.0</v>
      </c>
      <c r="E1220" s="208">
        <v>9.0</v>
      </c>
      <c r="F1220" s="208">
        <v>2026.0</v>
      </c>
      <c r="G1220" s="429">
        <v>46296.0</v>
      </c>
      <c r="H1220" s="208">
        <v>1.0</v>
      </c>
      <c r="I1220" s="208">
        <v>10.0</v>
      </c>
      <c r="J1220" s="208">
        <v>2026.0</v>
      </c>
      <c r="K1220" s="209" t="s">
        <v>51</v>
      </c>
      <c r="L1220" s="209" t="s">
        <v>1177</v>
      </c>
      <c r="M1220" s="208">
        <v>1.0</v>
      </c>
      <c r="N1220" s="208">
        <v>5.0</v>
      </c>
      <c r="O1220" s="201">
        <f t="shared" si="6"/>
        <v>5</v>
      </c>
      <c r="P1220" s="208">
        <v>10.0</v>
      </c>
      <c r="Q1220" s="429">
        <v>46295.0</v>
      </c>
      <c r="R1220" s="208">
        <v>30.0</v>
      </c>
      <c r="S1220" s="208">
        <v>9.0</v>
      </c>
      <c r="T1220" s="208">
        <v>2026.0</v>
      </c>
      <c r="U1220" s="209" t="s">
        <v>2</v>
      </c>
      <c r="V1220" s="209">
        <v>139.42</v>
      </c>
      <c r="W1220" s="429">
        <v>46295.0</v>
      </c>
      <c r="X1220" s="208">
        <v>30.0</v>
      </c>
      <c r="Y1220" s="208">
        <v>9.0</v>
      </c>
      <c r="Z1220" s="208">
        <v>2026.0</v>
      </c>
      <c r="AA1220" s="209" t="s">
        <v>2</v>
      </c>
    </row>
    <row r="1221" ht="15.75" hidden="1" customHeight="1">
      <c r="A1221" s="209" t="s">
        <v>3070</v>
      </c>
      <c r="B1221" s="208">
        <v>5.060208284E9</v>
      </c>
      <c r="C1221" s="429">
        <v>46266.0</v>
      </c>
      <c r="D1221" s="208">
        <v>1.0</v>
      </c>
      <c r="E1221" s="208">
        <v>9.0</v>
      </c>
      <c r="F1221" s="208">
        <v>2026.0</v>
      </c>
      <c r="G1221" s="429">
        <v>46271.0</v>
      </c>
      <c r="H1221" s="208">
        <v>6.0</v>
      </c>
      <c r="I1221" s="208">
        <v>9.0</v>
      </c>
      <c r="J1221" s="208">
        <v>2026.0</v>
      </c>
      <c r="K1221" s="209" t="s">
        <v>36</v>
      </c>
      <c r="L1221" s="209" t="s">
        <v>1177</v>
      </c>
      <c r="M1221" s="208">
        <v>1.0</v>
      </c>
      <c r="N1221" s="208">
        <v>5.0</v>
      </c>
      <c r="O1221" s="201">
        <f t="shared" si="6"/>
        <v>5</v>
      </c>
      <c r="P1221" s="208">
        <v>10.0</v>
      </c>
      <c r="Q1221" s="429">
        <v>46296.0</v>
      </c>
      <c r="R1221" s="208">
        <v>1.0</v>
      </c>
      <c r="S1221" s="208">
        <v>10.0</v>
      </c>
      <c r="T1221" s="208">
        <v>2026.0</v>
      </c>
      <c r="U1221" s="209" t="s">
        <v>36</v>
      </c>
      <c r="V1221" s="209">
        <v>187.96</v>
      </c>
      <c r="W1221" s="429">
        <v>46296.0</v>
      </c>
      <c r="X1221" s="208">
        <v>1.0</v>
      </c>
      <c r="Y1221" s="208">
        <v>10.0</v>
      </c>
      <c r="Z1221" s="208">
        <v>2026.0</v>
      </c>
      <c r="AA1221" s="209" t="s">
        <v>36</v>
      </c>
    </row>
    <row r="1222" ht="15.75" hidden="1" customHeight="1">
      <c r="A1222" s="209" t="s">
        <v>3071</v>
      </c>
      <c r="B1222" s="209" t="s">
        <v>3072</v>
      </c>
      <c r="C1222" s="429">
        <v>46271.0</v>
      </c>
      <c r="D1222" s="208">
        <v>6.0</v>
      </c>
      <c r="E1222" s="208">
        <v>9.0</v>
      </c>
      <c r="F1222" s="208">
        <v>2026.0</v>
      </c>
      <c r="G1222" s="429">
        <v>46277.0</v>
      </c>
      <c r="H1222" s="208">
        <v>12.0</v>
      </c>
      <c r="I1222" s="208">
        <v>9.0</v>
      </c>
      <c r="J1222" s="208">
        <v>2026.0</v>
      </c>
      <c r="K1222" s="209" t="s">
        <v>51</v>
      </c>
      <c r="L1222" s="209" t="s">
        <v>1177</v>
      </c>
      <c r="M1222" s="208">
        <v>1.0</v>
      </c>
      <c r="N1222" s="208">
        <v>6.0</v>
      </c>
      <c r="O1222" s="201">
        <f t="shared" si="6"/>
        <v>6</v>
      </c>
      <c r="P1222" s="208">
        <v>12.0</v>
      </c>
      <c r="Q1222" s="429">
        <v>46295.0</v>
      </c>
      <c r="R1222" s="208">
        <v>30.0</v>
      </c>
      <c r="S1222" s="208">
        <v>9.0</v>
      </c>
      <c r="T1222" s="208">
        <v>2026.0</v>
      </c>
      <c r="U1222" s="209" t="s">
        <v>2</v>
      </c>
      <c r="V1222" s="209">
        <v>194.35</v>
      </c>
      <c r="W1222" s="429">
        <v>46295.0</v>
      </c>
      <c r="X1222" s="208">
        <v>30.0</v>
      </c>
      <c r="Y1222" s="208">
        <v>9.0</v>
      </c>
      <c r="Z1222" s="208">
        <v>2026.0</v>
      </c>
      <c r="AA1222" s="209" t="s">
        <v>2</v>
      </c>
    </row>
    <row r="1223" ht="15.75" hidden="1" customHeight="1">
      <c r="A1223" s="209" t="s">
        <v>3073</v>
      </c>
      <c r="B1223" s="208">
        <v>6.474626274E9</v>
      </c>
      <c r="C1223" s="429">
        <v>46286.0</v>
      </c>
      <c r="D1223" s="208">
        <v>21.0</v>
      </c>
      <c r="E1223" s="208">
        <v>9.0</v>
      </c>
      <c r="F1223" s="208">
        <v>2026.0</v>
      </c>
      <c r="G1223" s="429">
        <v>46292.0</v>
      </c>
      <c r="H1223" s="208">
        <v>27.0</v>
      </c>
      <c r="I1223" s="208">
        <v>9.0</v>
      </c>
      <c r="J1223" s="208">
        <v>2026.0</v>
      </c>
      <c r="K1223" s="209" t="s">
        <v>36</v>
      </c>
      <c r="L1223" s="209" t="s">
        <v>1177</v>
      </c>
      <c r="M1223" s="208">
        <v>1.0</v>
      </c>
      <c r="N1223" s="208">
        <v>6.0</v>
      </c>
      <c r="O1223" s="201">
        <f t="shared" si="6"/>
        <v>6</v>
      </c>
      <c r="P1223" s="208">
        <v>12.0</v>
      </c>
      <c r="Q1223" s="429">
        <v>46296.0</v>
      </c>
      <c r="R1223" s="208">
        <v>1.0</v>
      </c>
      <c r="S1223" s="208">
        <v>10.0</v>
      </c>
      <c r="T1223" s="208">
        <v>2026.0</v>
      </c>
      <c r="U1223" s="209" t="s">
        <v>36</v>
      </c>
      <c r="V1223" s="209">
        <v>190.44</v>
      </c>
      <c r="W1223" s="429">
        <v>46296.0</v>
      </c>
      <c r="X1223" s="208">
        <v>1.0</v>
      </c>
      <c r="Y1223" s="208">
        <v>10.0</v>
      </c>
      <c r="Z1223" s="208">
        <v>2026.0</v>
      </c>
      <c r="AA1223" s="209" t="s">
        <v>36</v>
      </c>
    </row>
    <row r="1224" ht="15.75" hidden="1" customHeight="1">
      <c r="A1224" s="209" t="s">
        <v>3074</v>
      </c>
      <c r="B1224" s="208">
        <v>5.76814468E9</v>
      </c>
      <c r="C1224" s="429">
        <v>46291.0</v>
      </c>
      <c r="D1224" s="208">
        <v>26.0</v>
      </c>
      <c r="E1224" s="208">
        <v>9.0</v>
      </c>
      <c r="F1224" s="208">
        <v>2026.0</v>
      </c>
      <c r="G1224" s="429">
        <v>46294.0</v>
      </c>
      <c r="H1224" s="208">
        <v>29.0</v>
      </c>
      <c r="I1224" s="208">
        <v>9.0</v>
      </c>
      <c r="J1224" s="208">
        <v>2026.0</v>
      </c>
      <c r="K1224" s="209" t="s">
        <v>36</v>
      </c>
      <c r="L1224" s="209" t="s">
        <v>1177</v>
      </c>
      <c r="M1224" s="208">
        <v>2.0</v>
      </c>
      <c r="N1224" s="208">
        <v>3.0</v>
      </c>
      <c r="O1224" s="201">
        <f t="shared" si="6"/>
        <v>6</v>
      </c>
      <c r="P1224" s="208">
        <v>12.0</v>
      </c>
      <c r="Q1224" s="429">
        <v>46296.0</v>
      </c>
      <c r="R1224" s="208">
        <v>1.0</v>
      </c>
      <c r="S1224" s="208">
        <v>10.0</v>
      </c>
      <c r="T1224" s="208">
        <v>2026.0</v>
      </c>
      <c r="U1224" s="209" t="s">
        <v>36</v>
      </c>
      <c r="V1224" s="209">
        <v>192.12</v>
      </c>
      <c r="W1224" s="429">
        <v>46296.0</v>
      </c>
      <c r="X1224" s="208">
        <v>1.0</v>
      </c>
      <c r="Y1224" s="208">
        <v>10.0</v>
      </c>
      <c r="Z1224" s="208">
        <v>2026.0</v>
      </c>
      <c r="AA1224" s="209" t="s">
        <v>36</v>
      </c>
    </row>
    <row r="1225" ht="15.75" hidden="1" customHeight="1">
      <c r="A1225" s="209" t="s">
        <v>3075</v>
      </c>
      <c r="B1225" s="208">
        <v>6.847653033E9</v>
      </c>
      <c r="C1225" s="429">
        <v>46280.0</v>
      </c>
      <c r="D1225" s="208">
        <v>15.0</v>
      </c>
      <c r="E1225" s="208">
        <v>9.0</v>
      </c>
      <c r="F1225" s="208">
        <v>2026.0</v>
      </c>
      <c r="G1225" s="429">
        <v>46286.0</v>
      </c>
      <c r="H1225" s="208">
        <v>21.0</v>
      </c>
      <c r="I1225" s="208">
        <v>9.0</v>
      </c>
      <c r="J1225" s="208">
        <v>2026.0</v>
      </c>
      <c r="K1225" s="209" t="s">
        <v>36</v>
      </c>
      <c r="L1225" s="209" t="s">
        <v>1177</v>
      </c>
      <c r="M1225" s="208">
        <v>1.0</v>
      </c>
      <c r="N1225" s="208">
        <v>6.0</v>
      </c>
      <c r="O1225" s="201">
        <f t="shared" si="6"/>
        <v>6</v>
      </c>
      <c r="P1225" s="208">
        <v>12.0</v>
      </c>
      <c r="Q1225" s="429">
        <v>46296.0</v>
      </c>
      <c r="R1225" s="208">
        <v>1.0</v>
      </c>
      <c r="S1225" s="208">
        <v>10.0</v>
      </c>
      <c r="T1225" s="208">
        <v>2026.0</v>
      </c>
      <c r="U1225" s="209" t="s">
        <v>36</v>
      </c>
      <c r="V1225" s="209">
        <v>183.75</v>
      </c>
      <c r="W1225" s="429">
        <v>46296.0</v>
      </c>
      <c r="X1225" s="208">
        <v>1.0</v>
      </c>
      <c r="Y1225" s="208">
        <v>10.0</v>
      </c>
      <c r="Z1225" s="208">
        <v>2026.0</v>
      </c>
      <c r="AA1225" s="209" t="s">
        <v>36</v>
      </c>
    </row>
    <row r="1226" ht="15.75" hidden="1" customHeight="1">
      <c r="A1226" s="209" t="s">
        <v>3076</v>
      </c>
      <c r="B1226" s="209" t="s">
        <v>3077</v>
      </c>
      <c r="C1226" s="429">
        <v>46286.0</v>
      </c>
      <c r="D1226" s="208">
        <v>21.0</v>
      </c>
      <c r="E1226" s="208">
        <v>9.0</v>
      </c>
      <c r="F1226" s="208">
        <v>2026.0</v>
      </c>
      <c r="G1226" s="429">
        <v>46296.0</v>
      </c>
      <c r="H1226" s="208">
        <v>1.0</v>
      </c>
      <c r="I1226" s="208">
        <v>10.0</v>
      </c>
      <c r="J1226" s="208">
        <v>2026.0</v>
      </c>
      <c r="K1226" s="209" t="s">
        <v>51</v>
      </c>
      <c r="L1226" s="209" t="s">
        <v>1177</v>
      </c>
      <c r="M1226" s="208">
        <v>1.0</v>
      </c>
      <c r="N1226" s="208">
        <v>10.0</v>
      </c>
      <c r="O1226" s="201">
        <f t="shared" si="6"/>
        <v>10</v>
      </c>
      <c r="P1226" s="208">
        <v>14.0</v>
      </c>
      <c r="Q1226" s="429">
        <v>46295.0</v>
      </c>
      <c r="R1226" s="208">
        <v>30.0</v>
      </c>
      <c r="S1226" s="208">
        <v>9.0</v>
      </c>
      <c r="T1226" s="208">
        <v>2026.0</v>
      </c>
      <c r="U1226" s="209" t="s">
        <v>2</v>
      </c>
      <c r="V1226" s="209">
        <v>295.75</v>
      </c>
      <c r="W1226" s="429">
        <v>46295.0</v>
      </c>
      <c r="X1226" s="208">
        <v>30.0</v>
      </c>
      <c r="Y1226" s="208">
        <v>9.0</v>
      </c>
      <c r="Z1226" s="208">
        <v>2026.0</v>
      </c>
      <c r="AA1226" s="209" t="s">
        <v>2</v>
      </c>
    </row>
    <row r="1227" ht="15.75" hidden="1" customHeight="1">
      <c r="A1227" s="209" t="s">
        <v>3078</v>
      </c>
      <c r="B1227" s="208">
        <v>5.602936054E9</v>
      </c>
      <c r="C1227" s="429">
        <v>46277.0</v>
      </c>
      <c r="D1227" s="208">
        <v>12.0</v>
      </c>
      <c r="E1227" s="208">
        <v>9.0</v>
      </c>
      <c r="F1227" s="208">
        <v>2026.0</v>
      </c>
      <c r="G1227" s="429">
        <v>46284.0</v>
      </c>
      <c r="H1227" s="208">
        <v>19.0</v>
      </c>
      <c r="I1227" s="208">
        <v>9.0</v>
      </c>
      <c r="J1227" s="208">
        <v>2026.0</v>
      </c>
      <c r="K1227" s="209" t="s">
        <v>36</v>
      </c>
      <c r="L1227" s="209" t="s">
        <v>1177</v>
      </c>
      <c r="M1227" s="208">
        <v>1.0</v>
      </c>
      <c r="N1227" s="208">
        <v>7.0</v>
      </c>
      <c r="O1227" s="201">
        <f t="shared" si="6"/>
        <v>7</v>
      </c>
      <c r="P1227" s="208">
        <v>14.0</v>
      </c>
      <c r="Q1227" s="429">
        <v>46296.0</v>
      </c>
      <c r="R1227" s="208">
        <v>1.0</v>
      </c>
      <c r="S1227" s="208">
        <v>10.0</v>
      </c>
      <c r="T1227" s="208">
        <v>2026.0</v>
      </c>
      <c r="U1227" s="209" t="s">
        <v>36</v>
      </c>
      <c r="V1227" s="209">
        <v>254.78</v>
      </c>
      <c r="W1227" s="429">
        <v>46296.0</v>
      </c>
      <c r="X1227" s="208">
        <v>1.0</v>
      </c>
      <c r="Y1227" s="208">
        <v>10.0</v>
      </c>
      <c r="Z1227" s="208">
        <v>2026.0</v>
      </c>
      <c r="AA1227" s="209" t="s">
        <v>36</v>
      </c>
    </row>
    <row r="1228" ht="15.75" hidden="1" customHeight="1">
      <c r="A1228" s="209" t="s">
        <v>3079</v>
      </c>
      <c r="B1228" s="208">
        <v>6.811963801E9</v>
      </c>
      <c r="C1228" s="429">
        <v>46278.0</v>
      </c>
      <c r="D1228" s="208">
        <v>13.0</v>
      </c>
      <c r="E1228" s="208">
        <v>9.0</v>
      </c>
      <c r="F1228" s="208">
        <v>2026.0</v>
      </c>
      <c r="G1228" s="429">
        <v>46279.0</v>
      </c>
      <c r="H1228" s="208">
        <v>14.0</v>
      </c>
      <c r="I1228" s="208">
        <v>9.0</v>
      </c>
      <c r="J1228" s="208">
        <v>2026.0</v>
      </c>
      <c r="K1228" s="209" t="s">
        <v>36</v>
      </c>
      <c r="L1228" s="209" t="s">
        <v>1177</v>
      </c>
      <c r="M1228" s="208">
        <v>10.0</v>
      </c>
      <c r="N1228" s="208">
        <v>1.0</v>
      </c>
      <c r="O1228" s="201">
        <f t="shared" si="6"/>
        <v>10</v>
      </c>
      <c r="P1228" s="208">
        <v>14.0</v>
      </c>
      <c r="Q1228" s="429">
        <v>46296.0</v>
      </c>
      <c r="R1228" s="208">
        <v>1.0</v>
      </c>
      <c r="S1228" s="208">
        <v>10.0</v>
      </c>
      <c r="T1228" s="208">
        <v>2026.0</v>
      </c>
      <c r="U1228" s="209" t="s">
        <v>36</v>
      </c>
      <c r="V1228" s="209">
        <v>381.9</v>
      </c>
      <c r="W1228" s="429">
        <v>46296.0</v>
      </c>
      <c r="X1228" s="208">
        <v>1.0</v>
      </c>
      <c r="Y1228" s="208">
        <v>10.0</v>
      </c>
      <c r="Z1228" s="208">
        <v>2026.0</v>
      </c>
      <c r="AA1228" s="209" t="s">
        <v>36</v>
      </c>
    </row>
    <row r="1229" ht="15.75" hidden="1" customHeight="1">
      <c r="A1229" s="209"/>
      <c r="B1229" s="210"/>
      <c r="C1229" s="429"/>
      <c r="D1229" s="208"/>
      <c r="E1229" s="208"/>
      <c r="F1229" s="208"/>
      <c r="G1229" s="429"/>
      <c r="H1229" s="208"/>
      <c r="I1229" s="208"/>
      <c r="J1229" s="208"/>
      <c r="K1229" s="209"/>
      <c r="L1229" s="209"/>
      <c r="M1229" s="208"/>
      <c r="N1229" s="208"/>
      <c r="O1229" s="201"/>
      <c r="P1229" s="208"/>
      <c r="Q1229" s="429"/>
      <c r="R1229" s="208"/>
      <c r="S1229" s="208"/>
      <c r="T1229" s="208"/>
      <c r="U1229" s="209"/>
      <c r="V1229" s="208"/>
      <c r="W1229" s="429"/>
      <c r="X1229" s="208"/>
      <c r="Y1229" s="208"/>
      <c r="Z1229" s="208"/>
      <c r="AA1229" s="209"/>
    </row>
    <row r="1230" ht="15.75" hidden="1" customHeight="1">
      <c r="A1230" s="209" t="s">
        <v>3080</v>
      </c>
      <c r="B1230" s="209" t="s">
        <v>3081</v>
      </c>
      <c r="C1230" s="429">
        <v>46277.0</v>
      </c>
      <c r="D1230" s="208">
        <v>12.0</v>
      </c>
      <c r="E1230" s="208">
        <v>9.0</v>
      </c>
      <c r="F1230" s="208">
        <v>2026.0</v>
      </c>
      <c r="G1230" s="429">
        <v>46278.0</v>
      </c>
      <c r="H1230" s="208">
        <v>13.0</v>
      </c>
      <c r="I1230" s="208">
        <v>9.0</v>
      </c>
      <c r="J1230" s="208">
        <v>2026.0</v>
      </c>
      <c r="K1230" s="209" t="s">
        <v>46</v>
      </c>
      <c r="L1230" s="209" t="s">
        <v>1177</v>
      </c>
      <c r="M1230" s="208">
        <v>1.0</v>
      </c>
      <c r="N1230" s="208">
        <v>1.0</v>
      </c>
      <c r="O1230" s="201">
        <f t="shared" ref="O1230:O1231" si="7">N1230*M1230</f>
        <v>1</v>
      </c>
      <c r="P1230" s="208">
        <v>2.0</v>
      </c>
      <c r="Q1230" s="429">
        <v>46277.91519675926</v>
      </c>
      <c r="R1230" s="430">
        <v>12.0</v>
      </c>
      <c r="S1230" s="430">
        <v>9.0</v>
      </c>
      <c r="T1230" s="208">
        <v>2026.0</v>
      </c>
      <c r="U1230" s="209" t="s">
        <v>245</v>
      </c>
      <c r="V1230" s="209">
        <v>29.75</v>
      </c>
      <c r="W1230" s="429">
        <v>46277.91519675926</v>
      </c>
      <c r="X1230" s="208">
        <v>12.0</v>
      </c>
      <c r="Y1230" s="208">
        <v>9.0</v>
      </c>
      <c r="Z1230" s="208">
        <v>2026.0</v>
      </c>
      <c r="AA1230" s="209" t="s">
        <v>245</v>
      </c>
    </row>
    <row r="1231" ht="15.75" hidden="1" customHeight="1">
      <c r="A1231" s="209" t="s">
        <v>3082</v>
      </c>
      <c r="B1231" s="209" t="s">
        <v>3083</v>
      </c>
      <c r="C1231" s="429">
        <v>46289.0</v>
      </c>
      <c r="D1231" s="208">
        <v>24.0</v>
      </c>
      <c r="E1231" s="208">
        <v>9.0</v>
      </c>
      <c r="F1231" s="208">
        <v>2026.0</v>
      </c>
      <c r="G1231" s="429">
        <v>46291.0</v>
      </c>
      <c r="H1231" s="208">
        <v>26.0</v>
      </c>
      <c r="I1231" s="208">
        <v>9.0</v>
      </c>
      <c r="J1231" s="208">
        <v>2026.0</v>
      </c>
      <c r="K1231" s="209" t="s">
        <v>46</v>
      </c>
      <c r="L1231" s="209" t="s">
        <v>1177</v>
      </c>
      <c r="M1231" s="208">
        <v>1.0</v>
      </c>
      <c r="N1231" s="208">
        <v>2.0</v>
      </c>
      <c r="O1231" s="201">
        <f t="shared" si="7"/>
        <v>2</v>
      </c>
      <c r="P1231" s="208">
        <v>4.0</v>
      </c>
      <c r="Q1231" s="429">
        <v>46289.89837962963</v>
      </c>
      <c r="R1231" s="208">
        <v>24.0</v>
      </c>
      <c r="S1231" s="208">
        <v>9.0</v>
      </c>
      <c r="T1231" s="208">
        <v>2026.0</v>
      </c>
      <c r="U1231" s="209" t="s">
        <v>245</v>
      </c>
      <c r="V1231" s="209">
        <v>93.5</v>
      </c>
      <c r="W1231" s="429">
        <v>46289.89837962963</v>
      </c>
      <c r="X1231" s="208">
        <v>24.0</v>
      </c>
      <c r="Y1231" s="208">
        <v>9.0</v>
      </c>
      <c r="Z1231" s="208">
        <v>2026.0</v>
      </c>
      <c r="AA1231" s="209" t="s">
        <v>245</v>
      </c>
    </row>
    <row r="1232" ht="15.75" hidden="1" customHeight="1">
      <c r="O1232" s="201"/>
    </row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  <row r="2001" ht="15.75" hidden="1" customHeight="1"/>
    <row r="2002" ht="15.75" hidden="1" customHeight="1"/>
    <row r="2003" ht="15.75" hidden="1" customHeight="1"/>
    <row r="2004" ht="15.75" hidden="1" customHeight="1"/>
    <row r="2005" ht="15.75" hidden="1" customHeight="1"/>
    <row r="2006" ht="15.75" hidden="1" customHeight="1"/>
    <row r="2007" ht="15.75" hidden="1" customHeight="1"/>
    <row r="2008" ht="15.75" hidden="1" customHeight="1"/>
    <row r="2009" ht="15.75" hidden="1" customHeight="1"/>
    <row r="2010" ht="15.75" hidden="1" customHeight="1"/>
    <row r="2011" ht="15.75" hidden="1" customHeight="1"/>
    <row r="2012" ht="15.75" hidden="1" customHeight="1"/>
    <row r="2013" ht="15.75" hidden="1" customHeight="1"/>
    <row r="2014" ht="15.75" hidden="1" customHeight="1"/>
    <row r="2015" ht="15.75" hidden="1" customHeight="1"/>
    <row r="2016" ht="15.75" hidden="1" customHeight="1"/>
    <row r="2017" ht="15.75" hidden="1" customHeight="1"/>
    <row r="2018" ht="15.75" hidden="1" customHeight="1"/>
    <row r="2019" ht="15.75" hidden="1" customHeight="1"/>
    <row r="2020" ht="15.75" hidden="1" customHeight="1"/>
    <row r="2021" ht="15.75" hidden="1" customHeight="1"/>
    <row r="2022" ht="15.75" hidden="1" customHeight="1"/>
    <row r="2023" ht="15.75" hidden="1" customHeight="1"/>
    <row r="2024" ht="15.75" hidden="1" customHeight="1"/>
    <row r="2025" ht="15.75" hidden="1" customHeight="1"/>
    <row r="2026" ht="15.75" hidden="1" customHeight="1"/>
    <row r="2027" ht="15.75" hidden="1" customHeight="1"/>
    <row r="2028" ht="15.75" hidden="1" customHeight="1"/>
    <row r="2029" ht="15.75" hidden="1" customHeight="1"/>
    <row r="2030" ht="15.75" hidden="1" customHeight="1"/>
    <row r="2031" ht="15.75" hidden="1" customHeight="1"/>
    <row r="2032" ht="15.75" hidden="1" customHeight="1"/>
    <row r="2033" ht="15.75" hidden="1" customHeight="1"/>
    <row r="2034" ht="15.75" hidden="1" customHeight="1"/>
    <row r="2035" ht="15.75" hidden="1" customHeight="1"/>
    <row r="2036" ht="15.75" hidden="1" customHeight="1"/>
    <row r="2037" ht="15.75" hidden="1" customHeight="1"/>
    <row r="2038" ht="15.75" hidden="1" customHeight="1"/>
    <row r="2039" ht="15.75" hidden="1" customHeight="1"/>
    <row r="2040" ht="15.75" hidden="1" customHeight="1"/>
    <row r="2041" ht="15.75" hidden="1" customHeight="1"/>
    <row r="2042" ht="15.75" hidden="1" customHeight="1"/>
    <row r="2043" ht="15.75" hidden="1" customHeight="1"/>
    <row r="2044" ht="15.75" hidden="1" customHeight="1"/>
    <row r="2045" ht="15.75" hidden="1" customHeight="1"/>
    <row r="2046" ht="15.75" hidden="1" customHeight="1"/>
    <row r="2047" ht="15.75" hidden="1" customHeight="1"/>
    <row r="2048" ht="15.75" hidden="1" customHeight="1"/>
    <row r="2049" ht="15.75" hidden="1" customHeight="1"/>
    <row r="2050" ht="15.75" hidden="1" customHeight="1"/>
    <row r="2051" ht="15.75" hidden="1" customHeight="1"/>
    <row r="2052" ht="15.75" hidden="1" customHeight="1"/>
    <row r="2053" ht="15.75" hidden="1" customHeight="1"/>
    <row r="2054" ht="15.75" hidden="1" customHeight="1"/>
    <row r="2055" ht="15.75" hidden="1" customHeight="1"/>
    <row r="2056" ht="15.75" hidden="1" customHeight="1"/>
    <row r="2057" ht="15.75" hidden="1" customHeight="1"/>
    <row r="2058" ht="15.75" hidden="1" customHeight="1"/>
    <row r="2059" ht="15.75" hidden="1" customHeight="1"/>
    <row r="2060" ht="15.75" hidden="1" customHeight="1"/>
    <row r="2061" ht="15.75" hidden="1" customHeight="1"/>
    <row r="2062" ht="15.75" hidden="1" customHeight="1"/>
    <row r="2063" ht="15.75" hidden="1" customHeight="1"/>
    <row r="2064" ht="15.75" hidden="1" customHeight="1"/>
    <row r="2065" ht="15.75" hidden="1" customHeight="1"/>
    <row r="2066" ht="15.75" hidden="1" customHeight="1"/>
    <row r="2067" ht="15.75" hidden="1" customHeight="1"/>
    <row r="2068" ht="15.75" hidden="1" customHeight="1"/>
    <row r="2069" ht="15.75" hidden="1" customHeight="1"/>
    <row r="2070" ht="15.75" hidden="1" customHeight="1"/>
    <row r="2071" ht="15.75" hidden="1" customHeight="1"/>
    <row r="2072" ht="15.75" hidden="1" customHeight="1"/>
    <row r="2073" ht="15.75" hidden="1" customHeight="1"/>
    <row r="2074" ht="15.75" hidden="1" customHeight="1"/>
    <row r="2075" ht="15.75" hidden="1" customHeight="1"/>
    <row r="2076" ht="15.75" hidden="1" customHeight="1"/>
    <row r="2077" ht="15.75" hidden="1" customHeight="1"/>
    <row r="2078" ht="15.75" hidden="1" customHeight="1"/>
    <row r="2079" ht="15.75" hidden="1" customHeight="1"/>
    <row r="2080" ht="15.75" hidden="1" customHeight="1"/>
    <row r="2081" ht="15.75" hidden="1" customHeight="1"/>
    <row r="2082" ht="15.75" hidden="1" customHeight="1"/>
    <row r="2083" ht="15.75" hidden="1" customHeight="1"/>
    <row r="2084" ht="15.75" hidden="1" customHeight="1"/>
    <row r="2085" ht="15.75" hidden="1" customHeight="1"/>
    <row r="2086" ht="15.75" hidden="1" customHeight="1"/>
    <row r="2087" ht="15.75" hidden="1" customHeight="1"/>
    <row r="2088" ht="15.75" hidden="1" customHeight="1"/>
    <row r="2089" ht="15.75" hidden="1" customHeight="1"/>
    <row r="2090" ht="15.75" hidden="1" customHeight="1"/>
    <row r="2091" ht="15.75" hidden="1" customHeight="1"/>
    <row r="2092" ht="15.75" hidden="1" customHeight="1"/>
    <row r="2093" ht="15.75" hidden="1" customHeight="1"/>
    <row r="2094" ht="15.75" hidden="1" customHeight="1"/>
    <row r="2095" ht="15.75" hidden="1" customHeight="1"/>
    <row r="2096" ht="15.75" hidden="1" customHeight="1"/>
    <row r="2097" ht="15.75" hidden="1" customHeight="1"/>
    <row r="2098" ht="15.75" hidden="1" customHeight="1"/>
    <row r="2099" ht="15.75" hidden="1" customHeight="1"/>
    <row r="2100" ht="15.75" hidden="1" customHeight="1"/>
    <row r="2101" ht="15.75" hidden="1" customHeight="1"/>
    <row r="2102" ht="15.75" hidden="1" customHeight="1"/>
    <row r="2103" ht="15.75" hidden="1" customHeight="1"/>
    <row r="2104" ht="15.75" hidden="1" customHeight="1"/>
    <row r="2105" ht="15.75" hidden="1" customHeight="1"/>
    <row r="2106" ht="15.75" hidden="1" customHeight="1"/>
    <row r="2107" ht="15.75" hidden="1" customHeight="1"/>
    <row r="2108" ht="15.75" hidden="1" customHeight="1"/>
    <row r="2109" ht="15.75" hidden="1" customHeight="1"/>
    <row r="2110" ht="15.75" hidden="1" customHeight="1"/>
    <row r="2111" ht="15.75" hidden="1" customHeight="1"/>
    <row r="2112" ht="15.75" hidden="1" customHeight="1"/>
    <row r="2113" ht="15.75" hidden="1" customHeight="1"/>
    <row r="2114" ht="15.75" hidden="1" customHeight="1"/>
    <row r="2115" ht="15.75" hidden="1" customHeight="1"/>
    <row r="2116" ht="15.75" hidden="1" customHeight="1"/>
    <row r="2117" ht="15.75" hidden="1" customHeight="1"/>
    <row r="2118" ht="15.75" hidden="1" customHeight="1"/>
    <row r="2119" ht="15.75" hidden="1" customHeight="1"/>
    <row r="2120" ht="15.75" hidden="1" customHeight="1"/>
    <row r="2121" ht="15.75" hidden="1" customHeight="1"/>
    <row r="2122" ht="15.75" hidden="1" customHeight="1"/>
    <row r="2123" ht="15.75" hidden="1" customHeight="1"/>
    <row r="2124" ht="15.75" hidden="1" customHeight="1"/>
    <row r="2125" ht="15.75" hidden="1" customHeight="1"/>
    <row r="2126" ht="15.75" hidden="1" customHeight="1"/>
    <row r="2127" ht="15.75" hidden="1" customHeight="1"/>
    <row r="2128" ht="15.75" hidden="1" customHeight="1"/>
    <row r="2129" ht="15.75" hidden="1" customHeight="1"/>
    <row r="2130" ht="15.75" hidden="1" customHeight="1"/>
    <row r="2131" ht="15.75" hidden="1" customHeight="1"/>
    <row r="2132" ht="15.75" hidden="1" customHeight="1"/>
    <row r="2133" ht="15.75" hidden="1" customHeight="1"/>
    <row r="2134" ht="15.75" hidden="1" customHeight="1"/>
    <row r="2135" ht="15.75" hidden="1" customHeight="1"/>
    <row r="2136" ht="15.75" hidden="1" customHeight="1"/>
    <row r="2137" ht="15.75" hidden="1" customHeight="1"/>
    <row r="2138" ht="15.75" hidden="1" customHeight="1"/>
    <row r="2139" ht="15.75" hidden="1" customHeight="1"/>
    <row r="2140" ht="15.75" hidden="1" customHeight="1"/>
    <row r="2141" ht="15.75" hidden="1" customHeight="1"/>
    <row r="2142" ht="15.75" hidden="1" customHeight="1"/>
    <row r="2143" ht="15.75" hidden="1" customHeight="1"/>
    <row r="2144" ht="15.75" hidden="1" customHeight="1"/>
    <row r="2145" ht="15.75" hidden="1" customHeight="1"/>
    <row r="2146" ht="15.75" hidden="1" customHeight="1"/>
    <row r="2147" ht="15.75" hidden="1" customHeight="1"/>
    <row r="2148" ht="15.75" hidden="1" customHeight="1"/>
    <row r="2149" ht="15.75" hidden="1" customHeight="1"/>
    <row r="2150" ht="15.75" hidden="1" customHeight="1"/>
    <row r="2151" ht="15.75" hidden="1" customHeight="1"/>
    <row r="2152" ht="15.75" hidden="1" customHeight="1"/>
    <row r="2153" ht="15.75" hidden="1" customHeight="1"/>
    <row r="2154" ht="15.75" hidden="1" customHeight="1"/>
    <row r="2155" ht="15.75" hidden="1" customHeight="1"/>
    <row r="2156" ht="15.75" hidden="1" customHeight="1"/>
    <row r="2157" ht="15.75" hidden="1" customHeight="1"/>
    <row r="2158" ht="15.75" hidden="1" customHeight="1"/>
    <row r="2159" ht="15.75" hidden="1" customHeight="1"/>
    <row r="2160" ht="15.75" hidden="1" customHeight="1"/>
    <row r="2161" ht="15.75" hidden="1" customHeight="1"/>
    <row r="2162" ht="15.75" hidden="1" customHeight="1"/>
    <row r="2163" ht="15.75" hidden="1" customHeight="1"/>
    <row r="2164" ht="15.75" hidden="1" customHeight="1"/>
    <row r="2165" ht="15.75" hidden="1" customHeight="1"/>
    <row r="2166" ht="15.75" hidden="1" customHeight="1"/>
    <row r="2167" ht="15.75" hidden="1" customHeight="1"/>
    <row r="2168" ht="15.75" hidden="1" customHeight="1"/>
    <row r="2169" ht="15.75" hidden="1" customHeight="1"/>
    <row r="2170" ht="15.75" hidden="1" customHeight="1"/>
    <row r="2171" ht="15.75" hidden="1" customHeight="1"/>
    <row r="2172" ht="15.75" hidden="1" customHeight="1"/>
    <row r="2173" ht="15.75" hidden="1" customHeight="1"/>
    <row r="2174" ht="15.75" hidden="1" customHeight="1"/>
    <row r="2175" ht="15.75" hidden="1" customHeight="1"/>
    <row r="2176" ht="15.75" hidden="1" customHeight="1"/>
    <row r="2177" ht="15.75" hidden="1" customHeight="1"/>
    <row r="2178" ht="15.75" hidden="1" customHeight="1"/>
    <row r="2179" ht="15.75" hidden="1" customHeight="1"/>
    <row r="2180" ht="15.75" hidden="1" customHeight="1"/>
    <row r="2181" ht="15.75" hidden="1" customHeight="1"/>
    <row r="2182" ht="15.75" hidden="1" customHeight="1"/>
    <row r="2183" ht="15.75" hidden="1" customHeight="1"/>
    <row r="2184" ht="15.75" hidden="1" customHeight="1"/>
    <row r="2185" ht="15.75" hidden="1" customHeight="1"/>
    <row r="2186" ht="15.75" hidden="1" customHeight="1"/>
    <row r="2187" ht="15.75" hidden="1" customHeight="1"/>
    <row r="2188" ht="15.75" hidden="1" customHeight="1"/>
    <row r="2189" ht="15.75" hidden="1" customHeight="1"/>
    <row r="2190" ht="15.75" hidden="1" customHeight="1"/>
    <row r="2191" ht="15.75" hidden="1" customHeight="1"/>
    <row r="2192" ht="15.75" hidden="1" customHeight="1"/>
    <row r="2193" ht="15.75" hidden="1" customHeight="1"/>
    <row r="2194" ht="15.75" hidden="1" customHeight="1"/>
    <row r="2195" ht="15.75" hidden="1" customHeight="1"/>
    <row r="2196" ht="15.75" hidden="1" customHeight="1"/>
    <row r="2197" ht="15.75" hidden="1" customHeight="1"/>
    <row r="2198" ht="15.75" hidden="1" customHeight="1"/>
    <row r="2199" ht="15.75" hidden="1" customHeight="1"/>
    <row r="2200" ht="15.75" hidden="1" customHeight="1"/>
    <row r="2201" ht="15.75" hidden="1" customHeight="1"/>
    <row r="2202" ht="15.75" hidden="1" customHeight="1"/>
    <row r="2203" ht="15.75" hidden="1" customHeight="1"/>
    <row r="2204" ht="15.75" hidden="1" customHeight="1"/>
    <row r="2205" ht="15.75" hidden="1" customHeight="1"/>
    <row r="2206" ht="15.75" hidden="1" customHeight="1"/>
    <row r="2207" ht="15.75" hidden="1" customHeight="1"/>
    <row r="2208" ht="15.75" hidden="1" customHeight="1"/>
    <row r="2209" ht="15.75" hidden="1" customHeight="1"/>
    <row r="2210" ht="15.75" hidden="1" customHeight="1"/>
    <row r="2211" ht="15.75" hidden="1" customHeight="1"/>
    <row r="2212" ht="15.75" hidden="1" customHeight="1"/>
    <row r="2213" ht="15.75" hidden="1" customHeight="1"/>
    <row r="2214" ht="15.75" hidden="1" customHeight="1"/>
    <row r="2215" ht="15.75" hidden="1" customHeight="1"/>
    <row r="2216" ht="15.75" hidden="1" customHeight="1"/>
    <row r="2217" ht="15.75" hidden="1" customHeight="1"/>
    <row r="2218" ht="15.75" hidden="1" customHeight="1"/>
    <row r="2219" ht="15.75" hidden="1" customHeight="1"/>
    <row r="2220" ht="15.75" hidden="1" customHeight="1"/>
    <row r="2221" ht="15.75" hidden="1" customHeight="1"/>
    <row r="2222" ht="15.75" hidden="1" customHeight="1"/>
    <row r="2223" ht="15.75" hidden="1" customHeight="1"/>
    <row r="2224" ht="15.75" hidden="1" customHeight="1"/>
    <row r="2225" ht="15.75" hidden="1" customHeight="1"/>
    <row r="2226" ht="15.75" hidden="1" customHeight="1"/>
    <row r="2227" ht="15.75" hidden="1" customHeight="1"/>
    <row r="2228" ht="15.75" hidden="1" customHeight="1"/>
    <row r="2229" ht="15.75" hidden="1" customHeight="1"/>
    <row r="2230" ht="15.75" hidden="1" customHeight="1"/>
    <row r="2231" ht="15.75" hidden="1" customHeight="1"/>
    <row r="2232" ht="15.75" hidden="1" customHeight="1"/>
    <row r="2233" ht="15.75" hidden="1" customHeight="1"/>
    <row r="2234" ht="15.75" hidden="1" customHeight="1"/>
    <row r="2235" ht="15.75" hidden="1" customHeight="1"/>
    <row r="2236" ht="15.75" hidden="1" customHeight="1"/>
    <row r="2237" ht="15.75" hidden="1" customHeight="1"/>
    <row r="2238" ht="15.75" hidden="1" customHeight="1"/>
    <row r="2239" ht="15.75" hidden="1" customHeight="1"/>
    <row r="2240" ht="15.75" hidden="1" customHeight="1"/>
    <row r="2241" ht="15.75" hidden="1" customHeight="1"/>
    <row r="2242" ht="15.75" hidden="1" customHeight="1"/>
    <row r="2243" ht="15.75" hidden="1" customHeight="1"/>
    <row r="2244" ht="15.75" hidden="1" customHeight="1"/>
    <row r="2245" ht="15.75" hidden="1" customHeight="1"/>
    <row r="2246" ht="15.75" hidden="1" customHeight="1"/>
    <row r="2247" ht="15.75" hidden="1" customHeight="1"/>
    <row r="2248" ht="15.75" hidden="1" customHeight="1"/>
    <row r="2249" ht="15.75" hidden="1" customHeight="1"/>
    <row r="2250" ht="15.75" hidden="1" customHeight="1"/>
    <row r="2251" ht="15.75" hidden="1" customHeight="1"/>
    <row r="2252" ht="15.75" hidden="1" customHeight="1"/>
    <row r="2253" ht="15.75" hidden="1" customHeight="1"/>
    <row r="2254" ht="15.75" hidden="1" customHeight="1"/>
    <row r="2255" ht="15.75" hidden="1" customHeight="1"/>
    <row r="2256" ht="15.75" hidden="1" customHeight="1"/>
    <row r="2257" ht="15.75" hidden="1" customHeight="1"/>
    <row r="2258" ht="15.75" hidden="1" customHeight="1"/>
    <row r="2259" ht="15.75" hidden="1" customHeight="1"/>
    <row r="2260" ht="15.75" hidden="1" customHeight="1"/>
    <row r="2261" ht="15.75" hidden="1" customHeight="1"/>
    <row r="2262" ht="15.75" hidden="1" customHeight="1"/>
    <row r="2263" ht="15.75" hidden="1" customHeight="1"/>
    <row r="2264" ht="15.75" hidden="1" customHeight="1"/>
    <row r="2265" ht="15.75" hidden="1" customHeight="1"/>
    <row r="2266" ht="15.75" hidden="1" customHeight="1"/>
    <row r="2267" ht="15.75" hidden="1" customHeight="1"/>
    <row r="2268" ht="15.75" hidden="1" customHeight="1"/>
    <row r="2269" ht="15.75" hidden="1" customHeight="1"/>
    <row r="2270" ht="15.75" hidden="1" customHeight="1"/>
    <row r="2271" ht="15.75" hidden="1" customHeight="1"/>
    <row r="2272" ht="15.75" hidden="1" customHeight="1"/>
    <row r="2273" ht="15.75" hidden="1" customHeight="1"/>
    <row r="2274" ht="15.75" hidden="1" customHeight="1"/>
    <row r="2275" ht="15.75" hidden="1" customHeight="1"/>
    <row r="2276" ht="15.75" hidden="1" customHeight="1"/>
    <row r="2277" ht="15.75" hidden="1" customHeight="1"/>
    <row r="2278" ht="15.75" hidden="1" customHeight="1"/>
    <row r="2279" ht="15.75" hidden="1" customHeight="1"/>
    <row r="2280" ht="15.75" hidden="1" customHeight="1"/>
    <row r="2281" ht="15.75" hidden="1" customHeight="1"/>
    <row r="2282" ht="15.75" hidden="1" customHeight="1"/>
    <row r="2283" ht="15.75" hidden="1" customHeight="1"/>
    <row r="2284" ht="15.75" hidden="1" customHeight="1"/>
    <row r="2285" ht="15.75" hidden="1" customHeight="1"/>
    <row r="2286" ht="15.75" hidden="1" customHeight="1"/>
    <row r="2287" ht="15.75" hidden="1" customHeight="1"/>
    <row r="2288" ht="15.75" hidden="1" customHeight="1"/>
    <row r="2289" ht="15.75" hidden="1" customHeight="1"/>
    <row r="2290" ht="15.75" hidden="1" customHeight="1"/>
    <row r="2291" ht="15.75" hidden="1" customHeight="1"/>
    <row r="2292" ht="15.75" hidden="1" customHeight="1"/>
    <row r="2293" ht="15.75" hidden="1" customHeight="1"/>
    <row r="2294" ht="15.75" hidden="1" customHeight="1"/>
    <row r="2295" ht="15.75" hidden="1" customHeight="1"/>
    <row r="2296" ht="15.75" hidden="1" customHeight="1"/>
    <row r="2297" ht="15.75" hidden="1" customHeight="1"/>
    <row r="2298" ht="15.75" hidden="1" customHeight="1"/>
    <row r="2299" ht="15.75" hidden="1" customHeight="1"/>
    <row r="2300" ht="15.75" hidden="1" customHeight="1"/>
    <row r="2301" ht="15.75" hidden="1" customHeight="1"/>
    <row r="2302" ht="15.75" hidden="1" customHeight="1"/>
    <row r="2303" ht="15.75" hidden="1" customHeight="1"/>
    <row r="2304" ht="15.75" hidden="1" customHeight="1"/>
    <row r="2305" ht="15.75" hidden="1" customHeight="1"/>
    <row r="2306" ht="15.75" hidden="1" customHeight="1"/>
    <row r="2307" ht="15.75" hidden="1" customHeight="1"/>
    <row r="2308" ht="15.75" hidden="1" customHeight="1"/>
    <row r="2309" ht="15.75" hidden="1" customHeight="1"/>
    <row r="2310" ht="15.75" hidden="1" customHeight="1"/>
    <row r="2311" ht="15.75" hidden="1" customHeight="1"/>
    <row r="2312" ht="15.75" hidden="1" customHeight="1"/>
    <row r="2313" ht="15.75" hidden="1" customHeight="1"/>
    <row r="2314" ht="15.75" hidden="1" customHeight="1"/>
    <row r="2315" ht="15.75" hidden="1" customHeight="1"/>
    <row r="2316" ht="15.75" hidden="1" customHeight="1"/>
    <row r="2317" ht="15.75" hidden="1" customHeight="1"/>
    <row r="2318" ht="15.75" hidden="1" customHeight="1"/>
    <row r="2319" ht="15.75" hidden="1" customHeight="1"/>
    <row r="2320" ht="15.75" hidden="1" customHeight="1"/>
    <row r="2321" ht="15.75" hidden="1" customHeight="1"/>
    <row r="2322" ht="15.75" hidden="1" customHeight="1"/>
    <row r="2323" ht="15.75" hidden="1" customHeight="1"/>
    <row r="2324" ht="15.75" hidden="1" customHeight="1"/>
    <row r="2325" ht="15.75" hidden="1" customHeight="1"/>
    <row r="2326" ht="15.75" hidden="1" customHeight="1"/>
    <row r="2327" ht="15.75" hidden="1" customHeight="1"/>
    <row r="2328" ht="15.75" hidden="1" customHeight="1"/>
    <row r="2329" ht="15.75" hidden="1" customHeight="1"/>
    <row r="2330" ht="15.75" hidden="1" customHeight="1"/>
    <row r="2331" ht="15.75" hidden="1" customHeight="1"/>
    <row r="2332" ht="15.75" hidden="1" customHeight="1"/>
    <row r="2333" ht="15.75" hidden="1" customHeight="1"/>
    <row r="2334" ht="15.75" hidden="1" customHeight="1"/>
    <row r="2335" ht="15.75" hidden="1" customHeight="1"/>
    <row r="2336" ht="15.75" hidden="1" customHeight="1"/>
    <row r="2337" ht="15.75" hidden="1" customHeight="1"/>
    <row r="2338" ht="15.75" hidden="1" customHeight="1"/>
    <row r="2339" ht="15.75" hidden="1" customHeight="1"/>
    <row r="2340" ht="15.75" hidden="1" customHeight="1"/>
    <row r="2341" ht="15.75" hidden="1" customHeight="1"/>
    <row r="2342" ht="15.75" hidden="1" customHeight="1"/>
    <row r="2343" ht="15.75" hidden="1" customHeight="1"/>
    <row r="2344" ht="15.75" hidden="1" customHeight="1"/>
    <row r="2345" ht="15.75" hidden="1" customHeight="1"/>
    <row r="2346" ht="15.75" hidden="1" customHeight="1"/>
    <row r="2347" ht="15.75" hidden="1" customHeight="1"/>
    <row r="2348" ht="15.75" hidden="1" customHeight="1"/>
    <row r="2349" ht="15.75" hidden="1" customHeight="1"/>
    <row r="2350" ht="15.75" hidden="1" customHeight="1"/>
    <row r="2351" ht="15.75" hidden="1" customHeight="1"/>
    <row r="2352" ht="15.75" hidden="1" customHeight="1"/>
    <row r="2353" ht="15.75" hidden="1" customHeight="1"/>
    <row r="2354" ht="15.75" hidden="1" customHeight="1"/>
    <row r="2355" ht="15.75" hidden="1" customHeight="1"/>
    <row r="2356" ht="15.75" hidden="1" customHeight="1"/>
    <row r="2357" ht="15.75" hidden="1" customHeight="1"/>
    <row r="2358" ht="15.75" hidden="1" customHeight="1"/>
    <row r="2359" ht="15.75" hidden="1" customHeight="1"/>
    <row r="2360" ht="15.75" hidden="1" customHeight="1"/>
    <row r="2361" ht="15.75" hidden="1" customHeight="1"/>
    <row r="2362" ht="15.75" hidden="1" customHeight="1"/>
    <row r="2363" ht="15.75" hidden="1" customHeight="1"/>
    <row r="2364" ht="15.75" hidden="1" customHeight="1"/>
    <row r="2365" ht="15.75" hidden="1" customHeight="1"/>
    <row r="2366" ht="15.75" hidden="1" customHeight="1"/>
    <row r="2367" ht="15.75" hidden="1" customHeight="1"/>
    <row r="2368" ht="15.75" hidden="1" customHeight="1"/>
    <row r="2369" ht="15.75" hidden="1" customHeight="1"/>
    <row r="2370" ht="15.75" hidden="1" customHeight="1"/>
    <row r="2371" ht="15.75" hidden="1" customHeight="1"/>
    <row r="2372" ht="15.75" hidden="1" customHeight="1"/>
    <row r="2373" ht="15.75" hidden="1" customHeight="1"/>
    <row r="2374" ht="15.75" hidden="1" customHeight="1"/>
    <row r="2375" ht="15.75" hidden="1" customHeight="1"/>
    <row r="2376" ht="15.75" hidden="1" customHeight="1"/>
    <row r="2377" ht="15.75" hidden="1" customHeight="1"/>
    <row r="2378" ht="15.75" hidden="1" customHeight="1"/>
    <row r="2379" ht="15.75" hidden="1" customHeight="1"/>
    <row r="2380" ht="15.75" hidden="1" customHeight="1"/>
    <row r="2381" ht="15.75" hidden="1" customHeight="1"/>
    <row r="2382" ht="15.75" hidden="1" customHeight="1"/>
    <row r="2383" ht="15.75" hidden="1" customHeight="1"/>
    <row r="2384" ht="15.75" hidden="1" customHeight="1"/>
    <row r="2385" ht="15.75" hidden="1" customHeight="1"/>
    <row r="2386" ht="15.75" hidden="1" customHeight="1"/>
    <row r="2387" ht="15.75" hidden="1" customHeight="1"/>
    <row r="2388" ht="15.75" hidden="1" customHeight="1"/>
    <row r="2389" ht="15.75" hidden="1" customHeight="1"/>
    <row r="2390" ht="15.75" hidden="1" customHeight="1"/>
    <row r="2391" ht="15.75" hidden="1" customHeight="1"/>
    <row r="2392" ht="15.75" hidden="1" customHeight="1"/>
    <row r="2393" ht="15.75" hidden="1" customHeight="1"/>
    <row r="2394" ht="15.75" hidden="1" customHeight="1"/>
    <row r="2395" ht="15.75" hidden="1" customHeight="1"/>
    <row r="2396" ht="15.75" hidden="1" customHeight="1"/>
    <row r="2397" ht="15.75" hidden="1" customHeight="1"/>
    <row r="2398" ht="15.75" hidden="1" customHeight="1"/>
    <row r="2399" ht="15.75" hidden="1" customHeight="1"/>
    <row r="2400" ht="15.75" hidden="1" customHeight="1"/>
    <row r="2401" ht="15.75" hidden="1" customHeight="1"/>
    <row r="2402" ht="15.75" hidden="1" customHeight="1"/>
    <row r="2403" ht="15.75" hidden="1" customHeight="1"/>
    <row r="2404" ht="15.75" hidden="1" customHeight="1"/>
    <row r="2405" ht="15.75" hidden="1" customHeight="1"/>
    <row r="2406" ht="15.75" hidden="1" customHeight="1"/>
    <row r="2407" ht="15.75" hidden="1" customHeight="1"/>
    <row r="2408" ht="15.75" hidden="1" customHeight="1"/>
    <row r="2409" ht="15.75" hidden="1" customHeight="1"/>
    <row r="2410" ht="15.75" hidden="1" customHeight="1"/>
    <row r="2411" ht="15.75" hidden="1" customHeight="1"/>
    <row r="2412" ht="15.75" hidden="1" customHeight="1"/>
    <row r="2413" ht="15.75" hidden="1" customHeight="1"/>
    <row r="2414" ht="15.75" hidden="1" customHeight="1"/>
    <row r="2415" ht="15.75" hidden="1" customHeight="1"/>
    <row r="2416" ht="15.75" hidden="1" customHeight="1"/>
    <row r="2417" ht="15.75" hidden="1" customHeight="1"/>
    <row r="2418" ht="15.75" hidden="1" customHeight="1"/>
    <row r="2419" ht="15.75" hidden="1" customHeight="1"/>
    <row r="2420" ht="15.75" hidden="1" customHeight="1"/>
    <row r="2421" ht="15.75" hidden="1" customHeight="1"/>
    <row r="2422" ht="15.75" hidden="1" customHeight="1"/>
    <row r="2423" ht="15.75" hidden="1" customHeight="1"/>
    <row r="2424" ht="15.75" hidden="1" customHeight="1"/>
    <row r="2425" ht="15.75" hidden="1" customHeight="1"/>
    <row r="2426" ht="15.75" hidden="1" customHeight="1"/>
    <row r="2427" ht="15.75" hidden="1" customHeight="1"/>
    <row r="2428" ht="15.75" hidden="1" customHeight="1"/>
    <row r="2429" ht="15.75" hidden="1" customHeight="1"/>
    <row r="2430" ht="15.75" hidden="1" customHeight="1"/>
    <row r="2431" ht="15.75" hidden="1" customHeight="1"/>
    <row r="2432" ht="15.75" hidden="1" customHeight="1"/>
    <row r="2433" ht="15.75" hidden="1" customHeight="1"/>
    <row r="2434" ht="15.75" hidden="1" customHeight="1"/>
    <row r="2435" ht="15.75" hidden="1" customHeight="1"/>
    <row r="2436" ht="15.75" hidden="1" customHeight="1"/>
    <row r="2437" ht="15.75" hidden="1" customHeight="1"/>
    <row r="2438" ht="15.75" hidden="1" customHeight="1"/>
    <row r="2439" ht="15.75" hidden="1" customHeight="1"/>
    <row r="2440" ht="15.75" hidden="1" customHeight="1"/>
    <row r="2441" ht="15.75" hidden="1" customHeight="1"/>
    <row r="2442" ht="15.75" hidden="1" customHeight="1"/>
    <row r="2443" ht="15.75" hidden="1" customHeight="1"/>
    <row r="2444" ht="15.75" hidden="1" customHeight="1"/>
    <row r="2445" ht="15.75" hidden="1" customHeight="1"/>
    <row r="2446" ht="15.75" hidden="1" customHeight="1"/>
    <row r="2447" ht="15.75" hidden="1" customHeight="1"/>
    <row r="2448" ht="15.75" hidden="1" customHeight="1"/>
    <row r="2449" ht="15.75" hidden="1" customHeight="1"/>
    <row r="2450" ht="15.75" hidden="1" customHeight="1"/>
    <row r="2451" ht="15.75" hidden="1" customHeight="1"/>
    <row r="2452" ht="15.75" hidden="1" customHeight="1"/>
    <row r="2453" ht="15.75" hidden="1" customHeight="1"/>
    <row r="2454" ht="15.75" hidden="1" customHeight="1"/>
    <row r="2455" ht="15.75" hidden="1" customHeight="1"/>
    <row r="2456" ht="15.75" hidden="1" customHeight="1"/>
    <row r="2457" ht="15.75" hidden="1" customHeight="1"/>
    <row r="2458" ht="15.75" hidden="1" customHeight="1"/>
    <row r="2459" ht="15.75" hidden="1" customHeight="1"/>
    <row r="2460" ht="15.75" hidden="1" customHeight="1"/>
    <row r="2461" ht="15.75" hidden="1" customHeight="1"/>
    <row r="2462" ht="15.75" hidden="1" customHeight="1"/>
    <row r="2463" ht="15.75" hidden="1" customHeight="1"/>
    <row r="2464" ht="15.75" hidden="1" customHeight="1"/>
    <row r="2465" ht="15.75" hidden="1" customHeight="1"/>
    <row r="2466" ht="15.75" hidden="1" customHeight="1"/>
    <row r="2467" ht="15.75" hidden="1" customHeight="1"/>
    <row r="2468" ht="15.75" hidden="1" customHeight="1"/>
    <row r="2469" ht="15.75" hidden="1" customHeight="1"/>
    <row r="2470" ht="15.75" hidden="1" customHeight="1"/>
    <row r="2471" ht="15.75" hidden="1" customHeight="1"/>
    <row r="2472" ht="15.75" hidden="1" customHeight="1"/>
    <row r="2473" ht="15.75" hidden="1" customHeight="1"/>
    <row r="2474" ht="15.75" hidden="1" customHeight="1"/>
    <row r="2475" ht="15.75" hidden="1" customHeight="1"/>
    <row r="2476" ht="15.75" hidden="1" customHeight="1"/>
    <row r="2477" ht="15.75" hidden="1" customHeight="1"/>
    <row r="2478" ht="15.75" hidden="1" customHeight="1"/>
    <row r="2479" ht="15.75" hidden="1" customHeight="1"/>
    <row r="2480" ht="15.75" hidden="1" customHeight="1"/>
    <row r="2481" ht="15.75" hidden="1" customHeight="1"/>
    <row r="2482" ht="15.75" hidden="1" customHeight="1"/>
    <row r="2483" ht="15.75" hidden="1" customHeight="1"/>
    <row r="2484" ht="15.75" hidden="1" customHeight="1"/>
    <row r="2485" ht="15.75" hidden="1" customHeight="1"/>
    <row r="2486" ht="15.75" hidden="1" customHeight="1"/>
    <row r="2487" ht="15.75" hidden="1" customHeight="1"/>
    <row r="2488" ht="15.75" hidden="1" customHeight="1"/>
    <row r="2489" ht="15.75" hidden="1" customHeight="1"/>
    <row r="2490" ht="15.75" hidden="1" customHeight="1"/>
    <row r="2491" ht="15.75" hidden="1" customHeight="1"/>
    <row r="2492" ht="15.75" hidden="1" customHeight="1"/>
    <row r="2493" ht="15.75" hidden="1" customHeight="1"/>
    <row r="2494" ht="15.75" hidden="1" customHeight="1"/>
    <row r="2495" ht="15.75" hidden="1" customHeight="1"/>
    <row r="2496" ht="15.75" hidden="1" customHeight="1"/>
    <row r="2497" ht="15.75" hidden="1" customHeight="1"/>
    <row r="2498" ht="15.75" hidden="1" customHeight="1"/>
    <row r="2499" ht="15.75" hidden="1" customHeight="1"/>
    <row r="2500" ht="15.75" hidden="1" customHeight="1"/>
    <row r="2501" ht="15.75" hidden="1" customHeight="1"/>
    <row r="2502" ht="15.75" hidden="1" customHeight="1"/>
    <row r="2503" ht="15.75" hidden="1" customHeight="1"/>
    <row r="2504" ht="15.75" hidden="1" customHeight="1"/>
    <row r="2505" ht="15.75" hidden="1" customHeight="1"/>
    <row r="2506" ht="15.75" hidden="1" customHeight="1"/>
    <row r="2507" ht="15.75" hidden="1" customHeight="1"/>
    <row r="2508" ht="15.75" hidden="1" customHeight="1"/>
    <row r="2509" ht="15.75" hidden="1" customHeight="1"/>
    <row r="2510" ht="15.75" hidden="1" customHeight="1"/>
    <row r="2511" ht="15.75" hidden="1" customHeight="1"/>
    <row r="2512" ht="15.75" hidden="1" customHeight="1"/>
    <row r="2513" ht="15.75" hidden="1" customHeight="1"/>
    <row r="2514" ht="15.75" hidden="1" customHeight="1"/>
    <row r="2515" ht="15.75" hidden="1" customHeight="1"/>
    <row r="2516" ht="15.75" hidden="1" customHeight="1"/>
    <row r="2517" ht="15.75" hidden="1" customHeight="1"/>
    <row r="2518" ht="15.75" hidden="1" customHeight="1"/>
    <row r="2519" ht="15.75" hidden="1" customHeight="1"/>
    <row r="2520" ht="15.75" hidden="1" customHeight="1"/>
    <row r="2521" ht="15.75" hidden="1" customHeight="1"/>
    <row r="2522" ht="15.75" hidden="1" customHeight="1"/>
    <row r="2523" ht="15.75" hidden="1" customHeight="1"/>
    <row r="2524" ht="15.75" hidden="1" customHeight="1"/>
    <row r="2525" ht="15.75" hidden="1" customHeight="1"/>
    <row r="2526" ht="15.75" hidden="1" customHeight="1"/>
    <row r="2527" ht="15.75" hidden="1" customHeight="1"/>
    <row r="2528" ht="15.75" hidden="1" customHeight="1"/>
    <row r="2529" ht="15.75" hidden="1" customHeight="1"/>
    <row r="2530" ht="15.75" hidden="1" customHeight="1"/>
    <row r="2531" ht="15.75" hidden="1" customHeight="1"/>
    <row r="2532" ht="15.75" hidden="1" customHeight="1"/>
    <row r="2533" ht="15.75" hidden="1" customHeight="1"/>
    <row r="2534" ht="15.75" hidden="1" customHeight="1"/>
    <row r="2535" ht="15.75" hidden="1" customHeight="1"/>
    <row r="2536" ht="15.75" hidden="1" customHeight="1"/>
    <row r="2537" ht="15.75" hidden="1" customHeight="1"/>
    <row r="2538" ht="15.75" hidden="1" customHeight="1"/>
    <row r="2539" ht="15.75" hidden="1" customHeight="1"/>
    <row r="2540" ht="15.75" hidden="1" customHeight="1"/>
    <row r="2541" ht="15.75" hidden="1" customHeight="1"/>
    <row r="2542" ht="15.75" hidden="1" customHeight="1"/>
    <row r="2543" ht="15.75" hidden="1" customHeight="1"/>
    <row r="2544" ht="15.75" hidden="1" customHeight="1"/>
    <row r="2545" ht="15.75" hidden="1" customHeight="1"/>
    <row r="2546" ht="15.75" hidden="1" customHeight="1"/>
    <row r="2547" ht="15.75" hidden="1" customHeight="1"/>
    <row r="2548" ht="15.75" hidden="1" customHeight="1"/>
    <row r="2549" ht="15.75" hidden="1" customHeight="1"/>
    <row r="2550" ht="15.75" hidden="1" customHeight="1"/>
    <row r="2551" ht="15.75" hidden="1" customHeight="1"/>
    <row r="2552" ht="15.75" hidden="1" customHeight="1"/>
    <row r="2553" ht="15.75" hidden="1" customHeight="1"/>
    <row r="2554" ht="15.75" hidden="1" customHeight="1"/>
    <row r="2555" ht="15.75" hidden="1" customHeight="1"/>
    <row r="2556" ht="15.75" hidden="1" customHeight="1"/>
    <row r="2557" ht="15.75" hidden="1" customHeight="1"/>
    <row r="2558" ht="15.75" hidden="1" customHeight="1"/>
    <row r="2559" ht="15.75" hidden="1" customHeight="1"/>
    <row r="2560" ht="15.75" hidden="1" customHeight="1"/>
    <row r="2561" ht="15.75" hidden="1" customHeight="1"/>
    <row r="2562" ht="15.75" hidden="1" customHeight="1"/>
    <row r="2563" ht="15.75" hidden="1" customHeight="1"/>
    <row r="2564" ht="15.75" hidden="1" customHeight="1"/>
    <row r="2565" ht="15.75" hidden="1" customHeight="1"/>
    <row r="2566" ht="15.75" hidden="1" customHeight="1"/>
    <row r="2567" ht="15.75" hidden="1" customHeight="1"/>
    <row r="2568" ht="15.75" hidden="1" customHeight="1"/>
    <row r="2569" ht="15.75" hidden="1" customHeight="1"/>
    <row r="2570" ht="15.75" hidden="1" customHeight="1"/>
    <row r="2571" ht="15.75" hidden="1" customHeight="1"/>
    <row r="2572" ht="15.75" hidden="1" customHeight="1"/>
    <row r="2573" ht="15.75" hidden="1" customHeight="1"/>
    <row r="2574" ht="15.75" hidden="1" customHeight="1"/>
    <row r="2575" ht="15.75" hidden="1" customHeight="1"/>
    <row r="2576" ht="15.75" hidden="1" customHeight="1"/>
    <row r="2577" ht="15.75" hidden="1" customHeight="1"/>
    <row r="2578" ht="15.75" hidden="1" customHeight="1"/>
    <row r="2579" ht="15.75" hidden="1" customHeight="1"/>
    <row r="2580" ht="15.75" hidden="1" customHeight="1"/>
    <row r="2581" ht="15.75" hidden="1" customHeight="1"/>
    <row r="2582" ht="15.75" hidden="1" customHeight="1"/>
    <row r="2583" ht="15.75" hidden="1" customHeight="1"/>
    <row r="2584" ht="15.75" hidden="1" customHeight="1"/>
    <row r="2585" ht="15.75" hidden="1" customHeight="1"/>
    <row r="2586" ht="15.75" hidden="1" customHeight="1"/>
    <row r="2587" ht="15.75" hidden="1" customHeight="1"/>
    <row r="2588" ht="15.75" hidden="1" customHeight="1"/>
    <row r="2589" ht="15.75" hidden="1" customHeight="1"/>
    <row r="2590" ht="15.75" hidden="1" customHeight="1"/>
    <row r="2591" ht="15.75" hidden="1" customHeight="1"/>
    <row r="2592" ht="15.75" hidden="1" customHeight="1"/>
    <row r="2593" ht="15.75" hidden="1" customHeight="1"/>
    <row r="2594" ht="15.75" hidden="1" customHeight="1"/>
    <row r="2595" ht="15.75" hidden="1" customHeight="1"/>
    <row r="2596" ht="15.75" hidden="1" customHeight="1"/>
    <row r="2597" ht="15.75" hidden="1" customHeight="1"/>
    <row r="2598" ht="15.75" hidden="1" customHeight="1"/>
    <row r="2599" ht="15.75" hidden="1" customHeight="1"/>
    <row r="2600" ht="15.75" hidden="1" customHeight="1"/>
    <row r="2601" ht="15.75" hidden="1" customHeight="1"/>
    <row r="2602" ht="15.75" hidden="1" customHeight="1"/>
    <row r="2603" ht="15.75" hidden="1" customHeight="1"/>
    <row r="2604" ht="15.75" hidden="1" customHeight="1"/>
    <row r="2605" ht="15.75" hidden="1" customHeight="1"/>
    <row r="2606" ht="15.75" hidden="1" customHeight="1"/>
    <row r="2607" ht="15.75" hidden="1" customHeight="1"/>
    <row r="2608" ht="15.75" hidden="1" customHeight="1"/>
    <row r="2609" ht="15.75" hidden="1" customHeight="1"/>
    <row r="2610" ht="15.75" hidden="1" customHeight="1"/>
    <row r="2611" ht="15.75" hidden="1" customHeight="1"/>
    <row r="2612" ht="15.75" hidden="1" customHeight="1"/>
    <row r="2613" ht="15.75" hidden="1" customHeight="1"/>
    <row r="2614" ht="15.75" hidden="1" customHeight="1"/>
    <row r="2615" ht="15.75" hidden="1" customHeight="1"/>
    <row r="2616" ht="15.75" hidden="1" customHeight="1"/>
    <row r="2617" ht="15.75" hidden="1" customHeight="1"/>
    <row r="2618" ht="15.75" hidden="1" customHeight="1"/>
    <row r="2619" ht="15.75" hidden="1" customHeight="1"/>
    <row r="2620" ht="15.75" hidden="1" customHeight="1"/>
    <row r="2621" ht="15.75" hidden="1" customHeight="1"/>
    <row r="2622" ht="15.75" hidden="1" customHeight="1"/>
    <row r="2623" ht="15.75" hidden="1" customHeight="1"/>
    <row r="2624" ht="15.75" hidden="1" customHeight="1"/>
    <row r="2625" ht="15.75" hidden="1" customHeight="1"/>
    <row r="2626" ht="15.75" hidden="1" customHeight="1"/>
    <row r="2627" ht="15.75" hidden="1" customHeight="1"/>
    <row r="2628" ht="15.75" hidden="1" customHeight="1"/>
    <row r="2629" ht="15.75" hidden="1" customHeight="1"/>
    <row r="2630" ht="15.75" hidden="1" customHeight="1"/>
    <row r="2631" ht="15.75" hidden="1" customHeight="1"/>
    <row r="2632" ht="15.75" hidden="1" customHeight="1"/>
    <row r="2633" ht="15.75" hidden="1" customHeight="1"/>
    <row r="2634" ht="15.75" hidden="1" customHeight="1"/>
    <row r="2635" ht="15.75" hidden="1" customHeight="1"/>
    <row r="2636" ht="15.75" hidden="1" customHeight="1"/>
    <row r="2637" ht="15.75" hidden="1" customHeight="1"/>
    <row r="2638" ht="15.75" hidden="1" customHeight="1"/>
    <row r="2639" ht="15.75" hidden="1" customHeight="1"/>
    <row r="2640" ht="15.75" hidden="1" customHeight="1"/>
    <row r="2641" ht="15.75" hidden="1" customHeight="1"/>
    <row r="2642" ht="15.75" hidden="1" customHeight="1"/>
    <row r="2643" ht="15.75" hidden="1" customHeight="1"/>
    <row r="2644" ht="15.75" hidden="1" customHeight="1"/>
    <row r="2645" ht="15.75" hidden="1" customHeight="1"/>
    <row r="2646" ht="15.75" hidden="1" customHeight="1"/>
    <row r="2647" ht="15.75" hidden="1" customHeight="1"/>
    <row r="2648" ht="15.75" hidden="1" customHeight="1"/>
    <row r="2649" ht="15.75" hidden="1" customHeight="1"/>
    <row r="2650" ht="15.75" hidden="1" customHeight="1"/>
    <row r="2651" ht="15.75" hidden="1" customHeight="1"/>
    <row r="2652" ht="15.75" hidden="1" customHeight="1"/>
    <row r="2653" ht="15.75" hidden="1" customHeight="1"/>
    <row r="2654" ht="15.75" hidden="1" customHeight="1"/>
    <row r="2655" ht="15.75" hidden="1" customHeight="1"/>
    <row r="2656" ht="15.75" hidden="1" customHeight="1"/>
    <row r="2657" ht="15.75" hidden="1" customHeight="1"/>
    <row r="2658" ht="15.75" hidden="1" customHeight="1"/>
    <row r="2659" ht="15.75" hidden="1" customHeight="1"/>
    <row r="2660" ht="15.75" hidden="1" customHeight="1"/>
    <row r="2661" ht="15.75" hidden="1" customHeight="1"/>
    <row r="2662" ht="15.75" hidden="1" customHeight="1"/>
    <row r="2663" ht="15.75" hidden="1" customHeight="1"/>
    <row r="2664" ht="15.75" hidden="1" customHeight="1"/>
    <row r="2665" ht="15.75" hidden="1" customHeight="1"/>
    <row r="2666" ht="15.75" hidden="1" customHeight="1"/>
    <row r="2667" ht="15.75" hidden="1" customHeight="1"/>
    <row r="2668" ht="15.75" hidden="1" customHeight="1"/>
    <row r="2669" ht="15.75" hidden="1" customHeight="1"/>
    <row r="2670" ht="15.75" hidden="1" customHeight="1"/>
    <row r="2671" ht="15.75" hidden="1" customHeight="1"/>
    <row r="2672" ht="15.75" hidden="1" customHeight="1"/>
    <row r="2673" ht="15.75" hidden="1" customHeight="1"/>
    <row r="2674" ht="15.75" hidden="1" customHeight="1"/>
    <row r="2675" ht="15.75" hidden="1" customHeight="1"/>
    <row r="2676" ht="15.75" hidden="1" customHeight="1"/>
    <row r="2677" ht="15.75" hidden="1" customHeight="1"/>
    <row r="2678" ht="15.75" hidden="1" customHeight="1"/>
    <row r="2679" ht="15.75" hidden="1" customHeight="1"/>
    <row r="2680" ht="15.75" hidden="1" customHeight="1"/>
    <row r="2681" ht="15.75" hidden="1" customHeight="1"/>
    <row r="2682" ht="15.75" hidden="1" customHeight="1"/>
    <row r="2683" ht="15.75" hidden="1" customHeight="1"/>
    <row r="2684" ht="15.75" hidden="1" customHeight="1"/>
    <row r="2685" ht="15.75" hidden="1" customHeight="1"/>
    <row r="2686" ht="15.75" hidden="1" customHeight="1"/>
    <row r="2687" ht="15.75" hidden="1" customHeight="1"/>
    <row r="2688" ht="15.75" hidden="1" customHeight="1"/>
    <row r="2689" ht="15.75" hidden="1" customHeight="1"/>
    <row r="2690" ht="15.75" hidden="1" customHeight="1"/>
    <row r="2691" ht="15.75" hidden="1" customHeight="1"/>
    <row r="2692" ht="15.75" hidden="1" customHeight="1"/>
    <row r="2693" ht="15.75" hidden="1" customHeight="1"/>
    <row r="2694" ht="15.75" hidden="1" customHeight="1"/>
    <row r="2695" ht="15.75" hidden="1" customHeight="1"/>
    <row r="2696" ht="15.75" hidden="1" customHeight="1"/>
    <row r="2697" ht="15.75" hidden="1" customHeight="1"/>
    <row r="2698" ht="15.75" hidden="1" customHeight="1"/>
    <row r="2699" ht="15.75" hidden="1" customHeight="1"/>
    <row r="2700" ht="15.75" hidden="1" customHeight="1"/>
    <row r="2701" ht="15.75" hidden="1" customHeight="1"/>
    <row r="2702" ht="15.75" hidden="1" customHeight="1"/>
    <row r="2703" ht="15.75" hidden="1" customHeight="1"/>
    <row r="2704" ht="15.75" hidden="1" customHeight="1"/>
    <row r="2705" ht="15.75" hidden="1" customHeight="1"/>
    <row r="2706" ht="15.75" hidden="1" customHeight="1"/>
    <row r="2707" ht="15.75" hidden="1" customHeight="1"/>
    <row r="2708" ht="15.75" hidden="1" customHeight="1"/>
    <row r="2709" ht="15.75" hidden="1" customHeight="1"/>
    <row r="2710" ht="15.75" hidden="1" customHeight="1"/>
    <row r="2711" ht="15.75" hidden="1" customHeight="1"/>
    <row r="2712" ht="15.75" hidden="1" customHeight="1"/>
    <row r="2713" ht="15.75" hidden="1" customHeight="1"/>
    <row r="2714" ht="15.75" hidden="1" customHeight="1"/>
    <row r="2715" ht="15.75" hidden="1" customHeight="1"/>
    <row r="2716" ht="15.75" hidden="1" customHeight="1"/>
    <row r="2717" ht="15.75" hidden="1" customHeight="1"/>
    <row r="2718" ht="15.75" hidden="1" customHeight="1"/>
    <row r="2719" ht="15.75" hidden="1" customHeight="1"/>
    <row r="2720" ht="15.75" hidden="1" customHeight="1"/>
    <row r="2721" ht="15.75" hidden="1" customHeight="1"/>
    <row r="2722" ht="15.75" hidden="1" customHeight="1"/>
    <row r="2723" ht="15.75" hidden="1" customHeight="1"/>
    <row r="2724" ht="15.75" hidden="1" customHeight="1"/>
    <row r="2725" ht="15.75" hidden="1" customHeight="1"/>
    <row r="2726" ht="15.75" hidden="1" customHeight="1"/>
    <row r="2727" ht="15.75" hidden="1" customHeight="1"/>
    <row r="2728" ht="15.75" hidden="1" customHeight="1"/>
    <row r="2729" ht="15.75" hidden="1" customHeight="1"/>
    <row r="2730" ht="15.75" hidden="1" customHeight="1"/>
    <row r="2731" ht="15.75" hidden="1" customHeight="1"/>
    <row r="2732" ht="15.75" hidden="1" customHeight="1"/>
    <row r="2733" ht="15.75" hidden="1" customHeight="1"/>
    <row r="2734" ht="15.75" hidden="1" customHeight="1"/>
    <row r="2735" ht="15.75" hidden="1" customHeight="1"/>
    <row r="2736" ht="15.75" hidden="1" customHeight="1"/>
    <row r="2737" ht="15.75" hidden="1" customHeight="1"/>
    <row r="2738" ht="15.75" hidden="1" customHeight="1"/>
    <row r="2739" ht="15.75" hidden="1" customHeight="1"/>
    <row r="2740" ht="15.75" hidden="1" customHeight="1"/>
    <row r="2741" ht="15.75" hidden="1" customHeight="1"/>
    <row r="2742" ht="15.75" hidden="1" customHeight="1"/>
    <row r="2743" ht="15.75" hidden="1" customHeight="1"/>
    <row r="2744" ht="15.75" hidden="1" customHeight="1"/>
    <row r="2745" ht="15.75" hidden="1" customHeight="1"/>
    <row r="2746" ht="15.75" hidden="1" customHeight="1"/>
    <row r="2747" ht="15.75" hidden="1" customHeight="1"/>
    <row r="2748" ht="15.75" hidden="1" customHeight="1"/>
    <row r="2749" ht="15.75" hidden="1" customHeight="1"/>
    <row r="2750" ht="15.75" hidden="1" customHeight="1"/>
    <row r="2751" ht="15.75" hidden="1" customHeight="1"/>
    <row r="2752" ht="15.75" hidden="1" customHeight="1"/>
    <row r="2753" ht="15.75" hidden="1" customHeight="1"/>
    <row r="2754" ht="15.75" hidden="1" customHeight="1"/>
    <row r="2755" ht="15.75" hidden="1" customHeight="1"/>
    <row r="2756" ht="15.75" hidden="1" customHeight="1"/>
    <row r="2757" ht="15.75" hidden="1" customHeight="1"/>
    <row r="2758" ht="15.75" hidden="1" customHeight="1"/>
    <row r="2759" ht="15.75" hidden="1" customHeight="1"/>
    <row r="2760" ht="15.75" hidden="1" customHeight="1"/>
    <row r="2761" ht="15.75" hidden="1" customHeight="1"/>
    <row r="2762" ht="15.75" hidden="1" customHeight="1"/>
    <row r="2763" ht="15.75" hidden="1" customHeight="1"/>
    <row r="2764" ht="15.75" hidden="1" customHeight="1"/>
    <row r="2765" ht="15.75" hidden="1" customHeight="1"/>
    <row r="2766" ht="15.75" hidden="1" customHeight="1"/>
    <row r="2767" ht="15.75" hidden="1" customHeight="1"/>
    <row r="2768" ht="15.75" hidden="1" customHeight="1"/>
    <row r="2769" ht="15.75" hidden="1" customHeight="1"/>
    <row r="2770" ht="15.75" hidden="1" customHeight="1"/>
    <row r="2771" ht="15.75" hidden="1" customHeight="1"/>
    <row r="2772" ht="15.75" hidden="1" customHeight="1"/>
    <row r="2773" ht="15.75" hidden="1" customHeight="1"/>
    <row r="2774" ht="15.75" hidden="1" customHeight="1"/>
    <row r="2775" ht="15.75" hidden="1" customHeight="1"/>
    <row r="2776" ht="15.75" hidden="1" customHeight="1"/>
    <row r="2777" ht="15.75" hidden="1" customHeight="1"/>
    <row r="2778" ht="15.75" hidden="1" customHeight="1"/>
    <row r="2779" ht="15.75" hidden="1" customHeight="1"/>
    <row r="2780" ht="15.75" hidden="1" customHeight="1"/>
    <row r="2781" ht="15.75" hidden="1" customHeight="1"/>
    <row r="2782" ht="15.75" hidden="1" customHeight="1"/>
    <row r="2783" ht="15.75" hidden="1" customHeight="1"/>
    <row r="2784" ht="15.75" hidden="1" customHeight="1"/>
    <row r="2785" ht="15.75" hidden="1" customHeight="1"/>
    <row r="2786" ht="15.75" hidden="1" customHeight="1"/>
    <row r="2787" ht="15.75" hidden="1" customHeight="1"/>
    <row r="2788" ht="15.75" hidden="1" customHeight="1"/>
    <row r="2789" ht="15.75" hidden="1" customHeight="1"/>
    <row r="2790" ht="15.75" hidden="1" customHeight="1"/>
    <row r="2791" ht="15.75" hidden="1" customHeight="1"/>
    <row r="2792" ht="15.75" hidden="1" customHeight="1"/>
    <row r="2793" ht="15.75" hidden="1" customHeight="1"/>
    <row r="2794" ht="15.75" hidden="1" customHeight="1"/>
    <row r="2795" ht="15.75" hidden="1" customHeight="1"/>
    <row r="2796" ht="15.75" hidden="1" customHeight="1"/>
    <row r="2797" ht="15.75" hidden="1" customHeight="1"/>
    <row r="2798" ht="15.75" hidden="1" customHeight="1"/>
    <row r="2799" ht="15.75" hidden="1" customHeight="1"/>
    <row r="2800" ht="15.75" hidden="1" customHeight="1"/>
    <row r="2801" ht="15.75" hidden="1" customHeight="1"/>
    <row r="2802" ht="15.75" hidden="1" customHeight="1"/>
    <row r="2803" ht="15.75" hidden="1" customHeight="1"/>
    <row r="2804" ht="15.75" hidden="1" customHeight="1"/>
    <row r="2805" ht="15.75" hidden="1" customHeight="1"/>
    <row r="2806" ht="15.75" hidden="1" customHeight="1"/>
    <row r="2807" ht="15.75" hidden="1" customHeight="1"/>
    <row r="2808" ht="15.75" hidden="1" customHeight="1"/>
    <row r="2809" ht="15.75" hidden="1" customHeight="1"/>
    <row r="2810" ht="15.75" hidden="1" customHeight="1"/>
    <row r="2811" ht="15.75" hidden="1" customHeight="1"/>
    <row r="2812" ht="15.75" hidden="1" customHeight="1"/>
    <row r="2813" ht="15.75" hidden="1" customHeight="1"/>
    <row r="2814" ht="15.75" hidden="1" customHeight="1"/>
    <row r="2815" ht="15.75" hidden="1" customHeight="1"/>
    <row r="2816" ht="15.75" hidden="1" customHeight="1"/>
    <row r="2817" ht="15.75" hidden="1" customHeight="1"/>
    <row r="2818" ht="15.75" hidden="1" customHeight="1"/>
    <row r="2819" ht="15.75" hidden="1" customHeight="1"/>
    <row r="2820" ht="15.75" hidden="1" customHeight="1"/>
    <row r="2821" ht="15.75" hidden="1" customHeight="1"/>
    <row r="2822" ht="15.75" hidden="1" customHeight="1"/>
    <row r="2823" ht="15.75" hidden="1" customHeight="1"/>
    <row r="2824" ht="15.75" hidden="1" customHeight="1"/>
    <row r="2825" ht="15.75" hidden="1" customHeight="1"/>
    <row r="2826" ht="15.75" hidden="1" customHeight="1"/>
    <row r="2827" ht="15.75" hidden="1" customHeight="1"/>
    <row r="2828" ht="15.75" hidden="1" customHeight="1"/>
    <row r="2829" ht="15.75" hidden="1" customHeight="1"/>
    <row r="2830" ht="15.75" hidden="1" customHeight="1"/>
    <row r="2831" ht="15.75" hidden="1" customHeight="1"/>
    <row r="2832" ht="15.75" hidden="1" customHeight="1"/>
    <row r="2833" ht="15.75" hidden="1" customHeight="1"/>
    <row r="2834" ht="15.75" hidden="1" customHeight="1"/>
    <row r="2835" ht="15.75" hidden="1" customHeight="1"/>
    <row r="2836" ht="15.75" hidden="1" customHeight="1"/>
    <row r="2837" ht="15.75" hidden="1" customHeight="1"/>
    <row r="2838" ht="15.75" hidden="1" customHeight="1"/>
    <row r="2839" ht="15.75" hidden="1" customHeight="1"/>
    <row r="2840" ht="15.75" hidden="1" customHeight="1"/>
    <row r="2841" ht="15.75" hidden="1" customHeight="1"/>
    <row r="2842" ht="15.75" hidden="1" customHeight="1"/>
    <row r="2843" ht="15.75" hidden="1" customHeight="1"/>
    <row r="2844" ht="15.75" hidden="1" customHeight="1"/>
    <row r="2845" ht="15.75" hidden="1" customHeight="1"/>
    <row r="2846" ht="15.75" hidden="1" customHeight="1"/>
    <row r="2847" ht="15.75" hidden="1" customHeight="1"/>
    <row r="2848" ht="15.75" hidden="1" customHeight="1"/>
    <row r="2849" ht="15.75" hidden="1" customHeight="1"/>
    <row r="2850" ht="15.75" hidden="1" customHeight="1"/>
    <row r="2851" ht="15.75" hidden="1" customHeight="1"/>
    <row r="2852" ht="15.75" hidden="1" customHeight="1"/>
    <row r="2853" ht="15.75" hidden="1" customHeight="1"/>
    <row r="2854" ht="15.75" hidden="1" customHeight="1"/>
    <row r="2855" ht="15.75" hidden="1" customHeight="1"/>
    <row r="2856" ht="15.75" hidden="1" customHeight="1"/>
    <row r="2857" ht="15.75" hidden="1" customHeight="1"/>
    <row r="2858" ht="15.75" hidden="1" customHeight="1"/>
    <row r="2859" ht="15.75" hidden="1" customHeight="1"/>
    <row r="2860" ht="15.75" hidden="1" customHeight="1"/>
    <row r="2861" ht="15.75" hidden="1" customHeight="1"/>
    <row r="2862" ht="15.75" hidden="1" customHeight="1"/>
    <row r="2863" ht="15.75" hidden="1" customHeight="1"/>
    <row r="2864" ht="15.75" hidden="1" customHeight="1"/>
    <row r="2865" ht="15.75" hidden="1" customHeight="1"/>
    <row r="2866" ht="15.75" hidden="1" customHeight="1"/>
    <row r="2867" ht="15.75" hidden="1" customHeight="1"/>
    <row r="2868" ht="15.75" hidden="1" customHeight="1"/>
    <row r="2869" ht="15.75" hidden="1" customHeight="1"/>
    <row r="2870" ht="15.75" hidden="1" customHeight="1"/>
    <row r="2871" ht="15.75" hidden="1" customHeight="1"/>
    <row r="2872" ht="15.75" hidden="1" customHeight="1"/>
    <row r="2873" ht="15.75" hidden="1" customHeight="1"/>
    <row r="2874" ht="15.75" hidden="1" customHeight="1"/>
    <row r="2875" ht="15.75" hidden="1" customHeight="1"/>
    <row r="2876" ht="15.75" hidden="1" customHeight="1"/>
    <row r="2877" ht="15.75" hidden="1" customHeight="1"/>
    <row r="2878" ht="15.75" hidden="1" customHeight="1"/>
    <row r="2879" ht="15.75" hidden="1" customHeight="1"/>
    <row r="2880" ht="15.75" hidden="1" customHeight="1"/>
    <row r="2881" ht="15.75" hidden="1" customHeight="1"/>
    <row r="2882" ht="15.75" hidden="1" customHeight="1"/>
    <row r="2883" ht="15.75" hidden="1" customHeight="1"/>
    <row r="2884" ht="15.75" hidden="1" customHeight="1"/>
    <row r="2885" ht="15.75" hidden="1" customHeight="1"/>
    <row r="2886" ht="15.75" hidden="1" customHeight="1"/>
    <row r="2887" ht="15.75" hidden="1" customHeight="1"/>
    <row r="2888" ht="15.75" hidden="1" customHeight="1"/>
    <row r="2889" ht="15.75" hidden="1" customHeight="1"/>
    <row r="2890" ht="15.75" hidden="1" customHeight="1"/>
    <row r="2891" ht="15.75" hidden="1" customHeight="1"/>
    <row r="2892" ht="15.75" hidden="1" customHeight="1"/>
    <row r="2893" ht="15.75" hidden="1" customHeight="1"/>
    <row r="2894" ht="15.75" hidden="1" customHeight="1"/>
    <row r="2895" ht="15.75" hidden="1" customHeight="1"/>
    <row r="2896" ht="15.75" hidden="1" customHeight="1"/>
    <row r="2897" ht="15.75" hidden="1" customHeight="1"/>
    <row r="2898" ht="15.75" hidden="1" customHeight="1"/>
    <row r="2899" ht="15.75" hidden="1" customHeight="1"/>
    <row r="2900" ht="15.75" hidden="1" customHeight="1"/>
    <row r="2901" ht="15.75" hidden="1" customHeight="1"/>
    <row r="2902" ht="15.75" hidden="1" customHeight="1"/>
    <row r="2903" ht="15.75" hidden="1" customHeight="1"/>
    <row r="2904" ht="15.75" hidden="1" customHeight="1"/>
    <row r="2905" ht="15.75" hidden="1" customHeight="1"/>
    <row r="2906" ht="15.75" hidden="1" customHeight="1"/>
    <row r="2907" ht="15.75" hidden="1" customHeight="1"/>
    <row r="2908" ht="15.75" hidden="1" customHeight="1"/>
    <row r="2909" ht="15.75" hidden="1" customHeight="1"/>
    <row r="2910" ht="15.75" hidden="1" customHeight="1"/>
    <row r="2911" ht="15.75" hidden="1" customHeight="1"/>
    <row r="2912" ht="15.75" hidden="1" customHeight="1"/>
    <row r="2913" ht="15.75" hidden="1" customHeight="1"/>
    <row r="2914" ht="15.75" hidden="1" customHeight="1"/>
    <row r="2915" ht="15.75" hidden="1" customHeight="1"/>
    <row r="2916" ht="15.75" hidden="1" customHeight="1"/>
    <row r="2917" ht="15.75" hidden="1" customHeight="1"/>
    <row r="2918" ht="15.75" hidden="1" customHeight="1"/>
    <row r="2919" ht="15.75" hidden="1" customHeight="1"/>
    <row r="2920" ht="15.75" hidden="1" customHeight="1"/>
    <row r="2921" ht="15.75" hidden="1" customHeight="1"/>
    <row r="2922" ht="15.75" hidden="1" customHeight="1"/>
    <row r="2923" ht="15.75" hidden="1" customHeight="1"/>
    <row r="2924" ht="15.75" hidden="1" customHeight="1"/>
    <row r="2925" ht="15.75" hidden="1" customHeight="1"/>
    <row r="2926" ht="15.75" hidden="1" customHeight="1"/>
    <row r="2927" ht="15.75" hidden="1" customHeight="1"/>
    <row r="2928" ht="15.75" hidden="1" customHeight="1"/>
    <row r="2929" ht="15.75" hidden="1" customHeight="1"/>
    <row r="2930" ht="15.75" hidden="1" customHeight="1"/>
    <row r="2931" ht="15.75" hidden="1" customHeight="1"/>
    <row r="2932" ht="15.75" hidden="1" customHeight="1"/>
    <row r="2933" ht="15.75" hidden="1" customHeight="1"/>
    <row r="2934" ht="15.75" hidden="1" customHeight="1"/>
    <row r="2935" ht="15.75" hidden="1" customHeight="1"/>
    <row r="2936" ht="15.75" hidden="1" customHeight="1"/>
    <row r="2937" ht="15.75" hidden="1" customHeight="1"/>
    <row r="2938" ht="15.75" hidden="1" customHeight="1"/>
    <row r="2939" ht="15.75" hidden="1" customHeight="1"/>
    <row r="2940" ht="15.75" hidden="1" customHeight="1"/>
    <row r="2941" ht="15.75" hidden="1" customHeight="1"/>
    <row r="2942" ht="15.75" hidden="1" customHeight="1"/>
    <row r="2943" ht="15.75" hidden="1" customHeight="1"/>
    <row r="2944" ht="15.75" hidden="1" customHeight="1"/>
    <row r="2945" ht="15.75" hidden="1" customHeight="1"/>
    <row r="2946" ht="15.75" hidden="1" customHeight="1"/>
    <row r="2947" ht="15.75" hidden="1" customHeight="1"/>
    <row r="2948" ht="15.75" hidden="1" customHeight="1"/>
    <row r="2949" ht="15.75" hidden="1" customHeight="1"/>
    <row r="2950" ht="15.75" hidden="1" customHeight="1"/>
    <row r="2951" ht="15.75" hidden="1" customHeight="1"/>
    <row r="2952" ht="15.75" hidden="1" customHeight="1"/>
    <row r="2953" ht="15.75" hidden="1" customHeight="1"/>
    <row r="2954" ht="15.75" hidden="1" customHeight="1"/>
    <row r="2955" ht="15.75" hidden="1" customHeight="1"/>
    <row r="2956" ht="15.75" hidden="1" customHeight="1"/>
    <row r="2957" ht="15.75" hidden="1" customHeight="1"/>
    <row r="2958" ht="15.75" hidden="1" customHeight="1"/>
    <row r="2959" ht="15.75" hidden="1" customHeight="1"/>
    <row r="2960" ht="15.75" hidden="1" customHeight="1"/>
    <row r="2961" ht="15.75" hidden="1" customHeight="1"/>
    <row r="2962" ht="15.75" hidden="1" customHeight="1"/>
    <row r="2963" ht="15.75" hidden="1" customHeight="1"/>
    <row r="2964" ht="15.75" hidden="1" customHeight="1"/>
    <row r="2965" ht="15.75" hidden="1" customHeight="1"/>
    <row r="2966" ht="15.75" hidden="1" customHeight="1"/>
    <row r="2967" ht="15.75" hidden="1" customHeight="1"/>
    <row r="2968" ht="15.75" hidden="1" customHeight="1"/>
    <row r="2969" ht="15.75" hidden="1" customHeight="1"/>
    <row r="2970" ht="15.75" hidden="1" customHeight="1"/>
    <row r="2971" ht="15.75" hidden="1" customHeight="1"/>
    <row r="2972" ht="15.75" hidden="1" customHeight="1"/>
    <row r="2973" ht="15.75" hidden="1" customHeight="1"/>
    <row r="2974" ht="15.75" hidden="1" customHeight="1"/>
    <row r="2975" ht="15.75" hidden="1" customHeight="1"/>
    <row r="2976" ht="15.75" hidden="1" customHeight="1"/>
    <row r="2977" ht="15.75" hidden="1" customHeight="1"/>
    <row r="2978" ht="15.75" hidden="1" customHeight="1"/>
    <row r="2979" ht="15.75" hidden="1" customHeight="1"/>
    <row r="2980" ht="15.75" hidden="1" customHeight="1"/>
    <row r="2981" ht="15.75" hidden="1" customHeight="1"/>
    <row r="2982" ht="15.75" hidden="1" customHeight="1"/>
    <row r="2983" ht="15.75" hidden="1" customHeight="1"/>
    <row r="2984" ht="15.75" hidden="1" customHeight="1"/>
    <row r="2985" ht="15.75" hidden="1" customHeight="1"/>
    <row r="2986" ht="15.75" hidden="1" customHeight="1"/>
    <row r="2987" ht="15.75" hidden="1" customHeight="1"/>
    <row r="2988" ht="15.75" hidden="1" customHeight="1"/>
    <row r="2989" ht="15.75" hidden="1" customHeight="1"/>
    <row r="2990" ht="15.75" hidden="1" customHeight="1"/>
    <row r="2991" ht="15.75" hidden="1" customHeight="1"/>
    <row r="2992" ht="15.75" hidden="1" customHeight="1"/>
    <row r="2993" ht="15.75" hidden="1" customHeight="1"/>
    <row r="2994" ht="15.75" hidden="1" customHeight="1"/>
    <row r="2995" ht="15.75" hidden="1" customHeight="1"/>
    <row r="2996" ht="15.75" hidden="1" customHeight="1"/>
    <row r="2997" ht="15.75" hidden="1" customHeight="1"/>
    <row r="2998" ht="15.75" hidden="1" customHeight="1"/>
    <row r="2999" ht="15.75" hidden="1" customHeight="1"/>
    <row r="3000" ht="15.75" hidden="1" customHeight="1"/>
    <row r="3001" ht="15.75" hidden="1" customHeight="1"/>
    <row r="3002" ht="15.75" hidden="1" customHeight="1"/>
    <row r="3003" ht="15.75" hidden="1" customHeight="1"/>
    <row r="3004" ht="15.75" hidden="1" customHeight="1"/>
    <row r="3005" ht="15.75" hidden="1" customHeight="1"/>
    <row r="3006" ht="15.75" hidden="1" customHeight="1"/>
    <row r="3007" ht="15.75" hidden="1" customHeight="1"/>
    <row r="3008" ht="15.75" hidden="1" customHeight="1"/>
    <row r="3009" ht="15.75" hidden="1" customHeight="1"/>
    <row r="3010" ht="15.75" hidden="1" customHeight="1"/>
    <row r="3011" ht="15.75" hidden="1" customHeight="1"/>
    <row r="3012" ht="15.75" hidden="1" customHeight="1"/>
    <row r="3013" ht="15.75" hidden="1" customHeight="1"/>
    <row r="3014" ht="15.75" hidden="1" customHeight="1"/>
    <row r="3015" ht="15.75" hidden="1" customHeight="1"/>
    <row r="3016" ht="15.75" hidden="1" customHeight="1"/>
    <row r="3017" ht="15.75" hidden="1" customHeight="1"/>
    <row r="3018" ht="15.75" hidden="1" customHeight="1"/>
    <row r="3019" ht="15.75" hidden="1" customHeight="1"/>
    <row r="3020" ht="15.75" hidden="1" customHeight="1"/>
    <row r="3021" ht="15.75" hidden="1" customHeight="1"/>
    <row r="3022" ht="15.75" hidden="1" customHeight="1"/>
    <row r="3023" ht="15.75" hidden="1" customHeight="1"/>
    <row r="3024" ht="15.75" hidden="1" customHeight="1"/>
    <row r="3025" ht="15.75" hidden="1" customHeight="1"/>
    <row r="3026" ht="15.75" hidden="1" customHeight="1"/>
    <row r="3027" ht="15.75" hidden="1" customHeight="1"/>
    <row r="3028" ht="15.75" hidden="1" customHeight="1"/>
    <row r="3029" ht="15.75" hidden="1" customHeight="1"/>
    <row r="3030" ht="15.75" hidden="1" customHeight="1"/>
    <row r="3031" ht="15.75" hidden="1" customHeight="1"/>
    <row r="3032" ht="15.75" hidden="1" customHeight="1"/>
    <row r="3033" ht="15.75" hidden="1" customHeight="1"/>
    <row r="3034" ht="15.75" hidden="1" customHeight="1"/>
    <row r="3035" ht="15.75" hidden="1" customHeight="1"/>
    <row r="3036" ht="15.75" hidden="1" customHeight="1"/>
    <row r="3037" ht="15.75" hidden="1" customHeight="1"/>
    <row r="3038" ht="15.75" hidden="1" customHeight="1"/>
    <row r="3039" ht="15.75" hidden="1" customHeight="1"/>
    <row r="3040" ht="15.75" hidden="1" customHeight="1"/>
    <row r="3041" ht="15.75" hidden="1" customHeight="1"/>
    <row r="3042" ht="15.75" hidden="1" customHeight="1"/>
    <row r="3043" ht="15.75" hidden="1" customHeight="1"/>
    <row r="3044" ht="15.75" hidden="1" customHeight="1"/>
    <row r="3045" ht="15.75" hidden="1" customHeight="1"/>
    <row r="3046" ht="15.75" hidden="1" customHeight="1"/>
    <row r="3047" ht="15.75" hidden="1" customHeight="1"/>
    <row r="3048" ht="15.75" hidden="1" customHeight="1"/>
    <row r="3049" ht="15.75" hidden="1" customHeight="1"/>
    <row r="3050" ht="15.75" hidden="1" customHeight="1"/>
    <row r="3051" ht="15.75" hidden="1" customHeight="1"/>
    <row r="3052" ht="15.75" hidden="1" customHeight="1"/>
    <row r="3053" ht="15.75" hidden="1" customHeight="1"/>
    <row r="3054" ht="15.75" hidden="1" customHeight="1"/>
    <row r="3055" ht="15.75" hidden="1" customHeight="1"/>
    <row r="3056" ht="15.75" hidden="1" customHeight="1"/>
    <row r="3057" ht="15.75" hidden="1" customHeight="1"/>
    <row r="3058" ht="15.75" hidden="1" customHeight="1"/>
    <row r="3059" ht="15.75" hidden="1" customHeight="1"/>
    <row r="3060" ht="15.75" hidden="1" customHeight="1"/>
    <row r="3061" ht="15.75" hidden="1" customHeight="1"/>
    <row r="3062" ht="15.75" hidden="1" customHeight="1"/>
    <row r="3063" ht="15.75" hidden="1" customHeight="1"/>
    <row r="3064" ht="15.75" hidden="1" customHeight="1"/>
    <row r="3065" ht="15.75" hidden="1" customHeight="1"/>
    <row r="3066" ht="15.75" hidden="1" customHeight="1"/>
    <row r="3067" ht="15.75" hidden="1" customHeight="1"/>
    <row r="3068" ht="15.75" hidden="1" customHeight="1"/>
    <row r="3069" ht="15.75" hidden="1" customHeight="1"/>
    <row r="3070" ht="15.75" hidden="1" customHeight="1"/>
    <row r="3071" ht="15.75" hidden="1" customHeight="1"/>
    <row r="3072" ht="15.75" hidden="1" customHeight="1"/>
    <row r="3073" ht="15.75" hidden="1" customHeight="1"/>
    <row r="3074" ht="15.75" hidden="1" customHeight="1"/>
    <row r="3075" ht="15.75" hidden="1" customHeight="1"/>
    <row r="3076" ht="15.75" hidden="1" customHeight="1"/>
    <row r="3077" ht="15.75" hidden="1" customHeight="1"/>
    <row r="3078" ht="15.75" hidden="1" customHeight="1"/>
    <row r="3079" ht="15.75" hidden="1" customHeight="1"/>
    <row r="3080" ht="15.75" hidden="1" customHeight="1"/>
    <row r="3081" ht="15.75" hidden="1" customHeight="1"/>
    <row r="3082" ht="15.75" hidden="1" customHeight="1"/>
    <row r="3083" ht="15.75" hidden="1" customHeight="1"/>
    <row r="3084" ht="15.75" hidden="1" customHeight="1"/>
    <row r="3085" ht="15.75" hidden="1" customHeight="1"/>
    <row r="3086" ht="15.75" hidden="1" customHeight="1"/>
    <row r="3087" ht="15.75" hidden="1" customHeight="1"/>
    <row r="3088" ht="15.75" hidden="1" customHeight="1"/>
    <row r="3089" ht="15.75" hidden="1" customHeight="1"/>
    <row r="3090" ht="15.75" hidden="1" customHeight="1"/>
    <row r="3091" ht="15.75" hidden="1" customHeight="1"/>
    <row r="3092" ht="15.75" hidden="1" customHeight="1"/>
    <row r="3093" ht="15.75" hidden="1" customHeight="1"/>
    <row r="3094" ht="15.75" hidden="1" customHeight="1"/>
    <row r="3095" ht="15.75" hidden="1" customHeight="1"/>
    <row r="3096" ht="15.75" hidden="1" customHeight="1"/>
    <row r="3097" ht="15.75" hidden="1" customHeight="1"/>
    <row r="3098" ht="15.75" hidden="1" customHeight="1"/>
    <row r="3099" ht="15.75" hidden="1" customHeight="1"/>
    <row r="3100" ht="15.75" hidden="1" customHeight="1"/>
    <row r="3101" ht="15.75" hidden="1" customHeight="1"/>
    <row r="3102" ht="15.75" hidden="1" customHeight="1"/>
    <row r="3103" ht="15.75" hidden="1" customHeight="1"/>
    <row r="3104" ht="15.75" hidden="1" customHeight="1"/>
    <row r="3105" ht="15.75" hidden="1" customHeight="1"/>
    <row r="3106" ht="15.75" hidden="1" customHeight="1"/>
    <row r="3107" ht="15.75" hidden="1" customHeight="1"/>
    <row r="3108" ht="15.75" hidden="1" customHeight="1"/>
    <row r="3109" ht="15.75" hidden="1" customHeight="1"/>
    <row r="3110" ht="15.75" hidden="1" customHeight="1"/>
    <row r="3111" ht="15.75" hidden="1" customHeight="1"/>
    <row r="3112" ht="15.75" hidden="1" customHeight="1"/>
    <row r="3113" ht="15.75" hidden="1" customHeight="1"/>
    <row r="3114" ht="15.75" hidden="1" customHeight="1"/>
    <row r="3115" ht="15.75" hidden="1" customHeight="1"/>
    <row r="3116" ht="15.75" hidden="1" customHeight="1"/>
    <row r="3117" ht="15.75" hidden="1" customHeight="1"/>
    <row r="3118" ht="15.75" hidden="1" customHeight="1"/>
    <row r="3119" ht="15.75" hidden="1" customHeight="1"/>
    <row r="3120" ht="15.75" hidden="1" customHeight="1"/>
    <row r="3121" ht="15.75" hidden="1" customHeight="1"/>
    <row r="3122" ht="15.75" hidden="1" customHeight="1"/>
    <row r="3123" ht="15.75" hidden="1" customHeight="1"/>
    <row r="3124" ht="15.75" hidden="1" customHeight="1"/>
    <row r="3125" ht="15.75" hidden="1" customHeight="1"/>
    <row r="3126" ht="15.75" hidden="1" customHeight="1"/>
    <row r="3127" ht="15.75" hidden="1" customHeight="1"/>
    <row r="3128" ht="15.75" hidden="1" customHeight="1"/>
    <row r="3129" ht="15.75" hidden="1" customHeight="1"/>
    <row r="3130" ht="15.75" hidden="1" customHeight="1"/>
    <row r="3131" ht="15.75" hidden="1" customHeight="1"/>
    <row r="3132" ht="15.75" hidden="1" customHeight="1"/>
    <row r="3133" ht="15.75" hidden="1" customHeight="1"/>
    <row r="3134" ht="15.75" hidden="1" customHeight="1"/>
    <row r="3135" ht="15.75" hidden="1" customHeight="1"/>
    <row r="3136" ht="15.75" hidden="1" customHeight="1"/>
    <row r="3137" ht="15.75" hidden="1" customHeight="1"/>
    <row r="3138" ht="15.75" hidden="1" customHeight="1"/>
    <row r="3139" ht="15.75" hidden="1" customHeight="1"/>
    <row r="3140" ht="15.75" hidden="1" customHeight="1"/>
    <row r="3141" ht="15.75" hidden="1" customHeight="1"/>
    <row r="3142" ht="15.75" hidden="1" customHeight="1"/>
    <row r="3143" ht="15.75" hidden="1" customHeight="1"/>
    <row r="3144" ht="15.75" hidden="1" customHeight="1"/>
    <row r="3145" ht="15.75" hidden="1" customHeight="1"/>
    <row r="3146" ht="15.75" hidden="1" customHeight="1"/>
    <row r="3147" ht="15.75" hidden="1" customHeight="1"/>
    <row r="3148" ht="15.75" hidden="1" customHeight="1"/>
    <row r="3149" ht="15.75" hidden="1" customHeight="1"/>
    <row r="3150" ht="15.75" hidden="1" customHeight="1"/>
    <row r="3151" ht="15.75" hidden="1" customHeight="1"/>
    <row r="3152" ht="15.75" hidden="1" customHeight="1"/>
    <row r="3153" ht="15.75" hidden="1" customHeight="1"/>
    <row r="3154" ht="15.75" hidden="1" customHeight="1"/>
    <row r="3155" ht="15.75" hidden="1" customHeight="1"/>
    <row r="3156" ht="15.75" hidden="1" customHeight="1"/>
    <row r="3157" ht="15.75" hidden="1" customHeight="1"/>
    <row r="3158" ht="15.75" hidden="1" customHeight="1"/>
    <row r="3159" ht="15.75" hidden="1" customHeight="1"/>
    <row r="3160" ht="15.75" hidden="1" customHeight="1"/>
    <row r="3161" ht="15.75" hidden="1" customHeight="1"/>
    <row r="3162" ht="15.75" hidden="1" customHeight="1"/>
    <row r="3163" ht="15.75" hidden="1" customHeight="1"/>
    <row r="3164" ht="15.75" hidden="1" customHeight="1"/>
    <row r="3165" ht="15.75" hidden="1" customHeight="1"/>
    <row r="3166" ht="15.75" hidden="1" customHeight="1"/>
    <row r="3167" ht="15.75" hidden="1" customHeight="1"/>
    <row r="3168" ht="15.75" hidden="1" customHeight="1"/>
    <row r="3169" ht="15.75" hidden="1" customHeight="1"/>
    <row r="3170" ht="15.75" hidden="1" customHeight="1"/>
    <row r="3171" ht="15.75" hidden="1" customHeight="1"/>
    <row r="3172" ht="15.75" hidden="1" customHeight="1"/>
    <row r="3173" ht="15.75" hidden="1" customHeight="1"/>
    <row r="3174" ht="15.75" hidden="1" customHeight="1"/>
    <row r="3175" ht="15.75" hidden="1" customHeight="1"/>
    <row r="3176" ht="15.75" hidden="1" customHeight="1"/>
    <row r="3177" ht="15.75" hidden="1" customHeight="1"/>
    <row r="3178" ht="15.75" hidden="1" customHeight="1"/>
    <row r="3179" ht="15.75" hidden="1" customHeight="1"/>
    <row r="3180" ht="15.75" hidden="1" customHeight="1"/>
    <row r="3181" ht="15.75" hidden="1" customHeight="1"/>
    <row r="3182" ht="15.75" hidden="1" customHeight="1"/>
    <row r="3183" ht="15.75" hidden="1" customHeight="1"/>
    <row r="3184" ht="15.75" hidden="1" customHeight="1"/>
    <row r="3185" ht="15.75" hidden="1" customHeight="1"/>
    <row r="3186" ht="15.75" hidden="1" customHeight="1"/>
    <row r="3187" ht="15.75" hidden="1" customHeight="1"/>
    <row r="3188" ht="15.75" hidden="1" customHeight="1"/>
    <row r="3189" ht="15.75" hidden="1" customHeight="1"/>
    <row r="3190" ht="15.75" hidden="1" customHeight="1"/>
    <row r="3191" ht="15.75" hidden="1" customHeight="1"/>
    <row r="3192" ht="15.75" hidden="1" customHeight="1"/>
    <row r="3193" ht="15.75" hidden="1" customHeight="1"/>
    <row r="3194" ht="15.75" hidden="1" customHeight="1"/>
    <row r="3195" ht="15.75" hidden="1" customHeight="1"/>
    <row r="3196" ht="15.75" hidden="1" customHeight="1"/>
    <row r="3197" ht="15.75" hidden="1" customHeight="1"/>
    <row r="3198" ht="15.75" hidden="1" customHeight="1"/>
    <row r="3199" ht="15.75" hidden="1" customHeight="1"/>
    <row r="3200" ht="15.75" hidden="1" customHeight="1"/>
    <row r="3201" ht="15.75" hidden="1" customHeight="1"/>
    <row r="3202" ht="15.75" hidden="1" customHeight="1"/>
    <row r="3203" ht="15.75" hidden="1" customHeight="1"/>
    <row r="3204" ht="15.75" hidden="1" customHeight="1"/>
    <row r="3205" ht="15.75" hidden="1" customHeight="1"/>
    <row r="3206" ht="15.75" hidden="1" customHeight="1"/>
    <row r="3207" ht="15.75" hidden="1" customHeight="1"/>
    <row r="3208" ht="15.75" hidden="1" customHeight="1"/>
    <row r="3209" ht="15.75" hidden="1" customHeight="1"/>
    <row r="3210" ht="15.75" hidden="1" customHeight="1"/>
    <row r="3211" ht="15.75" hidden="1" customHeight="1"/>
    <row r="3212" ht="15.75" hidden="1" customHeight="1"/>
    <row r="3213" ht="15.75" hidden="1" customHeight="1"/>
    <row r="3214" ht="15.75" hidden="1" customHeight="1"/>
    <row r="3215" ht="15.75" hidden="1" customHeight="1"/>
    <row r="3216" ht="15.75" hidden="1" customHeight="1"/>
    <row r="3217" ht="15.75" hidden="1" customHeight="1"/>
    <row r="3218" ht="15.75" hidden="1" customHeight="1"/>
    <row r="3219" ht="15.75" hidden="1" customHeight="1"/>
    <row r="3220" ht="15.75" hidden="1" customHeight="1"/>
    <row r="3221" ht="15.75" hidden="1" customHeight="1"/>
    <row r="3222" ht="15.75" hidden="1" customHeight="1"/>
    <row r="3223" ht="15.75" hidden="1" customHeight="1"/>
    <row r="3224" ht="15.75" hidden="1" customHeight="1"/>
    <row r="3225" ht="15.75" hidden="1" customHeight="1"/>
    <row r="3226" ht="15.75" hidden="1" customHeight="1"/>
    <row r="3227" ht="15.75" hidden="1" customHeight="1"/>
    <row r="3228" ht="15.75" hidden="1" customHeight="1"/>
    <row r="3229" ht="15.75" hidden="1" customHeight="1"/>
    <row r="3230" ht="15.75" hidden="1" customHeight="1"/>
    <row r="3231" ht="15.75" hidden="1" customHeight="1"/>
    <row r="3232" ht="15.75" hidden="1" customHeight="1"/>
    <row r="3233" ht="15.75" hidden="1" customHeight="1"/>
    <row r="3234" ht="15.75" hidden="1" customHeight="1"/>
    <row r="3235" ht="15.75" hidden="1" customHeight="1"/>
    <row r="3236" ht="15.75" hidden="1" customHeight="1"/>
    <row r="3237" ht="15.75" hidden="1" customHeight="1"/>
    <row r="3238" ht="15.75" hidden="1" customHeight="1"/>
    <row r="3239" ht="15.75" hidden="1" customHeight="1"/>
    <row r="3240" ht="15.75" hidden="1" customHeight="1"/>
    <row r="3241" ht="15.75" hidden="1" customHeight="1"/>
    <row r="3242" ht="15.75" hidden="1" customHeight="1"/>
    <row r="3243" ht="15.75" hidden="1" customHeight="1"/>
    <row r="3244" ht="15.75" hidden="1" customHeight="1"/>
    <row r="3245" ht="15.75" hidden="1" customHeight="1"/>
    <row r="3246" ht="15.75" hidden="1" customHeight="1"/>
    <row r="3247" ht="15.75" hidden="1" customHeight="1"/>
    <row r="3248" ht="15.75" hidden="1" customHeight="1"/>
    <row r="3249" ht="15.75" hidden="1" customHeight="1"/>
    <row r="3250" ht="15.75" hidden="1" customHeight="1"/>
    <row r="3251" ht="15.75" hidden="1" customHeight="1"/>
    <row r="3252" ht="15.75" hidden="1" customHeight="1"/>
    <row r="3253" ht="15.75" hidden="1" customHeight="1"/>
    <row r="3254" ht="15.75" hidden="1" customHeight="1"/>
    <row r="3255" ht="15.75" hidden="1" customHeight="1"/>
  </sheetData>
  <autoFilter ref="$A$1:$AA$3255">
    <filterColumn colId="26">
      <filters>
        <filter val="Credit Card"/>
      </filters>
    </filterColumn>
    <sortState ref="A1:AA3255">
      <sortCondition ref="Y1:Y3255"/>
    </sortState>
  </autoFil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5.0"/>
    <col customWidth="1" min="3" max="3" width="10.5"/>
    <col customWidth="1" min="4" max="4" width="79.5"/>
    <col customWidth="1" min="5" max="6" width="12.63"/>
  </cols>
  <sheetData>
    <row r="1">
      <c r="A1" s="130" t="s">
        <v>1496</v>
      </c>
      <c r="B1" s="27"/>
      <c r="C1" s="27"/>
      <c r="D1" s="27"/>
    </row>
    <row r="2">
      <c r="A2" s="130" t="s">
        <v>1497</v>
      </c>
      <c r="B2" s="27"/>
      <c r="C2" s="27"/>
      <c r="D2" s="27"/>
    </row>
    <row r="3">
      <c r="A3" s="27"/>
      <c r="B3" s="27"/>
      <c r="C3" s="27"/>
      <c r="D3" s="27"/>
    </row>
    <row r="4">
      <c r="A4" s="27"/>
      <c r="B4" s="27"/>
      <c r="C4" s="27"/>
      <c r="D4" s="27"/>
    </row>
    <row r="5">
      <c r="A5" s="27"/>
      <c r="B5" s="27"/>
      <c r="C5" s="27"/>
      <c r="D5" s="27"/>
    </row>
    <row r="6">
      <c r="A6" s="27"/>
      <c r="B6" s="27"/>
      <c r="C6" s="27"/>
      <c r="D6" s="27"/>
    </row>
    <row r="7">
      <c r="A7" s="27"/>
      <c r="B7" s="27"/>
      <c r="C7" s="27"/>
      <c r="D7" s="27"/>
    </row>
    <row r="8">
      <c r="A8" s="27"/>
      <c r="B8" s="27"/>
      <c r="C8" s="27"/>
      <c r="D8" s="27"/>
    </row>
    <row r="9">
      <c r="A9" s="27" t="s">
        <v>1499</v>
      </c>
      <c r="B9" s="27" t="s">
        <v>1500</v>
      </c>
      <c r="C9" s="27" t="s">
        <v>1501</v>
      </c>
      <c r="D9" s="27"/>
    </row>
    <row r="10">
      <c r="A10" s="367"/>
      <c r="B10" s="27" t="s">
        <v>1500</v>
      </c>
      <c r="C10" s="367">
        <v>45875.0</v>
      </c>
      <c r="D10" s="368" t="s">
        <v>1503</v>
      </c>
    </row>
    <row r="11">
      <c r="A11" s="367"/>
      <c r="B11" s="27" t="s">
        <v>1500</v>
      </c>
      <c r="C11" s="367">
        <v>45875.0</v>
      </c>
      <c r="D11" s="368" t="s">
        <v>1505</v>
      </c>
    </row>
    <row r="12">
      <c r="A12" s="367"/>
      <c r="B12" s="27" t="s">
        <v>1500</v>
      </c>
      <c r="C12" s="367">
        <v>45875.0</v>
      </c>
      <c r="D12" s="368" t="s">
        <v>1506</v>
      </c>
    </row>
    <row r="13">
      <c r="A13" s="367"/>
      <c r="B13" s="27" t="s">
        <v>1500</v>
      </c>
      <c r="C13" s="367">
        <v>45875.0</v>
      </c>
      <c r="D13" s="368" t="s">
        <v>1507</v>
      </c>
    </row>
    <row r="14">
      <c r="A14" s="367"/>
      <c r="B14" s="27" t="s">
        <v>1500</v>
      </c>
      <c r="C14" s="367">
        <v>45875.0</v>
      </c>
      <c r="D14" s="368" t="s">
        <v>1508</v>
      </c>
    </row>
    <row r="15">
      <c r="A15" s="367"/>
      <c r="B15" s="27"/>
      <c r="C15" s="367"/>
      <c r="D15" s="376" t="s">
        <v>1510</v>
      </c>
    </row>
    <row r="16">
      <c r="A16" s="367"/>
      <c r="B16" s="27"/>
      <c r="C16" s="367"/>
      <c r="D16" s="368" t="s">
        <v>1530</v>
      </c>
    </row>
    <row r="17">
      <c r="A17" s="367"/>
      <c r="B17" s="27" t="s">
        <v>1500</v>
      </c>
      <c r="C17" s="367">
        <v>45875.0</v>
      </c>
      <c r="D17" s="368" t="s">
        <v>1505</v>
      </c>
    </row>
    <row r="18">
      <c r="A18" s="367"/>
      <c r="B18" s="27" t="s">
        <v>1500</v>
      </c>
      <c r="C18" s="367">
        <v>45875.0</v>
      </c>
      <c r="D18" s="368" t="s">
        <v>1506</v>
      </c>
    </row>
    <row r="19">
      <c r="A19" s="367"/>
      <c r="B19" s="27" t="s">
        <v>1500</v>
      </c>
      <c r="C19" s="367">
        <v>45875.0</v>
      </c>
      <c r="D19" s="368" t="s">
        <v>1507</v>
      </c>
    </row>
    <row r="20">
      <c r="A20" s="367"/>
      <c r="C20" s="367"/>
      <c r="D20" s="368" t="s">
        <v>1532</v>
      </c>
    </row>
    <row r="21">
      <c r="A21" s="367"/>
      <c r="B21" s="27" t="s">
        <v>1500</v>
      </c>
      <c r="C21" s="367">
        <v>45875.0</v>
      </c>
      <c r="D21" s="368" t="s">
        <v>1533</v>
      </c>
    </row>
    <row r="22">
      <c r="A22" s="367"/>
      <c r="B22" s="27" t="s">
        <v>1500</v>
      </c>
      <c r="C22" s="367">
        <v>45875.0</v>
      </c>
    </row>
    <row r="23">
      <c r="A23" s="367"/>
      <c r="B23" s="27"/>
      <c r="C23" s="367"/>
      <c r="D23" s="368"/>
    </row>
    <row r="24">
      <c r="A24" s="367"/>
      <c r="B24" s="27" t="s">
        <v>1500</v>
      </c>
      <c r="C24" s="367">
        <v>45875.0</v>
      </c>
      <c r="D24" s="376" t="s">
        <v>1536</v>
      </c>
    </row>
    <row r="25">
      <c r="A25" s="367"/>
      <c r="B25" s="27" t="s">
        <v>1500</v>
      </c>
      <c r="C25" s="367">
        <v>45875.0</v>
      </c>
      <c r="D25" s="368" t="s">
        <v>1537</v>
      </c>
    </row>
    <row r="26">
      <c r="A26" s="367"/>
      <c r="B26" s="27" t="s">
        <v>1500</v>
      </c>
      <c r="C26" s="367">
        <v>45875.0</v>
      </c>
      <c r="D26" s="368" t="s">
        <v>1538</v>
      </c>
    </row>
    <row r="27">
      <c r="A27" s="367"/>
      <c r="B27" s="27" t="s">
        <v>1500</v>
      </c>
      <c r="C27" s="367">
        <v>45875.0</v>
      </c>
      <c r="D27" s="368" t="s">
        <v>1539</v>
      </c>
    </row>
    <row r="28">
      <c r="A28" s="367"/>
      <c r="B28" s="27" t="s">
        <v>1500</v>
      </c>
      <c r="C28" s="367">
        <v>45875.0</v>
      </c>
      <c r="D28" s="376" t="s">
        <v>1540</v>
      </c>
    </row>
    <row r="29" ht="15.75" customHeight="1">
      <c r="A29" s="367"/>
      <c r="B29" s="27" t="s">
        <v>1500</v>
      </c>
      <c r="C29" s="367">
        <v>45875.0</v>
      </c>
      <c r="D29" s="368" t="s">
        <v>1543</v>
      </c>
    </row>
    <row r="30" ht="15.75" customHeight="1">
      <c r="A30" s="367"/>
      <c r="C30" s="367"/>
      <c r="D30" s="368" t="s">
        <v>1544</v>
      </c>
    </row>
    <row r="31" ht="15.75" customHeight="1">
      <c r="A31" s="367"/>
      <c r="B31" s="27" t="s">
        <v>1500</v>
      </c>
      <c r="C31" s="367">
        <v>45875.0</v>
      </c>
    </row>
    <row r="32" ht="15.75" customHeight="1">
      <c r="A32" s="367"/>
      <c r="B32" s="27"/>
      <c r="C32" s="367"/>
      <c r="D32" s="368"/>
    </row>
    <row r="33" ht="15.75" customHeight="1">
      <c r="A33" s="367"/>
      <c r="B33" s="27" t="s">
        <v>1500</v>
      </c>
      <c r="C33" s="367">
        <v>45875.0</v>
      </c>
      <c r="D33" s="368" t="s">
        <v>1545</v>
      </c>
    </row>
    <row r="34" ht="15.75" customHeight="1">
      <c r="A34" s="367"/>
      <c r="B34" s="27"/>
      <c r="C34" s="367"/>
      <c r="D34" s="368"/>
    </row>
    <row r="35" ht="15.75" customHeight="1">
      <c r="A35" s="367"/>
      <c r="B35" s="27" t="s">
        <v>1500</v>
      </c>
      <c r="C35" s="367">
        <v>45876.0</v>
      </c>
      <c r="D35" s="368" t="s">
        <v>1547</v>
      </c>
    </row>
    <row r="36" ht="15.75" customHeight="1">
      <c r="A36" s="367"/>
      <c r="B36" s="27"/>
      <c r="C36" s="367"/>
      <c r="D36" s="368" t="s">
        <v>1548</v>
      </c>
    </row>
    <row r="37" ht="15.75" customHeight="1">
      <c r="A37" s="367"/>
      <c r="B37" s="27"/>
      <c r="C37" s="367"/>
      <c r="D37" s="368" t="s">
        <v>1549</v>
      </c>
    </row>
    <row r="38" ht="15.75" customHeight="1">
      <c r="A38" s="367"/>
      <c r="B38" s="27"/>
      <c r="C38" s="367"/>
      <c r="D38" s="368" t="s">
        <v>1550</v>
      </c>
    </row>
    <row r="39" ht="15.75" customHeight="1">
      <c r="A39" s="367"/>
      <c r="B39" s="27"/>
      <c r="C39" s="367"/>
      <c r="D39" s="368" t="s">
        <v>1551</v>
      </c>
    </row>
    <row r="40" ht="15.75" customHeight="1">
      <c r="A40" s="367"/>
      <c r="B40" s="27"/>
      <c r="C40" s="367"/>
      <c r="D40" s="368" t="s">
        <v>1552</v>
      </c>
    </row>
    <row r="41" ht="15.75" customHeight="1">
      <c r="A41" s="367"/>
      <c r="B41" s="27"/>
      <c r="C41" s="367"/>
      <c r="D41" s="368" t="s">
        <v>1553</v>
      </c>
    </row>
    <row r="42" ht="15.75" customHeight="1">
      <c r="A42" s="367"/>
      <c r="B42" s="27"/>
      <c r="C42" s="367"/>
      <c r="D42" s="368" t="s">
        <v>1554</v>
      </c>
    </row>
    <row r="43" ht="15.75" customHeight="1">
      <c r="A43" s="367"/>
      <c r="B43" s="27"/>
      <c r="C43" s="367"/>
      <c r="D43" s="368"/>
    </row>
    <row r="44" ht="15.75" customHeight="1">
      <c r="A44" s="367"/>
      <c r="B44" s="27" t="s">
        <v>1500</v>
      </c>
      <c r="C44" s="367">
        <v>45876.0</v>
      </c>
      <c r="D44" s="368" t="s">
        <v>1555</v>
      </c>
    </row>
    <row r="45" ht="15.75" customHeight="1">
      <c r="A45" s="367"/>
      <c r="B45" s="27" t="s">
        <v>1500</v>
      </c>
      <c r="C45" s="367">
        <v>45876.0</v>
      </c>
      <c r="D45" s="368" t="s">
        <v>1556</v>
      </c>
    </row>
    <row r="46" ht="15.75" customHeight="1">
      <c r="A46" s="367"/>
      <c r="B46" s="27" t="s">
        <v>1500</v>
      </c>
      <c r="C46" s="367">
        <v>45876.0</v>
      </c>
      <c r="D46" s="368" t="s">
        <v>1557</v>
      </c>
    </row>
    <row r="47" ht="15.75" customHeight="1">
      <c r="A47" s="367"/>
      <c r="B47" s="27"/>
      <c r="C47" s="367"/>
      <c r="D47" s="368"/>
    </row>
    <row r="48" ht="15.75" customHeight="1">
      <c r="A48" s="367"/>
      <c r="B48" s="27" t="s">
        <v>1500</v>
      </c>
      <c r="C48" s="367">
        <v>45876.0</v>
      </c>
      <c r="D48" s="368" t="s">
        <v>1558</v>
      </c>
    </row>
    <row r="49" ht="15.75" customHeight="1">
      <c r="A49" s="367"/>
      <c r="B49" s="27" t="s">
        <v>1500</v>
      </c>
      <c r="C49" s="367">
        <v>45876.0</v>
      </c>
      <c r="D49" s="368" t="s">
        <v>1559</v>
      </c>
    </row>
    <row r="50" ht="15.75" customHeight="1">
      <c r="A50" s="367"/>
      <c r="B50" s="27" t="s">
        <v>1500</v>
      </c>
      <c r="C50" s="367">
        <v>45876.0</v>
      </c>
      <c r="D50" s="368" t="s">
        <v>1560</v>
      </c>
    </row>
    <row r="51" ht="15.75" customHeight="1">
      <c r="A51" s="367"/>
      <c r="B51" s="27" t="s">
        <v>1500</v>
      </c>
      <c r="C51" s="367">
        <v>45876.0</v>
      </c>
      <c r="D51" s="368" t="s">
        <v>1562</v>
      </c>
    </row>
    <row r="52" ht="15.75" customHeight="1">
      <c r="A52" s="367"/>
      <c r="B52" s="27" t="s">
        <v>1500</v>
      </c>
      <c r="C52" s="367">
        <v>45876.0</v>
      </c>
      <c r="D52" s="376" t="s">
        <v>1563</v>
      </c>
    </row>
    <row r="53" ht="15.75" customHeight="1">
      <c r="A53" s="367"/>
      <c r="B53" s="27" t="s">
        <v>1500</v>
      </c>
      <c r="C53" s="367">
        <v>45876.0</v>
      </c>
      <c r="D53" s="368" t="s">
        <v>1565</v>
      </c>
    </row>
    <row r="54" ht="15.75" customHeight="1">
      <c r="A54" s="367"/>
      <c r="B54" s="27" t="s">
        <v>1500</v>
      </c>
      <c r="C54" s="367">
        <v>45876.0</v>
      </c>
      <c r="D54" s="368" t="s">
        <v>1566</v>
      </c>
    </row>
    <row r="55" ht="15.75" customHeight="1">
      <c r="A55" s="367"/>
      <c r="B55" s="27" t="s">
        <v>1500</v>
      </c>
      <c r="C55" s="367">
        <v>45876.0</v>
      </c>
      <c r="D55" s="376" t="s">
        <v>1567</v>
      </c>
    </row>
    <row r="56" ht="15.75" customHeight="1">
      <c r="A56" s="367"/>
      <c r="B56" s="27" t="s">
        <v>1500</v>
      </c>
      <c r="C56" s="367">
        <v>45876.0</v>
      </c>
      <c r="D56" s="368" t="s">
        <v>1570</v>
      </c>
    </row>
    <row r="57" ht="15.75" customHeight="1">
      <c r="A57" s="367"/>
      <c r="B57" s="27" t="s">
        <v>1500</v>
      </c>
      <c r="C57" s="367">
        <v>45876.0</v>
      </c>
      <c r="D57" s="368" t="s">
        <v>1571</v>
      </c>
    </row>
    <row r="58" ht="15.75" customHeight="1">
      <c r="A58" s="367"/>
      <c r="B58" s="27" t="s">
        <v>1500</v>
      </c>
      <c r="C58" s="367">
        <v>45876.0</v>
      </c>
      <c r="D58" s="376" t="s">
        <v>1572</v>
      </c>
    </row>
    <row r="59" ht="15.75" customHeight="1">
      <c r="A59" s="367"/>
      <c r="B59" s="27" t="s">
        <v>1500</v>
      </c>
      <c r="C59" s="367">
        <v>45876.0</v>
      </c>
      <c r="D59" s="368" t="s">
        <v>1573</v>
      </c>
    </row>
    <row r="60" ht="15.75" customHeight="1">
      <c r="A60" s="367"/>
      <c r="B60" s="27" t="s">
        <v>1500</v>
      </c>
      <c r="C60" s="367">
        <v>45877.0</v>
      </c>
      <c r="D60" s="368" t="s">
        <v>1575</v>
      </c>
    </row>
    <row r="61" ht="15.75" customHeight="1">
      <c r="A61" s="367"/>
      <c r="B61" s="27" t="s">
        <v>1500</v>
      </c>
      <c r="C61" s="367">
        <v>45877.0</v>
      </c>
      <c r="D61" s="368" t="s">
        <v>1576</v>
      </c>
    </row>
    <row r="62" ht="15.75" customHeight="1">
      <c r="A62" s="383"/>
      <c r="B62" s="27" t="s">
        <v>1500</v>
      </c>
      <c r="C62" s="367">
        <v>45878.0</v>
      </c>
      <c r="D62" s="368" t="s">
        <v>1579</v>
      </c>
    </row>
    <row r="63" ht="15.75" customHeight="1">
      <c r="A63" s="383"/>
      <c r="B63" s="27" t="s">
        <v>1500</v>
      </c>
      <c r="C63" s="367">
        <v>45878.0</v>
      </c>
      <c r="D63" s="368" t="s">
        <v>1580</v>
      </c>
    </row>
    <row r="64" ht="15.75" customHeight="1">
      <c r="A64" s="383"/>
      <c r="B64" s="27" t="s">
        <v>1500</v>
      </c>
      <c r="C64" s="367">
        <v>45878.0</v>
      </c>
      <c r="D64" s="368" t="s">
        <v>1582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$A$9:$D$938">
    <sortState ref="A9:D938">
      <sortCondition ref="C9:C938"/>
      <sortCondition ref="B9:B938"/>
    </sortState>
  </autoFilter>
  <hyperlinks>
    <hyperlink r:id="rId1" location="/insights/cloudbeds-reports/payment-ledger-72" ref="D15"/>
    <hyperlink r:id="rId2" ref="D24"/>
    <hyperlink r:id="rId3" ref="D28"/>
    <hyperlink r:id="rId4" ref="D52"/>
    <hyperlink r:id="rId5" ref="D55"/>
    <hyperlink r:id="rId6" ref="D58"/>
  </hyperlinks>
  <drawing r:id="rId7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35.38"/>
    <col customWidth="1" min="2" max="2" width="17.88"/>
    <col customWidth="1" min="3" max="3" width="16.13"/>
    <col customWidth="1" min="4" max="6" width="12.63"/>
  </cols>
  <sheetData>
    <row r="1" ht="15.75" customHeight="1">
      <c r="A1" s="388" t="s">
        <v>1600</v>
      </c>
      <c r="B1" s="388" t="s">
        <v>1602</v>
      </c>
      <c r="C1" s="388" t="s">
        <v>1603</v>
      </c>
    </row>
    <row r="2" ht="15.75" customHeight="1">
      <c r="A2" s="389">
        <v>11.0</v>
      </c>
      <c r="B2" s="390" t="s">
        <v>245</v>
      </c>
      <c r="C2" s="27" t="s">
        <v>145</v>
      </c>
    </row>
    <row r="3" ht="15.75" customHeight="1">
      <c r="A3" s="389">
        <v>222.0</v>
      </c>
      <c r="B3" s="390" t="s">
        <v>12</v>
      </c>
      <c r="C3" s="27" t="s">
        <v>1605</v>
      </c>
    </row>
    <row r="4" ht="15.75" customHeight="1">
      <c r="A4" s="389">
        <v>333.0</v>
      </c>
      <c r="B4" s="390" t="s">
        <v>2</v>
      </c>
      <c r="C4" s="27" t="s">
        <v>216</v>
      </c>
    </row>
    <row r="5" ht="15.75" customHeight="1">
      <c r="A5" s="389">
        <v>444.0</v>
      </c>
      <c r="B5" s="390" t="s">
        <v>5</v>
      </c>
      <c r="C5" s="27" t="s">
        <v>449</v>
      </c>
    </row>
    <row r="6" ht="15.75" customHeight="1">
      <c r="A6" s="389"/>
      <c r="B6" s="390" t="s">
        <v>1606</v>
      </c>
      <c r="C6" s="27" t="s">
        <v>437</v>
      </c>
    </row>
    <row r="7" ht="15.75" customHeight="1">
      <c r="A7" s="389"/>
      <c r="B7" s="390" t="s">
        <v>274</v>
      </c>
      <c r="C7" s="27" t="s">
        <v>171</v>
      </c>
    </row>
    <row r="8" ht="15.75" customHeight="1">
      <c r="A8" s="389"/>
      <c r="B8" s="390" t="s">
        <v>1607</v>
      </c>
      <c r="C8" s="27" t="s">
        <v>155</v>
      </c>
    </row>
    <row r="9" ht="15.75" customHeight="1">
      <c r="A9" s="389"/>
      <c r="B9" s="390" t="s">
        <v>1608</v>
      </c>
      <c r="C9" s="27" t="s">
        <v>148</v>
      </c>
    </row>
    <row r="10" ht="15.75" customHeight="1">
      <c r="A10" s="389"/>
      <c r="B10" s="390" t="s">
        <v>262</v>
      </c>
      <c r="C10" s="27" t="s">
        <v>170</v>
      </c>
    </row>
    <row r="11" ht="15.75" customHeight="1">
      <c r="A11" s="389"/>
      <c r="B11" s="390" t="s">
        <v>642</v>
      </c>
      <c r="C11" s="27" t="s">
        <v>463</v>
      </c>
    </row>
    <row r="12" ht="15.75" customHeight="1">
      <c r="A12" s="389"/>
      <c r="B12" s="390"/>
      <c r="C12" s="27" t="s">
        <v>150</v>
      </c>
    </row>
    <row r="13" ht="15.75" customHeight="1">
      <c r="A13" s="389"/>
      <c r="B13" s="390"/>
      <c r="C13" s="27" t="s">
        <v>1610</v>
      </c>
    </row>
    <row r="14" ht="15.75" customHeight="1">
      <c r="A14" s="389"/>
      <c r="B14" s="390"/>
      <c r="C14" s="27" t="s">
        <v>1611</v>
      </c>
    </row>
    <row r="15" ht="15.75" customHeight="1">
      <c r="A15" s="389"/>
      <c r="B15" s="390"/>
      <c r="C15" s="27" t="s">
        <v>1612</v>
      </c>
    </row>
    <row r="16" ht="15.75" customHeight="1">
      <c r="A16" s="389"/>
      <c r="B16" s="390"/>
      <c r="C16" s="27" t="s">
        <v>166</v>
      </c>
    </row>
    <row r="17" ht="15.75" customHeight="1">
      <c r="A17" s="389"/>
      <c r="B17" s="390"/>
      <c r="C17" s="27" t="s">
        <v>1613</v>
      </c>
    </row>
    <row r="18" ht="15.75" customHeight="1">
      <c r="A18" s="389"/>
      <c r="B18" s="390"/>
      <c r="C18" s="27" t="s">
        <v>153</v>
      </c>
    </row>
    <row r="19" ht="15.75" customHeight="1">
      <c r="A19" s="389"/>
      <c r="B19" s="390"/>
      <c r="C19" s="27" t="s">
        <v>1615</v>
      </c>
    </row>
    <row r="20" ht="15.75" customHeight="1">
      <c r="A20" s="389"/>
      <c r="B20" s="390"/>
      <c r="C20" s="27" t="s">
        <v>1616</v>
      </c>
    </row>
    <row r="21" ht="15.75" customHeight="1">
      <c r="A21" s="389"/>
      <c r="B21" s="390"/>
      <c r="C21" s="27" t="s">
        <v>1617</v>
      </c>
    </row>
    <row r="22" ht="15.75" customHeight="1">
      <c r="A22" s="389"/>
      <c r="B22" s="390"/>
      <c r="C22" s="74" t="s">
        <v>163</v>
      </c>
    </row>
    <row r="23" ht="15.75" customHeight="1">
      <c r="A23" s="389"/>
      <c r="B23" s="390"/>
      <c r="C23" s="27" t="s">
        <v>158</v>
      </c>
    </row>
    <row r="24" ht="15.75" customHeight="1">
      <c r="A24" s="389"/>
      <c r="B24" s="390"/>
      <c r="C24" s="27" t="s">
        <v>87</v>
      </c>
    </row>
    <row r="25" ht="15.75" customHeight="1">
      <c r="A25" s="389"/>
      <c r="B25" s="390"/>
    </row>
    <row r="26" ht="15.75" customHeight="1">
      <c r="A26" s="389"/>
      <c r="B26" s="390"/>
    </row>
    <row r="27" ht="15.75" customHeight="1">
      <c r="A27" s="389"/>
      <c r="B27" s="390"/>
    </row>
    <row r="28" ht="15.75" customHeight="1">
      <c r="A28" s="389"/>
      <c r="B28" s="390"/>
    </row>
    <row r="29" ht="15.75" customHeight="1">
      <c r="A29" s="389"/>
      <c r="B29" s="390"/>
    </row>
    <row r="30" ht="15.75" customHeight="1">
      <c r="A30" s="389"/>
      <c r="B30" s="390"/>
    </row>
    <row r="31" ht="15.75" customHeight="1">
      <c r="A31" s="390"/>
      <c r="B31" s="39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35.13"/>
    <col customWidth="1" hidden="1" min="3" max="3" width="18.13"/>
    <col customWidth="1" min="4" max="6" width="12.63"/>
  </cols>
  <sheetData>
    <row r="1" ht="15.75" customHeight="1">
      <c r="A1" s="316" t="s">
        <v>67</v>
      </c>
      <c r="B1" s="395" t="s">
        <v>68</v>
      </c>
    </row>
    <row r="2" ht="15.75" customHeight="1">
      <c r="A2" s="223" t="s">
        <v>1033</v>
      </c>
      <c r="B2" s="74" t="s">
        <v>1033</v>
      </c>
      <c r="D2" s="27" t="str">
        <f>VLOOKUP(B2,'Analysis OUT by pay'!B:B,1,false)</f>
        <v>#N/A</v>
      </c>
    </row>
    <row r="3" ht="15.75" customHeight="1">
      <c r="A3" s="74" t="s">
        <v>106</v>
      </c>
      <c r="B3" s="396" t="s">
        <v>83</v>
      </c>
      <c r="D3" s="27" t="str">
        <f>VLOOKUP(B3,'Analysis OUT by pay'!B:B,1,false)</f>
        <v>Aqua Lab Water Test</v>
      </c>
    </row>
    <row r="4" ht="15.75" customHeight="1">
      <c r="A4" s="74" t="s">
        <v>106</v>
      </c>
      <c r="B4" s="396" t="s">
        <v>90</v>
      </c>
      <c r="D4" s="27" t="str">
        <f>VLOOKUP(B4,'Analysis OUT by pay'!B:B,1,false)</f>
        <v>Gas inspection</v>
      </c>
    </row>
    <row r="5" ht="15.75" customHeight="1">
      <c r="A5" s="74" t="s">
        <v>106</v>
      </c>
      <c r="B5" s="396" t="s">
        <v>94</v>
      </c>
      <c r="D5" s="27" t="str">
        <f>VLOOKUP(B5,'Analysis OUT by pay'!B:B,1,false)</f>
        <v>INTERPREV-Fiscalisacao</v>
      </c>
    </row>
    <row r="6" ht="15.75" customHeight="1">
      <c r="A6" s="74" t="s">
        <v>106</v>
      </c>
      <c r="B6" s="396" t="s">
        <v>98</v>
      </c>
      <c r="D6" s="27" t="str">
        <f>VLOOKUP(B6,'Analysis OUT by pay'!B:B,1,false)</f>
        <v>INTERPREV-Segurancaesaude</v>
      </c>
    </row>
    <row r="7" ht="15.75" customHeight="1">
      <c r="A7" s="74" t="s">
        <v>106</v>
      </c>
      <c r="B7" s="396" t="s">
        <v>100</v>
      </c>
      <c r="D7" s="27" t="str">
        <f>VLOOKUP(B7,'Analysis OUT by pay'!B:B,1,false)</f>
        <v>License</v>
      </c>
    </row>
    <row r="8" ht="15.75" customHeight="1">
      <c r="A8" s="74" t="s">
        <v>106</v>
      </c>
      <c r="B8" s="396" t="s">
        <v>101</v>
      </c>
      <c r="D8" s="27" t="str">
        <f>VLOOKUP(B8,'Analysis OUT by pay'!B:B,1,false)</f>
        <v>SOPFOGO-Extinctores</v>
      </c>
    </row>
    <row r="9" ht="15.75" customHeight="1">
      <c r="A9" s="74" t="s">
        <v>106</v>
      </c>
      <c r="B9" s="396" t="s">
        <v>104</v>
      </c>
      <c r="D9" s="27" t="str">
        <f>VLOOKUP(B9,'Analysis OUT by pay'!B:B,1,false)</f>
        <v>SOPFOGO-Manutencao Central Incendio</v>
      </c>
    </row>
    <row r="10" ht="15.75" customHeight="1">
      <c r="A10" s="74" t="s">
        <v>106</v>
      </c>
      <c r="B10" s="396" t="s">
        <v>105</v>
      </c>
      <c r="D10" s="27" t="str">
        <f>VLOOKUP(B10,'Analysis OUT by pay'!B:B,1,false)</f>
        <v>SPA</v>
      </c>
    </row>
    <row r="11" ht="15.75" customHeight="1">
      <c r="A11" s="74" t="s">
        <v>528</v>
      </c>
      <c r="B11" s="396" t="s">
        <v>346</v>
      </c>
      <c r="D11" s="27" t="str">
        <f>VLOOKUP(B11,'Analysis OUT by pay'!B:B,1,false)</f>
        <v>Apple Cider</v>
      </c>
    </row>
    <row r="12" ht="15.75" customHeight="1">
      <c r="A12" s="74" t="s">
        <v>528</v>
      </c>
      <c r="B12" s="396" t="s">
        <v>145</v>
      </c>
      <c r="D12" s="27" t="str">
        <f>VLOOKUP(B12,'Analysis OUT by pay'!B:B,1,false)</f>
        <v>Beer</v>
      </c>
    </row>
    <row r="13" ht="15.75" customHeight="1">
      <c r="A13" s="74" t="s">
        <v>528</v>
      </c>
      <c r="B13" s="396" t="s">
        <v>510</v>
      </c>
      <c r="D13" s="27" t="str">
        <f>VLOOKUP(B13,'Analysis OUT by pay'!B:B,1,false)</f>
        <v>Beer 1L</v>
      </c>
    </row>
    <row r="14" ht="15.75" customHeight="1">
      <c r="A14" s="74" t="s">
        <v>528</v>
      </c>
      <c r="B14" s="396" t="s">
        <v>380</v>
      </c>
      <c r="D14" s="27" t="str">
        <f>VLOOKUP(B14,'Analysis OUT by pay'!B:B,1,false)</f>
        <v>Cachaça</v>
      </c>
    </row>
    <row r="15" ht="15.75" customHeight="1">
      <c r="A15" s="74" t="s">
        <v>528</v>
      </c>
      <c r="B15" s="396" t="s">
        <v>396</v>
      </c>
      <c r="D15" s="27" t="str">
        <f>VLOOKUP(B15,'Analysis OUT by pay'!B:B,1,false)</f>
        <v>Coca</v>
      </c>
    </row>
    <row r="16" ht="15.75" customHeight="1">
      <c r="A16" s="74" t="s">
        <v>528</v>
      </c>
      <c r="B16" s="396" t="s">
        <v>362</v>
      </c>
      <c r="D16" s="27" t="str">
        <f>VLOOKUP(B16,'Analysis OUT by pay'!B:B,1,false)</f>
        <v>Fruit Cider</v>
      </c>
    </row>
    <row r="17" ht="15.75" customHeight="1">
      <c r="A17" s="74" t="s">
        <v>528</v>
      </c>
      <c r="B17" s="396" t="s">
        <v>371</v>
      </c>
      <c r="C17" s="389"/>
      <c r="D17" s="27" t="str">
        <f>VLOOKUP(B17,'Analysis OUT by pay'!B:B,1,false)</f>
        <v>Fruits bar</v>
      </c>
    </row>
    <row r="18" ht="15.75" customHeight="1">
      <c r="A18" s="74" t="s">
        <v>528</v>
      </c>
      <c r="B18" s="396" t="s">
        <v>418</v>
      </c>
      <c r="D18" s="27" t="str">
        <f>VLOOKUP(B18,'Analysis OUT by pay'!B:B,1,false)</f>
        <v>Furniture</v>
      </c>
    </row>
    <row r="19" ht="15.75" customHeight="1">
      <c r="A19" s="74" t="s">
        <v>528</v>
      </c>
      <c r="B19" s="396" t="s">
        <v>471</v>
      </c>
      <c r="D19" s="27" t="str">
        <f>VLOOKUP(B19,'Analysis OUT by pay'!B:B,1,false)</f>
        <v>Green Wine</v>
      </c>
    </row>
    <row r="20" ht="15.75" customHeight="1">
      <c r="A20" s="74" t="s">
        <v>528</v>
      </c>
      <c r="B20" s="396" t="s">
        <v>387</v>
      </c>
      <c r="D20" s="27" t="str">
        <f>VLOOKUP(B20,'Analysis OUT by pay'!B:B,1,false)</f>
        <v>Ice tea</v>
      </c>
    </row>
    <row r="21" ht="15.75" customHeight="1">
      <c r="A21" s="223" t="s">
        <v>528</v>
      </c>
      <c r="B21" s="396" t="s">
        <v>424</v>
      </c>
      <c r="D21" s="27" t="str">
        <f>VLOOKUP(B21,'Analysis OUT by pay'!B:B,1,false)</f>
        <v>Ice cube – Bar</v>
      </c>
    </row>
    <row r="22" ht="15.75" customHeight="1">
      <c r="A22" s="74" t="s">
        <v>528</v>
      </c>
      <c r="B22" s="396" t="s">
        <v>455</v>
      </c>
      <c r="D22" s="27" t="str">
        <f>VLOOKUP(B22,'Analysis OUT by pay'!B:B,1,false)</f>
        <v>Liqueur</v>
      </c>
    </row>
    <row r="23" ht="15.75" customHeight="1">
      <c r="A23" s="74" t="s">
        <v>528</v>
      </c>
      <c r="B23" s="396" t="s">
        <v>410</v>
      </c>
      <c r="D23" s="27" t="str">
        <f>VLOOKUP(B23,'Analysis OUT by pay'!B:B,1,false)</f>
        <v>Red Bull</v>
      </c>
    </row>
    <row r="24" ht="15.75" customHeight="1">
      <c r="A24" s="74" t="s">
        <v>528</v>
      </c>
      <c r="B24" s="396" t="s">
        <v>437</v>
      </c>
      <c r="D24" s="27" t="str">
        <f>VLOOKUP(B24,'Analysis OUT by pay'!B:B,1,false)</f>
        <v>Sangria</v>
      </c>
    </row>
    <row r="25" ht="15.75" customHeight="1">
      <c r="A25" s="74" t="s">
        <v>528</v>
      </c>
      <c r="B25" s="396" t="s">
        <v>413</v>
      </c>
      <c r="D25" s="27" t="str">
        <f>VLOOKUP(B25,'Analysis OUT by pay'!B:B,1,false)</f>
        <v>Sprite</v>
      </c>
    </row>
    <row r="26" ht="15.75" customHeight="1">
      <c r="A26" s="74" t="s">
        <v>528</v>
      </c>
      <c r="B26" s="74" t="s">
        <v>449</v>
      </c>
      <c r="D26" s="27" t="str">
        <f>VLOOKUP(B26,'Analysis OUT by pay'!B:B,1,false)</f>
        <v>Verso3</v>
      </c>
    </row>
    <row r="27" ht="15.75" customHeight="1">
      <c r="A27" s="74" t="s">
        <v>528</v>
      </c>
      <c r="B27" s="74" t="s">
        <v>463</v>
      </c>
      <c r="D27" s="27" t="str">
        <f>VLOOKUP(B27,'Analysis OUT by pay'!B:B,1,false)</f>
        <v>Verso5</v>
      </c>
    </row>
    <row r="28" ht="15.75" customHeight="1">
      <c r="A28" s="74" t="s">
        <v>528</v>
      </c>
      <c r="B28" s="396" t="s">
        <v>490</v>
      </c>
      <c r="D28" s="27" t="str">
        <f>VLOOKUP(B28,'Analysis OUT by pay'!B:B,1,false)</f>
        <v>Vinho tinto</v>
      </c>
    </row>
    <row r="29" ht="15.75" customHeight="1">
      <c r="A29" s="74" t="s">
        <v>528</v>
      </c>
      <c r="B29" s="396" t="s">
        <v>215</v>
      </c>
      <c r="D29" s="27" t="str">
        <f>VLOOKUP(B29,'Analysis OUT by pay'!B:B,1,false)</f>
        <v>water</v>
      </c>
    </row>
    <row r="30" ht="15.75" customHeight="1">
      <c r="A30" s="74" t="s">
        <v>612</v>
      </c>
      <c r="B30" s="396" t="s">
        <v>1670</v>
      </c>
      <c r="D30" s="27" t="str">
        <f>VLOOKUP(B30,'Analysis OUT by pay'!B:B,1,false)</f>
        <v>#N/A</v>
      </c>
    </row>
    <row r="31" ht="15.75" customHeight="1">
      <c r="A31" s="74" t="s">
        <v>612</v>
      </c>
      <c r="B31" s="396" t="s">
        <v>546</v>
      </c>
      <c r="D31" s="27" t="str">
        <f>VLOOKUP(B31,'Analysis OUT by pay'!B:B,1,false)</f>
        <v>Limao</v>
      </c>
    </row>
    <row r="32" ht="15.75" customHeight="1">
      <c r="A32" s="74" t="s">
        <v>612</v>
      </c>
      <c r="B32" s="396" t="s">
        <v>560</v>
      </c>
      <c r="D32" s="27" t="str">
        <f>VLOOKUP(B32,'Analysis OUT by pay'!B:B,1,false)</f>
        <v>Mint</v>
      </c>
    </row>
    <row r="33" ht="15.75" customHeight="1">
      <c r="A33" s="74" t="s">
        <v>612</v>
      </c>
      <c r="B33" s="396" t="s">
        <v>574</v>
      </c>
      <c r="D33" s="27" t="str">
        <f>VLOOKUP(B33,'Analysis OUT by pay'!B:B,1,false)</f>
        <v>Rhum</v>
      </c>
    </row>
    <row r="34" ht="15.75" customHeight="1">
      <c r="A34" s="74" t="s">
        <v>612</v>
      </c>
      <c r="B34" s="396" t="s">
        <v>584</v>
      </c>
      <c r="D34" s="27" t="str">
        <f>VLOOKUP(B34,'Analysis OUT by pay'!B:B,1,false)</f>
        <v>Snacks</v>
      </c>
    </row>
    <row r="35" ht="15.75" customHeight="1">
      <c r="A35" s="74" t="s">
        <v>612</v>
      </c>
      <c r="B35" s="396" t="s">
        <v>597</v>
      </c>
      <c r="D35" s="27" t="str">
        <f>VLOOKUP(B35,'Analysis OUT by pay'!B:B,1,false)</f>
        <v>SodaWater</v>
      </c>
    </row>
    <row r="36" ht="15.75" customHeight="1">
      <c r="A36" s="232" t="s">
        <v>838</v>
      </c>
      <c r="B36" s="396" t="s">
        <v>832</v>
      </c>
      <c r="C36" s="389"/>
      <c r="D36" s="27" t="str">
        <f>VLOOKUP(B36,'Analysis OUT by pay'!B:B,1,false)</f>
        <v>BBQfood</v>
      </c>
    </row>
    <row r="37" ht="15.75" customHeight="1">
      <c r="A37" s="232" t="s">
        <v>838</v>
      </c>
      <c r="B37" s="396" t="s">
        <v>836</v>
      </c>
      <c r="C37" s="389"/>
      <c r="D37" s="27" t="str">
        <f>VLOOKUP(B37,'Analysis OUT by pay'!B:B,1,false)</f>
        <v>decoration</v>
      </c>
    </row>
    <row r="38" ht="15.75" customHeight="1">
      <c r="A38" s="74" t="s">
        <v>118</v>
      </c>
      <c r="B38" s="396" t="s">
        <v>107</v>
      </c>
      <c r="D38" s="27" t="str">
        <f>VLOOKUP(B38,'Analysis OUT by pay'!B:B,1,false)</f>
        <v>Desinfection</v>
      </c>
    </row>
    <row r="39" ht="15.75" customHeight="1">
      <c r="A39" s="74" t="s">
        <v>118</v>
      </c>
      <c r="B39" s="396" t="s">
        <v>109</v>
      </c>
      <c r="D39" s="27" t="str">
        <f>VLOOKUP(B39,'Analysis OUT by pay'!B:B,1,false)</f>
        <v>Diverso – bed bug</v>
      </c>
    </row>
    <row r="40" ht="15.75" customHeight="1">
      <c r="A40" s="74" t="s">
        <v>118</v>
      </c>
      <c r="B40" s="396" t="s">
        <v>111</v>
      </c>
      <c r="D40" s="27" t="str">
        <f>VLOOKUP(B40,'Analysis OUT by pay'!B:B,1,false)</f>
        <v>laundry</v>
      </c>
    </row>
    <row r="41" ht="15.75" customHeight="1">
      <c r="A41" s="74" t="s">
        <v>118</v>
      </c>
      <c r="B41" s="396" t="s">
        <v>114</v>
      </c>
      <c r="D41" s="27" t="str">
        <f>VLOOKUP(B41,'Analysis OUT by pay'!B:B,1,false)</f>
        <v>Weapons</v>
      </c>
    </row>
    <row r="42" ht="15.75" customHeight="1">
      <c r="A42" s="232" t="s">
        <v>148</v>
      </c>
      <c r="B42" s="396" t="s">
        <v>332</v>
      </c>
      <c r="C42" s="389"/>
      <c r="D42" s="27" t="str">
        <f>VLOOKUP(B42,'Analysis OUT by pay'!B:B,1,false)</f>
        <v>Fixing</v>
      </c>
    </row>
    <row r="43" ht="15.75" customHeight="1">
      <c r="A43" s="232" t="s">
        <v>148</v>
      </c>
      <c r="B43" s="396" t="s">
        <v>316</v>
      </c>
      <c r="C43" s="389"/>
      <c r="D43" s="27" t="str">
        <f>VLOOKUP(B43,'Analysis OUT by pay'!B:B,1,false)</f>
        <v>Rubber</v>
      </c>
    </row>
    <row r="44" ht="15.75" customHeight="1">
      <c r="A44" s="74" t="s">
        <v>136</v>
      </c>
      <c r="B44" s="396" t="s">
        <v>132</v>
      </c>
      <c r="D44" s="27" t="str">
        <f>VLOOKUP(B44,'Analysis OUT by pay'!B:B,1,false)</f>
        <v>Aliguer TPEREDUNICRE MENSAL</v>
      </c>
    </row>
    <row r="45" ht="15.75" customHeight="1">
      <c r="A45" s="74" t="s">
        <v>136</v>
      </c>
      <c r="B45" s="396" t="s">
        <v>38</v>
      </c>
      <c r="D45" s="27" t="str">
        <f>VLOOKUP(B45,'Analysis OUT by pay'!B:B,1,false)</f>
        <v>Fees</v>
      </c>
    </row>
    <row r="46" ht="15.75" customHeight="1">
      <c r="A46" s="74" t="s">
        <v>136</v>
      </c>
      <c r="B46" s="396" t="s">
        <v>133</v>
      </c>
      <c r="D46" s="27" t="str">
        <f>VLOOKUP(B46,'Analysis OUT by pay'!B:B,1,false)</f>
        <v>Madalena8-BPI</v>
      </c>
    </row>
    <row r="47" ht="15.75" customHeight="1">
      <c r="A47" s="74" t="s">
        <v>136</v>
      </c>
      <c r="B47" s="396" t="s">
        <v>134</v>
      </c>
      <c r="D47" s="27" t="str">
        <f>VLOOKUP(B47,'Analysis OUT by pay'!B:B,1,false)</f>
        <v>Paylink</v>
      </c>
    </row>
    <row r="48" ht="15.75" customHeight="1">
      <c r="A48" s="74"/>
      <c r="B48" s="74"/>
    </row>
    <row r="49" ht="15.75" customHeight="1">
      <c r="A49" s="396" t="s">
        <v>151</v>
      </c>
      <c r="B49" s="396" t="s">
        <v>137</v>
      </c>
      <c r="D49" s="27" t="str">
        <f>VLOOKUP(B49,'Analysis OUT by pay'!B:B,1,false)</f>
        <v>Banana</v>
      </c>
    </row>
    <row r="50" ht="15.75" customHeight="1">
      <c r="A50" s="396" t="s">
        <v>151</v>
      </c>
      <c r="B50" s="396" t="s">
        <v>138</v>
      </c>
      <c r="C50" s="389"/>
      <c r="D50" s="27" t="str">
        <f>VLOOKUP(B50,'Analysis OUT by pay'!B:B,1,false)</f>
        <v>Butter</v>
      </c>
    </row>
    <row r="51" ht="15.75" customHeight="1">
      <c r="A51" s="396" t="s">
        <v>151</v>
      </c>
      <c r="B51" s="396" t="s">
        <v>139</v>
      </c>
      <c r="D51" s="27" t="str">
        <f>VLOOKUP(B51,'Analysis OUT by pay'!B:B,1,false)</f>
        <v>Cacao</v>
      </c>
    </row>
    <row r="52" ht="15.75" customHeight="1">
      <c r="A52" s="396" t="s">
        <v>151</v>
      </c>
      <c r="B52" s="396" t="s">
        <v>140</v>
      </c>
      <c r="C52" s="389"/>
      <c r="D52" s="27" t="str">
        <f>VLOOKUP(B52,'Analysis OUT by pay'!B:B,1,false)</f>
        <v>Canela</v>
      </c>
    </row>
    <row r="53" ht="15.75" customHeight="1">
      <c r="A53" s="396" t="s">
        <v>151</v>
      </c>
      <c r="B53" s="396" t="s">
        <v>146</v>
      </c>
      <c r="C53" s="389"/>
      <c r="D53" s="27" t="str">
        <f>VLOOKUP(B53,'Analysis OUT by pay'!B:B,1,false)</f>
        <v>Coffee</v>
      </c>
    </row>
    <row r="54" ht="15.75" customHeight="1">
      <c r="A54" s="396" t="s">
        <v>151</v>
      </c>
      <c r="B54" s="396" t="s">
        <v>159</v>
      </c>
      <c r="C54" s="389"/>
      <c r="D54" s="27" t="str">
        <f>VLOOKUP(B54,'Analysis OUT by pay'!B:B,1,false)</f>
        <v>Coffee filter</v>
      </c>
    </row>
    <row r="55" ht="15.75" customHeight="1">
      <c r="A55" s="396" t="s">
        <v>151</v>
      </c>
      <c r="B55" s="396" t="s">
        <v>173</v>
      </c>
      <c r="C55" s="389"/>
      <c r="D55" s="27" t="str">
        <f>VLOOKUP(B55,'Analysis OUT by pay'!B:B,1,false)</f>
        <v>Flakes</v>
      </c>
    </row>
    <row r="56" ht="15.75" customHeight="1">
      <c r="A56" s="396" t="s">
        <v>151</v>
      </c>
      <c r="B56" s="396" t="s">
        <v>181</v>
      </c>
      <c r="C56" s="389"/>
      <c r="D56" s="27" t="str">
        <f>VLOOKUP(B56,'Analysis OUT by pay'!B:B,1,false)</f>
        <v>Flour</v>
      </c>
    </row>
    <row r="57" ht="15.75" customHeight="1">
      <c r="A57" s="396" t="s">
        <v>151</v>
      </c>
      <c r="B57" s="396" t="s">
        <v>182</v>
      </c>
      <c r="C57" s="389"/>
      <c r="D57" s="27" t="str">
        <f>VLOOKUP(B57,'Analysis OUT by pay'!B:B,1,false)</f>
        <v>Fruits</v>
      </c>
    </row>
    <row r="58" ht="15.75" customHeight="1">
      <c r="A58" s="396" t="s">
        <v>151</v>
      </c>
      <c r="B58" s="396" t="s">
        <v>183</v>
      </c>
      <c r="D58" s="27" t="str">
        <f>VLOOKUP(B58,'Analysis OUT by pay'!B:B,1,false)</f>
        <v>Gas-Café da manhã</v>
      </c>
    </row>
    <row r="59" ht="15.75" customHeight="1">
      <c r="A59" s="396" t="s">
        <v>151</v>
      </c>
      <c r="B59" s="396" t="s">
        <v>184</v>
      </c>
      <c r="C59" s="389"/>
      <c r="D59" s="27" t="str">
        <f>VLOOKUP(B59,'Analysis OUT by pay'!B:B,1,false)</f>
        <v>Jam</v>
      </c>
    </row>
    <row r="60" ht="15.75" customHeight="1">
      <c r="A60" s="396" t="s">
        <v>151</v>
      </c>
      <c r="B60" s="396" t="s">
        <v>185</v>
      </c>
      <c r="C60" s="390"/>
      <c r="D60" s="27" t="str">
        <f>VLOOKUP(B60,'Analysis OUT by pay'!B:B,1,false)</f>
        <v>Milk</v>
      </c>
    </row>
    <row r="61" ht="15.75" customHeight="1">
      <c r="A61" s="396" t="s">
        <v>151</v>
      </c>
      <c r="B61" s="396" t="s">
        <v>186</v>
      </c>
      <c r="C61" s="389"/>
      <c r="D61" s="27" t="str">
        <f>VLOOKUP(B61,'Analysis OUT by pay'!B:B,1,false)</f>
        <v>Muesli</v>
      </c>
    </row>
    <row r="62" ht="15.75" customHeight="1">
      <c r="A62" s="396" t="s">
        <v>151</v>
      </c>
      <c r="B62" s="396" t="s">
        <v>187</v>
      </c>
      <c r="D62" s="27" t="str">
        <f>VLOOKUP(B62,'Analysis OUT by pay'!B:B,1,false)</f>
        <v>Oil</v>
      </c>
    </row>
    <row r="63" ht="15.75" customHeight="1">
      <c r="A63" s="396" t="s">
        <v>151</v>
      </c>
      <c r="B63" s="396" t="s">
        <v>188</v>
      </c>
      <c r="D63" s="27" t="str">
        <f>VLOOKUP(B63,'Analysis OUT by pay'!B:B,1,false)</f>
        <v>Peanut butter</v>
      </c>
    </row>
    <row r="64" ht="15.75" customHeight="1">
      <c r="A64" s="396" t="s">
        <v>151</v>
      </c>
      <c r="B64" s="396" t="s">
        <v>189</v>
      </c>
      <c r="D64" s="27" t="str">
        <f>VLOOKUP(B64,'Analysis OUT by pay'!B:B,1,false)</f>
        <v>pepper</v>
      </c>
    </row>
    <row r="65" ht="15.75" customHeight="1">
      <c r="A65" s="396" t="s">
        <v>151</v>
      </c>
      <c r="B65" s="396" t="s">
        <v>190</v>
      </c>
      <c r="D65" s="27" t="str">
        <f>VLOOKUP(B65,'Analysis OUT by pay'!B:B,1,false)</f>
        <v>Salt</v>
      </c>
    </row>
    <row r="66" ht="15.75" customHeight="1">
      <c r="A66" s="396" t="s">
        <v>151</v>
      </c>
      <c r="B66" s="396" t="s">
        <v>191</v>
      </c>
      <c r="C66" s="389"/>
      <c r="D66" s="27" t="str">
        <f>VLOOKUP(B66,'Analysis OUT by pay'!B:B,1,false)</f>
        <v>Sugar</v>
      </c>
    </row>
    <row r="67" ht="15.75" customHeight="1">
      <c r="A67" s="396" t="s">
        <v>151</v>
      </c>
      <c r="B67" s="396" t="s">
        <v>192</v>
      </c>
      <c r="C67" s="389"/>
      <c r="D67" s="27" t="str">
        <f>VLOOKUP(B67,'Analysis OUT by pay'!B:B,1,false)</f>
        <v>Tea</v>
      </c>
    </row>
    <row r="68" ht="15.75" customHeight="1">
      <c r="A68" s="396" t="s">
        <v>151</v>
      </c>
      <c r="B68" s="396" t="s">
        <v>193</v>
      </c>
      <c r="C68" s="389"/>
      <c r="D68" s="27" t="str">
        <f>VLOOKUP(B68,'Analysis OUT by pay'!B:B,1,false)</f>
        <v>Vegan</v>
      </c>
    </row>
    <row r="69" ht="15.75" customHeight="1">
      <c r="A69" s="74" t="s">
        <v>1051</v>
      </c>
      <c r="B69" s="396" t="s">
        <v>630</v>
      </c>
      <c r="D69" s="27" t="str">
        <f>VLOOKUP(B69,'Analysis OUT by pay'!B:B,1,false)</f>
        <v>Pills</v>
      </c>
    </row>
    <row r="70" ht="15.75" customHeight="1">
      <c r="A70" s="74" t="s">
        <v>154</v>
      </c>
      <c r="B70" s="396" t="s">
        <v>204</v>
      </c>
      <c r="D70" s="27" t="str">
        <f>VLOOKUP(B70,'Analysis OUT by pay'!B:B,1,false)</f>
        <v>Bleach Toilet</v>
      </c>
    </row>
    <row r="71" ht="15.75" customHeight="1">
      <c r="A71" s="74" t="s">
        <v>154</v>
      </c>
      <c r="B71" s="396" t="s">
        <v>220</v>
      </c>
      <c r="D71" s="27" t="str">
        <f>VLOOKUP(B71,'Analysis OUT by pay'!B:B,1,false)</f>
        <v>Cifi</v>
      </c>
    </row>
    <row r="72" ht="15.75" customHeight="1">
      <c r="A72" s="74" t="s">
        <v>154</v>
      </c>
      <c r="B72" s="396" t="s">
        <v>230</v>
      </c>
      <c r="D72" s="27" t="str">
        <f>VLOOKUP(B72,'Analysis OUT by pay'!B:B,1,false)</f>
        <v>Dishwash Liquid</v>
      </c>
    </row>
    <row r="73" ht="15.75" customHeight="1">
      <c r="A73" s="232" t="s">
        <v>154</v>
      </c>
      <c r="B73" s="396" t="s">
        <v>231</v>
      </c>
      <c r="C73" s="389"/>
      <c r="D73" s="27" t="str">
        <f>VLOOKUP(B73,'Analysis OUT by pay'!B:B,1,false)</f>
        <v>Diverso-Cleaning</v>
      </c>
    </row>
    <row r="74" ht="15.75" customHeight="1">
      <c r="A74" s="74" t="s">
        <v>154</v>
      </c>
      <c r="B74" s="396" t="s">
        <v>233</v>
      </c>
      <c r="D74" s="27" t="str">
        <f>VLOOKUP(B74,'Analysis OUT by pay'!B:B,1,false)</f>
        <v>Glass Cleaner</v>
      </c>
    </row>
    <row r="75" ht="15.75" customHeight="1">
      <c r="A75" s="74" t="s">
        <v>154</v>
      </c>
      <c r="B75" s="396" t="s">
        <v>235</v>
      </c>
      <c r="D75" s="27" t="str">
        <f>VLOOKUP(B75,'Analysis OUT by pay'!B:B,1,false)</f>
        <v>Mistolin</v>
      </c>
    </row>
    <row r="76" ht="15.75" customHeight="1">
      <c r="A76" s="74" t="s">
        <v>154</v>
      </c>
      <c r="B76" s="396" t="s">
        <v>236</v>
      </c>
      <c r="D76" s="27" t="str">
        <f>VLOOKUP(B76,'Analysis OUT by pay'!B:B,1,false)</f>
        <v>Mop</v>
      </c>
    </row>
    <row r="77" ht="15.75" customHeight="1">
      <c r="A77" s="74" t="s">
        <v>154</v>
      </c>
      <c r="B77" s="396" t="s">
        <v>239</v>
      </c>
      <c r="D77" s="27" t="str">
        <f>VLOOKUP(B77,'Analysis OUT by pay'!B:B,1,false)</f>
        <v>saco10l</v>
      </c>
    </row>
    <row r="78" ht="15.75" customHeight="1">
      <c r="A78" s="74" t="s">
        <v>154</v>
      </c>
      <c r="B78" s="396" t="s">
        <v>241</v>
      </c>
      <c r="D78" s="27" t="str">
        <f>VLOOKUP(B78,'Analysis OUT by pay'!B:B,1,false)</f>
        <v>Softner</v>
      </c>
    </row>
    <row r="79" ht="15.75" customHeight="1">
      <c r="A79" s="74" t="s">
        <v>154</v>
      </c>
      <c r="B79" s="396" t="s">
        <v>243</v>
      </c>
      <c r="D79" s="27" t="str">
        <f>VLOOKUP(B79,'Analysis OUT by pay'!B:B,1,false)</f>
        <v>Sponges</v>
      </c>
    </row>
    <row r="80" ht="15.75" customHeight="1">
      <c r="A80" s="74" t="s">
        <v>154</v>
      </c>
      <c r="B80" s="396" t="s">
        <v>246</v>
      </c>
      <c r="D80" s="27" t="str">
        <f>VLOOKUP(B80,'Analysis OUT by pay'!B:B,1,false)</f>
        <v>Ttrash bag 50l</v>
      </c>
    </row>
    <row r="81" ht="15.75" customHeight="1">
      <c r="A81" s="74" t="s">
        <v>154</v>
      </c>
      <c r="B81" s="396" t="s">
        <v>248</v>
      </c>
      <c r="D81" s="27" t="str">
        <f>VLOOKUP(B81,'Analysis OUT by pay'!B:B,1,false)</f>
        <v>Washing Powder</v>
      </c>
    </row>
    <row r="82" ht="15.75" customHeight="1">
      <c r="A82" s="402" t="s">
        <v>131</v>
      </c>
      <c r="B82" s="396" t="s">
        <v>121</v>
      </c>
      <c r="D82" s="27" t="str">
        <f>VLOOKUP(B82,'Analysis OUT by pay'!B:B,1,false)</f>
        <v>Airbnb cancelation</v>
      </c>
    </row>
    <row r="83" ht="15.75" customHeight="1">
      <c r="A83" s="402" t="s">
        <v>131</v>
      </c>
      <c r="B83" s="396" t="s">
        <v>125</v>
      </c>
      <c r="D83" s="27" t="str">
        <f>VLOOKUP(B83,'Analysis OUT by pay'!B:B,1,false)</f>
        <v>Airbnb comission</v>
      </c>
    </row>
    <row r="84" ht="15.75" customHeight="1">
      <c r="A84" s="402" t="s">
        <v>131</v>
      </c>
      <c r="B84" s="396" t="s">
        <v>128</v>
      </c>
      <c r="D84" s="27" t="str">
        <f>VLOOKUP(B84,'Analysis OUT by pay'!B:B,1,false)</f>
        <v>Booking Other taxs</v>
      </c>
    </row>
    <row r="85" ht="15.75" customHeight="1">
      <c r="A85" s="402" t="s">
        <v>131</v>
      </c>
      <c r="B85" s="396" t="s">
        <v>130</v>
      </c>
      <c r="C85" s="356"/>
      <c r="D85" s="27" t="str">
        <f>VLOOKUP(B85,'Analysis OUT by pay'!B:B,1,false)</f>
        <v>Booking Payment commision</v>
      </c>
    </row>
    <row r="86" ht="15.75" customHeight="1">
      <c r="A86" s="277" t="s">
        <v>334</v>
      </c>
      <c r="B86" s="396" t="s">
        <v>34</v>
      </c>
      <c r="D86" s="27" t="str">
        <f>VLOOKUP(B86,'Analysis OUT by pay'!B:B,1,false)</f>
        <v>Adrien</v>
      </c>
    </row>
    <row r="87" ht="15.75" customHeight="1">
      <c r="A87" s="277" t="s">
        <v>334</v>
      </c>
      <c r="B87" s="396" t="s">
        <v>43</v>
      </c>
      <c r="D87" s="27" t="str">
        <f>VLOOKUP(B87,'Analysis OUT by pay'!B:B,1,false)</f>
        <v>Invest</v>
      </c>
    </row>
    <row r="88" ht="15.75" customHeight="1">
      <c r="A88" s="277" t="s">
        <v>334</v>
      </c>
      <c r="B88" s="396" t="s">
        <v>164</v>
      </c>
      <c r="D88" s="27" t="str">
        <f>VLOOKUP(B88,'Analysis OUT by pay'!B:B,1,false)</f>
        <v>Marketing</v>
      </c>
    </row>
    <row r="89" ht="15.75" customHeight="1">
      <c r="A89" s="277" t="s">
        <v>334</v>
      </c>
      <c r="B89" s="396" t="s">
        <v>501</v>
      </c>
      <c r="D89" s="27" t="str">
        <f>VLOOKUP(B89,'Analysis OUT by pay'!B:B,1,false)</f>
        <v>Rent Adri</v>
      </c>
    </row>
    <row r="90" ht="15.75" customHeight="1">
      <c r="A90" s="277" t="s">
        <v>334</v>
      </c>
      <c r="B90" s="396" t="s">
        <v>864</v>
      </c>
      <c r="D90" s="27" t="str">
        <f>VLOOKUP(B90,'Analysis OUT by pay'!B:B,1,false)</f>
        <v>Van</v>
      </c>
    </row>
    <row r="91" ht="15.75" customHeight="1">
      <c r="A91" s="74" t="s">
        <v>851</v>
      </c>
      <c r="B91" s="396" t="s">
        <v>1710</v>
      </c>
      <c r="D91" s="27" t="str">
        <f>VLOOKUP(B91,'Analysis OUT by pay'!B:B,1,false)</f>
        <v>food</v>
      </c>
    </row>
    <row r="92" ht="15.75" customHeight="1">
      <c r="A92" s="74" t="s">
        <v>253</v>
      </c>
      <c r="B92" s="396" t="s">
        <v>1712</v>
      </c>
      <c r="D92" s="27" t="str">
        <f>VLOOKUP(B92,'Analysis OUT by pay'!B:B,1,false)</f>
        <v>#N/A</v>
      </c>
    </row>
    <row r="93" ht="15.75" customHeight="1">
      <c r="A93" s="74" t="s">
        <v>253</v>
      </c>
      <c r="B93" s="396" t="s">
        <v>222</v>
      </c>
      <c r="D93" s="27" t="str">
        <f>VLOOKUP(B93,'Analysis OUT by pay'!B:B,1,false)</f>
        <v>Deposit Drop</v>
      </c>
    </row>
    <row r="94" ht="15.75" customHeight="1">
      <c r="A94" s="74" t="s">
        <v>253</v>
      </c>
      <c r="B94" s="396" t="s">
        <v>993</v>
      </c>
      <c r="C94" s="389"/>
      <c r="D94" s="27" t="str">
        <f>VLOOKUP(B94,'Analysis OUT by pay'!B:B,1,false)</f>
        <v>From MB to Adrien Money</v>
      </c>
    </row>
    <row r="95" ht="15.75" customHeight="1">
      <c r="A95" s="74" t="s">
        <v>253</v>
      </c>
      <c r="B95" s="396" t="s">
        <v>1023</v>
      </c>
      <c r="C95" s="389"/>
      <c r="D95" s="27" t="str">
        <f>VLOOKUP(B95,'Analysis OUT by pay'!B:B,1,false)</f>
        <v>From Drop to Adrien Money</v>
      </c>
    </row>
    <row r="96" ht="15.75" customHeight="1">
      <c r="A96" s="74" t="s">
        <v>253</v>
      </c>
      <c r="B96" s="396" t="s">
        <v>925</v>
      </c>
      <c r="D96" s="27" t="str">
        <f>VLOOKUP(B96,'Analysis OUT by pay'!B:B,1,false)</f>
        <v>#N/A</v>
      </c>
    </row>
    <row r="97" ht="15.75" customHeight="1">
      <c r="A97" s="74" t="s">
        <v>253</v>
      </c>
      <c r="B97" s="396" t="s">
        <v>272</v>
      </c>
      <c r="C97" s="389"/>
      <c r="D97" s="27" t="str">
        <f>VLOOKUP(B97,'Analysis OUT by pay'!B:B,1,false)</f>
        <v>From Adrian Money to Drop</v>
      </c>
    </row>
    <row r="98" ht="15.75" customHeight="1">
      <c r="A98" s="74" t="s">
        <v>253</v>
      </c>
      <c r="B98" s="403" t="s">
        <v>1716</v>
      </c>
      <c r="C98" s="389"/>
      <c r="D98" s="27"/>
    </row>
    <row r="99" ht="15.75" customHeight="1">
      <c r="A99" s="74" t="s">
        <v>253</v>
      </c>
      <c r="B99" s="396" t="s">
        <v>493</v>
      </c>
      <c r="C99" s="389"/>
      <c r="D99" s="27" t="str">
        <f>VLOOKUP(B99,'Analysis OUT by pay'!B:B,1,false)</f>
        <v>From Bpi to Revolut</v>
      </c>
    </row>
    <row r="100" ht="15.75" customHeight="1">
      <c r="A100" s="74" t="s">
        <v>253</v>
      </c>
      <c r="B100" s="396" t="s">
        <v>1113</v>
      </c>
      <c r="C100" s="389"/>
    </row>
    <row r="101" ht="15.75" customHeight="1">
      <c r="A101" s="74" t="s">
        <v>253</v>
      </c>
      <c r="B101" s="396" t="s">
        <v>266</v>
      </c>
      <c r="C101" s="389"/>
    </row>
    <row r="102" ht="15.75" customHeight="1">
      <c r="A102" s="74" t="s">
        <v>617</v>
      </c>
      <c r="B102" s="396" t="s">
        <v>770</v>
      </c>
      <c r="C102" s="389">
        <v>11.0</v>
      </c>
      <c r="D102" s="27" t="str">
        <f>VLOOKUP(B102,'Analysis OUT by pay'!B:B,1,false)</f>
        <v>Bathroom</v>
      </c>
    </row>
    <row r="103" ht="15.75" customHeight="1">
      <c r="A103" s="74" t="s">
        <v>617</v>
      </c>
      <c r="B103" s="396" t="s">
        <v>664</v>
      </c>
      <c r="D103" s="27" t="str">
        <f>VLOOKUP(B103,'Analysis OUT by pay'!B:B,1,false)</f>
        <v>Bedroom</v>
      </c>
    </row>
    <row r="104" ht="15.75" customHeight="1">
      <c r="A104" s="74" t="s">
        <v>617</v>
      </c>
      <c r="B104" s="396" t="s">
        <v>759</v>
      </c>
      <c r="D104" s="27" t="str">
        <f>VLOOKUP(B104,'Analysis OUT by pay'!B:B,1,false)</f>
        <v>Bedroom"Blankets"</v>
      </c>
    </row>
    <row r="105" ht="15.75" customHeight="1">
      <c r="A105" s="74" t="s">
        <v>617</v>
      </c>
      <c r="B105" s="396" t="s">
        <v>800</v>
      </c>
      <c r="D105" s="27" t="str">
        <f>VLOOKUP(B105,'Analysis OUT by pay'!B:B,1,false)</f>
        <v>Bedroom"Sheets"</v>
      </c>
    </row>
    <row r="106" ht="15.75" customHeight="1">
      <c r="A106" s="74" t="s">
        <v>617</v>
      </c>
      <c r="B106" s="396" t="s">
        <v>631</v>
      </c>
      <c r="D106" s="27" t="str">
        <f>VLOOKUP(B106,'Analysis OUT by pay'!B:B,1,false)</f>
        <v>electromenager</v>
      </c>
    </row>
    <row r="107" ht="15.75" customHeight="1">
      <c r="A107" s="74" t="s">
        <v>617</v>
      </c>
      <c r="B107" s="396" t="s">
        <v>619</v>
      </c>
      <c r="D107" s="27" t="str">
        <f>VLOOKUP(B107,'Analysis OUT by pay'!B:B,1,false)</f>
        <v>General</v>
      </c>
    </row>
    <row r="108" ht="15.75" customHeight="1">
      <c r="A108" s="74" t="s">
        <v>617</v>
      </c>
      <c r="B108" s="396" t="s">
        <v>776</v>
      </c>
      <c r="C108" s="389">
        <v>222.0</v>
      </c>
      <c r="D108" s="27" t="str">
        <f>VLOOKUP(B108,'Analysis OUT by pay'!B:B,1,false)</f>
        <v>Kitchen</v>
      </c>
    </row>
    <row r="109" ht="15.75" customHeight="1">
      <c r="A109" s="74" t="s">
        <v>617</v>
      </c>
      <c r="B109" s="396" t="s">
        <v>765</v>
      </c>
      <c r="D109" s="27" t="str">
        <f>VLOOKUP(B109,'Analysis OUT by pay'!B:B,1,false)</f>
        <v>Plants</v>
      </c>
    </row>
    <row r="110" ht="15.75" customHeight="1">
      <c r="A110" s="74" t="s">
        <v>617</v>
      </c>
      <c r="B110" s="396" t="s">
        <v>763</v>
      </c>
      <c r="D110" s="27" t="str">
        <f>VLOOKUP(B110,'Analysis OUT by pay'!B:B,1,false)</f>
        <v>Rooftop</v>
      </c>
    </row>
    <row r="111" ht="15.75" customHeight="1">
      <c r="A111" s="74" t="s">
        <v>617</v>
      </c>
      <c r="B111" s="396" t="s">
        <v>786</v>
      </c>
      <c r="D111" s="27" t="str">
        <f>VLOOKUP(B111,'Analysis OUT by pay'!B:B,1,false)</f>
        <v>Staff</v>
      </c>
    </row>
    <row r="112" ht="15.75" customHeight="1">
      <c r="A112" s="232" t="s">
        <v>156</v>
      </c>
      <c r="B112" s="396" t="s">
        <v>254</v>
      </c>
      <c r="C112" s="389"/>
      <c r="D112" s="27" t="str">
        <f>VLOOKUP(B112,'Analysis OUT by pay'!B:B,1,false)</f>
        <v>Imi</v>
      </c>
    </row>
    <row r="113" ht="15.75" customHeight="1">
      <c r="A113" s="232" t="s">
        <v>156</v>
      </c>
      <c r="B113" s="396" t="s">
        <v>250</v>
      </c>
      <c r="D113" s="27" t="str">
        <f>VLOOKUP(B113,'Analysis OUT by pay'!B:B,1,false)</f>
        <v>Imi10</v>
      </c>
    </row>
    <row r="114" ht="15.75" customHeight="1">
      <c r="A114" s="232" t="s">
        <v>156</v>
      </c>
      <c r="B114" s="396" t="s">
        <v>252</v>
      </c>
      <c r="D114" s="27" t="str">
        <f>VLOOKUP(B114,'Analysis OUT by pay'!B:B,1,false)</f>
        <v>Imi8</v>
      </c>
    </row>
    <row r="115" ht="15.75" customHeight="1">
      <c r="A115" s="232" t="s">
        <v>156</v>
      </c>
      <c r="B115" s="396" t="s">
        <v>256</v>
      </c>
      <c r="D115" s="27" t="str">
        <f>VLOOKUP(B115,'Analysis OUT by pay'!B:B,1,false)</f>
        <v>INPI</v>
      </c>
    </row>
    <row r="116" ht="15.75" customHeight="1">
      <c r="A116" s="232" t="s">
        <v>156</v>
      </c>
      <c r="B116" s="396" t="s">
        <v>255</v>
      </c>
      <c r="C116" s="389"/>
      <c r="D116" s="27" t="str">
        <f>VLOOKUP(B116,'Analysis OUT by pay'!B:B,1,false)</f>
        <v>IRS</v>
      </c>
    </row>
    <row r="117" ht="15.75" customHeight="1">
      <c r="A117" s="232" t="s">
        <v>156</v>
      </c>
      <c r="B117" s="396" t="s">
        <v>45</v>
      </c>
      <c r="D117" s="27" t="str">
        <f>VLOOKUP(B117,'Analysis OUT by pay'!B:B,1,false)</f>
        <v>IVA</v>
      </c>
    </row>
    <row r="118" ht="15.75" customHeight="1">
      <c r="A118" s="232" t="s">
        <v>156</v>
      </c>
      <c r="B118" s="396" t="s">
        <v>44</v>
      </c>
      <c r="D118" s="27" t="str">
        <f>VLOOKUP(B118,'Analysis OUT by pay'!B:B,1,false)</f>
        <v>Seg.Soc.</v>
      </c>
    </row>
    <row r="119" ht="15.75" customHeight="1">
      <c r="A119" s="74" t="s">
        <v>160</v>
      </c>
      <c r="B119" s="396" t="s">
        <v>39</v>
      </c>
      <c r="D119" s="27" t="str">
        <f>VLOOKUP(B119,'Analysis OUT by pay'!B:B,1,false)</f>
        <v>Aggema</v>
      </c>
    </row>
    <row r="120" ht="15.75" customHeight="1">
      <c r="A120" s="74" t="s">
        <v>160</v>
      </c>
      <c r="B120" s="396" t="s">
        <v>258</v>
      </c>
      <c r="D120" s="27" t="str">
        <f>VLOOKUP(B120,'Analysis OUT by pay'!B:B,1,false)</f>
        <v>Auto</v>
      </c>
    </row>
    <row r="121" ht="15.75" customHeight="1">
      <c r="A121" s="74" t="s">
        <v>160</v>
      </c>
      <c r="B121" s="396" t="s">
        <v>42</v>
      </c>
      <c r="D121" s="27" t="str">
        <f>VLOOKUP(B121,'Analysis OUT by pay'!B:B,1,false)</f>
        <v>CFE</v>
      </c>
    </row>
    <row r="122" ht="15.75" customHeight="1">
      <c r="A122" s="74" t="s">
        <v>160</v>
      </c>
      <c r="B122" s="396" t="s">
        <v>264</v>
      </c>
      <c r="D122" s="27" t="str">
        <f>VLOOKUP(B122,'Analysis OUT by pay'!B:B,1,false)</f>
        <v>Madalena10</v>
      </c>
    </row>
    <row r="123" ht="15.75" customHeight="1">
      <c r="A123" s="74" t="s">
        <v>160</v>
      </c>
      <c r="B123" s="396" t="s">
        <v>261</v>
      </c>
      <c r="D123" s="27" t="str">
        <f>VLOOKUP(B123,'Analysis OUT by pay'!B:B,1,false)</f>
        <v>Madalena8</v>
      </c>
    </row>
    <row r="124" ht="15.75" customHeight="1">
      <c r="A124" s="74" t="s">
        <v>160</v>
      </c>
      <c r="B124" s="396" t="s">
        <v>263</v>
      </c>
      <c r="D124" s="27" t="str">
        <f>VLOOKUP(B124,'Analysis OUT by pay'!B:B,1,false)</f>
        <v>Res.Civ.Hostel</v>
      </c>
    </row>
    <row r="125" ht="15.75" customHeight="1">
      <c r="A125" s="74" t="s">
        <v>742</v>
      </c>
      <c r="B125" s="396" t="s">
        <v>638</v>
      </c>
      <c r="D125" s="27" t="str">
        <f>VLOOKUP(B125,'Analysis OUT by pay'!B:B,1,false)</f>
        <v>Amarguinha</v>
      </c>
    </row>
    <row r="126" ht="15.75" customHeight="1">
      <c r="A126" s="74" t="s">
        <v>742</v>
      </c>
      <c r="B126" s="396" t="s">
        <v>713</v>
      </c>
      <c r="D126" s="27" t="str">
        <f>VLOOKUP(B126,'Analysis OUT by pay'!B:B,1,false)</f>
        <v>Aperol</v>
      </c>
    </row>
    <row r="127" ht="15.75" customHeight="1">
      <c r="A127" s="74" t="s">
        <v>742</v>
      </c>
      <c r="B127" s="396" t="s">
        <v>645</v>
      </c>
      <c r="D127" s="27" t="str">
        <f>VLOOKUP(B127,'Analysis OUT by pay'!B:B,1,false)</f>
        <v>Beirao</v>
      </c>
    </row>
    <row r="128" ht="15.75" customHeight="1">
      <c r="A128" s="74" t="s">
        <v>742</v>
      </c>
      <c r="B128" s="396" t="s">
        <v>658</v>
      </c>
      <c r="D128" s="27" t="str">
        <f>VLOOKUP(B128,'Analysis OUT by pay'!B:B,1,false)</f>
        <v>Ginha</v>
      </c>
    </row>
    <row r="129" ht="15.75" customHeight="1">
      <c r="A129" s="74" t="s">
        <v>742</v>
      </c>
      <c r="B129" s="396" t="s">
        <v>673</v>
      </c>
      <c r="D129" s="27" t="str">
        <f>VLOOKUP(B129,'Analysis OUT by pay'!B:B,1,false)</f>
        <v>Maciera</v>
      </c>
    </row>
    <row r="130" ht="15.75" customHeight="1">
      <c r="A130" s="74" t="s">
        <v>742</v>
      </c>
      <c r="B130" s="396" t="s">
        <v>685</v>
      </c>
      <c r="D130" s="27" t="str">
        <f>VLOOKUP(B130,'Analysis OUT by pay'!B:B,1,false)</f>
        <v>Medronho</v>
      </c>
    </row>
    <row r="131" ht="15.75" customHeight="1">
      <c r="A131" s="74" t="s">
        <v>742</v>
      </c>
      <c r="B131" s="396" t="s">
        <v>1759</v>
      </c>
      <c r="D131" s="27" t="str">
        <f>VLOOKUP(B131,'Analysis OUT by pay'!B:B,1,false)</f>
        <v>#N/A</v>
      </c>
    </row>
    <row r="132" ht="15.75" customHeight="1">
      <c r="A132" s="74" t="s">
        <v>742</v>
      </c>
      <c r="B132" s="396" t="s">
        <v>1760</v>
      </c>
      <c r="D132" s="27" t="str">
        <f>VLOOKUP(B132,'Analysis OUT by pay'!B:B,1,false)</f>
        <v>#N/A</v>
      </c>
    </row>
    <row r="133" ht="15.75" customHeight="1">
      <c r="A133" s="74" t="s">
        <v>163</v>
      </c>
      <c r="B133" s="396" t="s">
        <v>163</v>
      </c>
      <c r="D133" s="27" t="str">
        <f>VLOOKUP(B133,'Analysis OUT by pay'!B:B,1,false)</f>
        <v>Lollipop</v>
      </c>
    </row>
    <row r="134" ht="15.75" customHeight="1">
      <c r="A134" s="74" t="s">
        <v>201</v>
      </c>
      <c r="B134" s="396" t="s">
        <v>267</v>
      </c>
      <c r="D134" s="27" t="str">
        <f>VLOOKUP(B134,'Analysis OUT by pay'!B:B,1,false)</f>
        <v>Administracao</v>
      </c>
    </row>
    <row r="135" ht="15.75" customHeight="1">
      <c r="A135" s="74" t="s">
        <v>201</v>
      </c>
      <c r="B135" s="396" t="s">
        <v>268</v>
      </c>
      <c r="C135" s="356"/>
      <c r="D135" s="27" t="str">
        <f>VLOOKUP(B135,'Analysis OUT by pay'!B:B,1,false)</f>
        <v>Obra</v>
      </c>
    </row>
    <row r="136" ht="15.75" customHeight="1">
      <c r="A136" s="74" t="s">
        <v>164</v>
      </c>
      <c r="B136" s="396" t="s">
        <v>270</v>
      </c>
      <c r="D136" s="27" t="str">
        <f>VLOOKUP(B136,'Analysis OUT by pay'!B:B,1,false)</f>
        <v>Others-marketing</v>
      </c>
    </row>
    <row r="137" ht="15.75" customHeight="1">
      <c r="A137" s="232" t="s">
        <v>167</v>
      </c>
      <c r="B137" s="396" t="s">
        <v>41</v>
      </c>
      <c r="C137" s="389"/>
      <c r="D137" s="27" t="str">
        <f>VLOOKUP(B137,'Analysis OUT by pay'!B:B,1,false)</f>
        <v>ÁguaFAGAR</v>
      </c>
    </row>
    <row r="138" ht="15.75" customHeight="1">
      <c r="A138" s="232" t="s">
        <v>167</v>
      </c>
      <c r="B138" s="396" t="s">
        <v>61</v>
      </c>
      <c r="D138" s="27" t="str">
        <f>VLOOKUP(B138,'Analysis OUT by pay'!B:B,1,false)</f>
        <v>CityTax</v>
      </c>
    </row>
    <row r="139" ht="15.75" customHeight="1">
      <c r="A139" s="232" t="s">
        <v>167</v>
      </c>
      <c r="B139" s="396" t="s">
        <v>49</v>
      </c>
      <c r="D139" s="27" t="str">
        <f>VLOOKUP(B139,'Analysis OUT by pay'!B:B,1,false)</f>
        <v>Cloudbeds</v>
      </c>
    </row>
    <row r="140" ht="15.75" customHeight="1">
      <c r="A140" s="232" t="s">
        <v>167</v>
      </c>
      <c r="B140" s="396" t="s">
        <v>32</v>
      </c>
      <c r="C140" s="389"/>
      <c r="D140" s="27" t="str">
        <f>VLOOKUP(B140,'Analysis OUT by pay'!B:B,1,false)</f>
        <v>Contabilidade</v>
      </c>
    </row>
    <row r="141" ht="15.75" customHeight="1">
      <c r="A141" s="232" t="s">
        <v>167</v>
      </c>
      <c r="B141" s="396" t="s">
        <v>40</v>
      </c>
      <c r="C141" s="389"/>
      <c r="D141" s="27" t="str">
        <f>VLOOKUP(B141,'Analysis OUT by pay'!B:B,1,false)</f>
        <v>EnergiaEDP</v>
      </c>
    </row>
    <row r="142" ht="15.75" customHeight="1">
      <c r="A142" s="232" t="s">
        <v>167</v>
      </c>
      <c r="B142" s="396" t="s">
        <v>161</v>
      </c>
      <c r="C142" s="389"/>
      <c r="D142" s="27" t="str">
        <f>VLOOKUP(B142,'Analysis OUT by pay'!B:B,1,false)</f>
        <v>Gaz</v>
      </c>
    </row>
    <row r="143" ht="15.75" customHeight="1">
      <c r="A143" s="232" t="s">
        <v>167</v>
      </c>
      <c r="B143" s="396" t="s">
        <v>37</v>
      </c>
      <c r="D143" s="27" t="str">
        <f>VLOOKUP(B143,'Analysis OUT by pay'!B:B,1,false)</f>
        <v>NOSInternet</v>
      </c>
    </row>
    <row r="144" ht="15.75" customHeight="1">
      <c r="A144" s="232" t="s">
        <v>167</v>
      </c>
      <c r="B144" s="396" t="s">
        <v>168</v>
      </c>
      <c r="C144" s="389"/>
      <c r="D144" s="27" t="str">
        <f>VLOOKUP(B144,'Analysis OUT by pay'!B:B,1,false)</f>
        <v>Spotify</v>
      </c>
    </row>
    <row r="145" ht="15.75" customHeight="1">
      <c r="A145" s="74" t="s">
        <v>268</v>
      </c>
      <c r="B145" s="396" t="s">
        <v>1777</v>
      </c>
      <c r="D145" s="27" t="str">
        <f>VLOOKUP(B145,'Analysis OUT by pay'!B:B,1,false)</f>
        <v>#N/A</v>
      </c>
    </row>
    <row r="146" ht="15.75" customHeight="1">
      <c r="A146" s="74" t="s">
        <v>268</v>
      </c>
      <c r="B146" s="396" t="s">
        <v>1778</v>
      </c>
      <c r="D146" s="27" t="str">
        <f>VLOOKUP(B146,'Analysis OUT by pay'!B:B,1,false)</f>
        <v>#N/A</v>
      </c>
    </row>
    <row r="147" ht="15.75" customHeight="1">
      <c r="A147" s="74" t="s">
        <v>268</v>
      </c>
      <c r="B147" s="396" t="s">
        <v>1781</v>
      </c>
      <c r="D147" s="27" t="str">
        <f>VLOOKUP(B147,'Analysis OUT by pay'!B:B,1,false)</f>
        <v>#N/A</v>
      </c>
    </row>
    <row r="148" ht="15.75" customHeight="1">
      <c r="A148" s="74" t="s">
        <v>268</v>
      </c>
      <c r="B148" s="396" t="s">
        <v>1782</v>
      </c>
      <c r="D148" s="27" t="str">
        <f>VLOOKUP(B148,'Analysis OUT by pay'!B:B,1,false)</f>
        <v>#N/A</v>
      </c>
    </row>
    <row r="149" ht="15.75" customHeight="1">
      <c r="A149" s="74" t="s">
        <v>1783</v>
      </c>
      <c r="B149" s="396" t="s">
        <v>1784</v>
      </c>
      <c r="D149" s="27" t="str">
        <f>VLOOKUP(B149,'Analysis OUT by pay'!B:B,1,false)</f>
        <v>#N/A</v>
      </c>
    </row>
    <row r="150" ht="15.75" customHeight="1">
      <c r="A150" s="74" t="s">
        <v>1783</v>
      </c>
      <c r="B150" s="396" t="s">
        <v>1786</v>
      </c>
      <c r="D150" s="27" t="str">
        <f>VLOOKUP(B150,'Analysis OUT by pay'!B:B,1,false)</f>
        <v>#N/A</v>
      </c>
    </row>
    <row r="151" ht="15.75" customHeight="1">
      <c r="A151" s="74" t="s">
        <v>1783</v>
      </c>
      <c r="B151" s="396" t="s">
        <v>1788</v>
      </c>
      <c r="D151" s="27" t="str">
        <f>VLOOKUP(B151,'Analysis OUT by pay'!B:B,1,false)</f>
        <v>#N/A</v>
      </c>
    </row>
    <row r="152" ht="15.75" customHeight="1">
      <c r="A152" s="74" t="s">
        <v>1783</v>
      </c>
      <c r="B152" s="396" t="s">
        <v>1789</v>
      </c>
      <c r="D152" s="27" t="str">
        <f>VLOOKUP(B152,'Analysis OUT by pay'!B:B,1,false)</f>
        <v>#N/A</v>
      </c>
    </row>
    <row r="153" ht="15.75" customHeight="1">
      <c r="A153" s="74" t="s">
        <v>1783</v>
      </c>
      <c r="B153" s="396" t="s">
        <v>1790</v>
      </c>
      <c r="D153" s="27" t="str">
        <f>VLOOKUP(B153,'Analysis OUT by pay'!B:B,1,false)</f>
        <v>#N/A</v>
      </c>
    </row>
    <row r="154" ht="15.75" customHeight="1">
      <c r="A154" s="74" t="s">
        <v>1783</v>
      </c>
      <c r="B154" s="396" t="s">
        <v>1791</v>
      </c>
      <c r="D154" s="27" t="str">
        <f>VLOOKUP(B154,'Analysis OUT by pay'!B:B,1,false)</f>
        <v>#N/A</v>
      </c>
    </row>
    <row r="155" ht="15.75" customHeight="1">
      <c r="A155" s="74" t="s">
        <v>1783</v>
      </c>
      <c r="B155" s="396" t="s">
        <v>1793</v>
      </c>
      <c r="D155" s="27" t="str">
        <f>VLOOKUP(B155,'Analysis OUT by pay'!B:B,1,false)</f>
        <v>#N/A</v>
      </c>
    </row>
    <row r="156" ht="15.75" customHeight="1">
      <c r="A156" s="74" t="s">
        <v>1795</v>
      </c>
      <c r="B156" s="396" t="s">
        <v>1796</v>
      </c>
      <c r="D156" s="27" t="str">
        <f>VLOOKUP(B156,'Analysis OUT by pay'!B:B,1,false)</f>
        <v>#N/A</v>
      </c>
    </row>
    <row r="157" ht="15.75" customHeight="1">
      <c r="A157" s="74" t="s">
        <v>1795</v>
      </c>
      <c r="B157" s="396" t="s">
        <v>1797</v>
      </c>
      <c r="D157" s="27" t="str">
        <f>VLOOKUP(B157,'Analysis OUT by pay'!B:B,1,false)</f>
        <v>#N/A</v>
      </c>
    </row>
    <row r="158" ht="15.75" customHeight="1">
      <c r="A158" s="74" t="s">
        <v>1795</v>
      </c>
      <c r="B158" s="396" t="s">
        <v>1799</v>
      </c>
      <c r="D158" s="27" t="str">
        <f>VLOOKUP(B158,'Analysis OUT by pay'!B:B,1,false)</f>
        <v>#N/A</v>
      </c>
    </row>
    <row r="159" ht="15.75" customHeight="1">
      <c r="A159" s="74" t="s">
        <v>1795</v>
      </c>
      <c r="B159" s="396" t="s">
        <v>1801</v>
      </c>
      <c r="D159" s="27" t="str">
        <f>VLOOKUP(B159,'Analysis OUT by pay'!B:B,1,false)</f>
        <v>#N/A</v>
      </c>
    </row>
    <row r="160" ht="15.75" customHeight="1">
      <c r="A160" s="74" t="s">
        <v>1795</v>
      </c>
      <c r="B160" s="396" t="s">
        <v>1803</v>
      </c>
      <c r="D160" s="27" t="str">
        <f>VLOOKUP(B160,'Analysis OUT by pay'!B:B,1,false)</f>
        <v>#N/A</v>
      </c>
    </row>
    <row r="161" ht="15.75" customHeight="1">
      <c r="A161" s="74" t="s">
        <v>1795</v>
      </c>
      <c r="B161" s="396" t="s">
        <v>1805</v>
      </c>
      <c r="D161" s="27" t="str">
        <f>VLOOKUP(B161,'Analysis OUT by pay'!B:B,1,false)</f>
        <v>#N/A</v>
      </c>
    </row>
    <row r="162" ht="15.75" customHeight="1">
      <c r="A162" s="74" t="s">
        <v>1795</v>
      </c>
      <c r="B162" s="396" t="s">
        <v>1807</v>
      </c>
      <c r="D162" s="27" t="str">
        <f>VLOOKUP(B162,'Analysis OUT by pay'!B:B,1,false)</f>
        <v>#N/A</v>
      </c>
    </row>
    <row r="163" ht="15.75" customHeight="1">
      <c r="A163" s="74" t="s">
        <v>1795</v>
      </c>
      <c r="B163" s="396" t="s">
        <v>1809</v>
      </c>
      <c r="D163" s="27" t="str">
        <f>VLOOKUP(B163,'Analysis OUT by pay'!B:B,1,false)</f>
        <v>#N/A</v>
      </c>
    </row>
    <row r="164" ht="15.75" customHeight="1">
      <c r="A164" s="74" t="s">
        <v>1795</v>
      </c>
      <c r="B164" s="396" t="s">
        <v>1811</v>
      </c>
      <c r="D164" s="27" t="str">
        <f>VLOOKUP(B164,'Analysis OUT by pay'!B:B,1,false)</f>
        <v>#N/A</v>
      </c>
    </row>
    <row r="165" ht="15.75" customHeight="1">
      <c r="A165" s="74" t="s">
        <v>1795</v>
      </c>
      <c r="B165" s="396" t="s">
        <v>1813</v>
      </c>
      <c r="D165" s="27" t="str">
        <f>VLOOKUP(B165,'Analysis OUT by pay'!B:B,1,false)</f>
        <v>#N/A</v>
      </c>
    </row>
    <row r="166" ht="15.75" customHeight="1">
      <c r="A166" s="74" t="s">
        <v>1815</v>
      </c>
      <c r="B166" s="396" t="s">
        <v>1816</v>
      </c>
      <c r="D166" s="27" t="str">
        <f>VLOOKUP(B166,'Analysis OUT by pay'!B:B,1,false)</f>
        <v>#N/A</v>
      </c>
    </row>
    <row r="167" ht="15.75" customHeight="1">
      <c r="A167" s="74" t="s">
        <v>1817</v>
      </c>
      <c r="B167" s="396" t="s">
        <v>1818</v>
      </c>
      <c r="D167" s="27" t="str">
        <f>VLOOKUP(B167,'Analysis OUT by pay'!B:B,1,false)</f>
        <v>#N/A</v>
      </c>
    </row>
    <row r="168" ht="15.75" customHeight="1">
      <c r="A168" s="74" t="s">
        <v>1817</v>
      </c>
      <c r="B168" s="396" t="s">
        <v>1820</v>
      </c>
      <c r="D168" s="27" t="str">
        <f>VLOOKUP(B168,'Analysis OUT by pay'!B:B,1,false)</f>
        <v>#N/A</v>
      </c>
    </row>
    <row r="169" ht="15.75" customHeight="1">
      <c r="A169" s="74" t="s">
        <v>1822</v>
      </c>
      <c r="B169" s="396" t="s">
        <v>1823</v>
      </c>
      <c r="C169" s="389"/>
      <c r="D169" s="27" t="str">
        <f>VLOOKUP(B169,'Analysis OUT by pay'!B:B,1,false)</f>
        <v>#N/A</v>
      </c>
    </row>
    <row r="170" ht="15.75" customHeight="1">
      <c r="A170" s="74" t="s">
        <v>1822</v>
      </c>
      <c r="B170" s="396" t="s">
        <v>1825</v>
      </c>
      <c r="D170" s="27" t="str">
        <f>VLOOKUP(B170,'Analysis OUT by pay'!B:B,1,false)</f>
        <v>#N/A</v>
      </c>
    </row>
    <row r="171" ht="15.75" customHeight="1">
      <c r="A171" s="74" t="s">
        <v>1822</v>
      </c>
      <c r="B171" s="396" t="s">
        <v>1827</v>
      </c>
      <c r="C171" s="389"/>
      <c r="D171" s="27" t="str">
        <f>VLOOKUP(B171,'Analysis OUT by pay'!B:B,1,false)</f>
        <v>#N/A</v>
      </c>
    </row>
    <row r="172" ht="15.75" customHeight="1">
      <c r="A172" s="74" t="s">
        <v>1829</v>
      </c>
      <c r="B172" s="396" t="s">
        <v>1830</v>
      </c>
      <c r="D172" s="27" t="str">
        <f>VLOOKUP(B172,'Analysis OUT by pay'!B:B,1,false)</f>
        <v>#N/A</v>
      </c>
    </row>
    <row r="173" ht="15.75" customHeight="1">
      <c r="A173" s="74" t="s">
        <v>1829</v>
      </c>
      <c r="B173" s="396" t="s">
        <v>1832</v>
      </c>
      <c r="D173" s="27" t="str">
        <f>VLOOKUP(B173,'Analysis OUT by pay'!B:B,1,false)</f>
        <v>#N/A</v>
      </c>
    </row>
    <row r="174" ht="15.75" customHeight="1">
      <c r="A174" s="74" t="s">
        <v>1829</v>
      </c>
      <c r="B174" s="396" t="s">
        <v>1834</v>
      </c>
      <c r="D174" s="27" t="str">
        <f>VLOOKUP(B174,'Analysis OUT by pay'!B:B,1,false)</f>
        <v>#N/A</v>
      </c>
    </row>
    <row r="175" ht="15.75" customHeight="1">
      <c r="A175" s="74" t="s">
        <v>1836</v>
      </c>
      <c r="B175" s="396" t="s">
        <v>1837</v>
      </c>
      <c r="D175" s="27" t="str">
        <f>VLOOKUP(B175,'Analysis OUT by pay'!B:B,1,false)</f>
        <v>#N/A</v>
      </c>
    </row>
    <row r="176" ht="15.75" customHeight="1">
      <c r="A176" s="74" t="s">
        <v>1836</v>
      </c>
      <c r="B176" s="396" t="s">
        <v>1839</v>
      </c>
      <c r="D176" s="27" t="str">
        <f>VLOOKUP(B176,'Analysis OUT by pay'!B:B,1,false)</f>
        <v>#N/A</v>
      </c>
    </row>
    <row r="177" ht="15.75" customHeight="1">
      <c r="A177" s="74" t="s">
        <v>1836</v>
      </c>
      <c r="B177" s="396" t="s">
        <v>1841</v>
      </c>
      <c r="D177" s="27" t="str">
        <f>VLOOKUP(B177,'Analysis OUT by pay'!B:B,1,false)</f>
        <v>#N/A</v>
      </c>
    </row>
    <row r="178" ht="15.75" customHeight="1">
      <c r="A178" s="396" t="s">
        <v>22</v>
      </c>
      <c r="B178" s="396" t="s">
        <v>25</v>
      </c>
      <c r="D178" s="27" t="str">
        <f>VLOOKUP(B178,'Analysis OUT by pay'!B:B,1,false)</f>
        <v>Furnitures-Cafe</v>
      </c>
    </row>
    <row r="179" ht="15.75" customHeight="1">
      <c r="A179" s="396"/>
      <c r="B179" s="396"/>
    </row>
    <row r="180" ht="15.75" customHeight="1">
      <c r="A180" s="396" t="s">
        <v>22</v>
      </c>
      <c r="B180" s="396" t="s">
        <v>27</v>
      </c>
      <c r="D180" s="27" t="str">
        <f>VLOOKUP(B180,'Analysis OUT by pay'!B:B,1,false)</f>
        <v>Material/Tools-Cafe</v>
      </c>
    </row>
    <row r="181" ht="15.75" customHeight="1">
      <c r="A181" s="396" t="s">
        <v>22</v>
      </c>
      <c r="B181" s="396" t="s">
        <v>342</v>
      </c>
      <c r="D181" s="27" t="str">
        <f>VLOOKUP(B181,'Analysis OUT by pay'!B:B,1,false)</f>
        <v>MaodeObra-Cafe</v>
      </c>
    </row>
    <row r="182" ht="15.75" customHeight="1">
      <c r="A182" s="396" t="s">
        <v>22</v>
      </c>
      <c r="B182" s="232" t="s">
        <v>24</v>
      </c>
    </row>
    <row r="183" ht="15.75" customHeight="1">
      <c r="A183" s="396" t="s">
        <v>22</v>
      </c>
      <c r="B183" s="232" t="s">
        <v>28</v>
      </c>
    </row>
    <row r="184" ht="15.75" customHeight="1">
      <c r="A184" s="396" t="s">
        <v>22</v>
      </c>
      <c r="B184" s="74" t="s">
        <v>29</v>
      </c>
    </row>
    <row r="185" ht="15.75" customHeight="1">
      <c r="A185" s="74" t="s">
        <v>153</v>
      </c>
      <c r="B185" s="74" t="s">
        <v>315</v>
      </c>
      <c r="D185" s="27" t="str">
        <f>VLOOKUP(B185,'Analysis OUT by pay'!B:B,1,false)</f>
        <v>Dryer</v>
      </c>
    </row>
    <row r="186" ht="15.75" customHeight="1">
      <c r="A186" s="74" t="s">
        <v>153</v>
      </c>
      <c r="B186" s="74" t="s">
        <v>313</v>
      </c>
      <c r="D186" s="27" t="str">
        <f>VLOOKUP(B186,'Analysis OUT by pay'!B:B,1,false)</f>
        <v>Key</v>
      </c>
    </row>
    <row r="187" ht="15.75" customHeight="1">
      <c r="A187" s="74" t="s">
        <v>153</v>
      </c>
      <c r="B187" s="74" t="s">
        <v>314</v>
      </c>
      <c r="D187" s="27" t="str">
        <f>VLOOKUP(B187,'Analysis OUT by pay'!B:B,1,false)</f>
        <v>Other</v>
      </c>
    </row>
    <row r="188" ht="15.75" customHeight="1">
      <c r="A188" s="232" t="s">
        <v>175</v>
      </c>
      <c r="B188" s="396" t="s">
        <v>294</v>
      </c>
      <c r="C188" s="389"/>
      <c r="D188" s="27" t="str">
        <f>VLOOKUP(B188,'Analysis OUT by pay'!B:B,1,false)</f>
        <v>Caneta</v>
      </c>
    </row>
    <row r="189" ht="15.75" customHeight="1">
      <c r="A189" s="232" t="s">
        <v>175</v>
      </c>
      <c r="B189" s="396" t="s">
        <v>295</v>
      </c>
      <c r="C189" s="389">
        <v>333.0</v>
      </c>
      <c r="D189" s="27" t="str">
        <f>VLOOKUP(B189,'Analysis OUT by pay'!B:B,1,false)</f>
        <v>Design</v>
      </c>
    </row>
    <row r="190" ht="15.75" customHeight="1">
      <c r="A190" s="232" t="s">
        <v>175</v>
      </c>
      <c r="B190" s="396" t="s">
        <v>296</v>
      </c>
      <c r="C190" s="389"/>
      <c r="D190" s="27" t="str">
        <f>VLOOKUP(B190,'Analysis OUT by pay'!B:B,1,false)</f>
        <v>Diversos-Papelaria</v>
      </c>
    </row>
    <row r="191" ht="15.75" customHeight="1">
      <c r="A191" s="232" t="s">
        <v>175</v>
      </c>
      <c r="B191" s="396" t="s">
        <v>297</v>
      </c>
      <c r="C191" s="389"/>
      <c r="D191" s="27" t="str">
        <f>VLOOKUP(B191,'Analysis OUT by pay'!B:B,1,false)</f>
        <v>Ink</v>
      </c>
    </row>
    <row r="192" ht="15.75" customHeight="1">
      <c r="A192" s="232" t="s">
        <v>175</v>
      </c>
      <c r="B192" s="396" t="s">
        <v>298</v>
      </c>
      <c r="C192" s="389">
        <v>444.0</v>
      </c>
      <c r="D192" s="27" t="str">
        <f>VLOOKUP(B192,'Analysis OUT by pay'!B:B,1,false)</f>
        <v>Lápis</v>
      </c>
    </row>
    <row r="193" ht="15.75" customHeight="1">
      <c r="A193" s="232" t="s">
        <v>175</v>
      </c>
      <c r="B193" s="396" t="s">
        <v>299</v>
      </c>
      <c r="C193" s="389"/>
      <c r="D193" s="27" t="str">
        <f>VLOOKUP(B193,'Analysis OUT by pay'!B:B,1,false)</f>
        <v>Multicopias</v>
      </c>
    </row>
    <row r="194" ht="15.75" customHeight="1">
      <c r="A194" s="74" t="s">
        <v>175</v>
      </c>
      <c r="B194" s="396" t="s">
        <v>300</v>
      </c>
      <c r="D194" s="27" t="str">
        <f>VLOOKUP(B194,'Analysis OUT by pay'!B:B,1,false)</f>
        <v>Plastificaçao</v>
      </c>
    </row>
    <row r="195" ht="15.75" customHeight="1">
      <c r="A195" s="232" t="s">
        <v>172</v>
      </c>
      <c r="B195" s="396" t="s">
        <v>277</v>
      </c>
      <c r="D195" s="27" t="str">
        <f>VLOOKUP(B195,'Analysis OUT by pay'!B:B,1,false)</f>
        <v>Diversos Papel Pack</v>
      </c>
    </row>
    <row r="196" ht="15.75" customHeight="1">
      <c r="A196" s="232" t="s">
        <v>172</v>
      </c>
      <c r="B196" s="396" t="s">
        <v>279</v>
      </c>
      <c r="D196" s="27" t="str">
        <f>VLOOKUP(B196,'Analysis OUT by pay'!B:B,1,false)</f>
        <v>Gloves</v>
      </c>
    </row>
    <row r="197" ht="15.75" customHeight="1">
      <c r="A197" s="232" t="s">
        <v>172</v>
      </c>
      <c r="B197" s="396" t="s">
        <v>280</v>
      </c>
      <c r="D197" s="27" t="str">
        <f>VLOOKUP(B197,'Analysis OUT by pay'!B:B,1,false)</f>
        <v>Handsoap</v>
      </c>
    </row>
    <row r="198" ht="15.75" customHeight="1">
      <c r="A198" s="232" t="s">
        <v>172</v>
      </c>
      <c r="B198" s="396" t="s">
        <v>281</v>
      </c>
      <c r="D198" s="27" t="str">
        <f>VLOOKUP(B198,'Analysis OUT by pay'!B:B,1,false)</f>
        <v>Iva-PapelPack</v>
      </c>
    </row>
    <row r="199" ht="15.75" customHeight="1">
      <c r="A199" s="232" t="s">
        <v>172</v>
      </c>
      <c r="B199" s="396" t="s">
        <v>285</v>
      </c>
      <c r="C199" s="389"/>
      <c r="D199" s="27" t="str">
        <f>VLOOKUP(B199,'Analysis OUT by pay'!B:B,1,false)</f>
        <v>KitchenRoll</v>
      </c>
    </row>
    <row r="200" ht="15.75" customHeight="1">
      <c r="A200" s="232" t="s">
        <v>172</v>
      </c>
      <c r="B200" s="396" t="s">
        <v>288</v>
      </c>
      <c r="C200" s="389"/>
      <c r="D200" s="27" t="str">
        <f>VLOOKUP(B200,'Analysis OUT by pay'!B:B,1,false)</f>
        <v>Sunset Floor Cleaner</v>
      </c>
    </row>
    <row r="201" ht="15.75" customHeight="1">
      <c r="A201" s="232" t="s">
        <v>172</v>
      </c>
      <c r="B201" s="396" t="s">
        <v>290</v>
      </c>
      <c r="D201" s="27" t="str">
        <f>VLOOKUP(B201,'Analysis OUT by pay'!B:B,1,false)</f>
        <v>Toalha de mao</v>
      </c>
    </row>
    <row r="202" ht="15.75" customHeight="1">
      <c r="A202" s="232" t="s">
        <v>172</v>
      </c>
      <c r="B202" s="396" t="s">
        <v>291</v>
      </c>
      <c r="C202" s="389"/>
      <c r="D202" s="27" t="str">
        <f>VLOOKUP(B202,'Analysis OUT by pay'!B:B,1,false)</f>
        <v>Toiletpaper</v>
      </c>
    </row>
    <row r="203" ht="15.75" customHeight="1">
      <c r="A203" s="232" t="s">
        <v>172</v>
      </c>
      <c r="B203" s="396" t="s">
        <v>292</v>
      </c>
      <c r="C203" s="389"/>
      <c r="D203" s="27" t="str">
        <f>VLOOKUP(B203,'Analysis OUT by pay'!B:B,1,false)</f>
        <v>Trashbag 120l</v>
      </c>
    </row>
    <row r="204" ht="15.75" customHeight="1">
      <c r="A204" s="232" t="s">
        <v>172</v>
      </c>
      <c r="B204" s="396" t="s">
        <v>293</v>
      </c>
      <c r="C204" s="389"/>
      <c r="D204" s="27" t="str">
        <f>VLOOKUP(B204,'Analysis OUT by pay'!B:B,1,false)</f>
        <v>Trashbag Toilet</v>
      </c>
    </row>
    <row r="205" ht="15.75" customHeight="1">
      <c r="A205" s="74" t="s">
        <v>108</v>
      </c>
      <c r="B205" s="74" t="s">
        <v>51</v>
      </c>
      <c r="D205" s="27" t="str">
        <f>VLOOKUP(B205,'Analysis OUT by pay'!B:B,1,false)</f>
        <v>Airbnb</v>
      </c>
    </row>
    <row r="206" ht="15.75" customHeight="1">
      <c r="A206" s="74" t="s">
        <v>108</v>
      </c>
      <c r="B206" s="74" t="s">
        <v>108</v>
      </c>
      <c r="D206" s="27" t="str">
        <f>VLOOKUP(B206,'Analysis OUT by pay'!B:B,1,false)</f>
        <v>Refund</v>
      </c>
    </row>
    <row r="207" ht="15.75" customHeight="1">
      <c r="A207" s="74" t="s">
        <v>1868</v>
      </c>
      <c r="B207" s="396" t="s">
        <v>1869</v>
      </c>
      <c r="D207" s="27" t="str">
        <f>VLOOKUP(B207,'Analysis OUT by pay'!B:B,1,false)</f>
        <v>#N/A</v>
      </c>
    </row>
    <row r="208" ht="15.75" customHeight="1">
      <c r="A208" s="74" t="s">
        <v>1871</v>
      </c>
      <c r="B208" s="396" t="s">
        <v>1872</v>
      </c>
      <c r="D208" s="27" t="str">
        <f>VLOOKUP(B208,'Analysis OUT by pay'!B:B,1,false)</f>
        <v>#N/A</v>
      </c>
    </row>
    <row r="209" ht="15.75" customHeight="1">
      <c r="A209" s="74" t="s">
        <v>177</v>
      </c>
      <c r="B209" s="396" t="s">
        <v>312</v>
      </c>
      <c r="D209" s="27" t="str">
        <f>VLOOKUP(B209,'Analysis OUT by pay'!B:B,1,false)</f>
        <v>Bus</v>
      </c>
    </row>
    <row r="210" ht="15.75" customHeight="1">
      <c r="A210" s="74" t="s">
        <v>177</v>
      </c>
      <c r="B210" s="396" t="s">
        <v>47</v>
      </c>
      <c r="D210" s="27" t="str">
        <f>VLOOKUP(B210,'Analysis OUT by pay'!B:B,1,false)</f>
        <v>UberCopter</v>
      </c>
    </row>
    <row r="211" ht="15.75" customHeight="1">
      <c r="A211" s="74" t="s">
        <v>178</v>
      </c>
      <c r="B211" s="396" t="s">
        <v>301</v>
      </c>
      <c r="D211" s="27" t="str">
        <f>VLOOKUP(B211,'Analysis OUT by pay'!B:B,1,false)</f>
        <v>2x2x2</v>
      </c>
    </row>
    <row r="212" ht="15.75" customHeight="1">
      <c r="A212" s="74" t="s">
        <v>178</v>
      </c>
      <c r="B212" s="396" t="s">
        <v>302</v>
      </c>
      <c r="D212" s="27" t="str">
        <f>VLOOKUP(B212,'Analysis OUT by pay'!B:B,1,false)</f>
        <v>barShift</v>
      </c>
    </row>
    <row r="213" ht="15.75" customHeight="1">
      <c r="A213" s="74" t="s">
        <v>178</v>
      </c>
      <c r="B213" s="396" t="s">
        <v>303</v>
      </c>
      <c r="D213" s="27" t="str">
        <f>VLOOKUP(B213,'Analysis OUT by pay'!B:B,1,false)</f>
        <v>Clarita-wages</v>
      </c>
    </row>
    <row r="214" ht="15.75" customHeight="1">
      <c r="A214" s="74" t="s">
        <v>178</v>
      </c>
      <c r="B214" s="396" t="s">
        <v>154</v>
      </c>
      <c r="D214" s="27" t="str">
        <f>VLOOKUP(B214,'Analysis OUT by pay'!B:B,1,false)</f>
        <v>Cleaning</v>
      </c>
    </row>
    <row r="215" ht="15.75" customHeight="1">
      <c r="A215" s="74" t="s">
        <v>178</v>
      </c>
      <c r="B215" s="396" t="s">
        <v>304</v>
      </c>
      <c r="D215" s="27" t="str">
        <f>VLOOKUP(B215,'Analysis OUT by pay'!B:B,1,false)</f>
        <v>Dinner</v>
      </c>
    </row>
    <row r="216" ht="15.75" customHeight="1">
      <c r="A216" s="74" t="s">
        <v>178</v>
      </c>
      <c r="B216" s="396" t="s">
        <v>305</v>
      </c>
      <c r="D216" s="27" t="str">
        <f>VLOOKUP(B216,'Analysis OUT by pay'!B:B,1,false)</f>
        <v>Excel</v>
      </c>
    </row>
    <row r="217" ht="15.75" customHeight="1">
      <c r="A217" s="74" t="s">
        <v>178</v>
      </c>
      <c r="B217" s="396" t="s">
        <v>306</v>
      </c>
      <c r="D217" s="27" t="str">
        <f>VLOOKUP(B217,'Analysis OUT by pay'!B:B,1,false)</f>
        <v>Food Staff</v>
      </c>
    </row>
    <row r="218" ht="15.75" customHeight="1">
      <c r="A218" s="74" t="s">
        <v>178</v>
      </c>
      <c r="B218" s="396" t="s">
        <v>307</v>
      </c>
      <c r="D218" s="27" t="str">
        <f>VLOOKUP(B218,'Analysis OUT by pay'!B:B,1,false)</f>
        <v>Manager</v>
      </c>
    </row>
    <row r="219" ht="15.75" customHeight="1">
      <c r="A219" s="74" t="s">
        <v>178</v>
      </c>
      <c r="B219" s="396" t="s">
        <v>308</v>
      </c>
      <c r="D219" s="27" t="str">
        <f>VLOOKUP(B219,'Analysis OUT by pay'!B:B,1,false)</f>
        <v>Marta-wages</v>
      </c>
    </row>
    <row r="220" ht="15.75" customHeight="1">
      <c r="A220" s="74" t="s">
        <v>178</v>
      </c>
      <c r="B220" s="396" t="s">
        <v>309</v>
      </c>
      <c r="D220" s="27" t="str">
        <f>VLOOKUP(B220,'Analysis OUT by pay'!B:B,1,false)</f>
        <v>Night shift</v>
      </c>
    </row>
    <row r="221" ht="15.75" customHeight="1">
      <c r="A221" s="74" t="s">
        <v>178</v>
      </c>
      <c r="B221" s="396" t="s">
        <v>310</v>
      </c>
      <c r="D221" s="27" t="str">
        <f>VLOOKUP(B221,'Analysis OUT by pay'!B:B,1,false)</f>
        <v>Pancakes</v>
      </c>
    </row>
    <row r="222" ht="15.75" customHeight="1">
      <c r="A222" s="74" t="s">
        <v>178</v>
      </c>
      <c r="B222" s="396" t="s">
        <v>311</v>
      </c>
      <c r="D222" s="27" t="str">
        <f>VLOOKUP(B222,'Analysis OUT by pay'!B:B,1,false)</f>
        <v>Reception Shift</v>
      </c>
    </row>
    <row r="223" ht="15.75" customHeight="1">
      <c r="A223" s="58"/>
      <c r="B223" s="58"/>
      <c r="D223" s="28">
        <f>VLOOKUP(B223,'Analysis OUT by pay'!B:B,1,false)</f>
        <v>0</v>
      </c>
    </row>
    <row r="224" ht="15.75" customHeight="1">
      <c r="A224" s="58"/>
      <c r="B224" s="58"/>
      <c r="D224" s="28">
        <f>VLOOKUP(B224,'Analysis OUT by pay'!B:B,1,false)</f>
        <v>0</v>
      </c>
    </row>
    <row r="225" ht="15.75" customHeight="1">
      <c r="A225" s="58"/>
      <c r="B225" s="58"/>
      <c r="D225" s="28">
        <f>VLOOKUP(B225,'Analysis OUT by pay'!B:B,1,false)</f>
        <v>0</v>
      </c>
    </row>
    <row r="226" ht="15.75" customHeight="1">
      <c r="A226" s="58"/>
      <c r="B226" s="58"/>
      <c r="D226" s="28">
        <f>VLOOKUP(B226,'Analysis OUT by pay'!B:B,1,false)</f>
        <v>0</v>
      </c>
    </row>
    <row r="227" ht="15.75" customHeight="1">
      <c r="A227" s="58"/>
      <c r="B227" s="58"/>
      <c r="D227" s="28">
        <f>VLOOKUP(B227,'Analysis OUT by pay'!B:B,1,false)</f>
        <v>0</v>
      </c>
    </row>
    <row r="228" ht="15.75" customHeight="1">
      <c r="A228" s="58"/>
      <c r="B228" s="58"/>
      <c r="D228" s="28">
        <f>VLOOKUP(B228,'Analysis OUT by pay'!B:B,1,false)</f>
        <v>0</v>
      </c>
    </row>
    <row r="229" ht="15.75" customHeight="1">
      <c r="A229" s="58"/>
      <c r="B229" s="58"/>
      <c r="D229" s="28">
        <f>VLOOKUP(B229,'Analysis OUT by pay'!B:B,1,false)</f>
        <v>0</v>
      </c>
    </row>
    <row r="230" ht="15.75" customHeight="1">
      <c r="A230" s="58"/>
      <c r="B230" s="58"/>
      <c r="D230" s="28">
        <f>VLOOKUP(B230,'Analysis OUT by pay'!B:B,1,false)</f>
        <v>0</v>
      </c>
    </row>
    <row r="231" ht="15.75" customHeight="1">
      <c r="A231" s="58"/>
      <c r="B231" s="58"/>
      <c r="D231" s="28">
        <f>VLOOKUP(B231,'Analysis OUT by pay'!B:B,1,false)</f>
        <v>0</v>
      </c>
    </row>
    <row r="232" ht="15.75" customHeight="1">
      <c r="A232" s="58"/>
      <c r="B232" s="58"/>
      <c r="D232" s="28">
        <f>VLOOKUP(B232,'Analysis OUT by pay'!B:B,1,false)</f>
        <v>0</v>
      </c>
    </row>
    <row r="233" ht="15.75" customHeight="1">
      <c r="A233" s="58"/>
      <c r="B233" s="58"/>
      <c r="D233" s="28">
        <f>VLOOKUP(B233,'Analysis OUT by pay'!B:B,1,false)</f>
        <v>0</v>
      </c>
    </row>
    <row r="234" ht="15.75" customHeight="1">
      <c r="A234" s="58"/>
      <c r="B234" s="58"/>
      <c r="D234" s="28">
        <f>VLOOKUP(B234,'Analysis OUT by pay'!B:B,1,false)</f>
        <v>0</v>
      </c>
    </row>
    <row r="235" ht="15.75" customHeight="1">
      <c r="A235" s="58"/>
      <c r="B235" s="58"/>
      <c r="D235" s="28">
        <f>VLOOKUP(B235,'Analysis OUT by pay'!B:B,1,false)</f>
        <v>0</v>
      </c>
    </row>
    <row r="236" ht="15.75" customHeight="1">
      <c r="A236" s="58"/>
      <c r="B236" s="58"/>
      <c r="D236" s="28">
        <f>VLOOKUP(B236,'Analysis OUT by pay'!B:B,1,false)</f>
        <v>0</v>
      </c>
    </row>
    <row r="237" ht="15.75" customHeight="1">
      <c r="A237" s="58"/>
      <c r="B237" s="58"/>
      <c r="D237" s="28">
        <f>VLOOKUP(B237,'Analysis OUT by pay'!B:B,1,false)</f>
        <v>0</v>
      </c>
    </row>
    <row r="238" ht="15.75" customHeight="1">
      <c r="A238" s="58"/>
      <c r="B238" s="58"/>
      <c r="D238" s="28">
        <f>VLOOKUP(B238,'Analysis OUT by pay'!B:B,1,false)</f>
        <v>0</v>
      </c>
    </row>
    <row r="239" ht="15.75" customHeight="1">
      <c r="A239" s="58"/>
      <c r="B239" s="58"/>
      <c r="D239" s="28">
        <f>VLOOKUP(B239,'Analysis OUT by pay'!B:B,1,false)</f>
        <v>0</v>
      </c>
    </row>
    <row r="240" ht="15.75" customHeight="1">
      <c r="A240" s="58"/>
      <c r="B240" s="58"/>
    </row>
    <row r="241" ht="15.75" customHeight="1">
      <c r="A241" s="58"/>
      <c r="B241" s="58"/>
    </row>
    <row r="242" ht="15.75" customHeight="1">
      <c r="A242" s="58"/>
      <c r="B242" s="58"/>
    </row>
    <row r="243" ht="15.75" customHeight="1">
      <c r="A243" s="58"/>
      <c r="B243" s="58"/>
    </row>
    <row r="244" ht="15.75" customHeight="1">
      <c r="A244" s="58"/>
      <c r="B244" s="58"/>
    </row>
    <row r="245" ht="15.75" customHeight="1">
      <c r="A245" s="58"/>
      <c r="B245" s="58"/>
    </row>
    <row r="246" ht="15.75" customHeight="1">
      <c r="A246" s="58"/>
      <c r="B246" s="58"/>
    </row>
    <row r="247" ht="15.75" customHeight="1">
      <c r="A247" s="58"/>
      <c r="B247" s="58"/>
    </row>
    <row r="248" ht="15.75" customHeight="1">
      <c r="A248" s="58"/>
      <c r="B248" s="58"/>
    </row>
    <row r="249" ht="15.75" customHeight="1">
      <c r="A249" s="58"/>
      <c r="B249" s="58"/>
    </row>
    <row r="250" ht="15.75" customHeight="1">
      <c r="A250" s="58"/>
      <c r="B250" s="58"/>
    </row>
    <row r="251" ht="15.75" customHeight="1">
      <c r="A251" s="58"/>
      <c r="B251" s="58"/>
    </row>
    <row r="252" ht="15.75" customHeight="1">
      <c r="A252" s="58"/>
      <c r="B252" s="58"/>
    </row>
    <row r="253" ht="15.75" customHeight="1">
      <c r="A253" s="58"/>
      <c r="B253" s="58"/>
    </row>
    <row r="254" ht="15.75" customHeight="1">
      <c r="A254" s="58"/>
      <c r="B254" s="58"/>
    </row>
    <row r="255" ht="15.75" customHeight="1">
      <c r="A255" s="58"/>
      <c r="B255" s="58"/>
    </row>
    <row r="256" ht="15.75" customHeight="1">
      <c r="A256" s="58"/>
      <c r="B256" s="58"/>
    </row>
    <row r="257" ht="15.75" customHeight="1">
      <c r="A257" s="58"/>
      <c r="B257" s="58"/>
    </row>
    <row r="258" ht="15.75" customHeight="1">
      <c r="A258" s="58"/>
      <c r="B258" s="58"/>
    </row>
    <row r="259" ht="15.75" customHeight="1">
      <c r="A259" s="58"/>
      <c r="B259" s="58"/>
    </row>
    <row r="260" ht="15.75" customHeight="1">
      <c r="A260" s="58"/>
      <c r="B260" s="58"/>
    </row>
    <row r="261" ht="15.75" customHeight="1">
      <c r="A261" s="58"/>
      <c r="B261" s="58"/>
    </row>
    <row r="262" ht="15.75" customHeight="1">
      <c r="A262" s="58"/>
      <c r="B262" s="58"/>
    </row>
    <row r="263" ht="15.75" customHeight="1">
      <c r="A263" s="58"/>
      <c r="B263" s="58"/>
    </row>
    <row r="264" ht="15.75" customHeight="1">
      <c r="A264" s="58"/>
      <c r="B264" s="58"/>
    </row>
    <row r="265" ht="15.75" customHeight="1">
      <c r="A265" s="58"/>
      <c r="B265" s="58"/>
    </row>
    <row r="266" ht="15.75" customHeight="1">
      <c r="A266" s="58"/>
      <c r="B266" s="58"/>
    </row>
    <row r="267" ht="15.75" customHeight="1">
      <c r="A267" s="58"/>
      <c r="B267" s="58"/>
    </row>
    <row r="268" ht="15.75" customHeight="1">
      <c r="A268" s="58"/>
      <c r="B268" s="58"/>
    </row>
    <row r="269" ht="15.75" customHeight="1">
      <c r="A269" s="58"/>
      <c r="B269" s="58"/>
    </row>
    <row r="270" ht="15.75" customHeight="1">
      <c r="A270" s="58"/>
      <c r="B270" s="58"/>
    </row>
    <row r="271" ht="15.75" customHeight="1">
      <c r="A271" s="58"/>
      <c r="B271" s="58"/>
    </row>
    <row r="272" ht="15.75" customHeight="1">
      <c r="A272" s="58"/>
      <c r="B272" s="58"/>
    </row>
    <row r="273" ht="15.75" customHeight="1">
      <c r="A273" s="58"/>
      <c r="B273" s="58"/>
    </row>
    <row r="274" ht="15.75" customHeight="1">
      <c r="A274" s="58"/>
      <c r="B274" s="58"/>
    </row>
    <row r="275" ht="15.75" customHeight="1">
      <c r="A275" s="58"/>
      <c r="B275" s="58"/>
    </row>
    <row r="276" ht="15.75" customHeight="1">
      <c r="A276" s="58"/>
      <c r="B276" s="58"/>
    </row>
    <row r="277" ht="15.75" customHeight="1">
      <c r="A277" s="58"/>
      <c r="B277" s="58"/>
    </row>
    <row r="278" ht="15.75" customHeight="1">
      <c r="A278" s="58"/>
      <c r="B278" s="58"/>
    </row>
    <row r="279" ht="15.75" customHeight="1">
      <c r="A279" s="58"/>
      <c r="B279" s="58"/>
    </row>
    <row r="280" ht="15.75" customHeight="1">
      <c r="A280" s="58"/>
      <c r="B280" s="58"/>
    </row>
    <row r="281" ht="15.75" customHeight="1">
      <c r="A281" s="58"/>
      <c r="B281" s="58"/>
    </row>
    <row r="282" ht="15.75" customHeight="1">
      <c r="A282" s="58"/>
      <c r="B282" s="58"/>
    </row>
    <row r="283" ht="15.75" customHeight="1">
      <c r="A283" s="58"/>
      <c r="B283" s="58"/>
    </row>
    <row r="284" ht="15.75" customHeight="1">
      <c r="A284" s="58"/>
      <c r="B284" s="58"/>
    </row>
    <row r="285" ht="15.75" customHeight="1">
      <c r="A285" s="58"/>
      <c r="B285" s="58"/>
    </row>
    <row r="286" ht="15.75" customHeight="1">
      <c r="A286" s="58"/>
      <c r="B286" s="58"/>
    </row>
    <row r="287" ht="15.75" customHeight="1">
      <c r="A287" s="58"/>
      <c r="B287" s="58"/>
    </row>
    <row r="288" ht="15.75" customHeight="1">
      <c r="A288" s="58"/>
      <c r="B288" s="58"/>
    </row>
    <row r="289" ht="15.75" customHeight="1">
      <c r="A289" s="58"/>
      <c r="B289" s="58"/>
    </row>
    <row r="290" ht="15.75" customHeight="1">
      <c r="A290" s="58"/>
      <c r="B290" s="58"/>
    </row>
    <row r="291" ht="15.75" customHeight="1">
      <c r="A291" s="58"/>
      <c r="B291" s="58"/>
    </row>
    <row r="292" ht="15.75" customHeight="1">
      <c r="A292" s="58"/>
      <c r="B292" s="58"/>
    </row>
    <row r="293" ht="15.75" customHeight="1">
      <c r="A293" s="58"/>
      <c r="B293" s="58"/>
    </row>
    <row r="294" ht="15.75" customHeight="1">
      <c r="A294" s="58"/>
      <c r="B294" s="58"/>
    </row>
    <row r="295" ht="15.75" customHeight="1">
      <c r="A295" s="58"/>
      <c r="B295" s="58"/>
    </row>
    <row r="296" ht="15.75" customHeight="1">
      <c r="A296" s="58"/>
      <c r="B296" s="58"/>
    </row>
    <row r="297" ht="15.75" customHeight="1">
      <c r="A297" s="58"/>
      <c r="B297" s="58"/>
    </row>
    <row r="298" ht="15.75" customHeight="1">
      <c r="A298" s="58"/>
      <c r="B298" s="58"/>
    </row>
    <row r="299" ht="15.75" customHeight="1">
      <c r="A299" s="58"/>
      <c r="B299" s="58"/>
    </row>
    <row r="300" ht="15.75" customHeight="1">
      <c r="A300" s="58"/>
      <c r="B300" s="58"/>
    </row>
    <row r="301" ht="15.75" customHeight="1">
      <c r="A301" s="58"/>
      <c r="B301" s="58"/>
    </row>
    <row r="302" ht="15.75" customHeight="1">
      <c r="A302" s="58"/>
      <c r="B302" s="58"/>
    </row>
    <row r="303" ht="15.75" customHeight="1">
      <c r="A303" s="58"/>
      <c r="B303" s="58"/>
    </row>
    <row r="304" ht="15.75" customHeight="1">
      <c r="A304" s="58"/>
      <c r="B304" s="58"/>
    </row>
    <row r="305" ht="15.75" customHeight="1">
      <c r="A305" s="58"/>
      <c r="B305" s="58"/>
    </row>
    <row r="306" ht="15.75" customHeight="1">
      <c r="A306" s="58"/>
      <c r="B306" s="58"/>
    </row>
    <row r="307" ht="15.75" customHeight="1">
      <c r="A307" s="58"/>
      <c r="B307" s="58"/>
    </row>
    <row r="308" ht="15.75" customHeight="1">
      <c r="A308" s="58"/>
      <c r="B308" s="58"/>
    </row>
    <row r="309" ht="15.75" customHeight="1">
      <c r="A309" s="58"/>
      <c r="B309" s="58"/>
    </row>
    <row r="310" ht="15.75" customHeight="1">
      <c r="A310" s="58"/>
      <c r="B310" s="58"/>
    </row>
    <row r="311" ht="15.75" customHeight="1">
      <c r="A311" s="58"/>
      <c r="B311" s="58"/>
    </row>
    <row r="312" ht="15.75" customHeight="1">
      <c r="A312" s="58"/>
      <c r="B312" s="58"/>
    </row>
    <row r="313" ht="15.75" customHeight="1">
      <c r="A313" s="58"/>
      <c r="B313" s="58"/>
    </row>
    <row r="314" ht="15.75" customHeight="1">
      <c r="A314" s="58"/>
      <c r="B314" s="58"/>
    </row>
    <row r="315" ht="15.75" customHeight="1">
      <c r="A315" s="58"/>
      <c r="B315" s="58"/>
    </row>
    <row r="316" ht="15.75" customHeight="1">
      <c r="A316" s="58"/>
      <c r="B316" s="58"/>
    </row>
    <row r="317" ht="15.75" customHeight="1">
      <c r="A317" s="58"/>
      <c r="B317" s="58"/>
    </row>
    <row r="318" ht="15.75" customHeight="1">
      <c r="A318" s="58"/>
      <c r="B318" s="58"/>
    </row>
    <row r="319" ht="15.75" customHeight="1">
      <c r="A319" s="58"/>
      <c r="B319" s="58"/>
    </row>
    <row r="320" ht="15.75" customHeight="1">
      <c r="A320" s="58"/>
      <c r="B320" s="58"/>
    </row>
    <row r="321" ht="15.75" customHeight="1">
      <c r="A321" s="58"/>
      <c r="B321" s="58"/>
    </row>
    <row r="322" ht="15.75" customHeight="1">
      <c r="A322" s="58"/>
      <c r="B322" s="58"/>
    </row>
    <row r="323" ht="15.75" customHeight="1">
      <c r="A323" s="58"/>
      <c r="B323" s="58"/>
    </row>
    <row r="324" ht="15.75" customHeight="1">
      <c r="A324" s="58"/>
      <c r="B324" s="58"/>
    </row>
    <row r="325" ht="15.75" customHeight="1">
      <c r="A325" s="58"/>
      <c r="B325" s="58"/>
    </row>
    <row r="326" ht="15.75" customHeight="1">
      <c r="A326" s="58"/>
      <c r="B326" s="58"/>
    </row>
    <row r="327" ht="15.75" customHeight="1">
      <c r="A327" s="58"/>
      <c r="B327" s="58"/>
    </row>
    <row r="328" ht="15.75" customHeight="1">
      <c r="A328" s="58"/>
      <c r="B328" s="58"/>
    </row>
    <row r="329" ht="15.75" customHeight="1">
      <c r="A329" s="58"/>
      <c r="B329" s="58"/>
    </row>
    <row r="330" ht="15.75" customHeight="1">
      <c r="A330" s="58"/>
      <c r="B330" s="58"/>
    </row>
    <row r="331" ht="15.75" customHeight="1">
      <c r="A331" s="58"/>
      <c r="B331" s="58"/>
    </row>
    <row r="332" ht="15.75" customHeight="1">
      <c r="A332" s="58"/>
      <c r="B332" s="58"/>
    </row>
    <row r="333" ht="15.75" customHeight="1">
      <c r="A333" s="58"/>
      <c r="B333" s="58"/>
    </row>
    <row r="334" ht="15.75" customHeight="1">
      <c r="A334" s="58"/>
      <c r="B334" s="58"/>
    </row>
    <row r="335" ht="15.75" customHeight="1">
      <c r="A335" s="58"/>
      <c r="B335" s="58"/>
    </row>
    <row r="336" ht="15.75" customHeight="1">
      <c r="A336" s="58"/>
      <c r="B336" s="58"/>
    </row>
    <row r="337" ht="15.75" customHeight="1">
      <c r="A337" s="58"/>
      <c r="B337" s="58"/>
    </row>
    <row r="338" ht="15.75" customHeight="1">
      <c r="A338" s="58"/>
      <c r="B338" s="58"/>
    </row>
    <row r="339" ht="15.75" customHeight="1">
      <c r="A339" s="58"/>
      <c r="B339" s="58"/>
    </row>
    <row r="340" ht="15.75" customHeight="1">
      <c r="A340" s="58"/>
      <c r="B340" s="58"/>
    </row>
    <row r="341" ht="15.75" customHeight="1">
      <c r="A341" s="58"/>
      <c r="B341" s="58"/>
    </row>
    <row r="342" ht="15.75" customHeight="1">
      <c r="A342" s="58"/>
      <c r="B342" s="58"/>
    </row>
    <row r="343" ht="15.75" customHeight="1">
      <c r="A343" s="58"/>
      <c r="B343" s="58"/>
    </row>
    <row r="344" ht="15.75" customHeight="1">
      <c r="A344" s="58"/>
      <c r="B344" s="58"/>
    </row>
    <row r="345" ht="15.75" customHeight="1">
      <c r="A345" s="58"/>
      <c r="B345" s="58"/>
    </row>
    <row r="346" ht="15.75" customHeight="1">
      <c r="A346" s="58"/>
      <c r="B346" s="58"/>
    </row>
    <row r="347" ht="15.75" customHeight="1">
      <c r="A347" s="58"/>
      <c r="B347" s="58"/>
    </row>
    <row r="348" ht="15.75" customHeight="1">
      <c r="A348" s="58"/>
      <c r="B348" s="58"/>
    </row>
    <row r="349" ht="15.75" customHeight="1">
      <c r="A349" s="58"/>
      <c r="B349" s="58"/>
    </row>
    <row r="350" ht="15.75" customHeight="1">
      <c r="A350" s="58"/>
      <c r="B350" s="58"/>
    </row>
    <row r="351" ht="15.75" customHeight="1">
      <c r="A351" s="58"/>
      <c r="B351" s="58"/>
    </row>
    <row r="352" ht="15.75" customHeight="1">
      <c r="A352" s="58"/>
      <c r="B352" s="58"/>
    </row>
    <row r="353" ht="15.75" customHeight="1">
      <c r="A353" s="58"/>
      <c r="B353" s="58"/>
    </row>
    <row r="354" ht="15.75" customHeight="1">
      <c r="A354" s="58"/>
      <c r="B354" s="58"/>
    </row>
    <row r="355" ht="15.75" customHeight="1">
      <c r="A355" s="58"/>
      <c r="B355" s="58"/>
    </row>
    <row r="356" ht="15.75" customHeight="1">
      <c r="A356" s="58"/>
      <c r="B356" s="58"/>
    </row>
    <row r="357" ht="15.75" customHeight="1">
      <c r="A357" s="58"/>
      <c r="B357" s="58"/>
    </row>
    <row r="358" ht="15.75" customHeight="1">
      <c r="A358" s="58"/>
      <c r="B358" s="58"/>
    </row>
    <row r="359" ht="15.75" customHeight="1">
      <c r="A359" s="58"/>
      <c r="B359" s="58"/>
    </row>
    <row r="360" ht="15.75" customHeight="1">
      <c r="A360" s="58"/>
      <c r="B360" s="58"/>
    </row>
    <row r="361" ht="15.75" customHeight="1">
      <c r="A361" s="58"/>
      <c r="B361" s="58"/>
    </row>
    <row r="362" ht="15.75" customHeight="1">
      <c r="A362" s="58"/>
      <c r="B362" s="58"/>
    </row>
    <row r="363" ht="15.75" customHeight="1">
      <c r="A363" s="58"/>
      <c r="B363" s="58"/>
    </row>
    <row r="364" ht="15.75" customHeight="1">
      <c r="A364" s="58"/>
      <c r="B364" s="58"/>
    </row>
    <row r="365" ht="15.75" customHeight="1">
      <c r="A365" s="58"/>
      <c r="B365" s="58"/>
    </row>
    <row r="366" ht="15.75" customHeight="1">
      <c r="A366" s="58"/>
      <c r="B366" s="58"/>
    </row>
    <row r="367" ht="15.75" customHeight="1">
      <c r="A367" s="58"/>
      <c r="B367" s="58"/>
    </row>
    <row r="368" ht="15.75" customHeight="1">
      <c r="A368" s="58"/>
      <c r="B368" s="58"/>
    </row>
    <row r="369" ht="15.75" customHeight="1">
      <c r="A369" s="58"/>
      <c r="B369" s="58"/>
    </row>
    <row r="370" ht="15.75" customHeight="1">
      <c r="A370" s="58"/>
      <c r="B370" s="58"/>
    </row>
    <row r="371" ht="15.75" customHeight="1">
      <c r="A371" s="58"/>
      <c r="B371" s="58"/>
    </row>
    <row r="372" ht="15.75" customHeight="1">
      <c r="A372" s="58"/>
      <c r="B372" s="58"/>
    </row>
    <row r="373" ht="15.75" customHeight="1">
      <c r="A373" s="58"/>
      <c r="B373" s="58"/>
    </row>
    <row r="374" ht="15.75" customHeight="1">
      <c r="A374" s="58"/>
      <c r="B374" s="58"/>
    </row>
    <row r="375" ht="15.75" customHeight="1">
      <c r="A375" s="58"/>
      <c r="B375" s="58"/>
    </row>
    <row r="376" ht="15.75" customHeight="1">
      <c r="A376" s="58"/>
      <c r="B376" s="58"/>
    </row>
    <row r="377" ht="15.75" customHeight="1">
      <c r="A377" s="58"/>
      <c r="B377" s="58"/>
    </row>
    <row r="378" ht="15.75" customHeight="1">
      <c r="A378" s="58"/>
      <c r="B378" s="58"/>
    </row>
    <row r="379" ht="15.75" customHeight="1">
      <c r="A379" s="58"/>
      <c r="B379" s="58"/>
    </row>
    <row r="380" ht="15.75" customHeight="1">
      <c r="A380" s="58"/>
      <c r="B380" s="58"/>
    </row>
    <row r="381" ht="15.75" customHeight="1">
      <c r="A381" s="58"/>
      <c r="B381" s="58"/>
    </row>
    <row r="382" ht="15.75" customHeight="1">
      <c r="A382" s="58"/>
      <c r="B382" s="58"/>
    </row>
    <row r="383" ht="15.75" customHeight="1">
      <c r="A383" s="58"/>
      <c r="B383" s="58"/>
    </row>
    <row r="384" ht="15.75" customHeight="1">
      <c r="A384" s="58"/>
      <c r="B384" s="58"/>
    </row>
    <row r="385" ht="15.75" customHeight="1">
      <c r="A385" s="58"/>
      <c r="B385" s="58"/>
    </row>
    <row r="386" ht="15.75" customHeight="1">
      <c r="A386" s="58"/>
      <c r="B386" s="58"/>
    </row>
    <row r="387" ht="15.75" customHeight="1">
      <c r="A387" s="58"/>
      <c r="B387" s="58"/>
    </row>
    <row r="388" ht="15.75" customHeight="1">
      <c r="A388" s="58"/>
      <c r="B388" s="58"/>
    </row>
    <row r="389" ht="15.75" customHeight="1">
      <c r="A389" s="58"/>
      <c r="B389" s="58"/>
    </row>
    <row r="390" ht="15.75" customHeight="1">
      <c r="A390" s="58"/>
      <c r="B390" s="58"/>
    </row>
    <row r="391" ht="15.75" customHeight="1">
      <c r="A391" s="58"/>
      <c r="B391" s="58"/>
    </row>
    <row r="392" ht="15.75" customHeight="1">
      <c r="A392" s="58"/>
      <c r="B392" s="58"/>
    </row>
    <row r="393" ht="15.75" customHeight="1">
      <c r="A393" s="58"/>
      <c r="B393" s="58"/>
    </row>
    <row r="394" ht="15.75" customHeight="1">
      <c r="A394" s="58"/>
      <c r="B394" s="58"/>
    </row>
    <row r="395" ht="15.75" customHeight="1">
      <c r="A395" s="58"/>
      <c r="B395" s="58"/>
    </row>
    <row r="396" ht="15.75" customHeight="1">
      <c r="A396" s="58"/>
      <c r="B396" s="58"/>
    </row>
    <row r="397" ht="15.75" customHeight="1">
      <c r="A397" s="58"/>
      <c r="B397" s="58"/>
    </row>
    <row r="398" ht="15.75" customHeight="1">
      <c r="A398" s="58"/>
      <c r="B398" s="58"/>
    </row>
    <row r="399" ht="15.75" customHeight="1">
      <c r="A399" s="58"/>
      <c r="B399" s="58"/>
    </row>
    <row r="400" ht="15.75" customHeight="1">
      <c r="A400" s="58"/>
      <c r="B400" s="58"/>
    </row>
    <row r="401" ht="15.75" customHeight="1">
      <c r="A401" s="58"/>
      <c r="B401" s="58"/>
    </row>
    <row r="402" ht="15.75" customHeight="1">
      <c r="A402" s="58"/>
      <c r="B402" s="58"/>
    </row>
    <row r="403" ht="15.75" customHeight="1">
      <c r="A403" s="58"/>
      <c r="B403" s="58"/>
    </row>
    <row r="404" ht="15.75" customHeight="1">
      <c r="A404" s="58"/>
      <c r="B404" s="58"/>
    </row>
    <row r="405" ht="15.75" customHeight="1">
      <c r="A405" s="58"/>
      <c r="B405" s="58"/>
    </row>
    <row r="406" ht="15.75" customHeight="1">
      <c r="A406" s="58"/>
      <c r="B406" s="58"/>
    </row>
    <row r="407" ht="15.75" customHeight="1">
      <c r="A407" s="58"/>
      <c r="B407" s="58"/>
    </row>
    <row r="408" ht="15.75" customHeight="1">
      <c r="A408" s="58"/>
      <c r="B408" s="58"/>
    </row>
    <row r="409" ht="15.75" customHeight="1">
      <c r="A409" s="58"/>
      <c r="B409" s="58"/>
    </row>
    <row r="410" ht="15.75" customHeight="1">
      <c r="A410" s="58"/>
      <c r="B410" s="58"/>
    </row>
    <row r="411" ht="15.75" customHeight="1">
      <c r="A411" s="58"/>
      <c r="B411" s="58"/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autoFilter ref="$A$1:$Z$1026"/>
  <drawing r:id="rId1"/>
</worksheet>
</file>